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9e8c9d6b64a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fb56bb0efb7c4df8"/>
    <x:sheet xmlns:r="http://schemas.openxmlformats.org/officeDocument/2006/relationships" name="总览" sheetId="2" r:id="R54201a569f2f4700"/>
    <x:sheet xmlns:r="http://schemas.openxmlformats.org/officeDocument/2006/relationships" name="全局设置" sheetId="3" r:id="R692d2a40a30c4120"/>
    <x:sheet xmlns:r="http://schemas.openxmlformats.org/officeDocument/2006/relationships" name="第1日" sheetId="4" r:id="Rbbfe0c94a1c94ba0"/>
    <x:sheet xmlns:r="http://schemas.openxmlformats.org/officeDocument/2006/relationships" name="第2日" sheetId="5" r:id="R556542d55c0a4a97"/>
    <x:sheet xmlns:r="http://schemas.openxmlformats.org/officeDocument/2006/relationships" name="第3日" sheetId="6" r:id="R6ab9218dc4014e11"/>
    <x:sheet xmlns:r="http://schemas.openxmlformats.org/officeDocument/2006/relationships" name="第4日" sheetId="7" r:id="R13315eee9aac4666"/>
    <x:sheet xmlns:r="http://schemas.openxmlformats.org/officeDocument/2006/relationships" name="敌人目录" sheetId="8" r:id="R5128331186e74e4d"/>
    <x:sheet xmlns:r="http://schemas.openxmlformats.org/officeDocument/2006/relationships" name="导入数据（勿改）" sheetId="9" r:id="Rc2011c58783a49b5"/>
    <x:sheet xmlns:r="http://schemas.openxmlformats.org/officeDocument/2006/relationships" name="系统数据（勿改）" sheetId="10" r:id="R1eaafc2ef02c40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00"/>
    <x:numFmt numFmtId="202" formatCode="0.00"/>
  </x:numFmts>
  <x:fonts count="14">
    <x:font>
      <x:sz val="11"/>
      <x:name val="Carlito"/>
    </x:font>
    <x:font>
      <x:b/>
      <x:sz val="20"/>
      <x:color rgb="FFFFFFFF"/>
      <x:name val="Microsoft YaHei"/>
    </x:font>
    <x:font>
      <x:b/>
      <x:sz val="11"/>
      <x:color rgb="FF8A5A00"/>
      <x:name val="Microsoft YaHei"/>
    </x:font>
    <x:font>
      <x:b/>
      <x:sz val="12"/>
      <x:color rgb="FFFFFFFF"/>
      <x:name val="Microsoft YaHei"/>
    </x:font>
    <x:font>
      <x:sz val="11"/>
      <x:color rgb="FF172B35"/>
      <x:name val="Microsoft YaHei"/>
    </x:font>
    <x:font>
      <x:b/>
      <x:sz val="11"/>
      <x:color rgb="FF187A78"/>
      <x:name val="Microsoft YaHei"/>
    </x:font>
    <x:font>
      <x:b/>
      <x:sz val="11"/>
      <x:color rgb="FF352D55"/>
      <x:name val="Microsoft YaHei"/>
    </x:font>
    <x:font>
      <x:b/>
      <x:sz val="11"/>
      <x:color rgb="FFA1242F"/>
      <x:name val="Microsoft YaHei"/>
    </x:font>
    <x:font>
      <x:sz val="11"/>
      <x:color rgb="FF187A78"/>
      <x:name val="Microsoft YaHei"/>
    </x:font>
    <x:font>
      <x:b/>
      <x:sz val="10"/>
      <x:color rgb="FFFFFFFF"/>
      <x:name val="Microsoft YaHei"/>
    </x:font>
    <x:font>
      <x:sz val="11"/>
      <x:color rgb="FF8A5A00"/>
      <x:name val="Microsoft YaHei"/>
    </x:font>
    <x:font>
      <x:sz val="11"/>
      <x:color rgb="FF60747E"/>
      <x:name val="Microsoft YaHei"/>
    </x:font>
    <x:font>
      <x:sz val="11"/>
      <x:color rgb="FF352D55"/>
      <x:name val="Microsoft YaHei"/>
    </x:font>
    <x:font>
      <x:b/>
      <x:sz val="16"/>
      <x:color rgb="FF102A35"/>
      <x:name val="Microsoft YaHei"/>
    </x:font>
  </x:fonts>
  <x:fills count="16">
    <x:fill>
      <x:patternFill patternType="none"/>
    </x:fill>
    <x:fill>
      <x:patternFill patternType="gray125"/>
    </x:fill>
    <x:fill>
      <x:patternFill patternType="solid">
        <x:fgColor rgb="FF123247"/>
      </x:patternFill>
    </x:fill>
    <x:fill>
      <x:patternFill patternType="solid">
        <x:fgColor rgb="FFFFF4CE"/>
      </x:patternFill>
    </x:fill>
    <x:fill>
      <x:patternFill patternType="solid">
        <x:fgColor rgb="FF187A78"/>
      </x:patternFill>
    </x:fill>
    <x:fill>
      <x:patternFill patternType="solid">
        <x:fgColor rgb="FFFFFFFF"/>
      </x:patternFill>
    </x:fill>
    <x:fill>
      <x:patternFill patternType="solid">
        <x:fgColor rgb="FFDDF3F0"/>
      </x:patternFill>
    </x:fill>
    <x:fill>
      <x:patternFill patternType="solid">
        <x:fgColor rgb="FFDDF4FF"/>
      </x:patternFill>
    </x:fill>
    <x:fill>
      <x:patternFill patternType="solid">
        <x:fgColor rgb="FFEEF2F6"/>
      </x:patternFill>
    </x:fill>
    <x:fill>
      <x:patternFill patternType="solid">
        <x:fgColor rgb="FFFFF0C2"/>
      </x:patternFill>
    </x:fill>
    <x:fill>
      <x:patternFill patternType="solid">
        <x:fgColor rgb="FFFDE2E4"/>
      </x:patternFill>
    </x:fill>
    <x:fill>
      <x:patternFill patternType="solid">
        <x:fgColor rgb="FF352D55"/>
      </x:patternFill>
    </x:fill>
    <x:fill>
      <x:patternFill patternType="solid">
        <x:fgColor rgb="FFEEEAFB"/>
      </x:patternFill>
    </x:fill>
    <x:fill>
      <x:patternFill patternType="solid">
        <x:fgColor rgb="FF102A35"/>
      </x:patternFill>
    </x:fill>
    <x:fill>
      <x:patternFill patternType="solid">
        <x:fgColor rgb="FFF8FAFC"/>
      </x:patternFill>
    </x:fill>
    <x:fill>
      <x:patternFill patternType="solid">
        <x:fgColor rgb="FFA1242F"/>
      </x:patternFill>
    </x:fill>
  </x:fills>
  <x:borders count="3">
    <x:border/>
    <x:border>
      <x:left style="thin">
        <x:color rgb="FFC8D4DC"/>
      </x:left>
      <x:right style="thin">
        <x:color rgb="FFC8D4DC"/>
      </x:right>
      <x:top style="thin">
        <x:color rgb="FFC8D4DC"/>
      </x:top>
      <x:bottom style="thin">
        <x:color rgb="FFC8D4DC"/>
      </x:bottom>
    </x:border>
    <x:border>
      <x:left style="thin">
        <x:color rgb="FF8ED8F8"/>
      </x:left>
      <x:right style="thin">
        <x:color rgb="FF8ED8F8"/>
      </x:right>
      <x:top style="thin">
        <x:color rgb="FF8ED8F8"/>
      </x:top>
      <x:bottom style="thin">
        <x:color rgb="FF8ED8F8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4" fillId="7" borderId="1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vertical="center"/>
    </x:xf>
    <x:xf numFmtId="0" fontId="4" fillId="9" borderId="1" xfId="0" applyNumberFormat="1" applyFont="1" applyFill="1" applyBorder="1" applyAlignment="1">
      <x:alignment vertical="center"/>
    </x:xf>
    <x:xf numFmtId="0" fontId="4" fillId="10" borderId="1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vertical="center"/>
    </x:xf>
    <x:xf numFmtId="0" fontId="4" fillId="12" borderId="1" xfId="0" applyNumberFormat="1" applyFont="1" applyFill="1" applyBorder="1" applyAlignment="1">
      <x:alignment vertical="center"/>
    </x:xf>
    <x:xf numFmtId="0" fontId="6" fillId="12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/>
    <x:xf numFmtId="0" fontId="9" fillId="4" borderId="1" xfId="0" applyNumberFormat="1" applyFont="1" applyFill="1" applyBorder="1"/>
    <x:xf numFmtId="0" fontId="9" fillId="4" borderId="1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horizontal="center" wrapText="1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vertical="center"/>
    </x:xf>
    <x:xf numFmtId="200" fontId="4" fillId="8" borderId="1" xfId="0" applyNumberFormat="1" applyFont="1" applyFill="1" applyBorder="1" applyAlignment="1">
      <x:alignment vertical="center"/>
    </x:xf>
    <x:xf numFmtId="200" fontId="4" fillId="7" borderId="2" xfId="0" applyNumberFormat="1" applyFont="1" applyFill="1" applyBorder="1" applyAlignment="1">
      <x:alignment vertical="center"/>
    </x:xf>
    <x:xf numFmtId="0" fontId="9" fillId="11" borderId="0" xfId="0" applyNumberFormat="1" applyFont="1" applyFill="1" applyBorder="1"/>
    <x:xf numFmtId="0" fontId="9" fillId="11" borderId="1" xfId="0" applyNumberFormat="1" applyFont="1" applyFill="1" applyBorder="1"/>
    <x:xf numFmtId="0" fontId="9" fillId="11" borderId="1" xfId="0" applyNumberFormat="1" applyFont="1" applyFill="1" applyBorder="1" applyAlignment="1">
      <x:alignment wrapText="1"/>
    </x:xf>
    <x:xf numFmtId="0" fontId="9" fillId="11" borderId="1" xfId="0" applyNumberFormat="1" applyFont="1" applyFill="1" applyBorder="1" applyAlignment="1">
      <x:alignment horizontal="center" wrapText="1"/>
    </x:xf>
    <x:xf numFmtId="0" fontId="9" fillId="11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2" xfId="0" applyNumberFormat="1" applyFont="1" applyFill="1" applyBorder="1"/>
    <x:xf numFmtId="0" fontId="4" fillId="5" borderId="1" xfId="0" applyNumberFormat="1" applyFont="1" applyFill="1" applyBorder="1" applyAlignment="1">
      <x:alignment horizontal="center" vertical="center"/>
    </x:xf>
    <x:xf numFmtId="0" fontId="4" fillId="8" borderId="1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1" xfId="0" applyNumberFormat="1" applyFont="1" applyFill="1" applyBorder="1"/>
    <x:xf numFmtId="0" fontId="9" fillId="13" borderId="1" xfId="0" applyNumberFormat="1" applyFont="1" applyFill="1" applyBorder="1" applyAlignment="1">
      <x:alignment wrapText="1"/>
    </x:xf>
    <x:xf numFmtId="0" fontId="9" fillId="13" borderId="1" xfId="0" applyNumberFormat="1" applyFont="1" applyFill="1" applyBorder="1" applyAlignment="1">
      <x:alignment horizontal="center" wrapText="1"/>
    </x:xf>
    <x:xf numFmtId="0" fontId="9" fillId="13" borderId="1" xfId="0" applyNumberFormat="1" applyFont="1" applyFill="1" applyBorder="1" applyAlignment="1">
      <x:alignment horizontal="center" vertical="center" wrapText="1"/>
    </x:xf>
    <x:xf numFmtId="201" fontId="4" fillId="8" borderId="1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horizontal="center" vertical="center"/>
    </x:xf>
    <x:xf numFmtId="202" fontId="4" fillId="8" borderId="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wrapText="1"/>
    </x:xf>
    <x:xf numFmtId="0" fontId="11" fillId="14" borderId="0" xfId="0" applyNumberFormat="1" applyFont="1" applyFill="1" applyBorder="1" applyAlignment="1">
      <x:alignment vertical="center" wrapText="1"/>
    </x:xf>
    <x:xf numFmtId="0" fontId="12" fillId="12" borderId="0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9" fillId="2" borderId="1" xfId="0" applyNumberFormat="1" applyFont="1" applyFill="1" applyBorder="1"/>
    <x:xf numFmtId="0" fontId="9" fillId="2" borderId="1" xfId="0" applyNumberFormat="1" applyFont="1" applyFill="1" applyBorder="1" applyAlignment="1">
      <x:alignment wrapText="1"/>
    </x:xf>
    <x:xf numFmtId="0" fontId="9" fillId="2" borderId="1" xfId="0" applyNumberFormat="1" applyFont="1" applyFill="1" applyBorder="1" applyAlignment="1">
      <x:alignment horizontal="center" wrapText="1"/>
    </x:xf>
    <x:xf numFmtId="0" fontId="9" fillId="2" borderId="1" xfId="0" applyNumberFormat="1" applyFont="1" applyFill="1" applyBorder="1" applyAlignment="1">
      <x:alignment horizontal="center" vertical="center" wrapText="1"/>
    </x:xf>
    <x:xf numFmtId="0" fontId="13" fillId="8" borderId="1" xfId="0" applyNumberFormat="1" applyFont="1" applyFill="1" applyBorder="1" applyAlignment="1">
      <x:alignment vertical="center"/>
    </x:xf>
    <x:xf numFmtId="0" fontId="13" fillId="8" borderId="1" xfId="0" applyNumberFormat="1" applyFont="1" applyFill="1" applyBorder="1" applyAlignment="1">
      <x:alignment horizontal="center" vertical="center"/>
    </x:xf>
    <x:xf numFmtId="202" fontId="13" fillId="8" borderId="1" xfId="0" applyNumberFormat="1" applyFont="1" applyFill="1" applyBorder="1" applyAlignment="1">
      <x:alignment vertical="center"/>
    </x:xf>
    <x:xf numFmtId="202" fontId="13" fillId="8" borderId="1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vertical="center"/>
    </x:xf>
    <x:xf numFmtId="0" fontId="9" fillId="15" borderId="0" xfId="0" applyNumberFormat="1" applyFont="1" applyFill="1" applyBorder="1"/>
    <x:xf numFmtId="0" fontId="9" fillId="15" borderId="1" xfId="0" applyNumberFormat="1" applyFont="1" applyFill="1" applyBorder="1"/>
    <x:xf numFmtId="0" fontId="9" fillId="15" borderId="1" xfId="0" applyNumberFormat="1" applyFont="1" applyFill="1" applyBorder="1" applyAlignment="1">
      <x:alignment wrapText="1"/>
    </x:xf>
    <x:xf numFmtId="0" fontId="9" fillId="15" borderId="1" xfId="0" applyNumberFormat="1" applyFont="1" applyFill="1" applyBorder="1" applyAlignment="1">
      <x:alignment horizontal="center" wrapText="1"/>
    </x:xf>
    <x:xf numFmtId="0" fontId="9" fillId="1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22"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color rgb="FF60747E"/>
      </x:font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8A5A00"/>
      </x:font>
      <x:fill>
        <x:patternFill patternType="solid">
          <x:bgColor rgb="FFFFF0C2"/>
        </x:patternFill>
      </x:fill>
    </x:dxf>
    <x:dxf>
      <x:font>
        <x:b/>
        <x:color rgb="FFA1242F"/>
      </x:font>
      <x:fill>
        <x:patternFill patternType="solid">
          <x:bgColor rgb="FFFDE2E4"/>
        </x:patternFill>
      </x:fill>
    </x:dxf>
    <x:dxf>
      <x:font>
        <x:b/>
        <x:color rgb="FF17643C"/>
      </x:font>
      <x:fill>
        <x:patternFill patternType="solid">
          <x:bgColor rgb="FFD9F2E5"/>
        </x:patternFill>
      </x:fill>
    </x:dxf>
    <x:dxf>
      <x:font>
        <x:color rgb="FF17643C"/>
      </x:font>
      <x:fill>
        <x:patternFill patternType="solid">
          <x:bgColor rgb="FFD9F2E5"/>
        </x:patternFill>
      </x:fill>
    </x:dxf>
    <x:dxf>
      <x:font>
        <x:color rgb="FF8A5A00"/>
      </x:font>
      <x:fill>
        <x:patternFill patternType="solid">
          <x:bgColor rgb="FFFFF0C2"/>
        </x:patternFill>
      </x:fill>
    </x:dxf>
    <x:dxf>
      <x:font>
        <x:color rgb="FFA1242F"/>
      </x:font>
      <x:fill>
        <x:patternFill patternType="solid">
          <x:bgColor rgb="FFFDE2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fa9e3dc07e4bc0" /><Relationship Type="http://schemas.openxmlformats.org/officeDocument/2006/relationships/theme" Target="/xl/theme/theme1.xml" Id="R24710af8b6c04a42" /><Relationship Type="http://schemas.openxmlformats.org/officeDocument/2006/relationships/sharedStrings" Target="/xl/sharedStrings.xml" Id="R095e7286c5644fad" /><Relationship Type="http://schemas.openxmlformats.org/officeDocument/2006/relationships/worksheet" Target="/xl/worksheets/sheet1.xml" Id="Rfb56bb0efb7c4df8" /><Relationship Type="http://schemas.openxmlformats.org/officeDocument/2006/relationships/worksheet" Target="/xl/worksheets/sheet2.xml" Id="R54201a569f2f4700" /><Relationship Type="http://schemas.openxmlformats.org/officeDocument/2006/relationships/worksheet" Target="/xl/worksheets/sheet3.xml" Id="R692d2a40a30c4120" /><Relationship Type="http://schemas.openxmlformats.org/officeDocument/2006/relationships/worksheet" Target="/xl/worksheets/sheet4.xml" Id="Rbbfe0c94a1c94ba0" /><Relationship Type="http://schemas.openxmlformats.org/officeDocument/2006/relationships/worksheet" Target="/xl/worksheets/sheet5.xml" Id="R556542d55c0a4a97" /><Relationship Type="http://schemas.openxmlformats.org/officeDocument/2006/relationships/worksheet" Target="/xl/worksheets/sheet6.xml" Id="R6ab9218dc4014e11" /><Relationship Type="http://schemas.openxmlformats.org/officeDocument/2006/relationships/worksheet" Target="/xl/worksheets/sheet7.xml" Id="R13315eee9aac4666" /><Relationship Type="http://schemas.openxmlformats.org/officeDocument/2006/relationships/worksheet" Target="/xl/worksheets/sheet8.xml" Id="R5128331186e74e4d" /><Relationship Type="http://schemas.openxmlformats.org/officeDocument/2006/relationships/worksheet" Target="/xl/worksheets/sheet9.xml" Id="Rc2011c58783a49b5" /><Relationship Type="http://schemas.openxmlformats.org/officeDocument/2006/relationships/worksheet" Target="/xl/worksheets/sheet10.xml" Id="R1eaafc2ef02c40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844be6393e46bc" /><Relationship Type="http://schemas.openxmlformats.org/officeDocument/2006/relationships/chart" Target="/xl/drawings/charts/chart2.xml" Id="Ra7d5718b64ed4a1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每波息壤收益曲线（每位玩家）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ser>
          <c:idx val="0"/>
          <c:order val="0"/>
          <c:tx>
            <c:v>基础息壤/玩家</c:v>
          </c:tx>
          <c:marker>
            <c:symbol val="none"/>
          </c:marker>
          <c:cat>
            <c:strRef>
              <c:f>'总览'!$A$35:$A$50</c:f>
              <c:strCache>
                <c:ptCount val="0"/>
              </c:strCache>
            </c:strRef>
          </c:cat>
          <c:val>
            <c:numRef>
              <c:f>'总览'!$B$35:$B$50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情景息壤/玩家</c:v>
          </c:tx>
          <c:marker>
            <c:symbol val="none"/>
          </c:marker>
          <c:cat>
            <c:strRef>
              <c:f>'总览'!$A$35:$A$50</c:f>
              <c:strCache>
                <c:ptCount val="0"/>
              </c:strCache>
            </c:strRef>
          </c:cat>
          <c:val>
            <c:numRef>
              <c:f>'总览'!$C$35:$C$50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每波总生命压力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生命池</c:v>
          </c:tx>
          <c:cat>
            <c:strRef>
              <c:f>'总览'!$A$54:$A$69</c:f>
              <c:strCache>
                <c:ptCount val="0"/>
              </c:strCache>
            </c:strRef>
          </c:cat>
          <c:val>
            <c:numRef>
              <c:f>'总览'!$B$54:$B$69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33</xdr:row>
      <xdr:rowOff>0</xdr:rowOff>
    </xdr:from>
    <xdr:to>
      <xdr:col>14</xdr:col>
      <xdr:colOff>0</xdr:colOff>
      <xdr:row>50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844be6393e46bc"/>
        </a:graphicData>
      </a:graphic>
    </xdr:graphicFrame>
    <xdr:clientData/>
  </xdr:twoCellAnchor>
  <xdr:twoCellAnchor>
    <xdr:from>
      <xdr:col>3</xdr:col>
      <xdr:colOff>0</xdr:colOff>
      <xdr:row>52</xdr:row>
      <xdr:rowOff>0</xdr:rowOff>
    </xdr:from>
    <xdr:to>
      <xdr:col>14</xdr:col>
      <xdr:colOff>0</xdr:colOff>
      <xdr:row>69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d5718b64ed4a1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50a7f83f85944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8" customHeight="1">
      <x:c r="A1" s="3" t="str">
        <x:v>塔防模式｜16 波智能设计器</x:v>
      </x:c>
      <x:c r="B1" s="3" t="str">
        <x:v>塔防模式｜16 波智能设计器</x:v>
      </x:c>
      <x:c r="C1" s="3" t="str">
        <x:v>塔防模式｜16 波智能设计器</x:v>
      </x:c>
      <x:c r="D1" s="3" t="str">
        <x:v>塔防模式｜16 波智能设计器</x:v>
      </x:c>
      <x:c r="E1" s="3" t="str">
        <x:v>塔防模式｜16 波智能设计器</x:v>
      </x:c>
      <x:c r="F1" s="3" t="str">
        <x:v>塔防模式｜16 波智能设计器</x:v>
      </x:c>
      <x:c r="G1" s="3" t="str">
        <x:v>塔防模式｜16 波智能设计器</x:v>
      </x:c>
      <x:c r="H1" s="3" t="str">
        <x:v>塔防模式｜16 波智能设计器</x:v>
      </x:c>
    </x:row>
    <x:row r="2" ht="34" customHeight="1">
      <x:c r="A2" s="30" t="str">
        <x:v>现有第 1～12 波已完整导入；第 13～16 波保留为空白，等待你设计第四日。</x:v>
      </x:c>
      <x:c r="B2" s="30" t="str">
        <x:v>现有第 1～12 波已完整导入；第 13～16 波保留为空白，等待你设计第四日。</x:v>
      </x:c>
      <x:c r="C2" s="30" t="str">
        <x:v>现有第 1～12 波已完整导入；第 13～16 波保留为空白，等待你设计第四日。</x:v>
      </x:c>
      <x:c r="D2" s="30" t="str">
        <x:v>现有第 1～12 波已完整导入；第 13～16 波保留为空白，等待你设计第四日。</x:v>
      </x:c>
      <x:c r="E2" s="30" t="str">
        <x:v>现有第 1～12 波已完整导入；第 13～16 波保留为空白，等待你设计第四日。</x:v>
      </x:c>
      <x:c r="F2" s="30" t="str">
        <x:v>现有第 1～12 波已完整导入；第 13～16 波保留为空白，等待你设计第四日。</x:v>
      </x:c>
      <x:c r="G2" s="30" t="str">
        <x:v>现有第 1～12 波已完整导入；第 13～16 波保留为空白，等待你设计第四日。</x:v>
      </x:c>
      <x:c r="H2" s="30" t="str">
        <x:v>现有第 1～12 波已完整导入；第 13～16 波保留为空白，等待你设计第四日。</x:v>
      </x:c>
    </x:row>
    <x:row r="3">
      <x:c r="A3" s="31"/>
      <x:c r="B3" s="31"/>
      <x:c r="C3" s="31"/>
      <x:c r="D3" s="31"/>
      <x:c r="E3" s="31"/>
      <x:c r="F3" s="31"/>
      <x:c r="G3" s="31"/>
      <x:c r="H3" s="31"/>
    </x:row>
    <x:row r="4">
      <x:c r="A4" s="9" t="str">
        <x:v>建议工作流</x:v>
      </x:c>
      <x:c r="B4" s="9" t="str">
        <x:v>建议工作流</x:v>
      </x:c>
      <x:c r="C4" s="9" t="str">
        <x:v>建议工作流</x:v>
      </x:c>
      <x:c r="D4" s="9" t="str">
        <x:v>建议工作流</x:v>
      </x:c>
      <x:c r="E4" s="9" t="str">
        <x:v>建议工作流</x:v>
      </x:c>
      <x:c r="F4" s="9" t="str">
        <x:v>建议工作流</x:v>
      </x:c>
      <x:c r="G4" s="9" t="str">
        <x:v>建议工作流</x:v>
      </x:c>
      <x:c r="H4" s="9" t="str">
        <x:v>建议工作流</x:v>
      </x:c>
    </x:row>
    <x:row r="5" ht="30" customHeight="1">
      <x:c r="A5" s="16" t="str">
        <x:v>1</x:v>
      </x:c>
      <x:c r="B5" s="17" t="str">
        <x:v>先到“全局设置”选择模拟玩家数、击杀率和每日息壤倍率。</x:v>
      </x:c>
      <x:c r="C5" s="31"/>
      <x:c r="D5" s="31"/>
      <x:c r="E5" s="31"/>
      <x:c r="F5" s="31"/>
      <x:c r="G5" s="31"/>
      <x:c r="H5" s="31"/>
    </x:row>
    <x:row r="6" ht="30" customHeight="1">
      <x:c r="A6" s="16" t="str">
        <x:v>2</x:v>
      </x:c>
      <x:c r="B6" s="17" t="str">
        <x:v>在“第1日”至“第4日”逐波选择敌人；蓝色单元格均可编辑，下拉项同时携带稳定 ID。</x:v>
      </x:c>
      <x:c r="C6" s="31"/>
      <x:c r="D6" s="31"/>
      <x:c r="E6" s="31"/>
      <x:c r="F6" s="31"/>
      <x:c r="G6" s="31"/>
      <x:c r="H6" s="31"/>
    </x:row>
    <x:row r="7" ht="30" customHeight="1">
      <x:c r="A7" s="16" t="str">
        <x:v>3</x:v>
      </x:c>
      <x:c r="B7" s="17" t="str">
        <x:v>可在“敌人目录”统一调整塔防计划默认息壤，也可在某一波单独覆盖。</x:v>
      </x:c>
      <x:c r="C7" s="31"/>
      <x:c r="D7" s="31"/>
      <x:c r="E7" s="31"/>
      <x:c r="F7" s="31"/>
      <x:c r="G7" s="31"/>
      <x:c r="H7" s="31"/>
    </x:row>
    <x:row r="8" ht="30" customHeight="1">
      <x:c r="A8" s="16" t="str">
        <x:v>4</x:v>
      </x:c>
      <x:c r="B8" s="17" t="str">
        <x:v>到“总览”检查 16 波数量、生命池、Home 风险、息壤与掉落期望；所有波次须显示“可导入”。</x:v>
      </x:c>
      <x:c r="C8" s="31"/>
      <x:c r="D8" s="31"/>
      <x:c r="E8" s="31"/>
      <x:c r="F8" s="31"/>
      <x:c r="G8" s="31"/>
      <x:c r="H8" s="31"/>
    </x:row>
    <x:row r="9" ht="30" customHeight="1">
      <x:c r="A9" s="16" t="str">
        <x:v>5</x:v>
      </x:c>
      <x:c r="B9" s="17" t="str">
        <x:v>设计完成后把此工作簿交回 Codex；它会重新校验输入并生成正式 Godot 资源，再由第16波连接铃兰 Boss。</x:v>
      </x:c>
      <x:c r="C9" s="31"/>
      <x:c r="D9" s="31"/>
      <x:c r="E9" s="31"/>
      <x:c r="F9" s="31"/>
      <x:c r="G9" s="31"/>
      <x:c r="H9" s="31"/>
    </x:row>
    <x:row r="10" ht="30" customHeight="1">
      <x:c r="A10" s="31"/>
      <x:c r="B10" s="31"/>
      <x:c r="C10" s="31"/>
      <x:c r="D10" s="31"/>
      <x:c r="E10" s="31"/>
      <x:c r="F10" s="31"/>
      <x:c r="G10" s="31"/>
      <x:c r="H10" s="31"/>
    </x:row>
    <x:row r="11" ht="30" customHeight="1">
      <x:c r="A11" s="9" t="str">
        <x:v>颜色与输入规则</x:v>
      </x:c>
      <x:c r="B11" s="9" t="str">
        <x:v>颜色与输入规则</x:v>
      </x:c>
      <x:c r="C11" s="9" t="str">
        <x:v>颜色与输入规则</x:v>
      </x:c>
      <x:c r="D11" s="9" t="str">
        <x:v>颜色与输入规则</x:v>
      </x:c>
      <x:c r="E11" s="9" t="str">
        <x:v>颜色与输入规则</x:v>
      </x:c>
      <x:c r="F11" s="9" t="str">
        <x:v>颜色与输入规则</x:v>
      </x:c>
      <x:c r="G11" s="9" t="str">
        <x:v>颜色与输入规则</x:v>
      </x:c>
      <x:c r="H11" s="9" t="str">
        <x:v>颜色与输入规则</x:v>
      </x:c>
    </x:row>
    <x:row r="12" ht="30" customHeight="1">
      <x:c r="A12" s="18" t="str">
        <x:v>浅蓝</x:v>
      </x:c>
      <x:c r="B12" s="13" t="str">
        <x:v>策划输入：可直接编辑或从下拉列表选择</x:v>
      </x:c>
      <x:c r="C12" s="31"/>
      <x:c r="D12" s="31"/>
      <x:c r="E12" s="31"/>
      <x:c r="F12" s="31"/>
      <x:c r="G12" s="31"/>
      <x:c r="H12" s="31"/>
    </x:row>
    <x:row r="13" ht="30" customHeight="1">
      <x:c r="A13" s="19" t="str">
        <x:v>浅灰</x:v>
      </x:c>
      <x:c r="B13" s="13" t="str">
        <x:v>自动公式：请勿手工覆盖</x:v>
      </x:c>
      <x:c r="C13" s="31"/>
      <x:c r="D13" s="31"/>
      <x:c r="E13" s="31"/>
      <x:c r="F13" s="31"/>
      <x:c r="G13" s="31"/>
      <x:c r="H13" s="31"/>
    </x:row>
    <x:row r="14" ht="30" customHeight="1">
      <x:c r="A14" s="20" t="str">
        <x:v>浅黄</x:v>
      </x:c>
      <x:c r="B14" s="13" t="str">
        <x:v>待设计、与当前游戏默认值不同，或需要留意</x:v>
      </x:c>
      <x:c r="C14" s="31"/>
      <x:c r="D14" s="31"/>
      <x:c r="E14" s="31"/>
      <x:c r="F14" s="31"/>
      <x:c r="G14" s="31"/>
      <x:c r="H14" s="31"/>
    </x:row>
    <x:row r="15" ht="30" customHeight="1">
      <x:c r="A15" s="21" t="str">
        <x:v>浅红</x:v>
      </x:c>
      <x:c r="B15" s="13" t="str">
        <x:v>无法导入：缺少敌人/数量、重复敌人或数值越界</x:v>
      </x:c>
      <x:c r="C15" s="31"/>
      <x:c r="D15" s="31"/>
      <x:c r="E15" s="31"/>
      <x:c r="F15" s="31"/>
      <x:c r="G15" s="31"/>
      <x:c r="H15" s="31"/>
    </x:row>
    <x:row r="16" ht="30" customHeight="1">
      <x:c r="A16" s="31"/>
      <x:c r="B16" s="31"/>
      <x:c r="C16" s="31"/>
      <x:c r="D16" s="31"/>
      <x:c r="E16" s="31"/>
      <x:c r="F16" s="31"/>
      <x:c r="G16" s="31"/>
      <x:c r="H16" s="31"/>
    </x:row>
    <x:row r="17" ht="30" customHeight="1">
      <x:c r="A17" s="24" t="str">
        <x:v>计算口径（与当前游戏一致）</x:v>
      </x:c>
      <x:c r="B17" s="24" t="str">
        <x:v>计算口径（与当前游戏一致）</x:v>
      </x:c>
      <x:c r="C17" s="24" t="str">
        <x:v>计算口径（与当前游戏一致）</x:v>
      </x:c>
      <x:c r="D17" s="24" t="str">
        <x:v>计算口径（与当前游戏一致）</x:v>
      </x:c>
      <x:c r="E17" s="24" t="str">
        <x:v>计算口径（与当前游戏一致）</x:v>
      </x:c>
      <x:c r="F17" s="24" t="str">
        <x:v>计算口径（与当前游戏一致）</x:v>
      </x:c>
      <x:c r="G17" s="24" t="str">
        <x:v>计算口径（与当前游戏一致）</x:v>
      </x:c>
      <x:c r="H17" s="24" t="str">
        <x:v>计算口径（与当前游戏一致）</x:v>
      </x:c>
    </x:row>
    <x:row r="18" ht="30" customHeight="1">
      <x:c r="A18" s="26" t="str">
        <x:v>多人数量</x:v>
      </x:c>
      <x:c r="B18" s="17" t="str">
        <x:v>每条敌人分别 ROUNDUP(基础数量 × [1 + (玩家数-1) × 25%], 0)。</x:v>
      </x:c>
      <x:c r="C18" s="31"/>
      <x:c r="D18" s="31"/>
      <x:c r="E18" s="31"/>
      <x:c r="F18" s="31"/>
      <x:c r="G18" s="31"/>
      <x:c r="H18" s="31"/>
    </x:row>
    <x:row r="19" ht="30" customHeight="1">
      <x:c r="A19" s="26" t="str">
        <x:v>击杀息壤</x:v>
      </x:c>
      <x:c r="B19" s="17" t="str">
        <x:v>每位玩家各得整份，不在队伍内分摊；漏进 Home 的敌人不发击杀息壤。</x:v>
      </x:c>
      <x:c r="C19" s="31"/>
      <x:c r="D19" s="31"/>
      <x:c r="E19" s="31"/>
      <x:c r="F19" s="31"/>
      <x:c r="G19" s="31"/>
      <x:c r="H19" s="31"/>
    </x:row>
    <x:row r="20" ht="30" customHeight="1">
      <x:c r="A20" s="26" t="str">
        <x:v>命运倍率</x:v>
      </x:c>
      <x:c r="B20" s="17" t="str">
        <x:v>作为每日情景倍率单独计算，不改写基础收益；默认均为 1，可选择 2。</x:v>
      </x:c>
      <x:c r="C20" s="31"/>
      <x:c r="D20" s="31"/>
      <x:c r="E20" s="31"/>
      <x:c r="F20" s="31"/>
      <x:c r="G20" s="31"/>
      <x:c r="H20" s="31"/>
    </x:row>
    <x:row r="21" ht="30" customHeight="1">
      <x:c r="A21" s="26" t="str">
        <x:v>掉落</x:v>
      </x:c>
      <x:c r="B21" s="17" t="str">
        <x:v>材料与 Buff 均为独立概率；表格显示数学期望，不代表每局必得。</x:v>
      </x:c>
      <x:c r="C21" s="31"/>
      <x:c r="D21" s="31"/>
      <x:c r="E21" s="31"/>
      <x:c r="F21" s="31"/>
      <x:c r="G21" s="31"/>
      <x:c r="H21" s="31"/>
    </x:row>
    <x:row r="22" ht="30" customHeight="1">
      <x:c r="A22" s="26" t="str">
        <x:v>刷怪时间</x:v>
      </x:c>
      <x:c r="B22" s="17" t="str">
        <x:v>按首批立即生成计算理论最短时间；存活上限或战斗堵塞会令实战更久。</x:v>
      </x:c>
      <x:c r="C22" s="31"/>
      <x:c r="D22" s="31"/>
      <x:c r="E22" s="31"/>
      <x:c r="F22" s="31"/>
      <x:c r="G22" s="31"/>
      <x:c r="H22" s="31"/>
    </x:row>
    <x:row r="23" ht="30" customHeight="1">
      <x:c r="A23" s="26" t="str">
        <x:v>出场顺序</x:v>
      </x:c>
      <x:c r="B23" s="17" t="str">
        <x:v>游戏会将整波生成队列随机打乱；本表精确设计组成与节奏，但不承诺固定先后顺序。</x:v>
      </x:c>
      <x:c r="C23" s="31"/>
      <x:c r="D23" s="31"/>
      <x:c r="E23" s="31"/>
      <x:c r="F23" s="31"/>
      <x:c r="G23" s="31"/>
      <x:c r="H23" s="31"/>
    </x:row>
    <x:row r="24" ht="30" customHeight="1">
      <x:c r="A24" s="26" t="str">
        <x:v>Boss</x:v>
      </x:c>
      <x:c r="B24" s="17" t="str">
        <x:v>铃兰保留为独立 Boss 流程，不会出现在普通波次敌人下拉列表。</x:v>
      </x:c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 ht="34" customHeight="1">
      <x:c r="A26" s="32" t="str">
        <x:v>请勿直接编辑“导入数据（勿改）”和“系统数据（勿改）”；它们是稳定 ID 与回读契约。</x:v>
      </x:c>
      <x:c r="B26" s="32" t="str">
        <x:v>请勿直接编辑“导入数据（勿改）”和“系统数据（勿改）”；它们是稳定 ID 与回读契约。</x:v>
      </x:c>
      <x:c r="C26" s="32" t="str">
        <x:v>请勿直接编辑“导入数据（勿改）”和“系统数据（勿改）”；它们是稳定 ID 与回读契约。</x:v>
      </x:c>
      <x:c r="D26" s="32" t="str">
        <x:v>请勿直接编辑“导入数据（勿改）”和“系统数据（勿改）”；它们是稳定 ID 与回读契约。</x:v>
      </x:c>
      <x:c r="E26" s="32" t="str">
        <x:v>请勿直接编辑“导入数据（勿改）”和“系统数据（勿改）”；它们是稳定 ID 与回读契约。</x:v>
      </x:c>
      <x:c r="F26" s="32" t="str">
        <x:v>请勿直接编辑“导入数据（勿改）”和“系统数据（勿改）”；它们是稳定 ID 与回读契约。</x:v>
      </x:c>
      <x:c r="G26" s="32" t="str">
        <x:v>请勿直接编辑“导入数据（勿改）”和“系统数据（勿改）”；它们是稳定 ID 与回读契约。</x:v>
      </x:c>
      <x:c r="H26" s="32" t="str">
        <x:v>请勿直接编辑“导入数据（勿改）”和“系统数据（勿改）”；它们是稳定 ID 与回读契约。</x:v>
      </x:c>
    </x:row>
  </x:sheetData>
  <x:mergeCells>
    <x:mergeCell ref="A1:H1"/>
    <x:mergeCell ref="A2:H2"/>
    <x:mergeCell ref="A4:H4"/>
    <x:mergeCell ref="A11:H11"/>
    <x:mergeCell ref="A17:H17"/>
    <x:mergeCell ref="A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28" hidden="0" customWidth="1"/>
    <x:col min="5" max="5" width="12" hidden="0" customWidth="1"/>
    <x:col min="6" max="6" width="11" hidden="0" customWidth="1"/>
    <x:col min="7" max="7" width="11" hidden="0" customWidth="1"/>
    <x:col min="8" max="8" width="9" hidden="0" customWidth="1"/>
    <x:col min="9" max="9" width="13" hidden="0" customWidth="1"/>
    <x:col min="10" max="10" width="15" hidden="0" customWidth="1"/>
    <x:col min="11" max="11" width="15" hidden="0" customWidth="1"/>
    <x:col min="12" max="12" width="15" hidden="0" customWidth="1"/>
    <x:col min="13" max="13" width="13" hidden="0" customWidth="1"/>
    <x:col min="14" max="14" width="15" hidden="0" customWidth="1"/>
    <x:col min="15" max="15" width="14" hidden="0" customWidth="1"/>
    <x:col min="16" max="16" width="11" hidden="0" customWidth="1"/>
  </x:cols>
  <x:sheetData>
    <x:row r="1" ht="38" customHeight="1">
      <x:c r="A1" s="3" t="str">
        <x:v>塔防模式｜16 波平衡总览</x:v>
      </x:c>
      <x:c r="B1" s="3" t="str">
        <x:v>塔防模式｜16 波平衡总览</x:v>
      </x:c>
      <x:c r="C1" s="3" t="str">
        <x:v>塔防模式｜16 波平衡总览</x:v>
      </x:c>
      <x:c r="D1" s="3" t="str">
        <x:v>塔防模式｜16 波平衡总览</x:v>
      </x:c>
      <x:c r="E1" s="3" t="str">
        <x:v>塔防模式｜16 波平衡总览</x:v>
      </x:c>
      <x:c r="F1" s="3" t="str">
        <x:v>塔防模式｜16 波平衡总览</x:v>
      </x:c>
      <x:c r="G1" s="3" t="str">
        <x:v>塔防模式｜16 波平衡总览</x:v>
      </x:c>
      <x:c r="H1" s="3" t="str">
        <x:v>塔防模式｜16 波平衡总览</x:v>
      </x:c>
      <x:c r="I1" s="3" t="str">
        <x:v>塔防模式｜16 波平衡总览</x:v>
      </x:c>
      <x:c r="J1" s="3" t="str">
        <x:v>塔防模式｜16 波平衡总览</x:v>
      </x:c>
      <x:c r="K1" s="3" t="str">
        <x:v>塔防模式｜16 波平衡总览</x:v>
      </x:c>
      <x:c r="L1" s="3" t="str">
        <x:v>塔防模式｜16 波平衡总览</x:v>
      </x:c>
      <x:c r="M1" s="3" t="str">
        <x:v>塔防模式｜16 波平衡总览</x:v>
      </x:c>
      <x:c r="N1" s="3" t="str">
        <x:v>塔防模式｜16 波平衡总览</x:v>
      </x:c>
      <x:c r="O1" s="3" t="str">
        <x:v>塔防模式｜16 波平衡总览</x:v>
      </x:c>
      <x:c r="P1" s="3" t="str">
        <x:v>塔防模式｜16 波平衡总览</x:v>
      </x:c>
    </x:row>
    <x:row r="2" ht="22" customHeight="1">
      <x:c r="A2" s="56" t="str">
        <x:v>所有指标均由四个日编辑页实时汇总。第13～16波未填写时会明确显示“待设计”。</x:v>
      </x:c>
      <x:c r="B2" s="56" t="str">
        <x:v>所有指标均由四个日编辑页实时汇总。第13～16波未填写时会明确显示“待设计”。</x:v>
      </x:c>
      <x:c r="C2" s="56" t="str">
        <x:v>所有指标均由四个日编辑页实时汇总。第13～16波未填写时会明确显示“待设计”。</x:v>
      </x:c>
      <x:c r="D2" s="56" t="str">
        <x:v>所有指标均由四个日编辑页实时汇总。第13～16波未填写时会明确显示“待设计”。</x:v>
      </x:c>
      <x:c r="E2" s="56" t="str">
        <x:v>所有指标均由四个日编辑页实时汇总。第13～16波未填写时会明确显示“待设计”。</x:v>
      </x:c>
      <x:c r="F2" s="56" t="str">
        <x:v>所有指标均由四个日编辑页实时汇总。第13～16波未填写时会明确显示“待设计”。</x:v>
      </x:c>
      <x:c r="G2" s="56" t="str">
        <x:v>所有指标均由四个日编辑页实时汇总。第13～16波未填写时会明确显示“待设计”。</x:v>
      </x:c>
      <x:c r="H2" s="56" t="str">
        <x:v>所有指标均由四个日编辑页实时汇总。第13～16波未填写时会明确显示“待设计”。</x:v>
      </x:c>
      <x:c r="I2" s="56" t="str">
        <x:v>所有指标均由四个日编辑页实时汇总。第13～16波未填写时会明确显示“待设计”。</x:v>
      </x:c>
      <x:c r="J2" s="56" t="str">
        <x:v>所有指标均由四个日编辑页实时汇总。第13～16波未填写时会明确显示“待设计”。</x:v>
      </x:c>
      <x:c r="K2" s="56" t="str">
        <x:v>所有指标均由四个日编辑页实时汇总。第13～16波未填写时会明确显示“待设计”。</x:v>
      </x:c>
      <x:c r="L2" s="56" t="str">
        <x:v>所有指标均由四个日编辑页实时汇总。第13～16波未填写时会明确显示“待设计”。</x:v>
      </x:c>
      <x:c r="M2" s="56" t="str">
        <x:v>所有指标均由四个日编辑页实时汇总。第13～16波未填写时会明确显示“待设计”。</x:v>
      </x:c>
      <x:c r="N2" s="56" t="str">
        <x:v>所有指标均由四个日编辑页实时汇总。第13～16波未填写时会明确显示“待设计”。</x:v>
      </x:c>
      <x:c r="O2" s="56" t="str">
        <x:v>所有指标均由四个日编辑页实时汇总。第13～16波未填写时会明确显示“待设计”。</x:v>
      </x:c>
      <x:c r="P2" s="56" t="str">
        <x:v>所有指标均由四个日编辑页实时汇总。第13～16波未填写时会明确显示“待设计”。</x:v>
      </x:c>
    </x:row>
    <x:row r="3" ht="22" customHeight="1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</x:row>
    <x:row r="4" ht="22" customHeight="1">
      <x:c r="A4" s="40" t="str">
        <x:v>可导入波次</x:v>
      </x:c>
      <x:c r="B4" s="90" t="str">
        <x:f>COUNTIF(E9:E24,"可导入")&amp;" / 16"</x:f>
        <x:v>12 / 16</x:v>
      </x:c>
      <x:c r="C4" s="90" t="str"/>
      <x:c r="D4" s="88" t="str">
        <x:v>基础敌人数</x:v>
      </x:c>
      <x:c r="E4" s="90" t="n">
        <x:f>SUM(F9:F24)</x:f>
        <x:v>1268</x:v>
      </x:c>
      <x:c r="F4" s="90" t="str"/>
      <x:c r="G4" s="88" t="str">
        <x:v>情景息壤/玩家</x:v>
      </x:c>
      <x:c r="H4" s="90" t="n">
        <x:f>SUM(K9:K24)</x:f>
        <x:v>2125</x:v>
      </x:c>
      <x:c r="I4" s="90" t="str"/>
      <x:c r="J4" s="88" t="str">
        <x:v>情景息壤/队伍</x:v>
      </x:c>
      <x:c r="K4" s="90" t="n">
        <x:f>SUM(L9:L24)</x:f>
        <x:v>2125</x:v>
      </x:c>
      <x:c r="L4" s="90" t="str"/>
      <x:c r="M4" s="88" t="str">
        <x:v>掉落期望</x:v>
      </x:c>
      <x:c r="N4" s="92" t="n">
        <x:f>SUM(M9:M24)</x:f>
        <x:v>64.57000000000001</x:v>
      </x:c>
      <x:c r="O4" s="92" t="str"/>
      <x:c r="P4" s="92" t="str"/>
    </x:row>
    <x:row r="5" ht="22" customHeight="1">
      <x:c r="A5" s="31"/>
      <x:c r="B5" s="90" t="str"/>
      <x:c r="C5" s="90" t="str"/>
      <x:c r="D5" s="31"/>
      <x:c r="E5" s="90" t="str"/>
      <x:c r="F5" s="90" t="str"/>
      <x:c r="G5" s="31"/>
      <x:c r="H5" s="90" t="str"/>
      <x:c r="I5" s="90" t="str"/>
      <x:c r="J5" s="31"/>
      <x:c r="K5" s="90" t="str"/>
      <x:c r="L5" s="90" t="str"/>
      <x:c r="M5" s="31"/>
      <x:c r="N5" s="92" t="str"/>
      <x:c r="O5" s="92" t="str"/>
      <x:c r="P5" s="92" t="str"/>
    </x:row>
    <x:row r="6" ht="22" customHeight="1">
      <x:c r="A6" s="31"/>
      <x:c r="B6" s="31"/>
      <x:c r="C6" s="31"/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</x:row>
    <x:row r="7" ht="22" customHeight="1">
      <x:c r="A7" s="31"/>
      <x:c r="B7" s="31"/>
      <x:c r="C7" s="31"/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</x:row>
    <x:row r="8" ht="22" customHeight="1">
      <x:c r="A8" s="63" t="str">
        <x:v>波次</x:v>
      </x:c>
      <x:c r="B8" s="63" t="str">
        <x:v>日</x:v>
      </x:c>
      <x:c r="C8" s="63" t="str">
        <x:v>时段</x:v>
      </x:c>
      <x:c r="D8" s="63" t="str">
        <x:v>名称</x:v>
      </x:c>
      <x:c r="E8" s="63" t="str">
        <x:v>状态</x:v>
      </x:c>
      <x:c r="F8" s="63" t="str">
        <x:v>基础数量</x:v>
      </x:c>
      <x:c r="G8" s="63" t="str">
        <x:v>实际数量</x:v>
      </x:c>
      <x:c r="H8" s="63" t="str">
        <x:v>种类</x:v>
      </x:c>
      <x:c r="I8" s="63" t="str">
        <x:v>生命池</x:v>
      </x:c>
      <x:c r="J8" s="63" t="str">
        <x:v>基础息壤/玩家</x:v>
      </x:c>
      <x:c r="K8" s="63" t="str">
        <x:v>情景息壤/玩家</x:v>
      </x:c>
      <x:c r="L8" s="63" t="str">
        <x:v>情景息壤/队伍</x:v>
      </x:c>
      <x:c r="M8" s="63" t="str">
        <x:v>掉落期望</x:v>
      </x:c>
      <x:c r="N8" s="63" t="str">
        <x:v>全漏Home伤害</x:v>
      </x:c>
      <x:c r="O8" s="63" t="str">
        <x:v>最短刷完(s)</x:v>
      </x:c>
      <x:c r="P8" s="63" t="str">
        <x:v>存活上限</x:v>
      </x:c>
    </x:row>
    <x:row r="9" ht="22" customHeight="1">
      <x:c r="A9" s="13" t="str">
        <x:v>第1波</x:v>
      </x:c>
      <x:c r="B9" s="13" t="n">
        <x:v>1</x:v>
      </x:c>
      <x:c r="C9" s="13" t="str">
        <x:v>白昼</x:v>
      </x:c>
      <x:c r="D9" s="19" t="str">
        <x:f>'第1日'!$B$3</x:f>
        <x:v>第1波 林地试探</x:v>
      </x:c>
      <x:c r="E9" s="19" t="str">
        <x:f>'第1日'!$N$3</x:f>
        <x:v>可导入</x:v>
      </x:c>
      <x:c r="F9" s="19" t="n">
        <x:f>'第1日'!$B$26</x:f>
        <x:v>24</x:v>
      </x:c>
      <x:c r="G9" s="19" t="n">
        <x:f>'第1日'!$D$26</x:f>
        <x:v>24</x:v>
      </x:c>
      <x:c r="H9" s="19" t="n">
        <x:f>'第1日'!$F$26</x:f>
        <x:v>2</x:v>
      </x:c>
      <x:c r="I9" s="19" t="n">
        <x:f>'第1日'!$H$26</x:f>
        <x:v>1560</x:v>
      </x:c>
      <x:c r="J9" s="19" t="n">
        <x:f>'第1日'!$J$26</x:f>
        <x:v>30</x:v>
      </x:c>
      <x:c r="K9" s="19" t="n">
        <x:f>'第1日'!$L$26</x:f>
        <x:v>30</x:v>
      </x:c>
      <x:c r="L9" s="19" t="n">
        <x:f>'第1日'!$N$26</x:f>
        <x:v>30</x:v>
      </x:c>
      <x:c r="M9" s="73" t="n">
        <x:f>'第1日'!$P$26</x:f>
        <x:v>1.2000000000000002</x:v>
      </x:c>
      <x:c r="N9" s="19" t="n">
        <x:f>'第1日'!$R$26</x:f>
        <x:v>30</x:v>
      </x:c>
      <x:c r="O9" s="73" t="n">
        <x:f>'第1日'!$T$26</x:f>
        <x:v>18.400000000000002</x:v>
      </x:c>
      <x:c r="P9" s="19" t="n">
        <x:f>'第1日'!$L$3</x:f>
        <x:v>24</x:v>
      </x:c>
    </x:row>
    <x:row r="10" ht="22" customHeight="1">
      <x:c r="A10" s="13" t="str">
        <x:v>第2波</x:v>
      </x:c>
      <x:c r="B10" s="13" t="n">
        <x:v>1</x:v>
      </x:c>
      <x:c r="C10" s="13" t="str">
        <x:v>白昼</x:v>
      </x:c>
      <x:c r="D10" s="19" t="str">
        <x:f>'第1日'!$B$32</x:f>
        <x:v>第2波 迅影与硬壳</x:v>
      </x:c>
      <x:c r="E10" s="19" t="str">
        <x:f>'第1日'!$N$32</x:f>
        <x:v>可导入</x:v>
      </x:c>
      <x:c r="F10" s="19" t="n">
        <x:f>'第1日'!$B$55</x:f>
        <x:v>36</x:v>
      </x:c>
      <x:c r="G10" s="19" t="n">
        <x:f>'第1日'!$D$55</x:f>
        <x:v>36</x:v>
      </x:c>
      <x:c r="H10" s="19" t="n">
        <x:f>'第1日'!$F$55</x:f>
        <x:v>3</x:v>
      </x:c>
      <x:c r="I10" s="19" t="n">
        <x:f>'第1日'!$H$55</x:f>
        <x:v>2000</x:v>
      </x:c>
      <x:c r="J10" s="19" t="n">
        <x:f>'第1日'!$J$55</x:f>
        <x:v>42</x:v>
      </x:c>
      <x:c r="K10" s="19" t="n">
        <x:f>'第1日'!$L$55</x:f>
        <x:v>42</x:v>
      </x:c>
      <x:c r="L10" s="19" t="n">
        <x:f>'第1日'!$N$55</x:f>
        <x:v>42</x:v>
      </x:c>
      <x:c r="M10" s="73" t="n">
        <x:f>'第1日'!$P$55</x:f>
        <x:v>1.8</x:v>
      </x:c>
      <x:c r="N10" s="19" t="n">
        <x:f>'第1日'!$R$55</x:f>
        <x:v>42</x:v>
      </x:c>
      <x:c r="O10" s="73" t="n">
        <x:f>'第1日'!$T$55</x:f>
        <x:v>24.5</x:v>
      </x:c>
      <x:c r="P10" s="19" t="n">
        <x:f>'第1日'!$L$32</x:f>
        <x:v>32</x:v>
      </x:c>
    </x:row>
    <x:row r="11" ht="22" customHeight="1">
      <x:c r="A11" s="13" t="str">
        <x:v>第3波</x:v>
      </x:c>
      <x:c r="B11" s="13" t="n">
        <x:v>1</x:v>
      </x:c>
      <x:c r="C11" s="13" t="str">
        <x:v>夜晚</x:v>
      </x:c>
      <x:c r="D11" s="19" t="str">
        <x:f>'第1日'!$B$61</x:f>
        <x:v>第3波 火线初现</x:v>
      </x:c>
      <x:c r="E11" s="19" t="str">
        <x:f>'第1日'!$N$61</x:f>
        <x:v>可导入</x:v>
      </x:c>
      <x:c r="F11" s="19" t="n">
        <x:f>'第1日'!$B$84</x:f>
        <x:v>48</x:v>
      </x:c>
      <x:c r="G11" s="19" t="n">
        <x:f>'第1日'!$D$84</x:f>
        <x:v>48</x:v>
      </x:c>
      <x:c r="H11" s="19" t="n">
        <x:f>'第1日'!$F$84</x:f>
        <x:v>4</x:v>
      </x:c>
      <x:c r="I11" s="19" t="n">
        <x:f>'第1日'!$H$84</x:f>
        <x:v>1780</x:v>
      </x:c>
      <x:c r="J11" s="19" t="n">
        <x:f>'第1日'!$J$84</x:f>
        <x:v>48</x:v>
      </x:c>
      <x:c r="K11" s="19" t="n">
        <x:f>'第1日'!$L$84</x:f>
        <x:v>48</x:v>
      </x:c>
      <x:c r="L11" s="19" t="n">
        <x:f>'第1日'!$N$84</x:f>
        <x:v>48</x:v>
      </x:c>
      <x:c r="M11" s="73" t="n">
        <x:f>'第1日'!$P$84</x:f>
        <x:v>2.4000000000000004</x:v>
      </x:c>
      <x:c r="N11" s="19" t="n">
        <x:f>'第1日'!$R$84</x:f>
        <x:v>52</x:v>
      </x:c>
      <x:c r="O11" s="73" t="n">
        <x:f>'第1日'!$T$84</x:f>
        <x:v>28.2</x:v>
      </x:c>
      <x:c r="P11" s="19" t="n">
        <x:f>'第1日'!$L$61</x:f>
        <x:v>36</x:v>
      </x:c>
    </x:row>
    <x:row r="12" ht="22" customHeight="1">
      <x:c r="A12" s="13" t="str">
        <x:v>第4波</x:v>
      </x:c>
      <x:c r="B12" s="13" t="n">
        <x:v>1</x:v>
      </x:c>
      <x:c r="C12" s="13" t="str">
        <x:v>夜晚</x:v>
      </x:c>
      <x:c r="D12" s="19" t="str">
        <x:f>'第1日'!$B$90</x:f>
        <x:v>第4波 林地合围</x:v>
      </x:c>
      <x:c r="E12" s="19" t="str">
        <x:f>'第1日'!$N$90</x:f>
        <x:v>可导入</x:v>
      </x:c>
      <x:c r="F12" s="19" t="n">
        <x:f>'第1日'!$B$113</x:f>
        <x:v>64</x:v>
      </x:c>
      <x:c r="G12" s="19" t="n">
        <x:f>'第1日'!$D$113</x:f>
        <x:v>64</x:v>
      </x:c>
      <x:c r="H12" s="19" t="n">
        <x:f>'第1日'!$F$113</x:f>
        <x:v>5</x:v>
      </x:c>
      <x:c r="I12" s="19" t="n">
        <x:f>'第1日'!$H$113</x:f>
        <x:v>3600</x:v>
      </x:c>
      <x:c r="J12" s="19" t="n">
        <x:f>'第1日'!$J$113</x:f>
        <x:v>76</x:v>
      </x:c>
      <x:c r="K12" s="19" t="n">
        <x:f>'第1日'!$L$113</x:f>
        <x:v>76</x:v>
      </x:c>
      <x:c r="L12" s="19" t="n">
        <x:f>'第1日'!$N$113</x:f>
        <x:v>76</x:v>
      </x:c>
      <x:c r="M12" s="73" t="n">
        <x:f>'第1日'!$P$113</x:f>
        <x:v>3.2</x:v>
      </x:c>
      <x:c r="N12" s="19" t="n">
        <x:f>'第1日'!$R$113</x:f>
        <x:v>80</x:v>
      </x:c>
      <x:c r="O12" s="73" t="n">
        <x:f>'第1日'!$T$113</x:f>
        <x:v>31.5</x:v>
      </x:c>
      <x:c r="P12" s="19" t="n">
        <x:f>'第1日'!$L$90</x:f>
        <x:v>40</x:v>
      </x:c>
    </x:row>
    <x:row r="13" ht="22" customHeight="1">
      <x:c r="A13" s="13" t="str">
        <x:v>第5波</x:v>
      </x:c>
      <x:c r="B13" s="13" t="n">
        <x:v>2</x:v>
      </x:c>
      <x:c r="C13" s="13" t="str">
        <x:v>白昼</x:v>
      </x:c>
      <x:c r="D13" s="19" t="str">
        <x:f>'第2日'!$B$3</x:f>
        <x:v>第5波 沼泽先遣</x:v>
      </x:c>
      <x:c r="E13" s="19" t="str">
        <x:f>'第2日'!$N$3</x:f>
        <x:v>可导入</x:v>
      </x:c>
      <x:c r="F13" s="19" t="n">
        <x:f>'第2日'!$B$26</x:f>
        <x:v>80</x:v>
      </x:c>
      <x:c r="G13" s="19" t="n">
        <x:f>'第2日'!$D$26</x:f>
        <x:v>80</x:v>
      </x:c>
      <x:c r="H13" s="19" t="n">
        <x:f>'第2日'!$F$26</x:f>
        <x:v>6</x:v>
      </x:c>
      <x:c r="I13" s="19" t="n">
        <x:f>'第2日'!$H$26</x:f>
        <x:v>4660</x:v>
      </x:c>
      <x:c r="J13" s="19" t="n">
        <x:f>'第2日'!$J$26</x:f>
        <x:v>96</x:v>
      </x:c>
      <x:c r="K13" s="19" t="n">
        <x:f>'第2日'!$L$26</x:f>
        <x:v>96</x:v>
      </x:c>
      <x:c r="L13" s="19" t="n">
        <x:f>'第2日'!$N$26</x:f>
        <x:v>96</x:v>
      </x:c>
      <x:c r="M13" s="73" t="n">
        <x:f>'第2日'!$P$26</x:f>
        <x:v>4</x:v>
      </x:c>
      <x:c r="N13" s="19" t="n">
        <x:f>'第2日'!$R$26</x:f>
        <x:v>116</x:v>
      </x:c>
      <x:c r="O13" s="73" t="n">
        <x:f>'第2日'!$T$26</x:f>
        <x:v>35.550000000000004</x:v>
      </x:c>
      <x:c r="P13" s="19" t="n">
        <x:f>'第2日'!$L$3</x:f>
        <x:v>48</x:v>
      </x:c>
    </x:row>
    <x:row r="14" ht="22" customHeight="1">
      <x:c r="A14" s="13" t="str">
        <x:v>第6波</x:v>
      </x:c>
      <x:c r="B14" s="13" t="n">
        <x:v>2</x:v>
      </x:c>
      <x:c r="C14" s="13" t="str">
        <x:v>白昼</x:v>
      </x:c>
      <x:c r="D14" s="19" t="str">
        <x:f>'第2日'!$B$32</x:f>
        <x:v>第6波 守护阵列</x:v>
      </x:c>
      <x:c r="E14" s="19" t="str">
        <x:f>'第2日'!$N$32</x:f>
        <x:v>可导入</x:v>
      </x:c>
      <x:c r="F14" s="19" t="n">
        <x:f>'第2日'!$B$55</x:f>
        <x:v>96</x:v>
      </x:c>
      <x:c r="G14" s="19" t="n">
        <x:f>'第2日'!$D$55</x:f>
        <x:v>96</x:v>
      </x:c>
      <x:c r="H14" s="19" t="n">
        <x:f>'第2日'!$F$55</x:f>
        <x:v>6</x:v>
      </x:c>
      <x:c r="I14" s="19" t="n">
        <x:f>'第2日'!$H$55</x:f>
        <x:v>5680</x:v>
      </x:c>
      <x:c r="J14" s="19" t="n">
        <x:f>'第2日'!$J$55</x:f>
        <x:v>116</x:v>
      </x:c>
      <x:c r="K14" s="19" t="n">
        <x:f>'第2日'!$L$55</x:f>
        <x:v>116</x:v>
      </x:c>
      <x:c r="L14" s="19" t="n">
        <x:f>'第2日'!$N$55</x:f>
        <x:v>116</x:v>
      </x:c>
      <x:c r="M14" s="73" t="n">
        <x:f>'第2日'!$P$55</x:f>
        <x:v>4.800000000000001</x:v>
      </x:c>
      <x:c r="N14" s="19" t="n">
        <x:f>'第2日'!$R$55</x:f>
        <x:v>152</x:v>
      </x:c>
      <x:c r="O14" s="73" t="n">
        <x:f>'第2日'!$T$55</x:f>
        <x:v>38</x:v>
      </x:c>
      <x:c r="P14" s="19" t="n">
        <x:f>'第2日'!$L$32</x:f>
        <x:v>52</x:v>
      </x:c>
    </x:row>
    <x:row r="15" ht="22" customHeight="1">
      <x:c r="A15" s="13" t="str">
        <x:v>第7波</x:v>
      </x:c>
      <x:c r="B15" s="13" t="n">
        <x:v>2</x:v>
      </x:c>
      <x:c r="C15" s="13" t="str">
        <x:v>夜晚</x:v>
      </x:c>
      <x:c r="D15" s="19" t="str">
        <x:f>'第2日'!$B$61</x:f>
        <x:v>第7波 紫晶突袭</x:v>
      </x:c>
      <x:c r="E15" s="19" t="str">
        <x:f>'第2日'!$N$61</x:f>
        <x:v>可导入</x:v>
      </x:c>
      <x:c r="F15" s="19" t="n">
        <x:f>'第2日'!$B$84</x:f>
        <x:v>112</x:v>
      </x:c>
      <x:c r="G15" s="19" t="n">
        <x:f>'第2日'!$D$84</x:f>
        <x:v>112</x:v>
      </x:c>
      <x:c r="H15" s="19" t="n">
        <x:f>'第2日'!$F$84</x:f>
        <x:v>7</x:v>
      </x:c>
      <x:c r="I15" s="19" t="n">
        <x:f>'第2日'!$H$84</x:f>
        <x:v>6680</x:v>
      </x:c>
      <x:c r="J15" s="19" t="n">
        <x:f>'第2日'!$J$84</x:f>
        <x:v>144</x:v>
      </x:c>
      <x:c r="K15" s="19" t="n">
        <x:f>'第2日'!$L$84</x:f>
        <x:v>144</x:v>
      </x:c>
      <x:c r="L15" s="19" t="n">
        <x:f>'第2日'!$N$84</x:f>
        <x:v>144</x:v>
      </x:c>
      <x:c r="M15" s="73" t="n">
        <x:f>'第2日'!$P$84</x:f>
        <x:v>5.6000000000000005</x:v>
      </x:c>
      <x:c r="N15" s="19" t="n">
        <x:f>'第2日'!$R$84</x:f>
        <x:v>176</x:v>
      </x:c>
      <x:c r="O15" s="73" t="n">
        <x:f>'第2日'!$T$84</x:f>
        <x:v>38.849999999999994</x:v>
      </x:c>
      <x:c r="P15" s="19" t="n">
        <x:f>'第2日'!$L$61</x:f>
        <x:v>56</x:v>
      </x:c>
    </x:row>
    <x:row r="16" ht="22" customHeight="1">
      <x:c r="A16" s="13" t="str">
        <x:v>第8波</x:v>
      </x:c>
      <x:c r="B16" s="13" t="n">
        <x:v>2</x:v>
      </x:c>
      <x:c r="C16" s="13" t="str">
        <x:v>夜晚</x:v>
      </x:c>
      <x:c r="D16" s="19" t="str">
        <x:f>'第2日'!$B$90</x:f>
        <x:v>第8波 沼泽合围</x:v>
      </x:c>
      <x:c r="E16" s="19" t="str">
        <x:f>'第2日'!$N$90</x:f>
        <x:v>可导入</x:v>
      </x:c>
      <x:c r="F16" s="19" t="n">
        <x:f>'第2日'!$B$113</x:f>
        <x:v>128</x:v>
      </x:c>
      <x:c r="G16" s="19" t="n">
        <x:f>'第2日'!$D$113</x:f>
        <x:v>128</x:v>
      </x:c>
      <x:c r="H16" s="19" t="n">
        <x:f>'第2日'!$F$113</x:f>
        <x:v>7</x:v>
      </x:c>
      <x:c r="I16" s="19" t="n">
        <x:f>'第2日'!$H$113</x:f>
        <x:v>8120</x:v>
      </x:c>
      <x:c r="J16" s="19" t="n">
        <x:f>'第2日'!$J$113</x:f>
        <x:v>172</x:v>
      </x:c>
      <x:c r="K16" s="19" t="n">
        <x:f>'第2日'!$L$113</x:f>
        <x:v>172</x:v>
      </x:c>
      <x:c r="L16" s="19" t="n">
        <x:f>'第2日'!$N$113</x:f>
        <x:v>172</x:v>
      </x:c>
      <x:c r="M16" s="73" t="n">
        <x:f>'第2日'!$P$113</x:f>
        <x:v>6.4</x:v>
      </x:c>
      <x:c r="N16" s="19" t="n">
        <x:f>'第2日'!$R$113</x:f>
        <x:v>212</x:v>
      </x:c>
      <x:c r="O16" s="73" t="n">
        <x:f>'第2日'!$T$113</x:f>
        <x:v>38.1</x:v>
      </x:c>
      <x:c r="P16" s="19" t="n">
        <x:f>'第2日'!$L$90</x:f>
        <x:v>64</x:v>
      </x:c>
    </x:row>
    <x:row r="17" ht="22" customHeight="1">
      <x:c r="A17" s="13" t="str">
        <x:v>第9波</x:v>
      </x:c>
      <x:c r="B17" s="13" t="n">
        <x:v>3</x:v>
      </x:c>
      <x:c r="C17" s="13" t="str">
        <x:v>白昼</x:v>
      </x:c>
      <x:c r="D17" s="19" t="str">
        <x:f>'第3日'!$B$3</x:f>
        <x:v>第9波 城镇前锋</x:v>
      </x:c>
      <x:c r="E17" s="19" t="str">
        <x:f>'第3日'!$N$3</x:f>
        <x:v>可导入</x:v>
      </x:c>
      <x:c r="F17" s="19" t="n">
        <x:f>'第3日'!$B$26</x:f>
        <x:v>144</x:v>
      </x:c>
      <x:c r="G17" s="19" t="n">
        <x:f>'第3日'!$D$26</x:f>
        <x:v>144</x:v>
      </x:c>
      <x:c r="H17" s="19" t="n">
        <x:f>'第3日'!$F$26</x:f>
        <x:v>9</x:v>
      </x:c>
      <x:c r="I17" s="19" t="n">
        <x:f>'第3日'!$H$26</x:f>
        <x:v>11700</x:v>
      </x:c>
      <x:c r="J17" s="19" t="n">
        <x:f>'第3日'!$J$26</x:f>
        <x:v>242</x:v>
      </x:c>
      <x:c r="K17" s="19" t="n">
        <x:f>'第3日'!$L$26</x:f>
        <x:v>242</x:v>
      </x:c>
      <x:c r="L17" s="19" t="n">
        <x:f>'第3日'!$N$26</x:f>
        <x:v>242</x:v>
      </x:c>
      <x:c r="M17" s="73" t="n">
        <x:f>'第3日'!$P$26</x:f>
        <x:v>7.22</x:v>
      </x:c>
      <x:c r="N17" s="19" t="n">
        <x:f>'第3日'!$R$26</x:f>
        <x:v>304</x:v>
      </x:c>
      <x:c r="O17" s="73" t="n">
        <x:f>'第3日'!$T$26</x:f>
        <x:v>40.040000000000006</x:v>
      </x:c>
      <x:c r="P17" s="19" t="n">
        <x:f>'第3日'!$L$3</x:f>
        <x:v>72</x:v>
      </x:c>
    </x:row>
    <x:row r="18" ht="22" customHeight="1">
      <x:c r="A18" s="13" t="str">
        <x:v>第10波</x:v>
      </x:c>
      <x:c r="B18" s="13" t="n">
        <x:v>3</x:v>
      </x:c>
      <x:c r="C18" s="13" t="str">
        <x:v>白昼</x:v>
      </x:c>
      <x:c r="D18" s="19" t="str">
        <x:f>'第3日'!$B$32</x:f>
        <x:v>第10波 火力交叉</x:v>
      </x:c>
      <x:c r="E18" s="19" t="str">
        <x:f>'第3日'!$N$32</x:f>
        <x:v>可导入</x:v>
      </x:c>
      <x:c r="F18" s="19" t="n">
        <x:f>'第3日'!$B$55</x:f>
        <x:v>160</x:v>
      </x:c>
      <x:c r="G18" s="19" t="n">
        <x:f>'第3日'!$D$55</x:f>
        <x:v>160</x:v>
      </x:c>
      <x:c r="H18" s="19" t="n">
        <x:f>'第3日'!$F$55</x:f>
        <x:v>10</x:v>
      </x:c>
      <x:c r="I18" s="19" t="n">
        <x:f>'第3日'!$H$55</x:f>
        <x:v>13340</x:v>
      </x:c>
      <x:c r="J18" s="19" t="n">
        <x:f>'第3日'!$J$55</x:f>
        <x:v>308</x:v>
      </x:c>
      <x:c r="K18" s="19" t="n">
        <x:f>'第3日'!$L$55</x:f>
        <x:v>308</x:v>
      </x:c>
      <x:c r="L18" s="19" t="n">
        <x:f>'第3日'!$N$55</x:f>
        <x:v>308</x:v>
      </x:c>
      <x:c r="M18" s="73" t="n">
        <x:f>'第3日'!$P$55</x:f>
        <x:v>8.04</x:v>
      </x:c>
      <x:c r="N18" s="19" t="n">
        <x:f>'第3日'!$R$55</x:f>
        <x:v>342</x:v>
      </x:c>
      <x:c r="O18" s="73" t="n">
        <x:f>'第3日'!$T$55</x:f>
        <x:v>41.34</x:v>
      </x:c>
      <x:c r="P18" s="19" t="n">
        <x:f>'第3日'!$L$32</x:f>
        <x:v>80</x:v>
      </x:c>
    </x:row>
    <x:row r="19" ht="22" customHeight="1">
      <x:c r="A19" s="13" t="str">
        <x:v>第11波</x:v>
      </x:c>
      <x:c r="B19" s="13" t="n">
        <x:v>3</x:v>
      </x:c>
      <x:c r="C19" s="13" t="str">
        <x:v>夜晚</x:v>
      </x:c>
      <x:c r="D19" s="19" t="str">
        <x:f>'第3日'!$B$61</x:f>
        <x:v>第11波 奥术重装</x:v>
      </x:c>
      <x:c r="E19" s="19" t="str">
        <x:f>'第3日'!$N$61</x:f>
        <x:v>可导入</x:v>
      </x:c>
      <x:c r="F19" s="19" t="n">
        <x:f>'第3日'!$B$84</x:f>
        <x:v>176</x:v>
      </x:c>
      <x:c r="G19" s="19" t="n">
        <x:f>'第3日'!$D$84</x:f>
        <x:v>176</x:v>
      </x:c>
      <x:c r="H19" s="19" t="n">
        <x:f>'第3日'!$F$84</x:f>
        <x:v>12</x:v>
      </x:c>
      <x:c r="I19" s="19" t="n">
        <x:f>'第3日'!$H$84</x:f>
        <x:v>14760</x:v>
      </x:c>
      <x:c r="J19" s="19" t="n">
        <x:f>'第3日'!$J$84</x:f>
        <x:v>398</x:v>
      </x:c>
      <x:c r="K19" s="19" t="n">
        <x:f>'第3日'!$L$84</x:f>
        <x:v>398</x:v>
      </x:c>
      <x:c r="L19" s="19" t="n">
        <x:f>'第3日'!$N$84</x:f>
        <x:v>398</x:v>
      </x:c>
      <x:c r="M19" s="73" t="n">
        <x:f>'第3日'!$P$84</x:f>
        <x:v>9.35</x:v>
      </x:c>
      <x:c r="N19" s="19" t="n">
        <x:f>'第3日'!$R$84</x:f>
        <x:v>382</x:v>
      </x:c>
      <x:c r="O19" s="73" t="n">
        <x:f>'第3日'!$T$84</x:f>
        <x:v>42</x:v>
      </x:c>
      <x:c r="P19" s="19" t="n">
        <x:f>'第3日'!$L$61</x:f>
        <x:v>88</x:v>
      </x:c>
    </x:row>
    <x:row r="20" ht="22" customHeight="1">
      <x:c r="A20" s="13" t="str">
        <x:v>第12波</x:v>
      </x:c>
      <x:c r="B20" s="13" t="n">
        <x:v>3</x:v>
      </x:c>
      <x:c r="C20" s="13" t="str">
        <x:v>夜晚</x:v>
      </x:c>
      <x:c r="D20" s="19" t="str">
        <x:f>'第3日'!$B$90</x:f>
        <x:v>第12波 城镇决战</x:v>
      </x:c>
      <x:c r="E20" s="19" t="str">
        <x:f>'第3日'!$N$90</x:f>
        <x:v>可导入</x:v>
      </x:c>
      <x:c r="F20" s="19" t="n">
        <x:f>'第3日'!$B$113</x:f>
        <x:v>200</x:v>
      </x:c>
      <x:c r="G20" s="19" t="n">
        <x:f>'第3日'!$D$113</x:f>
        <x:v>200</x:v>
      </x:c>
      <x:c r="H20" s="19" t="n">
        <x:f>'第3日'!$F$113</x:f>
        <x:v>13</x:v>
      </x:c>
      <x:c r="I20" s="19" t="n">
        <x:f>'第3日'!$H$113</x:f>
        <x:v>16860</x:v>
      </x:c>
      <x:c r="J20" s="19" t="n">
        <x:f>'第3日'!$J$113</x:f>
        <x:v>453</x:v>
      </x:c>
      <x:c r="K20" s="19" t="n">
        <x:f>'第3日'!$L$113</x:f>
        <x:v>453</x:v>
      </x:c>
      <x:c r="L20" s="19" t="n">
        <x:f>'第3日'!$N$113</x:f>
        <x:v>453</x:v>
      </x:c>
      <x:c r="M20" s="73" t="n">
        <x:f>'第3日'!$P$113</x:f>
        <x:v>10.560000000000002</x:v>
      </x:c>
      <x:c r="N20" s="19" t="n">
        <x:f>'第3日'!$R$113</x:f>
        <x:v>430</x:v>
      </x:c>
      <x:c r="O20" s="73" t="n">
        <x:f>'第3日'!$T$113</x:f>
        <x:v>43.78</x:v>
      </x:c>
      <x:c r="P20" s="19" t="n">
        <x:f>'第3日'!$L$90</x:f>
        <x:v>96</x:v>
      </x:c>
    </x:row>
    <x:row r="21" ht="22" customHeight="1">
      <x:c r="A21" s="13" t="str">
        <x:v>第13波</x:v>
      </x:c>
      <x:c r="B21" s="13" t="n">
        <x:v>4</x:v>
      </x:c>
      <x:c r="C21" s="13" t="str">
        <x:v>白昼</x:v>
      </x:c>
      <x:c r="D21" s="19" t="str">
        <x:f>'第4日'!$B$3</x:f>
        <x:v>第13波（待设计）</x:v>
      </x:c>
      <x:c r="E21" s="19" t="str">
        <x:f>'第4日'!$N$3</x:f>
        <x:v>待设计</x:v>
      </x:c>
      <x:c r="F21" s="19" t="n">
        <x:f>'第4日'!$B$26</x:f>
        <x:v>0</x:v>
      </x:c>
      <x:c r="G21" s="19" t="n">
        <x:f>'第4日'!$D$26</x:f>
        <x:v>0</x:v>
      </x:c>
      <x:c r="H21" s="19" t="n">
        <x:f>'第4日'!$F$26</x:f>
        <x:v>0</x:v>
      </x:c>
      <x:c r="I21" s="19" t="n">
        <x:f>'第4日'!$H$26</x:f>
        <x:v>0</x:v>
      </x:c>
      <x:c r="J21" s="19" t="n">
        <x:f>'第4日'!$J$26</x:f>
        <x:v>0</x:v>
      </x:c>
      <x:c r="K21" s="19" t="n">
        <x:f>'第4日'!$L$26</x:f>
        <x:v>0</x:v>
      </x:c>
      <x:c r="L21" s="19" t="n">
        <x:f>'第4日'!$N$26</x:f>
        <x:v>0</x:v>
      </x:c>
      <x:c r="M21" s="73" t="n">
        <x:f>'第4日'!$P$26</x:f>
        <x:v>0</x:v>
      </x:c>
      <x:c r="N21" s="19" t="n">
        <x:f>'第4日'!$R$26</x:f>
        <x:v>0</x:v>
      </x:c>
      <x:c r="O21" s="73" t="n">
        <x:f>'第4日'!$T$26</x:f>
        <x:v>0</x:v>
      </x:c>
      <x:c r="P21" s="19" t="n">
        <x:f>'第4日'!$L$3</x:f>
        <x:v>96</x:v>
      </x:c>
    </x:row>
    <x:row r="22" ht="22" customHeight="1">
      <x:c r="A22" s="13" t="str">
        <x:v>第14波</x:v>
      </x:c>
      <x:c r="B22" s="13" t="n">
        <x:v>4</x:v>
      </x:c>
      <x:c r="C22" s="13" t="str">
        <x:v>白昼</x:v>
      </x:c>
      <x:c r="D22" s="19" t="str">
        <x:f>'第4日'!$B$32</x:f>
        <x:v>第14波（待设计）</x:v>
      </x:c>
      <x:c r="E22" s="19" t="str">
        <x:f>'第4日'!$N$32</x:f>
        <x:v>待设计</x:v>
      </x:c>
      <x:c r="F22" s="19" t="n">
        <x:f>'第4日'!$B$55</x:f>
        <x:v>0</x:v>
      </x:c>
      <x:c r="G22" s="19" t="n">
        <x:f>'第4日'!$D$55</x:f>
        <x:v>0</x:v>
      </x:c>
      <x:c r="H22" s="19" t="n">
        <x:f>'第4日'!$F$55</x:f>
        <x:v>0</x:v>
      </x:c>
      <x:c r="I22" s="19" t="n">
        <x:f>'第4日'!$H$55</x:f>
        <x:v>0</x:v>
      </x:c>
      <x:c r="J22" s="19" t="n">
        <x:f>'第4日'!$J$55</x:f>
        <x:v>0</x:v>
      </x:c>
      <x:c r="K22" s="19" t="n">
        <x:f>'第4日'!$L$55</x:f>
        <x:v>0</x:v>
      </x:c>
      <x:c r="L22" s="19" t="n">
        <x:f>'第4日'!$N$55</x:f>
        <x:v>0</x:v>
      </x:c>
      <x:c r="M22" s="73" t="n">
        <x:f>'第4日'!$P$55</x:f>
        <x:v>0</x:v>
      </x:c>
      <x:c r="N22" s="19" t="n">
        <x:f>'第4日'!$R$55</x:f>
        <x:v>0</x:v>
      </x:c>
      <x:c r="O22" s="73" t="n">
        <x:f>'第4日'!$T$55</x:f>
        <x:v>0</x:v>
      </x:c>
      <x:c r="P22" s="19" t="n">
        <x:f>'第4日'!$L$32</x:f>
        <x:v>96</x:v>
      </x:c>
    </x:row>
    <x:row r="23" ht="22" customHeight="1">
      <x:c r="A23" s="13" t="str">
        <x:v>第15波</x:v>
      </x:c>
      <x:c r="B23" s="13" t="n">
        <x:v>4</x:v>
      </x:c>
      <x:c r="C23" s="13" t="str">
        <x:v>夜晚</x:v>
      </x:c>
      <x:c r="D23" s="19" t="str">
        <x:f>'第4日'!$B$61</x:f>
        <x:v>第15波（待设计）</x:v>
      </x:c>
      <x:c r="E23" s="19" t="str">
        <x:f>'第4日'!$N$61</x:f>
        <x:v>待设计</x:v>
      </x:c>
      <x:c r="F23" s="19" t="n">
        <x:f>'第4日'!$B$84</x:f>
        <x:v>0</x:v>
      </x:c>
      <x:c r="G23" s="19" t="n">
        <x:f>'第4日'!$D$84</x:f>
        <x:v>0</x:v>
      </x:c>
      <x:c r="H23" s="19" t="n">
        <x:f>'第4日'!$F$84</x:f>
        <x:v>0</x:v>
      </x:c>
      <x:c r="I23" s="19" t="n">
        <x:f>'第4日'!$H$84</x:f>
        <x:v>0</x:v>
      </x:c>
      <x:c r="J23" s="19" t="n">
        <x:f>'第4日'!$J$84</x:f>
        <x:v>0</x:v>
      </x:c>
      <x:c r="K23" s="19" t="n">
        <x:f>'第4日'!$L$84</x:f>
        <x:v>0</x:v>
      </x:c>
      <x:c r="L23" s="19" t="n">
        <x:f>'第4日'!$N$84</x:f>
        <x:v>0</x:v>
      </x:c>
      <x:c r="M23" s="73" t="n">
        <x:f>'第4日'!$P$84</x:f>
        <x:v>0</x:v>
      </x:c>
      <x:c r="N23" s="19" t="n">
        <x:f>'第4日'!$R$84</x:f>
        <x:v>0</x:v>
      </x:c>
      <x:c r="O23" s="73" t="n">
        <x:f>'第4日'!$T$84</x:f>
        <x:v>0</x:v>
      </x:c>
      <x:c r="P23" s="19" t="n">
        <x:f>'第4日'!$L$61</x:f>
        <x:v>96</x:v>
      </x:c>
    </x:row>
    <x:row r="24" ht="22" customHeight="1">
      <x:c r="A24" s="13" t="str">
        <x:v>第16波</x:v>
      </x:c>
      <x:c r="B24" s="13" t="n">
        <x:v>4</x:v>
      </x:c>
      <x:c r="C24" s="13" t="str">
        <x:v>夜晚</x:v>
      </x:c>
      <x:c r="D24" s="19" t="str">
        <x:f>'第4日'!$B$90</x:f>
        <x:v>第16波（待设计）</x:v>
      </x:c>
      <x:c r="E24" s="19" t="str">
        <x:f>'第4日'!$N$90</x:f>
        <x:v>待设计</x:v>
      </x:c>
      <x:c r="F24" s="19" t="n">
        <x:f>'第4日'!$B$113</x:f>
        <x:v>0</x:v>
      </x:c>
      <x:c r="G24" s="19" t="n">
        <x:f>'第4日'!$D$113</x:f>
        <x:v>0</x:v>
      </x:c>
      <x:c r="H24" s="19" t="n">
        <x:f>'第4日'!$F$113</x:f>
        <x:v>0</x:v>
      </x:c>
      <x:c r="I24" s="19" t="n">
        <x:f>'第4日'!$H$113</x:f>
        <x:v>0</x:v>
      </x:c>
      <x:c r="J24" s="19" t="n">
        <x:f>'第4日'!$J$113</x:f>
        <x:v>0</x:v>
      </x:c>
      <x:c r="K24" s="19" t="n">
        <x:f>'第4日'!$L$113</x:f>
        <x:v>0</x:v>
      </x:c>
      <x:c r="L24" s="19" t="n">
        <x:f>'第4日'!$N$113</x:f>
        <x:v>0</x:v>
      </x:c>
      <x:c r="M24" s="73" t="n">
        <x:f>'第4日'!$P$113</x:f>
        <x:v>0</x:v>
      </x:c>
      <x:c r="N24" s="19" t="n">
        <x:f>'第4日'!$R$113</x:f>
        <x:v>0</x:v>
      </x:c>
      <x:c r="O24" s="73" t="n">
        <x:f>'第4日'!$T$113</x:f>
        <x:v>0</x:v>
      </x:c>
      <x:c r="P24" s="19" t="n">
        <x:f>'第4日'!$L$90</x:f>
        <x:v>96</x:v>
      </x:c>
    </x:row>
    <x:row r="25" ht="22" customHeight="1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</x:row>
    <x:row r="26" ht="22" customHeight="1">
      <x:c r="A26" s="24" t="str">
        <x:v>每日汇总</x:v>
      </x:c>
      <x:c r="B26" s="24" t="str">
        <x:v>每日汇总</x:v>
      </x:c>
      <x:c r="C26" s="24" t="str">
        <x:v>每日汇总</x:v>
      </x:c>
      <x:c r="D26" s="24" t="str">
        <x:v>每日汇总</x:v>
      </x:c>
      <x:c r="E26" s="24" t="str">
        <x:v>每日汇总</x:v>
      </x:c>
      <x:c r="F26" s="24" t="str">
        <x:v>每日汇总</x:v>
      </x:c>
      <x:c r="G26" s="24" t="str">
        <x:v>每日汇总</x:v>
      </x:c>
      <x:c r="H26" s="24" t="str">
        <x:v>每日汇总</x:v>
      </x:c>
      <x:c r="I26" s="24" t="str">
        <x:v>每日汇总</x:v>
      </x:c>
      <x:c r="J26" s="24" t="str">
        <x:v>每日汇总</x:v>
      </x:c>
      <x:c r="K26" s="24" t="str">
        <x:v>每日汇总</x:v>
      </x:c>
      <x:c r="L26" s="24" t="str">
        <x:v>每日汇总</x:v>
      </x:c>
      <x:c r="M26" s="24" t="str">
        <x:v>每日汇总</x:v>
      </x:c>
      <x:c r="N26" s="24" t="str">
        <x:v>每日汇总</x:v>
      </x:c>
      <x:c r="O26" s="24" t="str">
        <x:v>每日汇总</x:v>
      </x:c>
      <x:c r="P26" s="24" t="str">
        <x:v>每日汇总</x:v>
      </x:c>
    </x:row>
    <x:row r="27" ht="22" customHeight="1">
      <x:c r="A27" s="48" t="str">
        <x:v>日</x:v>
      </x:c>
      <x:c r="B27" s="48" t="str">
        <x:v>基础敌人</x:v>
      </x:c>
      <x:c r="C27" s="48" t="str">
        <x:v>实际敌人</x:v>
      </x:c>
      <x:c r="D27" s="48" t="str">
        <x:v>基础息壤/玩家</x:v>
      </x:c>
      <x:c r="E27" s="48" t="str">
        <x:v>情景息壤/玩家</x:v>
      </x:c>
      <x:c r="F27" s="48" t="str">
        <x:v>情景息壤/队伍</x:v>
      </x:c>
      <x:c r="G27" s="48" t="str">
        <x:v>生命池</x:v>
      </x:c>
      <x:c r="H27" s="48" t="str">
        <x:v>掉落期望</x:v>
      </x:c>
      <x:c r="I27" s="48" t="str">
        <x:v>全漏Home伤害</x:v>
      </x:c>
      <x:c r="J27" s="31"/>
      <x:c r="K27" s="31"/>
      <x:c r="L27" s="31"/>
      <x:c r="M27" s="31"/>
      <x:c r="N27" s="31"/>
      <x:c r="O27" s="31"/>
      <x:c r="P27" s="31"/>
    </x:row>
    <x:row r="28" ht="22" customHeight="1">
      <x:c r="A28" s="13" t="str">
        <x:v>第1日</x:v>
      </x:c>
      <x:c r="B28" s="19" t="n">
        <x:f>SUM(F9:F12)</x:f>
        <x:v>172</x:v>
      </x:c>
      <x:c r="C28" s="19" t="n">
        <x:f>SUM(G9:G12)</x:f>
        <x:v>172</x:v>
      </x:c>
      <x:c r="D28" s="19" t="n">
        <x:f>SUM(J9:J12)</x:f>
        <x:v>196</x:v>
      </x:c>
      <x:c r="E28" s="19" t="n">
        <x:f>SUM(K9:K12)</x:f>
        <x:v>196</x:v>
      </x:c>
      <x:c r="F28" s="19" t="n">
        <x:f>SUM(L9:L12)</x:f>
        <x:v>196</x:v>
      </x:c>
      <x:c r="G28" s="19" t="n">
        <x:f>SUM(I9:I12)</x:f>
        <x:v>8940</x:v>
      </x:c>
      <x:c r="H28" s="73" t="n">
        <x:f>SUM(M9:M12)</x:f>
        <x:v>8.600000000000001</x:v>
      </x:c>
      <x:c r="I28" s="19" t="n">
        <x:f>SUM(N9:N12)</x:f>
        <x:v>204</x:v>
      </x:c>
      <x:c r="J28" s="31"/>
      <x:c r="K28" s="31"/>
      <x:c r="L28" s="31"/>
      <x:c r="M28" s="31"/>
      <x:c r="N28" s="31"/>
      <x:c r="O28" s="31"/>
      <x:c r="P28" s="31"/>
    </x:row>
    <x:row r="29" ht="22" customHeight="1">
      <x:c r="A29" s="13" t="str">
        <x:v>第2日</x:v>
      </x:c>
      <x:c r="B29" s="19" t="n">
        <x:f>SUM(F13:F16)</x:f>
        <x:v>416</x:v>
      </x:c>
      <x:c r="C29" s="19" t="n">
        <x:f>SUM(G13:G16)</x:f>
        <x:v>416</x:v>
      </x:c>
      <x:c r="D29" s="19" t="n">
        <x:f>SUM(J13:J16)</x:f>
        <x:v>528</x:v>
      </x:c>
      <x:c r="E29" s="19" t="n">
        <x:f>SUM(K13:K16)</x:f>
        <x:v>528</x:v>
      </x:c>
      <x:c r="F29" s="19" t="n">
        <x:f>SUM(L13:L16)</x:f>
        <x:v>528</x:v>
      </x:c>
      <x:c r="G29" s="19" t="n">
        <x:f>SUM(I13:I16)</x:f>
        <x:v>25140</x:v>
      </x:c>
      <x:c r="H29" s="73" t="n">
        <x:f>SUM(M13:M16)</x:f>
        <x:v>20.800000000000004</x:v>
      </x:c>
      <x:c r="I29" s="19" t="n">
        <x:f>SUM(N13:N16)</x:f>
        <x:v>656</x:v>
      </x:c>
      <x:c r="J29" s="31"/>
      <x:c r="K29" s="31"/>
      <x:c r="L29" s="31"/>
      <x:c r="M29" s="31"/>
      <x:c r="N29" s="31"/>
      <x:c r="O29" s="31"/>
      <x:c r="P29" s="31"/>
    </x:row>
    <x:row r="30" ht="22" customHeight="1">
      <x:c r="A30" s="13" t="str">
        <x:v>第3日</x:v>
      </x:c>
      <x:c r="B30" s="19" t="n">
        <x:f>SUM(F17:F20)</x:f>
        <x:v>680</x:v>
      </x:c>
      <x:c r="C30" s="19" t="n">
        <x:f>SUM(G17:G20)</x:f>
        <x:v>680</x:v>
      </x:c>
      <x:c r="D30" s="19" t="n">
        <x:f>SUM(J17:J20)</x:f>
        <x:v>1401</x:v>
      </x:c>
      <x:c r="E30" s="19" t="n">
        <x:f>SUM(K17:K20)</x:f>
        <x:v>1401</x:v>
      </x:c>
      <x:c r="F30" s="19" t="n">
        <x:f>SUM(L17:L20)</x:f>
        <x:v>1401</x:v>
      </x:c>
      <x:c r="G30" s="19" t="n">
        <x:f>SUM(I17:I20)</x:f>
        <x:v>56660</x:v>
      </x:c>
      <x:c r="H30" s="73" t="n">
        <x:f>SUM(M17:M20)</x:f>
        <x:v>35.17</x:v>
      </x:c>
      <x:c r="I30" s="19" t="n">
        <x:f>SUM(N17:N20)</x:f>
        <x:v>1458</x:v>
      </x:c>
      <x:c r="J30" s="31"/>
      <x:c r="K30" s="31"/>
      <x:c r="L30" s="31"/>
      <x:c r="M30" s="31"/>
      <x:c r="N30" s="31"/>
      <x:c r="O30" s="31"/>
      <x:c r="P30" s="31"/>
    </x:row>
    <x:row r="31" ht="22" customHeight="1">
      <x:c r="A31" s="13" t="str">
        <x:v>第4日</x:v>
      </x:c>
      <x:c r="B31" s="19" t="n">
        <x:f>SUM(F21:F24)</x:f>
        <x:v>0</x:v>
      </x:c>
      <x:c r="C31" s="19" t="n">
        <x:f>SUM(G21:G24)</x:f>
        <x:v>0</x:v>
      </x:c>
      <x:c r="D31" s="19" t="n">
        <x:f>SUM(J21:J24)</x:f>
        <x:v>0</x:v>
      </x:c>
      <x:c r="E31" s="19" t="n">
        <x:f>SUM(K21:K24)</x:f>
        <x:v>0</x:v>
      </x:c>
      <x:c r="F31" s="19" t="n">
        <x:f>SUM(L21:L24)</x:f>
        <x:v>0</x:v>
      </x:c>
      <x:c r="G31" s="19" t="n">
        <x:f>SUM(I21:I24)</x:f>
        <x:v>0</x:v>
      </x:c>
      <x:c r="H31" s="73" t="n">
        <x:f>SUM(M21:M24)</x:f>
        <x:v>0</x:v>
      </x:c>
      <x:c r="I31" s="19" t="n">
        <x:f>SUM(N21:N24)</x:f>
        <x:v>0</x:v>
      </x:c>
      <x:c r="J31" s="31"/>
      <x:c r="K31" s="31"/>
      <x:c r="L31" s="31"/>
      <x:c r="M31" s="31"/>
      <x:c r="N31" s="31"/>
      <x:c r="O31" s="31"/>
      <x:c r="P31" s="31"/>
    </x:row>
    <x:row r="32" ht="22" customHeight="1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</x:row>
    <x:row r="33" ht="22" customHeight="1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</x:row>
    <x:row r="34" ht="22" customHeight="1">
      <x:c r="A34" s="40" t="str">
        <x:v>波次</x:v>
      </x:c>
      <x:c r="B34" s="40" t="str">
        <x:v>基础息壤/玩家</x:v>
      </x:c>
      <x:c r="C34" s="40" t="str">
        <x:v>情景息壤/玩家</x:v>
      </x:c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</x:row>
    <x:row r="35" ht="22" customHeight="1">
      <x:c r="A35" s="19" t="str">
        <x:f>A9</x:f>
        <x:v>第1波</x:v>
      </x:c>
      <x:c r="B35" s="19" t="n">
        <x:f>J9</x:f>
        <x:v>30</x:v>
      </x:c>
      <x:c r="C35" s="19" t="n">
        <x:f>K9</x:f>
        <x:v>30</x:v>
      </x:c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</x:row>
    <x:row r="36" ht="22" customHeight="1">
      <x:c r="A36" s="19" t="str">
        <x:f>A10</x:f>
        <x:v>第2波</x:v>
      </x:c>
      <x:c r="B36" s="19" t="n">
        <x:f>J10</x:f>
        <x:v>42</x:v>
      </x:c>
      <x:c r="C36" s="19" t="n">
        <x:f>K10</x:f>
        <x:v>42</x:v>
      </x:c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</x:row>
    <x:row r="37" ht="22" customHeight="1">
      <x:c r="A37" s="19" t="str">
        <x:f>A11</x:f>
        <x:v>第3波</x:v>
      </x:c>
      <x:c r="B37" s="19" t="n">
        <x:f>J11</x:f>
        <x:v>48</x:v>
      </x:c>
      <x:c r="C37" s="19" t="n">
        <x:f>K11</x:f>
        <x:v>48</x:v>
      </x:c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</x:row>
    <x:row r="38" ht="22" customHeight="1">
      <x:c r="A38" s="19" t="str">
        <x:f>A12</x:f>
        <x:v>第4波</x:v>
      </x:c>
      <x:c r="B38" s="19" t="n">
        <x:f>J12</x:f>
        <x:v>76</x:v>
      </x:c>
      <x:c r="C38" s="19" t="n">
        <x:f>K12</x:f>
        <x:v>76</x:v>
      </x:c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</x:row>
    <x:row r="39" ht="22" customHeight="1">
      <x:c r="A39" s="19" t="str">
        <x:f>A13</x:f>
        <x:v>第5波</x:v>
      </x:c>
      <x:c r="B39" s="19" t="n">
        <x:f>J13</x:f>
        <x:v>96</x:v>
      </x:c>
      <x:c r="C39" s="19" t="n">
        <x:f>K13</x:f>
        <x:v>96</x:v>
      </x:c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</x:row>
    <x:row r="40" ht="22" customHeight="1">
      <x:c r="A40" s="19" t="str">
        <x:f>A14</x:f>
        <x:v>第6波</x:v>
      </x:c>
      <x:c r="B40" s="19" t="n">
        <x:f>J14</x:f>
        <x:v>116</x:v>
      </x:c>
      <x:c r="C40" s="19" t="n">
        <x:f>K14</x:f>
        <x:v>116</x:v>
      </x:c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</x:row>
    <x:row r="41" ht="22" customHeight="1">
      <x:c r="A41" s="19" t="str">
        <x:f>A15</x:f>
        <x:v>第7波</x:v>
      </x:c>
      <x:c r="B41" s="19" t="n">
        <x:f>J15</x:f>
        <x:v>144</x:v>
      </x:c>
      <x:c r="C41" s="19" t="n">
        <x:f>K15</x:f>
        <x:v>144</x:v>
      </x:c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</x:row>
    <x:row r="42" ht="22" customHeight="1">
      <x:c r="A42" s="19" t="str">
        <x:f>A16</x:f>
        <x:v>第8波</x:v>
      </x:c>
      <x:c r="B42" s="19" t="n">
        <x:f>J16</x:f>
        <x:v>172</x:v>
      </x:c>
      <x:c r="C42" s="19" t="n">
        <x:f>K16</x:f>
        <x:v>172</x:v>
      </x:c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</x:row>
    <x:row r="43" ht="22" customHeight="1">
      <x:c r="A43" s="19" t="str">
        <x:f>A17</x:f>
        <x:v>第9波</x:v>
      </x:c>
      <x:c r="B43" s="19" t="n">
        <x:f>J17</x:f>
        <x:v>242</x:v>
      </x:c>
      <x:c r="C43" s="19" t="n">
        <x:f>K17</x:f>
        <x:v>242</x:v>
      </x:c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</x:row>
    <x:row r="44" ht="22" customHeight="1">
      <x:c r="A44" s="19" t="str">
        <x:f>A18</x:f>
        <x:v>第10波</x:v>
      </x:c>
      <x:c r="B44" s="19" t="n">
        <x:f>J18</x:f>
        <x:v>308</x:v>
      </x:c>
      <x:c r="C44" s="19" t="n">
        <x:f>K18</x:f>
        <x:v>308</x:v>
      </x:c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</x:row>
    <x:row r="45" ht="22" customHeight="1">
      <x:c r="A45" s="19" t="str">
        <x:f>A19</x:f>
        <x:v>第11波</x:v>
      </x:c>
      <x:c r="B45" s="19" t="n">
        <x:f>J19</x:f>
        <x:v>398</x:v>
      </x:c>
      <x:c r="C45" s="19" t="n">
        <x:f>K19</x:f>
        <x:v>398</x:v>
      </x:c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</x:row>
    <x:row r="46" ht="22" customHeight="1">
      <x:c r="A46" s="19" t="str">
        <x:f>A20</x:f>
        <x:v>第12波</x:v>
      </x:c>
      <x:c r="B46" s="19" t="n">
        <x:f>J20</x:f>
        <x:v>453</x:v>
      </x:c>
      <x:c r="C46" s="19" t="n">
        <x:f>K20</x:f>
        <x:v>453</x:v>
      </x:c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</x:row>
    <x:row r="47" ht="22" customHeight="1">
      <x:c r="A47" s="19" t="str">
        <x:f>A21</x:f>
        <x:v>第13波</x:v>
      </x:c>
      <x:c r="B47" s="19" t="n">
        <x:f>J21</x:f>
        <x:v>0</x:v>
      </x:c>
      <x:c r="C47" s="19" t="n">
        <x:f>K21</x:f>
        <x:v>0</x:v>
      </x:c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</x:row>
    <x:row r="48" ht="22" customHeight="1">
      <x:c r="A48" s="19" t="str">
        <x:f>A22</x:f>
        <x:v>第14波</x:v>
      </x:c>
      <x:c r="B48" s="19" t="n">
        <x:f>J22</x:f>
        <x:v>0</x:v>
      </x:c>
      <x:c r="C48" s="19" t="n">
        <x:f>K22</x:f>
        <x:v>0</x:v>
      </x:c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</x:row>
    <x:row r="49" ht="22" customHeight="1">
      <x:c r="A49" s="19" t="str">
        <x:f>A23</x:f>
        <x:v>第15波</x:v>
      </x:c>
      <x:c r="B49" s="19" t="n">
        <x:f>J23</x:f>
        <x:v>0</x:v>
      </x:c>
      <x:c r="C49" s="19" t="n">
        <x:f>K23</x:f>
        <x:v>0</x:v>
      </x:c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</x:row>
    <x:row r="50" ht="22" customHeight="1">
      <x:c r="A50" s="19" t="str">
        <x:f>A24</x:f>
        <x:v>第16波</x:v>
      </x:c>
      <x:c r="B50" s="19" t="n">
        <x:f>J24</x:f>
        <x:v>0</x:v>
      </x:c>
      <x:c r="C50" s="19" t="n">
        <x:f>K24</x:f>
        <x:v>0</x:v>
      </x:c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</x:row>
    <x:row r="51" ht="22" customHeight="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</x:row>
    <x:row r="52" ht="22" customHeight="1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</x:row>
    <x:row r="53" ht="22" customHeight="1">
      <x:c r="A53" s="48" t="str">
        <x:v>波次</x:v>
      </x:c>
      <x:c r="B53" s="48" t="str">
        <x:v>生命池</x:v>
      </x:c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</x:row>
    <x:row r="54" ht="22" customHeight="1">
      <x:c r="A54" s="19" t="str">
        <x:f>A9</x:f>
        <x:v>第1波</x:v>
      </x:c>
      <x:c r="B54" s="19" t="n">
        <x:f>I9</x:f>
        <x:v>1560</x:v>
      </x:c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</x:row>
    <x:row r="55" ht="22" customHeight="1">
      <x:c r="A55" s="19" t="str">
        <x:f>A10</x:f>
        <x:v>第2波</x:v>
      </x:c>
      <x:c r="B55" s="19" t="n">
        <x:f>I10</x:f>
        <x:v>2000</x:v>
      </x:c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</x:row>
    <x:row r="56" ht="22" customHeight="1">
      <x:c r="A56" s="19" t="str">
        <x:f>A11</x:f>
        <x:v>第3波</x:v>
      </x:c>
      <x:c r="B56" s="19" t="n">
        <x:f>I11</x:f>
        <x:v>1780</x:v>
      </x:c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</x:row>
    <x:row r="57" ht="22" customHeight="1">
      <x:c r="A57" s="19" t="str">
        <x:f>A12</x:f>
        <x:v>第4波</x:v>
      </x:c>
      <x:c r="B57" s="19" t="n">
        <x:f>I12</x:f>
        <x:v>3600</x:v>
      </x:c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</x:row>
    <x:row r="58" ht="22" customHeight="1">
      <x:c r="A58" s="19" t="str">
        <x:f>A13</x:f>
        <x:v>第5波</x:v>
      </x:c>
      <x:c r="B58" s="19" t="n">
        <x:f>I13</x:f>
        <x:v>4660</x:v>
      </x:c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</x:row>
    <x:row r="59" ht="22" customHeight="1">
      <x:c r="A59" s="19" t="str">
        <x:f>A14</x:f>
        <x:v>第6波</x:v>
      </x:c>
      <x:c r="B59" s="19" t="n">
        <x:f>I14</x:f>
        <x:v>5680</x:v>
      </x:c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</x:row>
    <x:row r="60" ht="22" customHeight="1">
      <x:c r="A60" s="19" t="str">
        <x:f>A15</x:f>
        <x:v>第7波</x:v>
      </x:c>
      <x:c r="B60" s="19" t="n">
        <x:f>I15</x:f>
        <x:v>6680</x:v>
      </x:c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</x:row>
    <x:row r="61" ht="22" customHeight="1">
      <x:c r="A61" s="19" t="str">
        <x:f>A16</x:f>
        <x:v>第8波</x:v>
      </x:c>
      <x:c r="B61" s="19" t="n">
        <x:f>I16</x:f>
        <x:v>8120</x:v>
      </x:c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</x:row>
    <x:row r="62" ht="22" customHeight="1">
      <x:c r="A62" s="19" t="str">
        <x:f>A17</x:f>
        <x:v>第9波</x:v>
      </x:c>
      <x:c r="B62" s="19" t="n">
        <x:f>I17</x:f>
        <x:v>11700</x:v>
      </x:c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</x:row>
    <x:row r="63" ht="22" customHeight="1">
      <x:c r="A63" s="19" t="str">
        <x:f>A18</x:f>
        <x:v>第10波</x:v>
      </x:c>
      <x:c r="B63" s="19" t="n">
        <x:f>I18</x:f>
        <x:v>13340</x:v>
      </x:c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</x:row>
    <x:row r="64" ht="22" customHeight="1">
      <x:c r="A64" s="19" t="str">
        <x:f>A19</x:f>
        <x:v>第11波</x:v>
      </x:c>
      <x:c r="B64" s="19" t="n">
        <x:f>I19</x:f>
        <x:v>14760</x:v>
      </x:c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</x:row>
    <x:row r="65" ht="22" customHeight="1">
      <x:c r="A65" s="19" t="str">
        <x:f>A20</x:f>
        <x:v>第12波</x:v>
      </x:c>
      <x:c r="B65" s="19" t="n">
        <x:f>I20</x:f>
        <x:v>16860</x:v>
      </x:c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</x:row>
    <x:row r="66" ht="22" customHeight="1">
      <x:c r="A66" s="19" t="str">
        <x:f>A21</x:f>
        <x:v>第13波</x:v>
      </x:c>
      <x:c r="B66" s="19" t="n">
        <x:f>I21</x:f>
        <x:v>0</x:v>
      </x:c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</x:row>
    <x:row r="67" ht="22" customHeight="1">
      <x:c r="A67" s="19" t="str">
        <x:f>A22</x:f>
        <x:v>第14波</x:v>
      </x:c>
      <x:c r="B67" s="19" t="n">
        <x:f>I22</x:f>
        <x:v>0</x:v>
      </x:c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</x:row>
    <x:row r="68" ht="22" customHeight="1">
      <x:c r="A68" s="19" t="str">
        <x:f>A23</x:f>
        <x:v>第15波</x:v>
      </x:c>
      <x:c r="B68" s="19" t="n">
        <x:f>I23</x:f>
        <x:v>0</x:v>
      </x:c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</x:row>
    <x:row r="69" ht="22" customHeight="1">
      <x:c r="A69" s="19" t="str">
        <x:f>A24</x:f>
        <x:v>第16波</x:v>
      </x:c>
      <x:c r="B69" s="19" t="n">
        <x:f>I24</x:f>
        <x:v>0</x:v>
      </x:c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</x:row>
  </x:sheetData>
  <x:mergeCells>
    <x:mergeCell ref="A1:P1"/>
    <x:mergeCell ref="A2:P2"/>
    <x:mergeCell ref="B4:C5"/>
    <x:mergeCell ref="E4:F5"/>
    <x:mergeCell ref="H4:I5"/>
    <x:mergeCell ref="K4:L5"/>
    <x:mergeCell ref="N4:P5"/>
    <x:mergeCell ref="A26:P26"/>
  </x:mergeCells>
  <x:conditionalFormatting sqref="E9:E24">
    <x:cfRule type="containsText" dxfId="116" priority="1" operator="containsText" text="待设计"/>
    <x:cfRule type="containsText" dxfId="117" priority="2" operator="containsText" text="需修正"/>
    <x:cfRule type="containsText" dxfId="118" priority="3" operator="containsText" text="可导入"/>
  </x:conditionalFormatting>
  <x:pageMargins left="0.7" right="0.7" top="0.75" bottom="0.75" header="0.3" footer="0.3"/>
  <x:drawing xmlns:r="http://schemas.openxmlformats.org/officeDocument/2006/relationships" r:id="R150a7f83f85944e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 ht="38" customHeight="1">
      <x:c r="A1" s="3" t="str">
        <x:v>全局设置与模拟情景</x:v>
      </x:c>
      <x:c r="B1" s="3" t="str">
        <x:v>全局设置与模拟情景</x:v>
      </x:c>
      <x:c r="C1" s="3" t="str">
        <x:v>全局设置与模拟情景</x:v>
      </x:c>
      <x:c r="D1" s="3" t="str">
        <x:v>全局设置与模拟情景</x:v>
      </x:c>
      <x:c r="E1" s="3" t="str">
        <x:v>全局设置与模拟情景</x:v>
      </x:c>
      <x:c r="F1" s="3" t="str">
        <x:v>全局设置与模拟情景</x:v>
      </x:c>
    </x:row>
    <x:row r="2" ht="34" customHeight="1">
      <x:c r="A2" s="56" t="str">
        <x:v>蓝色项目会影响整本工作簿的自动计算；灰色项目来自当前游戏权威配置。</x:v>
      </x:c>
      <x:c r="B2" s="56" t="str">
        <x:v>蓝色项目会影响整本工作簿的自动计算；灰色项目来自当前游戏权威配置。</x:v>
      </x:c>
      <x:c r="C2" s="56" t="str">
        <x:v>蓝色项目会影响整本工作簿的自动计算；灰色项目来自当前游戏权威配置。</x:v>
      </x:c>
      <x:c r="D2" s="56" t="str">
        <x:v>蓝色项目会影响整本工作簿的自动计算；灰色项目来自当前游戏权威配置。</x:v>
      </x:c>
      <x:c r="E2" s="56" t="str">
        <x:v>蓝色项目会影响整本工作簿的自动计算；灰色项目来自当前游戏权威配置。</x:v>
      </x:c>
      <x:c r="F2" s="56" t="str">
        <x:v>蓝色项目会影响整本工作簿的自动计算；灰色项目来自当前游戏权威配置。</x:v>
      </x:c>
    </x:row>
    <x:row r="3">
      <x:c r="A3" s="31"/>
      <x:c r="B3" s="31"/>
      <x:c r="C3" s="31"/>
      <x:c r="D3" s="31"/>
      <x:c r="E3" s="31"/>
      <x:c r="F3" s="31"/>
    </x:row>
    <x:row r="4" ht="30" customHeight="1">
      <x:c r="A4" s="40" t="str">
        <x:v>模拟参数</x:v>
      </x:c>
      <x:c r="B4" s="40" t="str">
        <x:v>当前值</x:v>
      </x:c>
      <x:c r="C4" s="31"/>
      <x:c r="D4" s="31"/>
      <x:c r="E4" s="31"/>
      <x:c r="F4" s="31"/>
    </x:row>
    <x:row r="5">
      <x:c r="A5" s="13" t="str">
        <x:v>玩家人数</x:v>
      </x:c>
      <x:c r="B5" s="41" t="n">
        <x:v>1</x:v>
      </x:c>
      <x:c r="C5" s="31"/>
      <x:c r="D5" s="31"/>
      <x:c r="E5" s="31"/>
      <x:c r="F5" s="31"/>
    </x:row>
    <x:row r="6">
      <x:c r="A6" s="13" t="str">
        <x:v>每名额外玩家敌人数增幅</x:v>
      </x:c>
      <x:c r="B6" s="42" t="n">
        <x:v>0.25</x:v>
      </x:c>
      <x:c r="C6" s="31"/>
      <x:c r="D6" s="31"/>
      <x:c r="E6" s="31"/>
      <x:c r="F6" s="31"/>
    </x:row>
    <x:row r="7">
      <x:c r="A7" s="13" t="str">
        <x:v>预计击杀率</x:v>
      </x:c>
      <x:c r="B7" s="43" t="n">
        <x:v>1</x:v>
      </x:c>
      <x:c r="C7" s="31"/>
      <x:c r="D7" s="31"/>
      <x:c r="E7" s="31"/>
      <x:c r="F7" s="31"/>
    </x:row>
    <x:row r="8">
      <x:c r="A8" s="13" t="str">
        <x:v>总日数</x:v>
      </x:c>
      <x:c r="B8" s="19" t="n">
        <x:v>4</x:v>
      </x:c>
      <x:c r="C8" s="31"/>
      <x:c r="D8" s="31"/>
      <x:c r="E8" s="31"/>
      <x:c r="F8" s="31"/>
    </x:row>
    <x:row r="9">
      <x:c r="A9" s="13" t="str">
        <x:v>每日日内波次</x:v>
      </x:c>
      <x:c r="B9" s="19" t="n">
        <x:v>4</x:v>
      </x:c>
      <x:c r="C9" s="31"/>
      <x:c r="D9" s="31"/>
      <x:c r="E9" s="31"/>
      <x:c r="F9" s="31"/>
    </x:row>
    <x:row r="10">
      <x:c r="A10" s="13" t="str">
        <x:v>每波可用敌人槽位</x:v>
      </x:c>
      <x:c r="B10" s="19" t="n">
        <x:v>18</x:v>
      </x:c>
      <x:c r="C10" s="31"/>
      <x:c r="D10" s="31"/>
      <x:c r="E10" s="31"/>
      <x:c r="F10" s="31"/>
    </x:row>
    <x:row r="11">
      <x:c r="A11" s="13" t="str">
        <x:v>Boss 接续于</x:v>
      </x:c>
      <x:c r="B11" s="19" t="str">
        <x:v>第16波之后</x:v>
      </x:c>
      <x:c r="C11" s="31"/>
      <x:c r="D11" s="31"/>
      <x:c r="E11" s="31"/>
      <x:c r="F11" s="31"/>
    </x:row>
    <x:row r="12">
      <x:c r="A12" s="31"/>
      <x:c r="B12" s="31"/>
      <x:c r="C12" s="31"/>
      <x:c r="D12" s="31"/>
      <x:c r="E12" s="31"/>
      <x:c r="F12" s="31"/>
    </x:row>
    <x:row r="13">
      <x:c r="A13" s="24" t="str">
        <x:v>每日息壤情景倍率（命运双倍日设为 2）</x:v>
      </x:c>
      <x:c r="B13" s="24" t="str">
        <x:v>每日息壤情景倍率（命运双倍日设为 2）</x:v>
      </x:c>
      <x:c r="C13" s="24" t="str">
        <x:v>每日息壤情景倍率（命运双倍日设为 2）</x:v>
      </x:c>
      <x:c r="D13" s="24" t="str">
        <x:v>每日息壤情景倍率（命运双倍日设为 2）</x:v>
      </x:c>
      <x:c r="E13" s="24" t="str">
        <x:v>每日息壤情景倍率（命运双倍日设为 2）</x:v>
      </x:c>
      <x:c r="F13" s="24" t="str">
        <x:v>每日息壤情景倍率（命运双倍日设为 2）</x:v>
      </x:c>
    </x:row>
    <x:row r="14" ht="30" customHeight="1">
      <x:c r="A14" s="31"/>
      <x:c r="B14" s="48" t="str">
        <x:v>倍率</x:v>
      </x:c>
      <x:c r="C14" s="41" t="n">
        <x:v>1</x:v>
      </x:c>
      <x:c r="D14" s="41" t="n">
        <x:v>1</x:v>
      </x:c>
      <x:c r="E14" s="41" t="n">
        <x:v>1</x:v>
      </x:c>
      <x:c r="F14" s="41" t="n">
        <x:v>1</x:v>
      </x:c>
    </x:row>
    <x:row r="15" ht="30" customHeight="1">
      <x:c r="A15" s="31"/>
      <x:c r="B15" s="48" t="str">
        <x:v>对应日</x:v>
      </x:c>
      <x:c r="C15" s="52" t="str">
        <x:v>第1日</x:v>
      </x:c>
      <x:c r="D15" s="52" t="str">
        <x:v>第2日</x:v>
      </x:c>
      <x:c r="E15" s="52" t="str">
        <x:v>第3日</x:v>
      </x:c>
      <x:c r="F15" s="52" t="str">
        <x:v>第4日</x:v>
      </x:c>
    </x:row>
    <x:row r="16">
      <x:c r="A16" s="31"/>
      <x:c r="B16" s="31"/>
      <x:c r="C16" s="31"/>
      <x:c r="D16" s="31"/>
      <x:c r="E16" s="31"/>
      <x:c r="F16" s="31"/>
    </x:row>
    <x:row r="17">
      <x:c r="A17" s="9" t="str">
        <x:v>设计完整度</x:v>
      </x:c>
      <x:c r="B17" s="9" t="str">
        <x:v>设计完整度</x:v>
      </x:c>
      <x:c r="C17" s="9" t="str">
        <x:v>设计完整度</x:v>
      </x:c>
      <x:c r="D17" s="9" t="str">
        <x:v>设计完整度</x:v>
      </x:c>
      <x:c r="E17" s="9" t="str">
        <x:v>设计完整度</x:v>
      </x:c>
      <x:c r="F17" s="9" t="str">
        <x:v>设计完整度</x:v>
      </x:c>
    </x:row>
    <x:row r="18">
      <x:c r="A18" s="13" t="str">
        <x:v>可导入波次</x:v>
      </x:c>
      <x:c r="B18" s="19" t="n">
        <x:f>COUNTIF('总览'!$E$9:$E$24,"可导入")</x:f>
        <x:v>12</x:v>
      </x:c>
      <x:c r="C18" s="31"/>
      <x:c r="D18" s="31"/>
      <x:c r="E18" s="31"/>
      <x:c r="F18" s="31"/>
    </x:row>
    <x:row r="19">
      <x:c r="A19" s="13" t="str">
        <x:v>总体状态</x:v>
      </x:c>
      <x:c r="B19" s="19" t="str">
        <x:f>IF(B18=16,"16波已就绪","仍有待设计或错误")</x:f>
        <x:v>仍有待设计或错误</x:v>
      </x:c>
      <x:c r="C19" s="31"/>
      <x:c r="D19" s="31"/>
      <x:c r="E19" s="31"/>
      <x:c r="F19" s="31"/>
    </x:row>
    <x:row r="20">
      <x:c r="A20" s="13" t="str">
        <x:v>敌人目录版本</x:v>
      </x:c>
      <x:c r="B20" s="53" t="str">
        <x:v>b1fe8380d773e1597266e16f821f218f409f50807d0f37e8e2cf139bc0c16be8</x:v>
      </x:c>
      <x:c r="C20" s="31"/>
      <x:c r="D20" s="31"/>
      <x:c r="E20" s="31"/>
      <x:c r="F20" s="31"/>
    </x:row>
    <x:row r="21">
      <x:c r="A21" s="13" t="str">
        <x:v>回读契约</x:v>
      </x:c>
      <x:c r="B21" s="19" t="str">
        <x:v>tower_defense_formal / schema v1</x:v>
      </x:c>
      <x:c r="C21" s="31"/>
      <x:c r="D21" s="31"/>
      <x:c r="E21" s="31"/>
      <x:c r="F21" s="31"/>
    </x:row>
    <x:row r="22">
      <x:c r="A22" s="31"/>
      <x:c r="B22" s="31"/>
      <x:c r="C22" s="31"/>
      <x:c r="D22" s="31"/>
      <x:c r="E22" s="31"/>
      <x:c r="F22" s="31"/>
    </x:row>
    <x:row r="23" ht="38" customHeight="1">
      <x:c r="A23" s="57" t="str">
        <x:v>注意：玩家人数和击杀率只用于平衡预览；正式导入只写波次组成、生成参数和波次级息壤覆盖。</x:v>
      </x:c>
      <x:c r="B23" s="57" t="str">
        <x:v>注意：玩家人数和击杀率只用于平衡预览；正式导入只写波次组成、生成参数和波次级息壤覆盖。</x:v>
      </x:c>
      <x:c r="C23" s="57" t="str">
        <x:v>注意：玩家人数和击杀率只用于平衡预览；正式导入只写波次组成、生成参数和波次级息壤覆盖。</x:v>
      </x:c>
      <x:c r="D23" s="57" t="str">
        <x:v>注意：玩家人数和击杀率只用于平衡预览；正式导入只写波次组成、生成参数和波次级息壤覆盖。</x:v>
      </x:c>
      <x:c r="E23" s="57" t="str">
        <x:v>注意：玩家人数和击杀率只用于平衡预览；正式导入只写波次组成、生成参数和波次级息壤覆盖。</x:v>
      </x:c>
      <x:c r="F23" s="57" t="str">
        <x:v>注意：玩家人数和击杀率只用于平衡预览；正式导入只写波次组成、生成参数和波次级息壤覆盖。</x:v>
      </x:c>
    </x:row>
  </x:sheetData>
  <x:mergeCells>
    <x:mergeCell ref="A1:F1"/>
    <x:mergeCell ref="A2:F2"/>
    <x:mergeCell ref="A13:F13"/>
    <x:mergeCell ref="A17:F17"/>
    <x:mergeCell ref="A23:F23"/>
  </x:mergeCells>
  <x:conditionalFormatting sqref="B19:B19">
    <x:cfRule type="containsText" dxfId="0" priority="1" operator="containsText" text="已就绪"/>
    <x:cfRule type="containsText" dxfId="1" priority="2" operator="containsText" text="仍有"/>
  </x:conditionalFormatting>
  <x:dataValidations count="3">
    <x:dataValidation type="whole" operator="between" sqref="B5">
      <x:formula1>1</x:formula1>
      <x:formula2>4</x:formula2>
    </x:dataValidation>
    <x:dataValidation type="decimal" operator="between" sqref="B7">
      <x:formula1>0</x:formula1>
      <x:formula2>1</x:formula2>
    </x:dataValidation>
    <x:dataValidation type="list" sqref="C14:F14">
      <x:formula1>"1,2"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0" hidden="0" customWidth="1"/>
    <x:col min="3" max="3" width="10" hidden="0" customWidth="1"/>
    <x:col min="4" max="4" width="13" hidden="0" customWidth="1"/>
    <x:col min="5" max="5" width="3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1" hidden="0" customWidth="1"/>
    <x:col min="13" max="13" width="12" hidden="0" customWidth="1"/>
    <x:col min="14" max="14" width="12" hidden="0" customWidth="1"/>
    <x:col min="15" max="15" width="15" hidden="0" customWidth="1"/>
    <x:col min="16" max="16" width="13" hidden="0" customWidth="1"/>
    <x:col min="17" max="17" width="15" hidden="0" customWidth="1"/>
    <x:col min="18" max="18" width="15" hidden="0" customWidth="1"/>
    <x:col min="19" max="19" width="15" hidden="0" customWidth="1"/>
    <x:col min="20" max="20" width="13" hidden="0" customWidth="1"/>
    <x:col min="21" max="21" width="12" hidden="0" customWidth="1"/>
  </x:cols>
  <x:sheetData>
    <x:row r="1" ht="22" customHeight="1">
      <x:c r="A1" s="31"/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</x:row>
    <x:row r="2" ht="22" customHeight="1">
      <x:c r="A2" s="71" t="str">
        <x:v>第 1 波｜第 1 日·1/4｜白昼｜当前正式配置</x:v>
      </x:c>
      <x:c r="B2" s="71" t="str">
        <x:v>第 1 波｜第 1 日·1/4｜白昼｜当前正式配置</x:v>
      </x:c>
      <x:c r="C2" s="71" t="str">
        <x:v>第 1 波｜第 1 日·1/4｜白昼｜当前正式配置</x:v>
      </x:c>
      <x:c r="D2" s="71" t="str">
        <x:v>第 1 波｜第 1 日·1/4｜白昼｜当前正式配置</x:v>
      </x:c>
      <x:c r="E2" s="71" t="str">
        <x:v>第 1 波｜第 1 日·1/4｜白昼｜当前正式配置</x:v>
      </x:c>
      <x:c r="F2" s="71" t="str">
        <x:v>第 1 波｜第 1 日·1/4｜白昼｜当前正式配置</x:v>
      </x:c>
      <x:c r="G2" s="71" t="str">
        <x:v>第 1 波｜第 1 日·1/4｜白昼｜当前正式配置</x:v>
      </x:c>
      <x:c r="H2" s="71" t="str">
        <x:v>第 1 波｜第 1 日·1/4｜白昼｜当前正式配置</x:v>
      </x:c>
      <x:c r="I2" s="71" t="str">
        <x:v>第 1 波｜第 1 日·1/4｜白昼｜当前正式配置</x:v>
      </x:c>
      <x:c r="J2" s="71" t="str">
        <x:v>第 1 波｜第 1 日·1/4｜白昼｜当前正式配置</x:v>
      </x:c>
      <x:c r="K2" s="71" t="str">
        <x:v>第 1 波｜第 1 日·1/4｜白昼｜当前正式配置</x:v>
      </x:c>
      <x:c r="L2" s="71" t="str">
        <x:v>第 1 波｜第 1 日·1/4｜白昼｜当前正式配置</x:v>
      </x:c>
      <x:c r="M2" s="71" t="str">
        <x:v>第 1 波｜第 1 日·1/4｜白昼｜当前正式配置</x:v>
      </x:c>
      <x:c r="N2" s="71" t="str">
        <x:v>第 1 波｜第 1 日·1/4｜白昼｜当前正式配置</x:v>
      </x:c>
      <x:c r="O2" s="71" t="str">
        <x:v>第 1 波｜第 1 日·1/4｜白昼｜当前正式配置</x:v>
      </x:c>
      <x:c r="P2" s="71" t="str">
        <x:v>第 1 波｜第 1 日·1/4｜白昼｜当前正式配置</x:v>
      </x:c>
      <x:c r="Q2" s="71" t="str">
        <x:v>第 1 波｜第 1 日·1/4｜白昼｜当前正式配置</x:v>
      </x:c>
      <x:c r="R2" s="71" t="str">
        <x:v>第 1 波｜第 1 日·1/4｜白昼｜当前正式配置</x:v>
      </x:c>
      <x:c r="S2" s="71" t="str">
        <x:v>第 1 波｜第 1 日·1/4｜白昼｜当前正式配置</x:v>
      </x:c>
      <x:c r="T2" s="71" t="str">
        <x:v>第 1 波｜第 1 日·1/4｜白昼｜当前正式配置</x:v>
      </x:c>
      <x:c r="U2" s="71" t="str">
        <x:v>第 1 波｜第 1 日·1/4｜白昼｜当前正式配置</x:v>
      </x:c>
    </x:row>
    <x:row r="3" ht="22" customHeight="1">
      <x:c r="A3" s="40" t="str">
        <x:v>波次名称</x:v>
      </x:c>
      <x:c r="B3" s="41" t="str">
        <x:v>第1波 林地试探</x:v>
      </x:c>
      <x:c r="C3" s="41" t="str">
        <x:v>第1波 林地试探</x:v>
      </x:c>
      <x:c r="D3" s="41" t="str">
        <x:v>第1波 林地试探</x:v>
      </x:c>
      <x:c r="E3" s="41" t="str">
        <x:v>第1波 林地试探</x:v>
      </x:c>
      <x:c r="F3" s="41" t="str">
        <x:v>第1波 林地试探</x:v>
      </x:c>
      <x:c r="G3" s="40" t="str">
        <x:v>出生间隔(s)</x:v>
      </x:c>
      <x:c r="H3" s="41" t="n">
        <x:v>0.8</x:v>
      </x:c>
      <x:c r="I3" s="40" t="str">
        <x:v>每Tick</x:v>
      </x:c>
      <x:c r="J3" s="41" t="n">
        <x:v>1</x:v>
      </x:c>
      <x:c r="K3" s="40" t="str">
        <x:v>存活上限</x:v>
      </x:c>
      <x:c r="L3" s="41" t="n">
        <x:v>24</x:v>
      </x:c>
      <x:c r="M3" s="40" t="str">
        <x:v>校验</x:v>
      </x:c>
      <x:c r="N3" s="19" t="str">
        <x:f>IF(COUNTA(B7:B24)=0,"待设计",IF(COUNTIF(U7:U24,"可导入")=COUNTA(B7:B24),"可导入","需修正"))</x:f>
        <x:v>可导入</x:v>
      </x:c>
      <x:c r="O3" s="19" t="str"/>
      <x:c r="P3" s="40" t="str">
        <x:v>来源</x:v>
      </x:c>
      <x:c r="Q3" s="19" t="str">
        <x:v>当前游戏 formal 资源</x:v>
      </x:c>
      <x:c r="R3" s="19" t="str">
        <x:v>当前游戏 formal 资源</x:v>
      </x:c>
      <x:c r="S3" s="19" t="str">
        <x:v>当前游戏 formal 资源</x:v>
      </x:c>
      <x:c r="T3" s="19" t="str">
        <x:v>当前游戏 formal 资源</x:v>
      </x:c>
      <x:c r="U3" s="19" t="str">
        <x:v>当前游戏 formal 资源</x:v>
      </x:c>
    </x:row>
    <x:row r="4" ht="22" customHeight="1">
      <x:c r="A4" s="40" t="str">
        <x:v>出生点</x:v>
      </x:c>
      <x:c r="B4" s="41" t="str">
        <x:v>开启</x:v>
      </x:c>
      <x:c r="C4" s="41" t="str">
        <x:v>开启</x:v>
      </x:c>
      <x:c r="D4" s="41" t="str">
        <x:v>开启</x:v>
      </x:c>
      <x:c r="E4" s="41" t="str">
        <x:v>开启</x:v>
      </x:c>
      <x:c r="F4" s="41" t="str">
        <x:v>开启</x:v>
      </x:c>
      <x:c r="G4" s="41" t="str">
        <x:v>开启</x:v>
      </x:c>
      <x:c r="H4" s="40" t="str">
        <x:v>战斗音乐</x:v>
      </x:c>
      <x:c r="I4" s="19" t="str">
        <x:v>shenmu_forest_combat</x:v>
      </x:c>
      <x:c r="J4" s="19" t="str">
        <x:v>shenmu_forest_combat</x:v>
      </x:c>
      <x:c r="K4" s="19" t="str">
        <x:v>shenmu_forest_combat</x:v>
      </x:c>
      <x:c r="L4" s="19" t="str">
        <x:v>shenmu_forest_combat</x:v>
      </x:c>
      <x:c r="M4" s="19" t="str">
        <x:v>shenmu_forest_combat</x:v>
      </x:c>
      <x:c r="N4" s="40" t="str">
        <x:v>波后音乐</x:v>
      </x:c>
      <x:c r="O4" s="19" t="str">
        <x:v>shenmu_forest_intermission</x:v>
      </x:c>
      <x:c r="P4" s="19" t="str">
        <x:v>shenmu_forest_intermission</x:v>
      </x:c>
      <x:c r="Q4" s="19" t="str">
        <x:v>shenmu_forest_intermission</x:v>
      </x:c>
      <x:c r="R4" s="19" t="str">
        <x:v>shenmu_forest_intermission</x:v>
      </x:c>
      <x:c r="S4" s="19" t="str">
        <x:v>shenmu_forest_intermission</x:v>
      </x:c>
      <x:c r="T4" s="19" t="str">
        <x:v>shenmu_forest_intermission</x:v>
      </x:c>
      <x:c r="U4" s="19" t="str">
        <x:v>shenmu_forest_intermission</x:v>
      </x:c>
    </x:row>
    <x:row r="5" ht="22" customHeight="1">
      <x:c r="A5" s="56" t="str">
        <x:v>蓝色列可编辑。每种敌人一行；若同波重复选择同一稳定 ID，请合并数量。实际数量按当前模拟玩家数逐条向上取整。</x:v>
      </x:c>
      <x:c r="B5" s="56" t="str">
        <x:v>蓝色列可编辑。每种敌人一行；若同波重复选择同一稳定 ID，请合并数量。实际数量按当前模拟玩家数逐条向上取整。</x:v>
      </x:c>
      <x:c r="C5" s="56" t="str">
        <x:v>蓝色列可编辑。每种敌人一行；若同波重复选择同一稳定 ID，请合并数量。实际数量按当前模拟玩家数逐条向上取整。</x:v>
      </x:c>
      <x:c r="D5" s="56" t="str">
        <x:v>蓝色列可编辑。每种敌人一行；若同波重复选择同一稳定 ID，请合并数量。实际数量按当前模拟玩家数逐条向上取整。</x:v>
      </x:c>
      <x:c r="E5" s="56" t="str">
        <x:v>蓝色列可编辑。每种敌人一行；若同波重复选择同一稳定 ID，请合并数量。实际数量按当前模拟玩家数逐条向上取整。</x:v>
      </x:c>
      <x:c r="F5" s="56" t="str">
        <x:v>蓝色列可编辑。每种敌人一行；若同波重复选择同一稳定 ID，请合并数量。实际数量按当前模拟玩家数逐条向上取整。</x:v>
      </x:c>
      <x:c r="G5" s="56" t="str">
        <x:v>蓝色列可编辑。每种敌人一行；若同波重复选择同一稳定 ID，请合并数量。实际数量按当前模拟玩家数逐条向上取整。</x:v>
      </x:c>
      <x:c r="H5" s="56" t="str">
        <x:v>蓝色列可编辑。每种敌人一行；若同波重复选择同一稳定 ID，请合并数量。实际数量按当前模拟玩家数逐条向上取整。</x:v>
      </x:c>
      <x:c r="I5" s="56" t="str">
        <x:v>蓝色列可编辑。每种敌人一行；若同波重复选择同一稳定 ID，请合并数量。实际数量按当前模拟玩家数逐条向上取整。</x:v>
      </x:c>
      <x:c r="J5" s="56" t="str">
        <x:v>蓝色列可编辑。每种敌人一行；若同波重复选择同一稳定 ID，请合并数量。实际数量按当前模拟玩家数逐条向上取整。</x:v>
      </x:c>
      <x:c r="K5" s="56" t="str">
        <x:v>蓝色列可编辑。每种敌人一行；若同波重复选择同一稳定 ID，请合并数量。实际数量按当前模拟玩家数逐条向上取整。</x:v>
      </x:c>
      <x:c r="L5" s="56" t="str">
        <x:v>蓝色列可编辑。每种敌人一行；若同波重复选择同一稳定 ID，请合并数量。实际数量按当前模拟玩家数逐条向上取整。</x:v>
      </x:c>
      <x:c r="M5" s="56" t="str">
        <x:v>蓝色列可编辑。每种敌人一行；若同波重复选择同一稳定 ID，请合并数量。实际数量按当前模拟玩家数逐条向上取整。</x:v>
      </x:c>
      <x:c r="N5" s="56" t="str">
        <x:v>蓝色列可编辑。每种敌人一行；若同波重复选择同一稳定 ID，请合并数量。实际数量按当前模拟玩家数逐条向上取整。</x:v>
      </x:c>
      <x:c r="O5" s="56" t="str">
        <x:v>蓝色列可编辑。每种敌人一行；若同波重复选择同一稳定 ID，请合并数量。实际数量按当前模拟玩家数逐条向上取整。</x:v>
      </x:c>
      <x:c r="P5" s="56" t="str">
        <x:v>蓝色列可编辑。每种敌人一行；若同波重复选择同一稳定 ID，请合并数量。实际数量按当前模拟玩家数逐条向上取整。</x:v>
      </x:c>
      <x:c r="Q5" s="56" t="str">
        <x:v>蓝色列可编辑。每种敌人一行；若同波重复选择同一稳定 ID，请合并数量。实际数量按当前模拟玩家数逐条向上取整。</x:v>
      </x:c>
      <x:c r="R5" s="56" t="str">
        <x:v>蓝色列可编辑。每种敌人一行；若同波重复选择同一稳定 ID，请合并数量。实际数量按当前模拟玩家数逐条向上取整。</x:v>
      </x:c>
      <x:c r="S5" s="56" t="str">
        <x:v>蓝色列可编辑。每种敌人一行；若同波重复选择同一稳定 ID，请合并数量。实际数量按当前模拟玩家数逐条向上取整。</x:v>
      </x:c>
      <x:c r="T5" s="56" t="str">
        <x:v>蓝色列可编辑。每种敌人一行；若同波重复选择同一稳定 ID，请合并数量。实际数量按当前模拟玩家数逐条向上取整。</x:v>
      </x:c>
      <x:c r="U5" s="56" t="str">
        <x:v>蓝色列可编辑。每种敌人一行；若同波重复选择同一稳定 ID，请合并数量。实际数量按当前模拟玩家数逐条向上取整。</x:v>
      </x:c>
    </x:row>
    <x:row r="6" ht="22" customHeight="1">
      <x:c r="A6" s="63" t="str">
        <x:v>槽位</x:v>
      </x:c>
      <x:c r="B6" s="63" t="str">
        <x:v>敌人（下拉选择）</x:v>
      </x:c>
      <x:c r="C6" s="63" t="str">
        <x:v>基础数量</x:v>
      </x:c>
      <x:c r="D6" s="63" t="str">
        <x:v>本波息壤覆盖</x:v>
      </x:c>
      <x:c r="E6" s="63" t="str">
        <x:v>稳定敌人ID</x:v>
      </x:c>
      <x:c r="F6" s="63" t="str">
        <x:v>实际数量</x:v>
      </x:c>
      <x:c r="G6" s="63" t="str">
        <x:v>生命</x:v>
      </x:c>
      <x:c r="H6" s="63" t="str">
        <x:v>攻击</x:v>
      </x:c>
      <x:c r="I6" s="63" t="str">
        <x:v>物理防御</x:v>
      </x:c>
      <x:c r="J6" s="63" t="str">
        <x:v>法术防御</x:v>
      </x:c>
      <x:c r="K6" s="63" t="str">
        <x:v>移速</x:v>
      </x:c>
      <x:c r="L6" s="63" t="str">
        <x:v>Home伤害</x:v>
      </x:c>
      <x:c r="M6" s="63" t="str">
        <x:v>游戏默认息壤</x:v>
      </x:c>
      <x:c r="N6" s="63" t="str">
        <x:v>有效息壤</x:v>
      </x:c>
      <x:c r="O6" s="63" t="str">
        <x:v>掉落期望/击杀</x:v>
      </x:c>
      <x:c r="P6" s="63" t="str">
        <x:v>总生命</x:v>
      </x:c>
      <x:c r="Q6" s="63" t="str">
        <x:v>全漏Home伤害</x:v>
      </x:c>
      <x:c r="R6" s="63" t="str">
        <x:v>最大息壤/玩家</x:v>
      </x:c>
      <x:c r="S6" s="63" t="str">
        <x:v>最大息壤/队伍</x:v>
      </x:c>
      <x:c r="T6" s="63" t="str">
        <x:v>掉落期望</x:v>
      </x:c>
      <x:c r="U6" s="63" t="str">
        <x:v>校验</x:v>
      </x:c>
    </x:row>
    <x:row r="7" ht="22" customHeight="1">
      <x:c r="A7" s="72" t="n">
        <x:v>1</x:v>
      </x:c>
      <x:c r="B7" s="41" t="str">
        <x:v>yuanshi_insect_basic｜普通原石虫</x:v>
      </x:c>
      <x:c r="C7" s="41" t="n">
        <x:v>18</x:v>
      </x:c>
      <x:c r="D7" s="41"/>
      <x:c r="E7" s="19" t="str">
        <x:f>IFERROR(VLOOKUP(B7,'敌人目录'!$A$6:$S$54,2,FALSE),"")</x:f>
        <x:v>yuanshi_insect_basic</x:v>
      </x:c>
      <x:c r="F7" s="19" t="n">
        <x:f>IF(OR(B7="",C7=""),"",ROUNDUP(C7*(1+('全局设置'!$B$5-1)*'全局设置'!$B$6),0))</x:f>
        <x:v>18</x:v>
      </x:c>
      <x:c r="G7" s="19" t="n">
        <x:f>IFERROR(VLOOKUP(B7,'敌人目录'!$A$6:$S$54,7,FALSE),"")</x:f>
        <x:v>40</x:v>
      </x:c>
      <x:c r="H7" s="19" t="n">
        <x:f>IFERROR(VLOOKUP(B7,'敌人目录'!$A$6:$S$54,8,FALSE),"")</x:f>
        <x:v>10</x:v>
      </x:c>
      <x:c r="I7" s="19" t="n">
        <x:f>IFERROR(VLOOKUP(B7,'敌人目录'!$A$6:$S$54,9,FALSE),"")</x:f>
        <x:v>0</x:v>
      </x:c>
      <x:c r="J7" s="19" t="n">
        <x:f>IFERROR(VLOOKUP(B7,'敌人目录'!$A$6:$S$54,10,FALSE),"")</x:f>
        <x:v>0</x:v>
      </x:c>
      <x:c r="K7" s="19" t="n">
        <x:f>IFERROR(VLOOKUP(B7,'敌人目录'!$A$6:$S$54,11,FALSE),"")</x:f>
        <x:v>20</x:v>
      </x:c>
      <x:c r="L7" s="19" t="n">
        <x:f>IFERROR(VLOOKUP(B7,'敌人目录'!$A$6:$S$54,12,FALSE),"")</x:f>
        <x:v>1</x:v>
      </x:c>
      <x:c r="M7" s="19" t="n">
        <x:f>IFERROR(VLOOKUP(B7,'敌人目录'!$A$6:$S$54,13,FALSE),"")</x:f>
        <x:v>1</x:v>
      </x:c>
      <x:c r="N7" s="19" t="n">
        <x:f>IF(B7="","",IF(ISNUMBER(D7),D7,IFERROR(VLOOKUP(B7,'敌人目录'!$A$6:$S$54,14,FALSE),"")))</x:f>
        <x:v>1</x:v>
      </x:c>
      <x:c r="O7" s="64" t="n">
        <x:f>IFERROR(VLOOKUP(B7,'敌人目录'!$A$6:$S$54,15,FALSE),"")</x:f>
        <x:v>0.05</x:v>
      </x:c>
      <x:c r="P7" s="19" t="n">
        <x:f>IF(F7="","",F7*G7)</x:f>
        <x:v>720</x:v>
      </x:c>
      <x:c r="Q7" s="19" t="n">
        <x:f>IF(F7="","",F7*L7)</x:f>
        <x:v>18</x:v>
      </x:c>
      <x:c r="R7" s="19" t="n">
        <x:f>IF(F7="","",F7*N7)</x:f>
        <x:v>18</x:v>
      </x:c>
      <x:c r="S7" s="19" t="n">
        <x:f>IF(R7="","",R7*'全局设置'!$B$5)</x:f>
        <x:v>18</x:v>
      </x:c>
      <x:c r="T7" s="73" t="n">
        <x:f>IF(F7="","",F7*O7)</x:f>
        <x:v>0.9</x:v>
      </x:c>
      <x:c r="U7" s="19" t="str">
        <x:f>IF(AND(B7="",C7=""),"",IF(B7="","缺少敌人",IF(C7="","缺少数量",IF(OR(C7&lt;1,C7&gt;9999,C7&lt;&gt;INT(C7)),"数量无效",IF(COUNTIF($E$7:$E$24,E7)&gt;1,"重复敌人",IF(AND(ISNUMBER(D7),OR(D7&lt;0,D7&gt;999,D7&lt;&gt;INT(D7))),"奖励无效","可导入"))))))</x:f>
        <x:v>可导入</x:v>
      </x:c>
    </x:row>
    <x:row r="8" ht="22" customHeight="1">
      <x:c r="A8" s="72" t="n">
        <x:v>2</x:v>
      </x:c>
      <x:c r="B8" s="41" t="str">
        <x:v>yuanshi_insect_shell｜硬壳原石虫</x:v>
      </x:c>
      <x:c r="C8" s="41" t="n">
        <x:v>6</x:v>
      </x:c>
      <x:c r="D8" s="41"/>
      <x:c r="E8" s="19" t="str">
        <x:f>IFERROR(VLOOKUP(B8,'敌人目录'!$A$6:$S$54,2,FALSE),"")</x:f>
        <x:v>yuanshi_insect_shell</x:v>
      </x:c>
      <x:c r="F8" s="19" t="n">
        <x:f>IF(OR(B8="",C8=""),"",ROUNDUP(C8*(1+('全局设置'!$B$5-1)*'全局设置'!$B$6),0))</x:f>
        <x:v>6</x:v>
      </x:c>
      <x:c r="G8" s="19" t="n">
        <x:f>IFERROR(VLOOKUP(B8,'敌人目录'!$A$6:$S$54,7,FALSE),"")</x:f>
        <x:v>140</x:v>
      </x:c>
      <x:c r="H8" s="19" t="n">
        <x:f>IFERROR(VLOOKUP(B8,'敌人目录'!$A$6:$S$54,8,FALSE),"")</x:f>
        <x:v>14</x:v>
      </x:c>
      <x:c r="I8" s="19" t="n">
        <x:f>IFERROR(VLOOKUP(B8,'敌人目录'!$A$6:$S$54,9,FALSE),"")</x:f>
        <x:v>3</x:v>
      </x:c>
      <x:c r="J8" s="19" t="n">
        <x:f>IFERROR(VLOOKUP(B8,'敌人目录'!$A$6:$S$54,10,FALSE),"")</x:f>
        <x:v>0</x:v>
      </x:c>
      <x:c r="K8" s="19" t="n">
        <x:f>IFERROR(VLOOKUP(B8,'敌人目录'!$A$6:$S$54,11,FALSE),"")</x:f>
        <x:v>20</x:v>
      </x:c>
      <x:c r="L8" s="19" t="n">
        <x:f>IFERROR(VLOOKUP(B8,'敌人目录'!$A$6:$S$54,12,FALSE),"")</x:f>
        <x:v>2</x:v>
      </x:c>
      <x:c r="M8" s="19" t="n">
        <x:f>IFERROR(VLOOKUP(B8,'敌人目录'!$A$6:$S$54,13,FALSE),"")</x:f>
        <x:v>2</x:v>
      </x:c>
      <x:c r="N8" s="19" t="n">
        <x:f>IF(B8="","",IF(ISNUMBER(D8),D8,IFERROR(VLOOKUP(B8,'敌人目录'!$A$6:$S$54,14,FALSE),"")))</x:f>
        <x:v>2</x:v>
      </x:c>
      <x:c r="O8" s="64" t="n">
        <x:f>IFERROR(VLOOKUP(B8,'敌人目录'!$A$6:$S$54,15,FALSE),"")</x:f>
        <x:v>0.05</x:v>
      </x:c>
      <x:c r="P8" s="19" t="n">
        <x:f>IF(F8="","",F8*G8)</x:f>
        <x:v>840</x:v>
      </x:c>
      <x:c r="Q8" s="19" t="n">
        <x:f>IF(F8="","",F8*L8)</x:f>
        <x:v>12</x:v>
      </x:c>
      <x:c r="R8" s="19" t="n">
        <x:f>IF(F8="","",F8*N8)</x:f>
        <x:v>12</x:v>
      </x:c>
      <x:c r="S8" s="19" t="n">
        <x:f>IF(R8="","",R8*'全局设置'!$B$5)</x:f>
        <x:v>12</x:v>
      </x:c>
      <x:c r="T8" s="73" t="n">
        <x:f>IF(F8="","",F8*O8)</x:f>
        <x:v>0.30000000000000004</x:v>
      </x:c>
      <x:c r="U8" s="19" t="str">
        <x:f>IF(AND(B8="",C8=""),"",IF(B8="","缺少敌人",IF(C8="","缺少数量",IF(OR(C8&lt;1,C8&gt;9999,C8&lt;&gt;INT(C8)),"数量无效",IF(COUNTIF($E$7:$E$24,E8)&gt;1,"重复敌人",IF(AND(ISNUMBER(D8),OR(D8&lt;0,D8&gt;999,D8&lt;&gt;INT(D8))),"奖励无效","可导入"))))))</x:f>
        <x:v>可导入</x:v>
      </x:c>
    </x:row>
    <x:row r="9" ht="22" customHeight="1">
      <x:c r="A9" s="72" t="n">
        <x:v>3</x:v>
      </x:c>
      <x:c r="B9" s="41"/>
      <x:c r="C9" s="41"/>
      <x:c r="D9" s="41"/>
      <x:c r="E9" s="19" t="str">
        <x:f>IFERROR(VLOOKUP(B9,'敌人目录'!$A$6:$S$54,2,FALSE),"")</x:f>
      </x:c>
      <x:c r="F9" s="19" t="str">
        <x:f>IF(OR(B9="",C9=""),"",ROUNDUP(C9*(1+('全局设置'!$B$5-1)*'全局设置'!$B$6),0))</x:f>
      </x:c>
      <x:c r="G9" s="19" t="str">
        <x:f>IFERROR(VLOOKUP(B9,'敌人目录'!$A$6:$S$54,7,FALSE),"")</x:f>
      </x:c>
      <x:c r="H9" s="19" t="str">
        <x:f>IFERROR(VLOOKUP(B9,'敌人目录'!$A$6:$S$54,8,FALSE),"")</x:f>
      </x:c>
      <x:c r="I9" s="19" t="str">
        <x:f>IFERROR(VLOOKUP(B9,'敌人目录'!$A$6:$S$54,9,FALSE),"")</x:f>
      </x:c>
      <x:c r="J9" s="19" t="str">
        <x:f>IFERROR(VLOOKUP(B9,'敌人目录'!$A$6:$S$54,10,FALSE),"")</x:f>
      </x:c>
      <x:c r="K9" s="19" t="str">
        <x:f>IFERROR(VLOOKUP(B9,'敌人目录'!$A$6:$S$54,11,FALSE),"")</x:f>
      </x:c>
      <x:c r="L9" s="19" t="str">
        <x:f>IFERROR(VLOOKUP(B9,'敌人目录'!$A$6:$S$54,12,FALSE),"")</x:f>
      </x:c>
      <x:c r="M9" s="19" t="str">
        <x:f>IFERROR(VLOOKUP(B9,'敌人目录'!$A$6:$S$54,13,FALSE),"")</x:f>
      </x:c>
      <x:c r="N9" s="19" t="str">
        <x:f>IF(B9="","",IF(ISNUMBER(D9),D9,IFERROR(VLOOKUP(B9,'敌人目录'!$A$6:$S$54,14,FALSE),"")))</x:f>
      </x:c>
      <x:c r="O9" s="64" t="str">
        <x:f>IFERROR(VLOOKUP(B9,'敌人目录'!$A$6:$S$54,15,FALSE),"")</x:f>
      </x:c>
      <x:c r="P9" s="19" t="str">
        <x:f>IF(F9="","",F9*G9)</x:f>
      </x:c>
      <x:c r="Q9" s="19" t="str">
        <x:f>IF(F9="","",F9*L9)</x:f>
      </x:c>
      <x:c r="R9" s="19" t="str">
        <x:f>IF(F9="","",F9*N9)</x:f>
      </x:c>
      <x:c r="S9" s="19" t="str">
        <x:f>IF(R9="","",R9*'全局设置'!$B$5)</x:f>
      </x:c>
      <x:c r="T9" s="73" t="str">
        <x:f>IF(F9="","",F9*O9)</x:f>
      </x:c>
      <x:c r="U9" s="19" t="str">
        <x:f>IF(AND(B9="",C9=""),"",IF(B9="","缺少敌人",IF(C9="","缺少数量",IF(OR(C9&lt;1,C9&gt;9999,C9&lt;&gt;INT(C9)),"数量无效",IF(COUNTIF($E$7:$E$24,E9)&gt;1,"重复敌人",IF(AND(ISNUMBER(D9),OR(D9&lt;0,D9&gt;999,D9&lt;&gt;INT(D9))),"奖励无效","可导入"))))))</x:f>
      </x:c>
    </x:row>
    <x:row r="10" ht="22" customHeight="1">
      <x:c r="A10" s="72" t="n">
        <x:v>4</x:v>
      </x:c>
      <x:c r="B10" s="41"/>
      <x:c r="C10" s="41"/>
      <x:c r="D10" s="41"/>
      <x:c r="E10" s="19" t="str">
        <x:f>IFERROR(VLOOKUP(B10,'敌人目录'!$A$6:$S$54,2,FALSE),"")</x:f>
      </x:c>
      <x:c r="F10" s="19" t="str">
        <x:f>IF(OR(B10="",C10=""),"",ROUNDUP(C10*(1+('全局设置'!$B$5-1)*'全局设置'!$B$6),0))</x:f>
      </x:c>
      <x:c r="G10" s="19" t="str">
        <x:f>IFERROR(VLOOKUP(B10,'敌人目录'!$A$6:$S$54,7,FALSE),"")</x:f>
      </x:c>
      <x:c r="H10" s="19" t="str">
        <x:f>IFERROR(VLOOKUP(B10,'敌人目录'!$A$6:$S$54,8,FALSE),"")</x:f>
      </x:c>
      <x:c r="I10" s="19" t="str">
        <x:f>IFERROR(VLOOKUP(B10,'敌人目录'!$A$6:$S$54,9,FALSE),"")</x:f>
      </x:c>
      <x:c r="J10" s="19" t="str">
        <x:f>IFERROR(VLOOKUP(B10,'敌人目录'!$A$6:$S$54,10,FALSE),"")</x:f>
      </x:c>
      <x:c r="K10" s="19" t="str">
        <x:f>IFERROR(VLOOKUP(B10,'敌人目录'!$A$6:$S$54,11,FALSE),"")</x:f>
      </x:c>
      <x:c r="L10" s="19" t="str">
        <x:f>IFERROR(VLOOKUP(B10,'敌人目录'!$A$6:$S$54,12,FALSE),"")</x:f>
      </x:c>
      <x:c r="M10" s="19" t="str">
        <x:f>IFERROR(VLOOKUP(B10,'敌人目录'!$A$6:$S$54,13,FALSE),"")</x:f>
      </x:c>
      <x:c r="N10" s="19" t="str">
        <x:f>IF(B10="","",IF(ISNUMBER(D10),D10,IFERROR(VLOOKUP(B10,'敌人目录'!$A$6:$S$54,14,FALSE),"")))</x:f>
      </x:c>
      <x:c r="O10" s="64" t="str">
        <x:f>IFERROR(VLOOKUP(B10,'敌人目录'!$A$6:$S$54,15,FALSE),"")</x:f>
      </x:c>
      <x:c r="P10" s="19" t="str">
        <x:f>IF(F10="","",F10*G10)</x:f>
      </x:c>
      <x:c r="Q10" s="19" t="str">
        <x:f>IF(F10="","",F10*L10)</x:f>
      </x:c>
      <x:c r="R10" s="19" t="str">
        <x:f>IF(F10="","",F10*N10)</x:f>
      </x:c>
      <x:c r="S10" s="19" t="str">
        <x:f>IF(R10="","",R10*'全局设置'!$B$5)</x:f>
      </x:c>
      <x:c r="T10" s="73" t="str">
        <x:f>IF(F10="","",F10*O10)</x:f>
      </x:c>
      <x:c r="U10" s="19" t="str">
        <x:f>IF(AND(B10="",C10=""),"",IF(B10="","缺少敌人",IF(C10="","缺少数量",IF(OR(C10&lt;1,C10&gt;9999,C10&lt;&gt;INT(C10)),"数量无效",IF(COUNTIF($E$7:$E$24,E10)&gt;1,"重复敌人",IF(AND(ISNUMBER(D10),OR(D10&lt;0,D10&gt;999,D10&lt;&gt;INT(D10))),"奖励无效","可导入"))))))</x:f>
      </x:c>
    </x:row>
    <x:row r="11" ht="22" customHeight="1">
      <x:c r="A11" s="72" t="n">
        <x:v>5</x:v>
      </x:c>
      <x:c r="B11" s="41"/>
      <x:c r="C11" s="41"/>
      <x:c r="D11" s="41"/>
      <x:c r="E11" s="19" t="str">
        <x:f>IFERROR(VLOOKUP(B11,'敌人目录'!$A$6:$S$54,2,FALSE),"")</x:f>
      </x:c>
      <x:c r="F11" s="19" t="str">
        <x:f>IF(OR(B11="",C11=""),"",ROUNDUP(C11*(1+('全局设置'!$B$5-1)*'全局设置'!$B$6),0))</x:f>
      </x:c>
      <x:c r="G11" s="19" t="str">
        <x:f>IFERROR(VLOOKUP(B11,'敌人目录'!$A$6:$S$54,7,FALSE),"")</x:f>
      </x:c>
      <x:c r="H11" s="19" t="str">
        <x:f>IFERROR(VLOOKUP(B11,'敌人目录'!$A$6:$S$54,8,FALSE),"")</x:f>
      </x:c>
      <x:c r="I11" s="19" t="str">
        <x:f>IFERROR(VLOOKUP(B11,'敌人目录'!$A$6:$S$54,9,FALSE),"")</x:f>
      </x:c>
      <x:c r="J11" s="19" t="str">
        <x:f>IFERROR(VLOOKUP(B11,'敌人目录'!$A$6:$S$54,10,FALSE),"")</x:f>
      </x:c>
      <x:c r="K11" s="19" t="str">
        <x:f>IFERROR(VLOOKUP(B11,'敌人目录'!$A$6:$S$54,11,FALSE),"")</x:f>
      </x:c>
      <x:c r="L11" s="19" t="str">
        <x:f>IFERROR(VLOOKUP(B11,'敌人目录'!$A$6:$S$54,12,FALSE),"")</x:f>
      </x:c>
      <x:c r="M11" s="19" t="str">
        <x:f>IFERROR(VLOOKUP(B11,'敌人目录'!$A$6:$S$54,13,FALSE),"")</x:f>
      </x:c>
      <x:c r="N11" s="19" t="str">
        <x:f>IF(B11="","",IF(ISNUMBER(D11),D11,IFERROR(VLOOKUP(B11,'敌人目录'!$A$6:$S$54,14,FALSE),"")))</x:f>
      </x:c>
      <x:c r="O11" s="64" t="str">
        <x:f>IFERROR(VLOOKUP(B11,'敌人目录'!$A$6:$S$54,15,FALSE),"")</x:f>
      </x:c>
      <x:c r="P11" s="19" t="str">
        <x:f>IF(F11="","",F11*G11)</x:f>
      </x:c>
      <x:c r="Q11" s="19" t="str">
        <x:f>IF(F11="","",F11*L11)</x:f>
      </x:c>
      <x:c r="R11" s="19" t="str">
        <x:f>IF(F11="","",F11*N11)</x:f>
      </x:c>
      <x:c r="S11" s="19" t="str">
        <x:f>IF(R11="","",R11*'全局设置'!$B$5)</x:f>
      </x:c>
      <x:c r="T11" s="73" t="str">
        <x:f>IF(F11="","",F11*O11)</x:f>
      </x:c>
      <x:c r="U11" s="19" t="str">
        <x:f>IF(AND(B11="",C11=""),"",IF(B11="","缺少敌人",IF(C11="","缺少数量",IF(OR(C11&lt;1,C11&gt;9999,C11&lt;&gt;INT(C11)),"数量无效",IF(COUNTIF($E$7:$E$24,E11)&gt;1,"重复敌人",IF(AND(ISNUMBER(D11),OR(D11&lt;0,D11&gt;999,D11&lt;&gt;INT(D11))),"奖励无效","可导入"))))))</x:f>
      </x:c>
    </x:row>
    <x:row r="12" ht="22" customHeight="1">
      <x:c r="A12" s="72" t="n">
        <x:v>6</x:v>
      </x:c>
      <x:c r="B12" s="41"/>
      <x:c r="C12" s="41"/>
      <x:c r="D12" s="41"/>
      <x:c r="E12" s="19" t="str">
        <x:f>IFERROR(VLOOKUP(B12,'敌人目录'!$A$6:$S$54,2,FALSE),"")</x:f>
      </x:c>
      <x:c r="F12" s="19" t="str">
        <x:f>IF(OR(B12="",C12=""),"",ROUNDUP(C12*(1+('全局设置'!$B$5-1)*'全局设置'!$B$6),0))</x:f>
      </x:c>
      <x:c r="G12" s="19" t="str">
        <x:f>IFERROR(VLOOKUP(B12,'敌人目录'!$A$6:$S$54,7,FALSE),"")</x:f>
      </x:c>
      <x:c r="H12" s="19" t="str">
        <x:f>IFERROR(VLOOKUP(B12,'敌人目录'!$A$6:$S$54,8,FALSE),"")</x:f>
      </x:c>
      <x:c r="I12" s="19" t="str">
        <x:f>IFERROR(VLOOKUP(B12,'敌人目录'!$A$6:$S$54,9,FALSE),"")</x:f>
      </x:c>
      <x:c r="J12" s="19" t="str">
        <x:f>IFERROR(VLOOKUP(B12,'敌人目录'!$A$6:$S$54,10,FALSE),"")</x:f>
      </x:c>
      <x:c r="K12" s="19" t="str">
        <x:f>IFERROR(VLOOKUP(B12,'敌人目录'!$A$6:$S$54,11,FALSE),"")</x:f>
      </x:c>
      <x:c r="L12" s="19" t="str">
        <x:f>IFERROR(VLOOKUP(B12,'敌人目录'!$A$6:$S$54,12,FALSE),"")</x:f>
      </x:c>
      <x:c r="M12" s="19" t="str">
        <x:f>IFERROR(VLOOKUP(B12,'敌人目录'!$A$6:$S$54,13,FALSE),"")</x:f>
      </x:c>
      <x:c r="N12" s="19" t="str">
        <x:f>IF(B12="","",IF(ISNUMBER(D12),D12,IFERROR(VLOOKUP(B12,'敌人目录'!$A$6:$S$54,14,FALSE),"")))</x:f>
      </x:c>
      <x:c r="O12" s="64" t="str">
        <x:f>IFERROR(VLOOKUP(B12,'敌人目录'!$A$6:$S$54,15,FALSE),"")</x:f>
      </x:c>
      <x:c r="P12" s="19" t="str">
        <x:f>IF(F12="","",F12*G12)</x:f>
      </x:c>
      <x:c r="Q12" s="19" t="str">
        <x:f>IF(F12="","",F12*L12)</x:f>
      </x:c>
      <x:c r="R12" s="19" t="str">
        <x:f>IF(F12="","",F12*N12)</x:f>
      </x:c>
      <x:c r="S12" s="19" t="str">
        <x:f>IF(R12="","",R12*'全局设置'!$B$5)</x:f>
      </x:c>
      <x:c r="T12" s="73" t="str">
        <x:f>IF(F12="","",F12*O12)</x:f>
      </x:c>
      <x:c r="U12" s="19" t="str">
        <x:f>IF(AND(B12="",C12=""),"",IF(B12="","缺少敌人",IF(C12="","缺少数量",IF(OR(C12&lt;1,C12&gt;9999,C12&lt;&gt;INT(C12)),"数量无效",IF(COUNTIF($E$7:$E$24,E12)&gt;1,"重复敌人",IF(AND(ISNUMBER(D12),OR(D12&lt;0,D12&gt;999,D12&lt;&gt;INT(D12))),"奖励无效","可导入"))))))</x:f>
      </x:c>
    </x:row>
    <x:row r="13" ht="22" customHeight="1">
      <x:c r="A13" s="72" t="n">
        <x:v>7</x:v>
      </x:c>
      <x:c r="B13" s="41"/>
      <x:c r="C13" s="41"/>
      <x:c r="D13" s="41"/>
      <x:c r="E13" s="19" t="str">
        <x:f>IFERROR(VLOOKUP(B13,'敌人目录'!$A$6:$S$54,2,FALSE),"")</x:f>
      </x:c>
      <x:c r="F13" s="19" t="str">
        <x:f>IF(OR(B13="",C13=""),"",ROUNDUP(C13*(1+('全局设置'!$B$5-1)*'全局设置'!$B$6),0))</x:f>
      </x:c>
      <x:c r="G13" s="19" t="str">
        <x:f>IFERROR(VLOOKUP(B13,'敌人目录'!$A$6:$S$54,7,FALSE),"")</x:f>
      </x:c>
      <x:c r="H13" s="19" t="str">
        <x:f>IFERROR(VLOOKUP(B13,'敌人目录'!$A$6:$S$54,8,FALSE),"")</x:f>
      </x:c>
      <x:c r="I13" s="19" t="str">
        <x:f>IFERROR(VLOOKUP(B13,'敌人目录'!$A$6:$S$54,9,FALSE),"")</x:f>
      </x:c>
      <x:c r="J13" s="19" t="str">
        <x:f>IFERROR(VLOOKUP(B13,'敌人目录'!$A$6:$S$54,10,FALSE),"")</x:f>
      </x:c>
      <x:c r="K13" s="19" t="str">
        <x:f>IFERROR(VLOOKUP(B13,'敌人目录'!$A$6:$S$54,11,FALSE),"")</x:f>
      </x:c>
      <x:c r="L13" s="19" t="str">
        <x:f>IFERROR(VLOOKUP(B13,'敌人目录'!$A$6:$S$54,12,FALSE),"")</x:f>
      </x:c>
      <x:c r="M13" s="19" t="str">
        <x:f>IFERROR(VLOOKUP(B13,'敌人目录'!$A$6:$S$54,13,FALSE),"")</x:f>
      </x:c>
      <x:c r="N13" s="19" t="str">
        <x:f>IF(B13="","",IF(ISNUMBER(D13),D13,IFERROR(VLOOKUP(B13,'敌人目录'!$A$6:$S$54,14,FALSE),"")))</x:f>
      </x:c>
      <x:c r="O13" s="64" t="str">
        <x:f>IFERROR(VLOOKUP(B13,'敌人目录'!$A$6:$S$54,15,FALSE),"")</x:f>
      </x:c>
      <x:c r="P13" s="19" t="str">
        <x:f>IF(F13="","",F13*G13)</x:f>
      </x:c>
      <x:c r="Q13" s="19" t="str">
        <x:f>IF(F13="","",F13*L13)</x:f>
      </x:c>
      <x:c r="R13" s="19" t="str">
        <x:f>IF(F13="","",F13*N13)</x:f>
      </x:c>
      <x:c r="S13" s="19" t="str">
        <x:f>IF(R13="","",R13*'全局设置'!$B$5)</x:f>
      </x:c>
      <x:c r="T13" s="73" t="str">
        <x:f>IF(F13="","",F13*O13)</x:f>
      </x:c>
      <x:c r="U13" s="19" t="str">
        <x:f>IF(AND(B13="",C13=""),"",IF(B13="","缺少敌人",IF(C13="","缺少数量",IF(OR(C13&lt;1,C13&gt;9999,C13&lt;&gt;INT(C13)),"数量无效",IF(COUNTIF($E$7:$E$24,E13)&gt;1,"重复敌人",IF(AND(ISNUMBER(D13),OR(D13&lt;0,D13&gt;999,D13&lt;&gt;INT(D13))),"奖励无效","可导入"))))))</x:f>
      </x:c>
    </x:row>
    <x:row r="14" ht="22" customHeight="1">
      <x:c r="A14" s="72" t="n">
        <x:v>8</x:v>
      </x:c>
      <x:c r="B14" s="41"/>
      <x:c r="C14" s="41"/>
      <x:c r="D14" s="41"/>
      <x:c r="E14" s="19" t="str">
        <x:f>IFERROR(VLOOKUP(B14,'敌人目录'!$A$6:$S$54,2,FALSE),"")</x:f>
      </x:c>
      <x:c r="F14" s="19" t="str">
        <x:f>IF(OR(B14="",C14=""),"",ROUNDUP(C14*(1+('全局设置'!$B$5-1)*'全局设置'!$B$6),0))</x:f>
      </x:c>
      <x:c r="G14" s="19" t="str">
        <x:f>IFERROR(VLOOKUP(B14,'敌人目录'!$A$6:$S$54,7,FALSE),"")</x:f>
      </x:c>
      <x:c r="H14" s="19" t="str">
        <x:f>IFERROR(VLOOKUP(B14,'敌人目录'!$A$6:$S$54,8,FALSE),"")</x:f>
      </x:c>
      <x:c r="I14" s="19" t="str">
        <x:f>IFERROR(VLOOKUP(B14,'敌人目录'!$A$6:$S$54,9,FALSE),"")</x:f>
      </x:c>
      <x:c r="J14" s="19" t="str">
        <x:f>IFERROR(VLOOKUP(B14,'敌人目录'!$A$6:$S$54,10,FALSE),"")</x:f>
      </x:c>
      <x:c r="K14" s="19" t="str">
        <x:f>IFERROR(VLOOKUP(B14,'敌人目录'!$A$6:$S$54,11,FALSE),"")</x:f>
      </x:c>
      <x:c r="L14" s="19" t="str">
        <x:f>IFERROR(VLOOKUP(B14,'敌人目录'!$A$6:$S$54,12,FALSE),"")</x:f>
      </x:c>
      <x:c r="M14" s="19" t="str">
        <x:f>IFERROR(VLOOKUP(B14,'敌人目录'!$A$6:$S$54,13,FALSE),"")</x:f>
      </x:c>
      <x:c r="N14" s="19" t="str">
        <x:f>IF(B14="","",IF(ISNUMBER(D14),D14,IFERROR(VLOOKUP(B14,'敌人目录'!$A$6:$S$54,14,FALSE),"")))</x:f>
      </x:c>
      <x:c r="O14" s="64" t="str">
        <x:f>IFERROR(VLOOKUP(B14,'敌人目录'!$A$6:$S$54,15,FALSE),"")</x:f>
      </x:c>
      <x:c r="P14" s="19" t="str">
        <x:f>IF(F14="","",F14*G14)</x:f>
      </x:c>
      <x:c r="Q14" s="19" t="str">
        <x:f>IF(F14="","",F14*L14)</x:f>
      </x:c>
      <x:c r="R14" s="19" t="str">
        <x:f>IF(F14="","",F14*N14)</x:f>
      </x:c>
      <x:c r="S14" s="19" t="str">
        <x:f>IF(R14="","",R14*'全局设置'!$B$5)</x:f>
      </x:c>
      <x:c r="T14" s="73" t="str">
        <x:f>IF(F14="","",F14*O14)</x:f>
      </x:c>
      <x:c r="U14" s="19" t="str">
        <x:f>IF(AND(B14="",C14=""),"",IF(B14="","缺少敌人",IF(C14="","缺少数量",IF(OR(C14&lt;1,C14&gt;9999,C14&lt;&gt;INT(C14)),"数量无效",IF(COUNTIF($E$7:$E$24,E14)&gt;1,"重复敌人",IF(AND(ISNUMBER(D14),OR(D14&lt;0,D14&gt;999,D14&lt;&gt;INT(D14))),"奖励无效","可导入"))))))</x:f>
      </x:c>
    </x:row>
    <x:row r="15" ht="22" customHeight="1">
      <x:c r="A15" s="72" t="n">
        <x:v>9</x:v>
      </x:c>
      <x:c r="B15" s="41"/>
      <x:c r="C15" s="41"/>
      <x:c r="D15" s="41"/>
      <x:c r="E15" s="19" t="str">
        <x:f>IFERROR(VLOOKUP(B15,'敌人目录'!$A$6:$S$54,2,FALSE),"")</x:f>
      </x:c>
      <x:c r="F15" s="19" t="str">
        <x:f>IF(OR(B15="",C15=""),"",ROUNDUP(C15*(1+('全局设置'!$B$5-1)*'全局设置'!$B$6),0))</x:f>
      </x:c>
      <x:c r="G15" s="19" t="str">
        <x:f>IFERROR(VLOOKUP(B15,'敌人目录'!$A$6:$S$54,7,FALSE),"")</x:f>
      </x:c>
      <x:c r="H15" s="19" t="str">
        <x:f>IFERROR(VLOOKUP(B15,'敌人目录'!$A$6:$S$54,8,FALSE),"")</x:f>
      </x:c>
      <x:c r="I15" s="19" t="str">
        <x:f>IFERROR(VLOOKUP(B15,'敌人目录'!$A$6:$S$54,9,FALSE),"")</x:f>
      </x:c>
      <x:c r="J15" s="19" t="str">
        <x:f>IFERROR(VLOOKUP(B15,'敌人目录'!$A$6:$S$54,10,FALSE),"")</x:f>
      </x:c>
      <x:c r="K15" s="19" t="str">
        <x:f>IFERROR(VLOOKUP(B15,'敌人目录'!$A$6:$S$54,11,FALSE),"")</x:f>
      </x:c>
      <x:c r="L15" s="19" t="str">
        <x:f>IFERROR(VLOOKUP(B15,'敌人目录'!$A$6:$S$54,12,FALSE),"")</x:f>
      </x:c>
      <x:c r="M15" s="19" t="str">
        <x:f>IFERROR(VLOOKUP(B15,'敌人目录'!$A$6:$S$54,13,FALSE),"")</x:f>
      </x:c>
      <x:c r="N15" s="19" t="str">
        <x:f>IF(B15="","",IF(ISNUMBER(D15),D15,IFERROR(VLOOKUP(B15,'敌人目录'!$A$6:$S$54,14,FALSE),"")))</x:f>
      </x:c>
      <x:c r="O15" s="64" t="str">
        <x:f>IFERROR(VLOOKUP(B15,'敌人目录'!$A$6:$S$54,15,FALSE),"")</x:f>
      </x:c>
      <x:c r="P15" s="19" t="str">
        <x:f>IF(F15="","",F15*G15)</x:f>
      </x:c>
      <x:c r="Q15" s="19" t="str">
        <x:f>IF(F15="","",F15*L15)</x:f>
      </x:c>
      <x:c r="R15" s="19" t="str">
        <x:f>IF(F15="","",F15*N15)</x:f>
      </x:c>
      <x:c r="S15" s="19" t="str">
        <x:f>IF(R15="","",R15*'全局设置'!$B$5)</x:f>
      </x:c>
      <x:c r="T15" s="73" t="str">
        <x:f>IF(F15="","",F15*O15)</x:f>
      </x:c>
      <x:c r="U15" s="19" t="str">
        <x:f>IF(AND(B15="",C15=""),"",IF(B15="","缺少敌人",IF(C15="","缺少数量",IF(OR(C15&lt;1,C15&gt;9999,C15&lt;&gt;INT(C15)),"数量无效",IF(COUNTIF($E$7:$E$24,E15)&gt;1,"重复敌人",IF(AND(ISNUMBER(D15),OR(D15&lt;0,D15&gt;999,D15&lt;&gt;INT(D15))),"奖励无效","可导入"))))))</x:f>
      </x:c>
    </x:row>
    <x:row r="16" ht="22" customHeight="1">
      <x:c r="A16" s="72" t="n">
        <x:v>10</x:v>
      </x:c>
      <x:c r="B16" s="41"/>
      <x:c r="C16" s="41"/>
      <x:c r="D16" s="41"/>
      <x:c r="E16" s="19" t="str">
        <x:f>IFERROR(VLOOKUP(B16,'敌人目录'!$A$6:$S$54,2,FALSE),"")</x:f>
      </x:c>
      <x:c r="F16" s="19" t="str">
        <x:f>IF(OR(B16="",C16=""),"",ROUNDUP(C16*(1+('全局设置'!$B$5-1)*'全局设置'!$B$6),0))</x:f>
      </x:c>
      <x:c r="G16" s="19" t="str">
        <x:f>IFERROR(VLOOKUP(B16,'敌人目录'!$A$6:$S$54,7,FALSE),"")</x:f>
      </x:c>
      <x:c r="H16" s="19" t="str">
        <x:f>IFERROR(VLOOKUP(B16,'敌人目录'!$A$6:$S$54,8,FALSE),"")</x:f>
      </x:c>
      <x:c r="I16" s="19" t="str">
        <x:f>IFERROR(VLOOKUP(B16,'敌人目录'!$A$6:$S$54,9,FALSE),"")</x:f>
      </x:c>
      <x:c r="J16" s="19" t="str">
        <x:f>IFERROR(VLOOKUP(B16,'敌人目录'!$A$6:$S$54,10,FALSE),"")</x:f>
      </x:c>
      <x:c r="K16" s="19" t="str">
        <x:f>IFERROR(VLOOKUP(B16,'敌人目录'!$A$6:$S$54,11,FALSE),"")</x:f>
      </x:c>
      <x:c r="L16" s="19" t="str">
        <x:f>IFERROR(VLOOKUP(B16,'敌人目录'!$A$6:$S$54,12,FALSE),"")</x:f>
      </x:c>
      <x:c r="M16" s="19" t="str">
        <x:f>IFERROR(VLOOKUP(B16,'敌人目录'!$A$6:$S$54,13,FALSE),"")</x:f>
      </x:c>
      <x:c r="N16" s="19" t="str">
        <x:f>IF(B16="","",IF(ISNUMBER(D16),D16,IFERROR(VLOOKUP(B16,'敌人目录'!$A$6:$S$54,14,FALSE),"")))</x:f>
      </x:c>
      <x:c r="O16" s="64" t="str">
        <x:f>IFERROR(VLOOKUP(B16,'敌人目录'!$A$6:$S$54,15,FALSE),"")</x:f>
      </x:c>
      <x:c r="P16" s="19" t="str">
        <x:f>IF(F16="","",F16*G16)</x:f>
      </x:c>
      <x:c r="Q16" s="19" t="str">
        <x:f>IF(F16="","",F16*L16)</x:f>
      </x:c>
      <x:c r="R16" s="19" t="str">
        <x:f>IF(F16="","",F16*N16)</x:f>
      </x:c>
      <x:c r="S16" s="19" t="str">
        <x:f>IF(R16="","",R16*'全局设置'!$B$5)</x:f>
      </x:c>
      <x:c r="T16" s="73" t="str">
        <x:f>IF(F16="","",F16*O16)</x:f>
      </x:c>
      <x:c r="U16" s="19" t="str">
        <x:f>IF(AND(B16="",C16=""),"",IF(B16="","缺少敌人",IF(C16="","缺少数量",IF(OR(C16&lt;1,C16&gt;9999,C16&lt;&gt;INT(C16)),"数量无效",IF(COUNTIF($E$7:$E$24,E16)&gt;1,"重复敌人",IF(AND(ISNUMBER(D16),OR(D16&lt;0,D16&gt;999,D16&lt;&gt;INT(D16))),"奖励无效","可导入"))))))</x:f>
      </x:c>
    </x:row>
    <x:row r="17" ht="22" customHeight="1">
      <x:c r="A17" s="72" t="n">
        <x:v>11</x:v>
      </x:c>
      <x:c r="B17" s="41"/>
      <x:c r="C17" s="41"/>
      <x:c r="D17" s="41"/>
      <x:c r="E17" s="19" t="str">
        <x:f>IFERROR(VLOOKUP(B17,'敌人目录'!$A$6:$S$54,2,FALSE),"")</x:f>
      </x:c>
      <x:c r="F17" s="19" t="str">
        <x:f>IF(OR(B17="",C17=""),"",ROUNDUP(C17*(1+('全局设置'!$B$5-1)*'全局设置'!$B$6),0))</x:f>
      </x:c>
      <x:c r="G17" s="19" t="str">
        <x:f>IFERROR(VLOOKUP(B17,'敌人目录'!$A$6:$S$54,7,FALSE),"")</x:f>
      </x:c>
      <x:c r="H17" s="19" t="str">
        <x:f>IFERROR(VLOOKUP(B17,'敌人目录'!$A$6:$S$54,8,FALSE),"")</x:f>
      </x:c>
      <x:c r="I17" s="19" t="str">
        <x:f>IFERROR(VLOOKUP(B17,'敌人目录'!$A$6:$S$54,9,FALSE),"")</x:f>
      </x:c>
      <x:c r="J17" s="19" t="str">
        <x:f>IFERROR(VLOOKUP(B17,'敌人目录'!$A$6:$S$54,10,FALSE),"")</x:f>
      </x:c>
      <x:c r="K17" s="19" t="str">
        <x:f>IFERROR(VLOOKUP(B17,'敌人目录'!$A$6:$S$54,11,FALSE),"")</x:f>
      </x:c>
      <x:c r="L17" s="19" t="str">
        <x:f>IFERROR(VLOOKUP(B17,'敌人目录'!$A$6:$S$54,12,FALSE),"")</x:f>
      </x:c>
      <x:c r="M17" s="19" t="str">
        <x:f>IFERROR(VLOOKUP(B17,'敌人目录'!$A$6:$S$54,13,FALSE),"")</x:f>
      </x:c>
      <x:c r="N17" s="19" t="str">
        <x:f>IF(B17="","",IF(ISNUMBER(D17),D17,IFERROR(VLOOKUP(B17,'敌人目录'!$A$6:$S$54,14,FALSE),"")))</x:f>
      </x:c>
      <x:c r="O17" s="64" t="str">
        <x:f>IFERROR(VLOOKUP(B17,'敌人目录'!$A$6:$S$54,15,FALSE),"")</x:f>
      </x:c>
      <x:c r="P17" s="19" t="str">
        <x:f>IF(F17="","",F17*G17)</x:f>
      </x:c>
      <x:c r="Q17" s="19" t="str">
        <x:f>IF(F17="","",F17*L17)</x:f>
      </x:c>
      <x:c r="R17" s="19" t="str">
        <x:f>IF(F17="","",F17*N17)</x:f>
      </x:c>
      <x:c r="S17" s="19" t="str">
        <x:f>IF(R17="","",R17*'全局设置'!$B$5)</x:f>
      </x:c>
      <x:c r="T17" s="73" t="str">
        <x:f>IF(F17="","",F17*O17)</x:f>
      </x:c>
      <x:c r="U17" s="19" t="str">
        <x:f>IF(AND(B17="",C17=""),"",IF(B17="","缺少敌人",IF(C17="","缺少数量",IF(OR(C17&lt;1,C17&gt;9999,C17&lt;&gt;INT(C17)),"数量无效",IF(COUNTIF($E$7:$E$24,E17)&gt;1,"重复敌人",IF(AND(ISNUMBER(D17),OR(D17&lt;0,D17&gt;999,D17&lt;&gt;INT(D17))),"奖励无效","可导入"))))))</x:f>
      </x:c>
    </x:row>
    <x:row r="18" ht="22" customHeight="1">
      <x:c r="A18" s="72" t="n">
        <x:v>12</x:v>
      </x:c>
      <x:c r="B18" s="41"/>
      <x:c r="C18" s="41"/>
      <x:c r="D18" s="41"/>
      <x:c r="E18" s="19" t="str">
        <x:f>IFERROR(VLOOKUP(B18,'敌人目录'!$A$6:$S$54,2,FALSE),"")</x:f>
      </x:c>
      <x:c r="F18" s="19" t="str">
        <x:f>IF(OR(B18="",C18=""),"",ROUNDUP(C18*(1+('全局设置'!$B$5-1)*'全局设置'!$B$6),0))</x:f>
      </x:c>
      <x:c r="G18" s="19" t="str">
        <x:f>IFERROR(VLOOKUP(B18,'敌人目录'!$A$6:$S$54,7,FALSE),"")</x:f>
      </x:c>
      <x:c r="H18" s="19" t="str">
        <x:f>IFERROR(VLOOKUP(B18,'敌人目录'!$A$6:$S$54,8,FALSE),"")</x:f>
      </x:c>
      <x:c r="I18" s="19" t="str">
        <x:f>IFERROR(VLOOKUP(B18,'敌人目录'!$A$6:$S$54,9,FALSE),"")</x:f>
      </x:c>
      <x:c r="J18" s="19" t="str">
        <x:f>IFERROR(VLOOKUP(B18,'敌人目录'!$A$6:$S$54,10,FALSE),"")</x:f>
      </x:c>
      <x:c r="K18" s="19" t="str">
        <x:f>IFERROR(VLOOKUP(B18,'敌人目录'!$A$6:$S$54,11,FALSE),"")</x:f>
      </x:c>
      <x:c r="L18" s="19" t="str">
        <x:f>IFERROR(VLOOKUP(B18,'敌人目录'!$A$6:$S$54,12,FALSE),"")</x:f>
      </x:c>
      <x:c r="M18" s="19" t="str">
        <x:f>IFERROR(VLOOKUP(B18,'敌人目录'!$A$6:$S$54,13,FALSE),"")</x:f>
      </x:c>
      <x:c r="N18" s="19" t="str">
        <x:f>IF(B18="","",IF(ISNUMBER(D18),D18,IFERROR(VLOOKUP(B18,'敌人目录'!$A$6:$S$54,14,FALSE),"")))</x:f>
      </x:c>
      <x:c r="O18" s="64" t="str">
        <x:f>IFERROR(VLOOKUP(B18,'敌人目录'!$A$6:$S$54,15,FALSE),"")</x:f>
      </x:c>
      <x:c r="P18" s="19" t="str">
        <x:f>IF(F18="","",F18*G18)</x:f>
      </x:c>
      <x:c r="Q18" s="19" t="str">
        <x:f>IF(F18="","",F18*L18)</x:f>
      </x:c>
      <x:c r="R18" s="19" t="str">
        <x:f>IF(F18="","",F18*N18)</x:f>
      </x:c>
      <x:c r="S18" s="19" t="str">
        <x:f>IF(R18="","",R18*'全局设置'!$B$5)</x:f>
      </x:c>
      <x:c r="T18" s="73" t="str">
        <x:f>IF(F18="","",F18*O18)</x:f>
      </x:c>
      <x:c r="U18" s="19" t="str">
        <x:f>IF(AND(B18="",C18=""),"",IF(B18="","缺少敌人",IF(C18="","缺少数量",IF(OR(C18&lt;1,C18&gt;9999,C18&lt;&gt;INT(C18)),"数量无效",IF(COUNTIF($E$7:$E$24,E18)&gt;1,"重复敌人",IF(AND(ISNUMBER(D18),OR(D18&lt;0,D18&gt;999,D18&lt;&gt;INT(D18))),"奖励无效","可导入"))))))</x:f>
      </x:c>
    </x:row>
    <x:row r="19" ht="22" customHeight="1">
      <x:c r="A19" s="72" t="n">
        <x:v>13</x:v>
      </x:c>
      <x:c r="B19" s="41"/>
      <x:c r="C19" s="41"/>
      <x:c r="D19" s="41"/>
      <x:c r="E19" s="19" t="str">
        <x:f>IFERROR(VLOOKUP(B19,'敌人目录'!$A$6:$S$54,2,FALSE),"")</x:f>
      </x:c>
      <x:c r="F19" s="19" t="str">
        <x:f>IF(OR(B19="",C19=""),"",ROUNDUP(C19*(1+('全局设置'!$B$5-1)*'全局设置'!$B$6),0))</x:f>
      </x:c>
      <x:c r="G19" s="19" t="str">
        <x:f>IFERROR(VLOOKUP(B19,'敌人目录'!$A$6:$S$54,7,FALSE),"")</x:f>
      </x:c>
      <x:c r="H19" s="19" t="str">
        <x:f>IFERROR(VLOOKUP(B19,'敌人目录'!$A$6:$S$54,8,FALSE),"")</x:f>
      </x:c>
      <x:c r="I19" s="19" t="str">
        <x:f>IFERROR(VLOOKUP(B19,'敌人目录'!$A$6:$S$54,9,FALSE),"")</x:f>
      </x:c>
      <x:c r="J19" s="19" t="str">
        <x:f>IFERROR(VLOOKUP(B19,'敌人目录'!$A$6:$S$54,10,FALSE),"")</x:f>
      </x:c>
      <x:c r="K19" s="19" t="str">
        <x:f>IFERROR(VLOOKUP(B19,'敌人目录'!$A$6:$S$54,11,FALSE),"")</x:f>
      </x:c>
      <x:c r="L19" s="19" t="str">
        <x:f>IFERROR(VLOOKUP(B19,'敌人目录'!$A$6:$S$54,12,FALSE),"")</x:f>
      </x:c>
      <x:c r="M19" s="19" t="str">
        <x:f>IFERROR(VLOOKUP(B19,'敌人目录'!$A$6:$S$54,13,FALSE),"")</x:f>
      </x:c>
      <x:c r="N19" s="19" t="str">
        <x:f>IF(B19="","",IF(ISNUMBER(D19),D19,IFERROR(VLOOKUP(B19,'敌人目录'!$A$6:$S$54,14,FALSE),"")))</x:f>
      </x:c>
      <x:c r="O19" s="64" t="str">
        <x:f>IFERROR(VLOOKUP(B19,'敌人目录'!$A$6:$S$54,15,FALSE),"")</x:f>
      </x:c>
      <x:c r="P19" s="19" t="str">
        <x:f>IF(F19="","",F19*G19)</x:f>
      </x:c>
      <x:c r="Q19" s="19" t="str">
        <x:f>IF(F19="","",F19*L19)</x:f>
      </x:c>
      <x:c r="R19" s="19" t="str">
        <x:f>IF(F19="","",F19*N19)</x:f>
      </x:c>
      <x:c r="S19" s="19" t="str">
        <x:f>IF(R19="","",R19*'全局设置'!$B$5)</x:f>
      </x:c>
      <x:c r="T19" s="73" t="str">
        <x:f>IF(F19="","",F19*O19)</x:f>
      </x:c>
      <x:c r="U19" s="19" t="str">
        <x:f>IF(AND(B19="",C19=""),"",IF(B19="","缺少敌人",IF(C19="","缺少数量",IF(OR(C19&lt;1,C19&gt;9999,C19&lt;&gt;INT(C19)),"数量无效",IF(COUNTIF($E$7:$E$24,E19)&gt;1,"重复敌人",IF(AND(ISNUMBER(D19),OR(D19&lt;0,D19&gt;999,D19&lt;&gt;INT(D19))),"奖励无效","可导入"))))))</x:f>
      </x:c>
    </x:row>
    <x:row r="20" ht="22" customHeight="1">
      <x:c r="A20" s="72" t="n">
        <x:v>14</x:v>
      </x:c>
      <x:c r="B20" s="41"/>
      <x:c r="C20" s="41"/>
      <x:c r="D20" s="41"/>
      <x:c r="E20" s="19" t="str">
        <x:f>IFERROR(VLOOKUP(B20,'敌人目录'!$A$6:$S$54,2,FALSE),"")</x:f>
      </x:c>
      <x:c r="F20" s="19" t="str">
        <x:f>IF(OR(B20="",C20=""),"",ROUNDUP(C20*(1+('全局设置'!$B$5-1)*'全局设置'!$B$6),0))</x:f>
      </x:c>
      <x:c r="G20" s="19" t="str">
        <x:f>IFERROR(VLOOKUP(B20,'敌人目录'!$A$6:$S$54,7,FALSE),"")</x:f>
      </x:c>
      <x:c r="H20" s="19" t="str">
        <x:f>IFERROR(VLOOKUP(B20,'敌人目录'!$A$6:$S$54,8,FALSE),"")</x:f>
      </x:c>
      <x:c r="I20" s="19" t="str">
        <x:f>IFERROR(VLOOKUP(B20,'敌人目录'!$A$6:$S$54,9,FALSE),"")</x:f>
      </x:c>
      <x:c r="J20" s="19" t="str">
        <x:f>IFERROR(VLOOKUP(B20,'敌人目录'!$A$6:$S$54,10,FALSE),"")</x:f>
      </x:c>
      <x:c r="K20" s="19" t="str">
        <x:f>IFERROR(VLOOKUP(B20,'敌人目录'!$A$6:$S$54,11,FALSE),"")</x:f>
      </x:c>
      <x:c r="L20" s="19" t="str">
        <x:f>IFERROR(VLOOKUP(B20,'敌人目录'!$A$6:$S$54,12,FALSE),"")</x:f>
      </x:c>
      <x:c r="M20" s="19" t="str">
        <x:f>IFERROR(VLOOKUP(B20,'敌人目录'!$A$6:$S$54,13,FALSE),"")</x:f>
      </x:c>
      <x:c r="N20" s="19" t="str">
        <x:f>IF(B20="","",IF(ISNUMBER(D20),D20,IFERROR(VLOOKUP(B20,'敌人目录'!$A$6:$S$54,14,FALSE),"")))</x:f>
      </x:c>
      <x:c r="O20" s="64" t="str">
        <x:f>IFERROR(VLOOKUP(B20,'敌人目录'!$A$6:$S$54,15,FALSE),"")</x:f>
      </x:c>
      <x:c r="P20" s="19" t="str">
        <x:f>IF(F20="","",F20*G20)</x:f>
      </x:c>
      <x:c r="Q20" s="19" t="str">
        <x:f>IF(F20="","",F20*L20)</x:f>
      </x:c>
      <x:c r="R20" s="19" t="str">
        <x:f>IF(F20="","",F20*N20)</x:f>
      </x:c>
      <x:c r="S20" s="19" t="str">
        <x:f>IF(R20="","",R20*'全局设置'!$B$5)</x:f>
      </x:c>
      <x:c r="T20" s="73" t="str">
        <x:f>IF(F20="","",F20*O20)</x:f>
      </x:c>
      <x:c r="U20" s="19" t="str">
        <x:f>IF(AND(B20="",C20=""),"",IF(B20="","缺少敌人",IF(C20="","缺少数量",IF(OR(C20&lt;1,C20&gt;9999,C20&lt;&gt;INT(C20)),"数量无效",IF(COUNTIF($E$7:$E$24,E20)&gt;1,"重复敌人",IF(AND(ISNUMBER(D20),OR(D20&lt;0,D20&gt;999,D20&lt;&gt;INT(D20))),"奖励无效","可导入"))))))</x:f>
      </x:c>
    </x:row>
    <x:row r="21" ht="22" customHeight="1">
      <x:c r="A21" s="72" t="n">
        <x:v>15</x:v>
      </x:c>
      <x:c r="B21" s="41"/>
      <x:c r="C21" s="41"/>
      <x:c r="D21" s="41"/>
      <x:c r="E21" s="19" t="str">
        <x:f>IFERROR(VLOOKUP(B21,'敌人目录'!$A$6:$S$54,2,FALSE),"")</x:f>
      </x:c>
      <x:c r="F21" s="19" t="str">
        <x:f>IF(OR(B21="",C21=""),"",ROUNDUP(C21*(1+('全局设置'!$B$5-1)*'全局设置'!$B$6),0))</x:f>
      </x:c>
      <x:c r="G21" s="19" t="str">
        <x:f>IFERROR(VLOOKUP(B21,'敌人目录'!$A$6:$S$54,7,FALSE),"")</x:f>
      </x:c>
      <x:c r="H21" s="19" t="str">
        <x:f>IFERROR(VLOOKUP(B21,'敌人目录'!$A$6:$S$54,8,FALSE),"")</x:f>
      </x:c>
      <x:c r="I21" s="19" t="str">
        <x:f>IFERROR(VLOOKUP(B21,'敌人目录'!$A$6:$S$54,9,FALSE),"")</x:f>
      </x:c>
      <x:c r="J21" s="19" t="str">
        <x:f>IFERROR(VLOOKUP(B21,'敌人目录'!$A$6:$S$54,10,FALSE),"")</x:f>
      </x:c>
      <x:c r="K21" s="19" t="str">
        <x:f>IFERROR(VLOOKUP(B21,'敌人目录'!$A$6:$S$54,11,FALSE),"")</x:f>
      </x:c>
      <x:c r="L21" s="19" t="str">
        <x:f>IFERROR(VLOOKUP(B21,'敌人目录'!$A$6:$S$54,12,FALSE),"")</x:f>
      </x:c>
      <x:c r="M21" s="19" t="str">
        <x:f>IFERROR(VLOOKUP(B21,'敌人目录'!$A$6:$S$54,13,FALSE),"")</x:f>
      </x:c>
      <x:c r="N21" s="19" t="str">
        <x:f>IF(B21="","",IF(ISNUMBER(D21),D21,IFERROR(VLOOKUP(B21,'敌人目录'!$A$6:$S$54,14,FALSE),"")))</x:f>
      </x:c>
      <x:c r="O21" s="64" t="str">
        <x:f>IFERROR(VLOOKUP(B21,'敌人目录'!$A$6:$S$54,15,FALSE),"")</x:f>
      </x:c>
      <x:c r="P21" s="19" t="str">
        <x:f>IF(F21="","",F21*G21)</x:f>
      </x:c>
      <x:c r="Q21" s="19" t="str">
        <x:f>IF(F21="","",F21*L21)</x:f>
      </x:c>
      <x:c r="R21" s="19" t="str">
        <x:f>IF(F21="","",F21*N21)</x:f>
      </x:c>
      <x:c r="S21" s="19" t="str">
        <x:f>IF(R21="","",R21*'全局设置'!$B$5)</x:f>
      </x:c>
      <x:c r="T21" s="73" t="str">
        <x:f>IF(F21="","",F21*O21)</x:f>
      </x:c>
      <x:c r="U21" s="19" t="str">
        <x:f>IF(AND(B21="",C21=""),"",IF(B21="","缺少敌人",IF(C21="","缺少数量",IF(OR(C21&lt;1,C21&gt;9999,C21&lt;&gt;INT(C21)),"数量无效",IF(COUNTIF($E$7:$E$24,E21)&gt;1,"重复敌人",IF(AND(ISNUMBER(D21),OR(D21&lt;0,D21&gt;999,D21&lt;&gt;INT(D21))),"奖励无效","可导入"))))))</x:f>
      </x:c>
    </x:row>
    <x:row r="22" ht="22" customHeight="1">
      <x:c r="A22" s="72" t="n">
        <x:v>16</x:v>
      </x:c>
      <x:c r="B22" s="41"/>
      <x:c r="C22" s="41"/>
      <x:c r="D22" s="41"/>
      <x:c r="E22" s="19" t="str">
        <x:f>IFERROR(VLOOKUP(B22,'敌人目录'!$A$6:$S$54,2,FALSE),"")</x:f>
      </x:c>
      <x:c r="F22" s="19" t="str">
        <x:f>IF(OR(B22="",C22=""),"",ROUNDUP(C22*(1+('全局设置'!$B$5-1)*'全局设置'!$B$6),0))</x:f>
      </x:c>
      <x:c r="G22" s="19" t="str">
        <x:f>IFERROR(VLOOKUP(B22,'敌人目录'!$A$6:$S$54,7,FALSE),"")</x:f>
      </x:c>
      <x:c r="H22" s="19" t="str">
        <x:f>IFERROR(VLOOKUP(B22,'敌人目录'!$A$6:$S$54,8,FALSE),"")</x:f>
      </x:c>
      <x:c r="I22" s="19" t="str">
        <x:f>IFERROR(VLOOKUP(B22,'敌人目录'!$A$6:$S$54,9,FALSE),"")</x:f>
      </x:c>
      <x:c r="J22" s="19" t="str">
        <x:f>IFERROR(VLOOKUP(B22,'敌人目录'!$A$6:$S$54,10,FALSE),"")</x:f>
      </x:c>
      <x:c r="K22" s="19" t="str">
        <x:f>IFERROR(VLOOKUP(B22,'敌人目录'!$A$6:$S$54,11,FALSE),"")</x:f>
      </x:c>
      <x:c r="L22" s="19" t="str">
        <x:f>IFERROR(VLOOKUP(B22,'敌人目录'!$A$6:$S$54,12,FALSE),"")</x:f>
      </x:c>
      <x:c r="M22" s="19" t="str">
        <x:f>IFERROR(VLOOKUP(B22,'敌人目录'!$A$6:$S$54,13,FALSE),"")</x:f>
      </x:c>
      <x:c r="N22" s="19" t="str">
        <x:f>IF(B22="","",IF(ISNUMBER(D22),D22,IFERROR(VLOOKUP(B22,'敌人目录'!$A$6:$S$54,14,FALSE),"")))</x:f>
      </x:c>
      <x:c r="O22" s="64" t="str">
        <x:f>IFERROR(VLOOKUP(B22,'敌人目录'!$A$6:$S$54,15,FALSE),"")</x:f>
      </x:c>
      <x:c r="P22" s="19" t="str">
        <x:f>IF(F22="","",F22*G22)</x:f>
      </x:c>
      <x:c r="Q22" s="19" t="str">
        <x:f>IF(F22="","",F22*L22)</x:f>
      </x:c>
      <x:c r="R22" s="19" t="str">
        <x:f>IF(F22="","",F22*N22)</x:f>
      </x:c>
      <x:c r="S22" s="19" t="str">
        <x:f>IF(R22="","",R22*'全局设置'!$B$5)</x:f>
      </x:c>
      <x:c r="T22" s="73" t="str">
        <x:f>IF(F22="","",F22*O22)</x:f>
      </x:c>
      <x:c r="U22" s="19" t="str">
        <x:f>IF(AND(B22="",C22=""),"",IF(B22="","缺少敌人",IF(C22="","缺少数量",IF(OR(C22&lt;1,C22&gt;9999,C22&lt;&gt;INT(C22)),"数量无效",IF(COUNTIF($E$7:$E$24,E22)&gt;1,"重复敌人",IF(AND(ISNUMBER(D22),OR(D22&lt;0,D22&gt;999,D22&lt;&gt;INT(D22))),"奖励无效","可导入"))))))</x:f>
      </x:c>
    </x:row>
    <x:row r="23" ht="22" customHeight="1">
      <x:c r="A23" s="72" t="n">
        <x:v>17</x:v>
      </x:c>
      <x:c r="B23" s="41"/>
      <x:c r="C23" s="41"/>
      <x:c r="D23" s="41"/>
      <x:c r="E23" s="19" t="str">
        <x:f>IFERROR(VLOOKUP(B23,'敌人目录'!$A$6:$S$54,2,FALSE),"")</x:f>
      </x:c>
      <x:c r="F23" s="19" t="str">
        <x:f>IF(OR(B23="",C23=""),"",ROUNDUP(C23*(1+('全局设置'!$B$5-1)*'全局设置'!$B$6),0))</x:f>
      </x:c>
      <x:c r="G23" s="19" t="str">
        <x:f>IFERROR(VLOOKUP(B23,'敌人目录'!$A$6:$S$54,7,FALSE),"")</x:f>
      </x:c>
      <x:c r="H23" s="19" t="str">
        <x:f>IFERROR(VLOOKUP(B23,'敌人目录'!$A$6:$S$54,8,FALSE),"")</x:f>
      </x:c>
      <x:c r="I23" s="19" t="str">
        <x:f>IFERROR(VLOOKUP(B23,'敌人目录'!$A$6:$S$54,9,FALSE),"")</x:f>
      </x:c>
      <x:c r="J23" s="19" t="str">
        <x:f>IFERROR(VLOOKUP(B23,'敌人目录'!$A$6:$S$54,10,FALSE),"")</x:f>
      </x:c>
      <x:c r="K23" s="19" t="str">
        <x:f>IFERROR(VLOOKUP(B23,'敌人目录'!$A$6:$S$54,11,FALSE),"")</x:f>
      </x:c>
      <x:c r="L23" s="19" t="str">
        <x:f>IFERROR(VLOOKUP(B23,'敌人目录'!$A$6:$S$54,12,FALSE),"")</x:f>
      </x:c>
      <x:c r="M23" s="19" t="str">
        <x:f>IFERROR(VLOOKUP(B23,'敌人目录'!$A$6:$S$54,13,FALSE),"")</x:f>
      </x:c>
      <x:c r="N23" s="19" t="str">
        <x:f>IF(B23="","",IF(ISNUMBER(D23),D23,IFERROR(VLOOKUP(B23,'敌人目录'!$A$6:$S$54,14,FALSE),"")))</x:f>
      </x:c>
      <x:c r="O23" s="64" t="str">
        <x:f>IFERROR(VLOOKUP(B23,'敌人目录'!$A$6:$S$54,15,FALSE),"")</x:f>
      </x:c>
      <x:c r="P23" s="19" t="str">
        <x:f>IF(F23="","",F23*G23)</x:f>
      </x:c>
      <x:c r="Q23" s="19" t="str">
        <x:f>IF(F23="","",F23*L23)</x:f>
      </x:c>
      <x:c r="R23" s="19" t="str">
        <x:f>IF(F23="","",F23*N23)</x:f>
      </x:c>
      <x:c r="S23" s="19" t="str">
        <x:f>IF(R23="","",R23*'全局设置'!$B$5)</x:f>
      </x:c>
      <x:c r="T23" s="73" t="str">
        <x:f>IF(F23="","",F23*O23)</x:f>
      </x:c>
      <x:c r="U23" s="19" t="str">
        <x:f>IF(AND(B23="",C23=""),"",IF(B23="","缺少敌人",IF(C23="","缺少数量",IF(OR(C23&lt;1,C23&gt;9999,C23&lt;&gt;INT(C23)),"数量无效",IF(COUNTIF($E$7:$E$24,E23)&gt;1,"重复敌人",IF(AND(ISNUMBER(D23),OR(D23&lt;0,D23&gt;999,D23&lt;&gt;INT(D23))),"奖励无效","可导入"))))))</x:f>
      </x:c>
    </x:row>
    <x:row r="24" ht="22" customHeight="1">
      <x:c r="A24" s="72" t="n">
        <x:v>18</x:v>
      </x:c>
      <x:c r="B24" s="41"/>
      <x:c r="C24" s="41"/>
      <x:c r="D24" s="41"/>
      <x:c r="E24" s="19" t="str">
        <x:f>IFERROR(VLOOKUP(B24,'敌人目录'!$A$6:$S$54,2,FALSE),"")</x:f>
      </x:c>
      <x:c r="F24" s="19" t="str">
        <x:f>IF(OR(B24="",C24=""),"",ROUNDUP(C24*(1+('全局设置'!$B$5-1)*'全局设置'!$B$6),0))</x:f>
      </x:c>
      <x:c r="G24" s="19" t="str">
        <x:f>IFERROR(VLOOKUP(B24,'敌人目录'!$A$6:$S$54,7,FALSE),"")</x:f>
      </x:c>
      <x:c r="H24" s="19" t="str">
        <x:f>IFERROR(VLOOKUP(B24,'敌人目录'!$A$6:$S$54,8,FALSE),"")</x:f>
      </x:c>
      <x:c r="I24" s="19" t="str">
        <x:f>IFERROR(VLOOKUP(B24,'敌人目录'!$A$6:$S$54,9,FALSE),"")</x:f>
      </x:c>
      <x:c r="J24" s="19" t="str">
        <x:f>IFERROR(VLOOKUP(B24,'敌人目录'!$A$6:$S$54,10,FALSE),"")</x:f>
      </x:c>
      <x:c r="K24" s="19" t="str">
        <x:f>IFERROR(VLOOKUP(B24,'敌人目录'!$A$6:$S$54,11,FALSE),"")</x:f>
      </x:c>
      <x:c r="L24" s="19" t="str">
        <x:f>IFERROR(VLOOKUP(B24,'敌人目录'!$A$6:$S$54,12,FALSE),"")</x:f>
      </x:c>
      <x:c r="M24" s="19" t="str">
        <x:f>IFERROR(VLOOKUP(B24,'敌人目录'!$A$6:$S$54,13,FALSE),"")</x:f>
      </x:c>
      <x:c r="N24" s="19" t="str">
        <x:f>IF(B24="","",IF(ISNUMBER(D24),D24,IFERROR(VLOOKUP(B24,'敌人目录'!$A$6:$S$54,14,FALSE),"")))</x:f>
      </x:c>
      <x:c r="O24" s="64" t="str">
        <x:f>IFERROR(VLOOKUP(B24,'敌人目录'!$A$6:$S$54,15,FALSE),"")</x:f>
      </x:c>
      <x:c r="P24" s="19" t="str">
        <x:f>IF(F24="","",F24*G24)</x:f>
      </x:c>
      <x:c r="Q24" s="19" t="str">
        <x:f>IF(F24="","",F24*L24)</x:f>
      </x:c>
      <x:c r="R24" s="19" t="str">
        <x:f>IF(F24="","",F24*N24)</x:f>
      </x:c>
      <x:c r="S24" s="19" t="str">
        <x:f>IF(R24="","",R24*'全局设置'!$B$5)</x:f>
      </x:c>
      <x:c r="T24" s="73" t="str">
        <x:f>IF(F24="","",F24*O24)</x:f>
      </x:c>
      <x:c r="U24" s="19" t="str">
        <x:f>IF(AND(B24="",C24=""),"",IF(B24="","缺少敌人",IF(C24="","缺少数量",IF(OR(C24&lt;1,C24&gt;9999,C24&lt;&gt;INT(C24)),"数量无效",IF(COUNTIF($E$7:$E$24,E24)&gt;1,"重复敌人",IF(AND(ISNUMBER(D24),OR(D24&lt;0,D24&gt;999,D24&lt;&gt;INT(D24))),"奖励无效","可导入"))))))</x:f>
      </x:c>
    </x:row>
    <x:row r="25" ht="22" customHeight="1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</x:row>
    <x:row r="26" ht="22" customHeight="1">
      <x:c r="A26" s="40" t="str">
        <x:v>基础总数</x:v>
      </x:c>
      <x:c r="B26" s="19" t="n">
        <x:f>SUM(C7:C24)</x:f>
        <x:v>24</x:v>
      </x:c>
      <x:c r="C26" s="40" t="str">
        <x:v>实际总数</x:v>
      </x:c>
      <x:c r="D26" s="19" t="n">
        <x:f>SUM(F7:F24)</x:f>
        <x:v>24</x:v>
      </x:c>
      <x:c r="E26" s="40" t="str">
        <x:v>敌人种类</x:v>
      </x:c>
      <x:c r="F26" s="19" t="n">
        <x:f>COUNTA(B7:B24)</x:f>
        <x:v>2</x:v>
      </x:c>
      <x:c r="G26" s="40" t="str">
        <x:v>生命池</x:v>
      </x:c>
      <x:c r="H26" s="19" t="n">
        <x:f>SUM(P7:P24)</x:f>
        <x:v>1560</x:v>
      </x:c>
      <x:c r="I26" s="40" t="str">
        <x:v>基础息壤/玩家</x:v>
      </x:c>
      <x:c r="J26" s="19" t="n">
        <x:f>SUM(R7:R24)</x:f>
        <x:v>30</x:v>
      </x:c>
      <x:c r="K26" s="40" t="str">
        <x:v>情景息壤/玩家</x:v>
      </x:c>
      <x:c r="L26" s="19" t="n">
        <x:f>J26*'全局设置'!$B$7*'全局设置'!$C$14</x:f>
        <x:v>30</x:v>
      </x:c>
      <x:c r="M26" s="40" t="str">
        <x:v>情景息壤/队伍</x:v>
      </x:c>
      <x:c r="N26" s="19" t="n">
        <x:f>L26*'全局设置'!$B$5</x:f>
        <x:v>30</x:v>
      </x:c>
      <x:c r="O26" s="40" t="str">
        <x:v>掉落期望</x:v>
      </x:c>
      <x:c r="P26" s="73" t="n">
        <x:f>SUM(T7:T24)</x:f>
        <x:v>1.2000000000000002</x:v>
      </x:c>
      <x:c r="Q26" s="40" t="str">
        <x:v>全漏Home伤害</x:v>
      </x:c>
      <x:c r="R26" s="19" t="n">
        <x:f>SUM(Q7:Q24)</x:f>
        <x:v>30</x:v>
      </x:c>
      <x:c r="S26" s="40" t="str">
        <x:v>最短刷完(s)</x:v>
      </x:c>
      <x:c r="T26" s="73" t="n">
        <x:f>IF(D26=0,0,MAX(0,(ROUNDUP(D26/J3,0)-1)*H3))</x:f>
        <x:v>18.400000000000002</x:v>
      </x:c>
      <x:c r="U26" s="31"/>
    </x:row>
    <x:row r="27" ht="22" customHeight="1">
      <x:c r="A27" s="82" t="str">
        <x:v>情景收益 = 最大击杀息壤 × 全局击杀率 × 第1日倍率；最大队伍收益另按玩家人数相乘。</x:v>
      </x:c>
      <x:c r="B27" s="82" t="str">
        <x:v>情景收益 = 最大击杀息壤 × 全局击杀率 × 第1日倍率；最大队伍收益另按玩家人数相乘。</x:v>
      </x:c>
      <x:c r="C27" s="82" t="str">
        <x:v>情景收益 = 最大击杀息壤 × 全局击杀率 × 第1日倍率；最大队伍收益另按玩家人数相乘。</x:v>
      </x:c>
      <x:c r="D27" s="82" t="str">
        <x:v>情景收益 = 最大击杀息壤 × 全局击杀率 × 第1日倍率；最大队伍收益另按玩家人数相乘。</x:v>
      </x:c>
      <x:c r="E27" s="82" t="str">
        <x:v>情景收益 = 最大击杀息壤 × 全局击杀率 × 第1日倍率；最大队伍收益另按玩家人数相乘。</x:v>
      </x:c>
      <x:c r="F27" s="82" t="str">
        <x:v>情景收益 = 最大击杀息壤 × 全局击杀率 × 第1日倍率；最大队伍收益另按玩家人数相乘。</x:v>
      </x:c>
      <x:c r="G27" s="82" t="str">
        <x:v>情景收益 = 最大击杀息壤 × 全局击杀率 × 第1日倍率；最大队伍收益另按玩家人数相乘。</x:v>
      </x:c>
      <x:c r="H27" s="82" t="str">
        <x:v>情景收益 = 最大击杀息壤 × 全局击杀率 × 第1日倍率；最大队伍收益另按玩家人数相乘。</x:v>
      </x:c>
      <x:c r="I27" s="82" t="str">
        <x:v>情景收益 = 最大击杀息壤 × 全局击杀率 × 第1日倍率；最大队伍收益另按玩家人数相乘。</x:v>
      </x:c>
      <x:c r="J27" s="82" t="str">
        <x:v>情景收益 = 最大击杀息壤 × 全局击杀率 × 第1日倍率；最大队伍收益另按玩家人数相乘。</x:v>
      </x:c>
      <x:c r="K27" s="82" t="str">
        <x:v>情景收益 = 最大击杀息壤 × 全局击杀率 × 第1日倍率；最大队伍收益另按玩家人数相乘。</x:v>
      </x:c>
      <x:c r="L27" s="82" t="str">
        <x:v>情景收益 = 最大击杀息壤 × 全局击杀率 × 第1日倍率；最大队伍收益另按玩家人数相乘。</x:v>
      </x:c>
      <x:c r="M27" s="82" t="str">
        <x:v>情景收益 = 最大击杀息壤 × 全局击杀率 × 第1日倍率；最大队伍收益另按玩家人数相乘。</x:v>
      </x:c>
      <x:c r="N27" s="82" t="str">
        <x:v>情景收益 = 最大击杀息壤 × 全局击杀率 × 第1日倍率；最大队伍收益另按玩家人数相乘。</x:v>
      </x:c>
      <x:c r="O27" s="82" t="str">
        <x:v>情景收益 = 最大击杀息壤 × 全局击杀率 × 第1日倍率；最大队伍收益另按玩家人数相乘。</x:v>
      </x:c>
      <x:c r="P27" s="82" t="str">
        <x:v>情景收益 = 最大击杀息壤 × 全局击杀率 × 第1日倍率；最大队伍收益另按玩家人数相乘。</x:v>
      </x:c>
      <x:c r="Q27" s="82" t="str">
        <x:v>情景收益 = 最大击杀息壤 × 全局击杀率 × 第1日倍率；最大队伍收益另按玩家人数相乘。</x:v>
      </x:c>
      <x:c r="R27" s="82" t="str">
        <x:v>情景收益 = 最大击杀息壤 × 全局击杀率 × 第1日倍率；最大队伍收益另按玩家人数相乘。</x:v>
      </x:c>
      <x:c r="S27" s="82" t="str">
        <x:v>情景收益 = 最大击杀息壤 × 全局击杀率 × 第1日倍率；最大队伍收益另按玩家人数相乘。</x:v>
      </x:c>
      <x:c r="T27" s="82" t="str">
        <x:v>情景收益 = 最大击杀息壤 × 全局击杀率 × 第1日倍率；最大队伍收益另按玩家人数相乘。</x:v>
      </x:c>
      <x:c r="U27" s="82" t="str">
        <x:v>情景收益 = 最大击杀息壤 × 全局击杀率 × 第1日倍率；最大队伍收益另按玩家人数相乘。</x:v>
      </x:c>
    </x:row>
    <x:row r="28" ht="22" customHeight="1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</x:row>
    <x:row r="29" ht="22" customHeight="1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</x:row>
    <x:row r="30" ht="22" customHeight="1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</x:row>
    <x:row r="31" ht="22" customHeight="1">
      <x:c r="A31" s="71" t="str">
        <x:v>第 2 波｜第 1 日·2/4｜白昼｜当前正式配置</x:v>
      </x:c>
      <x:c r="B31" s="71" t="str">
        <x:v>第 2 波｜第 1 日·2/4｜白昼｜当前正式配置</x:v>
      </x:c>
      <x:c r="C31" s="71" t="str">
        <x:v>第 2 波｜第 1 日·2/4｜白昼｜当前正式配置</x:v>
      </x:c>
      <x:c r="D31" s="71" t="str">
        <x:v>第 2 波｜第 1 日·2/4｜白昼｜当前正式配置</x:v>
      </x:c>
      <x:c r="E31" s="71" t="str">
        <x:v>第 2 波｜第 1 日·2/4｜白昼｜当前正式配置</x:v>
      </x:c>
      <x:c r="F31" s="71" t="str">
        <x:v>第 2 波｜第 1 日·2/4｜白昼｜当前正式配置</x:v>
      </x:c>
      <x:c r="G31" s="71" t="str">
        <x:v>第 2 波｜第 1 日·2/4｜白昼｜当前正式配置</x:v>
      </x:c>
      <x:c r="H31" s="71" t="str">
        <x:v>第 2 波｜第 1 日·2/4｜白昼｜当前正式配置</x:v>
      </x:c>
      <x:c r="I31" s="71" t="str">
        <x:v>第 2 波｜第 1 日·2/4｜白昼｜当前正式配置</x:v>
      </x:c>
      <x:c r="J31" s="71" t="str">
        <x:v>第 2 波｜第 1 日·2/4｜白昼｜当前正式配置</x:v>
      </x:c>
      <x:c r="K31" s="71" t="str">
        <x:v>第 2 波｜第 1 日·2/4｜白昼｜当前正式配置</x:v>
      </x:c>
      <x:c r="L31" s="71" t="str">
        <x:v>第 2 波｜第 1 日·2/4｜白昼｜当前正式配置</x:v>
      </x:c>
      <x:c r="M31" s="71" t="str">
        <x:v>第 2 波｜第 1 日·2/4｜白昼｜当前正式配置</x:v>
      </x:c>
      <x:c r="N31" s="71" t="str">
        <x:v>第 2 波｜第 1 日·2/4｜白昼｜当前正式配置</x:v>
      </x:c>
      <x:c r="O31" s="71" t="str">
        <x:v>第 2 波｜第 1 日·2/4｜白昼｜当前正式配置</x:v>
      </x:c>
      <x:c r="P31" s="71" t="str">
        <x:v>第 2 波｜第 1 日·2/4｜白昼｜当前正式配置</x:v>
      </x:c>
      <x:c r="Q31" s="71" t="str">
        <x:v>第 2 波｜第 1 日·2/4｜白昼｜当前正式配置</x:v>
      </x:c>
      <x:c r="R31" s="71" t="str">
        <x:v>第 2 波｜第 1 日·2/4｜白昼｜当前正式配置</x:v>
      </x:c>
      <x:c r="S31" s="71" t="str">
        <x:v>第 2 波｜第 1 日·2/4｜白昼｜当前正式配置</x:v>
      </x:c>
      <x:c r="T31" s="71" t="str">
        <x:v>第 2 波｜第 1 日·2/4｜白昼｜当前正式配置</x:v>
      </x:c>
      <x:c r="U31" s="71" t="str">
        <x:v>第 2 波｜第 1 日·2/4｜白昼｜当前正式配置</x:v>
      </x:c>
    </x:row>
    <x:row r="32" ht="22" customHeight="1">
      <x:c r="A32" s="40" t="str">
        <x:v>波次名称</x:v>
      </x:c>
      <x:c r="B32" s="41" t="str">
        <x:v>第2波 迅影与硬壳</x:v>
      </x:c>
      <x:c r="C32" s="41" t="str">
        <x:v>第2波 迅影与硬壳</x:v>
      </x:c>
      <x:c r="D32" s="41" t="str">
        <x:v>第2波 迅影与硬壳</x:v>
      </x:c>
      <x:c r="E32" s="41" t="str">
        <x:v>第2波 迅影与硬壳</x:v>
      </x:c>
      <x:c r="F32" s="41" t="str">
        <x:v>第2波 迅影与硬壳</x:v>
      </x:c>
      <x:c r="G32" s="40" t="str">
        <x:v>出生间隔(s)</x:v>
      </x:c>
      <x:c r="H32" s="41" t="n">
        <x:v>0.7</x:v>
      </x:c>
      <x:c r="I32" s="40" t="str">
        <x:v>每Tick</x:v>
      </x:c>
      <x:c r="J32" s="41" t="n">
        <x:v>1</x:v>
      </x:c>
      <x:c r="K32" s="40" t="str">
        <x:v>存活上限</x:v>
      </x:c>
      <x:c r="L32" s="41" t="n">
        <x:v>32</x:v>
      </x:c>
      <x:c r="M32" s="40" t="str">
        <x:v>校验</x:v>
      </x:c>
      <x:c r="N32" s="19" t="str">
        <x:f>IF(COUNTA(B36:B53)=0,"待设计",IF(COUNTIF(U36:U53,"可导入")=COUNTA(B36:B53),"可导入","需修正"))</x:f>
        <x:v>可导入</x:v>
      </x:c>
      <x:c r="O32" s="19" t="str"/>
      <x:c r="P32" s="40" t="str">
        <x:v>来源</x:v>
      </x:c>
      <x:c r="Q32" s="19" t="str">
        <x:v>当前游戏 formal 资源</x:v>
      </x:c>
      <x:c r="R32" s="19" t="str">
        <x:v>当前游戏 formal 资源</x:v>
      </x:c>
      <x:c r="S32" s="19" t="str">
        <x:v>当前游戏 formal 资源</x:v>
      </x:c>
      <x:c r="T32" s="19" t="str">
        <x:v>当前游戏 formal 资源</x:v>
      </x:c>
      <x:c r="U32" s="19" t="str">
        <x:v>当前游戏 formal 资源</x:v>
      </x:c>
    </x:row>
    <x:row r="33" ht="22" customHeight="1">
      <x:c r="A33" s="40" t="str">
        <x:v>出生点</x:v>
      </x:c>
      <x:c r="B33" s="41" t="str">
        <x:v>开启</x:v>
      </x:c>
      <x:c r="C33" s="41" t="str">
        <x:v>开启</x:v>
      </x:c>
      <x:c r="D33" s="41" t="str">
        <x:v>开启</x:v>
      </x:c>
      <x:c r="E33" s="41" t="str">
        <x:v>开启</x:v>
      </x:c>
      <x:c r="F33" s="41" t="str">
        <x:v>开启</x:v>
      </x:c>
      <x:c r="G33" s="41" t="str">
        <x:v>开启</x:v>
      </x:c>
      <x:c r="H33" s="40" t="str">
        <x:v>战斗音乐</x:v>
      </x:c>
      <x:c r="I33" s="19" t="str">
        <x:v>shenmu_forest_combat</x:v>
      </x:c>
      <x:c r="J33" s="19" t="str">
        <x:v>shenmu_forest_combat</x:v>
      </x:c>
      <x:c r="K33" s="19" t="str">
        <x:v>shenmu_forest_combat</x:v>
      </x:c>
      <x:c r="L33" s="19" t="str">
        <x:v>shenmu_forest_combat</x:v>
      </x:c>
      <x:c r="M33" s="19" t="str">
        <x:v>shenmu_forest_combat</x:v>
      </x:c>
      <x:c r="N33" s="40" t="str">
        <x:v>波后音乐</x:v>
      </x:c>
      <x:c r="O33" s="19" t="str">
        <x:v>shenmu_forest_intermission</x:v>
      </x:c>
      <x:c r="P33" s="19" t="str">
        <x:v>shenmu_forest_intermission</x:v>
      </x:c>
      <x:c r="Q33" s="19" t="str">
        <x:v>shenmu_forest_intermission</x:v>
      </x:c>
      <x:c r="R33" s="19" t="str">
        <x:v>shenmu_forest_intermission</x:v>
      </x:c>
      <x:c r="S33" s="19" t="str">
        <x:v>shenmu_forest_intermission</x:v>
      </x:c>
      <x:c r="T33" s="19" t="str">
        <x:v>shenmu_forest_intermission</x:v>
      </x:c>
      <x:c r="U33" s="19" t="str">
        <x:v>shenmu_forest_intermission</x:v>
      </x:c>
    </x:row>
    <x:row r="34" ht="22" customHeight="1">
      <x:c r="A34" s="56" t="str">
        <x:v>蓝色列可编辑。每种敌人一行；若同波重复选择同一稳定 ID，请合并数量。实际数量按当前模拟玩家数逐条向上取整。</x:v>
      </x:c>
      <x:c r="B34" s="56" t="str">
        <x:v>蓝色列可编辑。每种敌人一行；若同波重复选择同一稳定 ID，请合并数量。实际数量按当前模拟玩家数逐条向上取整。</x:v>
      </x:c>
      <x:c r="C34" s="56" t="str">
        <x:v>蓝色列可编辑。每种敌人一行；若同波重复选择同一稳定 ID，请合并数量。实际数量按当前模拟玩家数逐条向上取整。</x:v>
      </x:c>
      <x:c r="D34" s="56" t="str">
        <x:v>蓝色列可编辑。每种敌人一行；若同波重复选择同一稳定 ID，请合并数量。实际数量按当前模拟玩家数逐条向上取整。</x:v>
      </x:c>
      <x:c r="E34" s="56" t="str">
        <x:v>蓝色列可编辑。每种敌人一行；若同波重复选择同一稳定 ID，请合并数量。实际数量按当前模拟玩家数逐条向上取整。</x:v>
      </x:c>
      <x:c r="F34" s="56" t="str">
        <x:v>蓝色列可编辑。每种敌人一行；若同波重复选择同一稳定 ID，请合并数量。实际数量按当前模拟玩家数逐条向上取整。</x:v>
      </x:c>
      <x:c r="G34" s="56" t="str">
        <x:v>蓝色列可编辑。每种敌人一行；若同波重复选择同一稳定 ID，请合并数量。实际数量按当前模拟玩家数逐条向上取整。</x:v>
      </x:c>
      <x:c r="H34" s="56" t="str">
        <x:v>蓝色列可编辑。每种敌人一行；若同波重复选择同一稳定 ID，请合并数量。实际数量按当前模拟玩家数逐条向上取整。</x:v>
      </x:c>
      <x:c r="I34" s="56" t="str">
        <x:v>蓝色列可编辑。每种敌人一行；若同波重复选择同一稳定 ID，请合并数量。实际数量按当前模拟玩家数逐条向上取整。</x:v>
      </x:c>
      <x:c r="J34" s="56" t="str">
        <x:v>蓝色列可编辑。每种敌人一行；若同波重复选择同一稳定 ID，请合并数量。实际数量按当前模拟玩家数逐条向上取整。</x:v>
      </x:c>
      <x:c r="K34" s="56" t="str">
        <x:v>蓝色列可编辑。每种敌人一行；若同波重复选择同一稳定 ID，请合并数量。实际数量按当前模拟玩家数逐条向上取整。</x:v>
      </x:c>
      <x:c r="L34" s="56" t="str">
        <x:v>蓝色列可编辑。每种敌人一行；若同波重复选择同一稳定 ID，请合并数量。实际数量按当前模拟玩家数逐条向上取整。</x:v>
      </x:c>
      <x:c r="M34" s="56" t="str">
        <x:v>蓝色列可编辑。每种敌人一行；若同波重复选择同一稳定 ID，请合并数量。实际数量按当前模拟玩家数逐条向上取整。</x:v>
      </x:c>
      <x:c r="N34" s="56" t="str">
        <x:v>蓝色列可编辑。每种敌人一行；若同波重复选择同一稳定 ID，请合并数量。实际数量按当前模拟玩家数逐条向上取整。</x:v>
      </x:c>
      <x:c r="O34" s="56" t="str">
        <x:v>蓝色列可编辑。每种敌人一行；若同波重复选择同一稳定 ID，请合并数量。实际数量按当前模拟玩家数逐条向上取整。</x:v>
      </x:c>
      <x:c r="P34" s="56" t="str">
        <x:v>蓝色列可编辑。每种敌人一行；若同波重复选择同一稳定 ID，请合并数量。实际数量按当前模拟玩家数逐条向上取整。</x:v>
      </x:c>
      <x:c r="Q34" s="56" t="str">
        <x:v>蓝色列可编辑。每种敌人一行；若同波重复选择同一稳定 ID，请合并数量。实际数量按当前模拟玩家数逐条向上取整。</x:v>
      </x:c>
      <x:c r="R34" s="56" t="str">
        <x:v>蓝色列可编辑。每种敌人一行；若同波重复选择同一稳定 ID，请合并数量。实际数量按当前模拟玩家数逐条向上取整。</x:v>
      </x:c>
      <x:c r="S34" s="56" t="str">
        <x:v>蓝色列可编辑。每种敌人一行；若同波重复选择同一稳定 ID，请合并数量。实际数量按当前模拟玩家数逐条向上取整。</x:v>
      </x:c>
      <x:c r="T34" s="56" t="str">
        <x:v>蓝色列可编辑。每种敌人一行；若同波重复选择同一稳定 ID，请合并数量。实际数量按当前模拟玩家数逐条向上取整。</x:v>
      </x:c>
      <x:c r="U34" s="56" t="str">
        <x:v>蓝色列可编辑。每种敌人一行；若同波重复选择同一稳定 ID，请合并数量。实际数量按当前模拟玩家数逐条向上取整。</x:v>
      </x:c>
    </x:row>
    <x:row r="35" ht="22" customHeight="1">
      <x:c r="A35" s="63" t="str">
        <x:v>槽位</x:v>
      </x:c>
      <x:c r="B35" s="63" t="str">
        <x:v>敌人（下拉选择）</x:v>
      </x:c>
      <x:c r="C35" s="63" t="str">
        <x:v>基础数量</x:v>
      </x:c>
      <x:c r="D35" s="63" t="str">
        <x:v>本波息壤覆盖</x:v>
      </x:c>
      <x:c r="E35" s="63" t="str">
        <x:v>稳定敌人ID</x:v>
      </x:c>
      <x:c r="F35" s="63" t="str">
        <x:v>实际数量</x:v>
      </x:c>
      <x:c r="G35" s="63" t="str">
        <x:v>生命</x:v>
      </x:c>
      <x:c r="H35" s="63" t="str">
        <x:v>攻击</x:v>
      </x:c>
      <x:c r="I35" s="63" t="str">
        <x:v>物理防御</x:v>
      </x:c>
      <x:c r="J35" s="63" t="str">
        <x:v>法术防御</x:v>
      </x:c>
      <x:c r="K35" s="63" t="str">
        <x:v>移速</x:v>
      </x:c>
      <x:c r="L35" s="63" t="str">
        <x:v>Home伤害</x:v>
      </x:c>
      <x:c r="M35" s="63" t="str">
        <x:v>游戏默认息壤</x:v>
      </x:c>
      <x:c r="N35" s="63" t="str">
        <x:v>有效息壤</x:v>
      </x:c>
      <x:c r="O35" s="63" t="str">
        <x:v>掉落期望/击杀</x:v>
      </x:c>
      <x:c r="P35" s="63" t="str">
        <x:v>总生命</x:v>
      </x:c>
      <x:c r="Q35" s="63" t="str">
        <x:v>全漏Home伤害</x:v>
      </x:c>
      <x:c r="R35" s="63" t="str">
        <x:v>最大息壤/玩家</x:v>
      </x:c>
      <x:c r="S35" s="63" t="str">
        <x:v>最大息壤/队伍</x:v>
      </x:c>
      <x:c r="T35" s="63" t="str">
        <x:v>掉落期望</x:v>
      </x:c>
      <x:c r="U35" s="63" t="str">
        <x:v>校验</x:v>
      </x:c>
    </x:row>
    <x:row r="36" ht="22" customHeight="1">
      <x:c r="A36" s="72" t="n">
        <x:v>1</x:v>
      </x:c>
      <x:c r="B36" s="41" t="str">
        <x:v>yuanshi_insect_basic｜普通原石虫</x:v>
      </x:c>
      <x:c r="C36" s="41" t="n">
        <x:v>22</x:v>
      </x:c>
      <x:c r="D36" s="41"/>
      <x:c r="E36" s="19" t="str">
        <x:f>IFERROR(VLOOKUP(B36,'敌人目录'!$A$6:$S$54,2,FALSE),"")</x:f>
        <x:v>yuanshi_insect_basic</x:v>
      </x:c>
      <x:c r="F36" s="19" t="n">
        <x:f>IF(OR(B36="",C36=""),"",ROUNDUP(C36*(1+('全局设置'!$B$5-1)*'全局设置'!$B$6),0))</x:f>
        <x:v>22</x:v>
      </x:c>
      <x:c r="G36" s="19" t="n">
        <x:f>IFERROR(VLOOKUP(B36,'敌人目录'!$A$6:$S$54,7,FALSE),"")</x:f>
        <x:v>40</x:v>
      </x:c>
      <x:c r="H36" s="19" t="n">
        <x:f>IFERROR(VLOOKUP(B36,'敌人目录'!$A$6:$S$54,8,FALSE),"")</x:f>
        <x:v>10</x:v>
      </x:c>
      <x:c r="I36" s="19" t="n">
        <x:f>IFERROR(VLOOKUP(B36,'敌人目录'!$A$6:$S$54,9,FALSE),"")</x:f>
        <x:v>0</x:v>
      </x:c>
      <x:c r="J36" s="19" t="n">
        <x:f>IFERROR(VLOOKUP(B36,'敌人目录'!$A$6:$S$54,10,FALSE),"")</x:f>
        <x:v>0</x:v>
      </x:c>
      <x:c r="K36" s="19" t="n">
        <x:f>IFERROR(VLOOKUP(B36,'敌人目录'!$A$6:$S$54,11,FALSE),"")</x:f>
        <x:v>20</x:v>
      </x:c>
      <x:c r="L36" s="19" t="n">
        <x:f>IFERROR(VLOOKUP(B36,'敌人目录'!$A$6:$S$54,12,FALSE),"")</x:f>
        <x:v>1</x:v>
      </x:c>
      <x:c r="M36" s="19" t="n">
        <x:f>IFERROR(VLOOKUP(B36,'敌人目录'!$A$6:$S$54,13,FALSE),"")</x:f>
        <x:v>1</x:v>
      </x:c>
      <x:c r="N36" s="19" t="n">
        <x:f>IF(B36="","",IF(ISNUMBER(D36),D36,IFERROR(VLOOKUP(B36,'敌人目录'!$A$6:$S$54,14,FALSE),"")))</x:f>
        <x:v>1</x:v>
      </x:c>
      <x:c r="O36" s="64" t="n">
        <x:f>IFERROR(VLOOKUP(B36,'敌人目录'!$A$6:$S$54,15,FALSE),"")</x:f>
        <x:v>0.05</x:v>
      </x:c>
      <x:c r="P36" s="19" t="n">
        <x:f>IF(F36="","",F36*G36)</x:f>
        <x:v>880</x:v>
      </x:c>
      <x:c r="Q36" s="19" t="n">
        <x:f>IF(F36="","",F36*L36)</x:f>
        <x:v>22</x:v>
      </x:c>
      <x:c r="R36" s="19" t="n">
        <x:f>IF(F36="","",F36*N36)</x:f>
        <x:v>22</x:v>
      </x:c>
      <x:c r="S36" s="19" t="n">
        <x:f>IF(R36="","",R36*'全局设置'!$B$5)</x:f>
        <x:v>22</x:v>
      </x:c>
      <x:c r="T36" s="73" t="n">
        <x:f>IF(F36="","",F36*O36)</x:f>
        <x:v>1.1</x:v>
      </x:c>
      <x:c r="U36" s="19" t="str">
        <x:f>IF(AND(B36="",C36=""),"",IF(B36="","缺少敌人",IF(C36="","缺少数量",IF(OR(C36&lt;1,C36&gt;9999,C36&lt;&gt;INT(C36)),"数量无效",IF(COUNTIF($E$36:$E$53,E36)&gt;1,"重复敌人",IF(AND(ISNUMBER(D36),OR(D36&lt;0,D36&gt;999,D36&lt;&gt;INT(D36))),"奖励无效","可导入"))))))</x:f>
        <x:v>可导入</x:v>
      </x:c>
    </x:row>
    <x:row r="37" ht="22" customHeight="1">
      <x:c r="A37" s="72" t="n">
        <x:v>2</x:v>
      </x:c>
      <x:c r="B37" s="41" t="str">
        <x:v>yuanshi_insect_fast｜迅捷原石虫</x:v>
      </x:c>
      <x:c r="C37" s="41" t="n">
        <x:v>8</x:v>
      </x:c>
      <x:c r="D37" s="41"/>
      <x:c r="E37" s="19" t="str">
        <x:f>IFERROR(VLOOKUP(B37,'敌人目录'!$A$6:$S$54,2,FALSE),"")</x:f>
        <x:v>yuanshi_insect_fast</x:v>
      </x:c>
      <x:c r="F37" s="19" t="n">
        <x:f>IF(OR(B37="",C37=""),"",ROUNDUP(C37*(1+('全局设置'!$B$5-1)*'全局设置'!$B$6),0))</x:f>
        <x:v>8</x:v>
      </x:c>
      <x:c r="G37" s="19" t="n">
        <x:f>IFERROR(VLOOKUP(B37,'敌人目录'!$A$6:$S$54,7,FALSE),"")</x:f>
        <x:v>35</x:v>
      </x:c>
      <x:c r="H37" s="19" t="n">
        <x:f>IFERROR(VLOOKUP(B37,'敌人目录'!$A$6:$S$54,8,FALSE),"")</x:f>
        <x:v>10</x:v>
      </x:c>
      <x:c r="I37" s="19" t="n">
        <x:f>IFERROR(VLOOKUP(B37,'敌人目录'!$A$6:$S$54,9,FALSE),"")</x:f>
        <x:v>0</x:v>
      </x:c>
      <x:c r="J37" s="19" t="n">
        <x:f>IFERROR(VLOOKUP(B37,'敌人目录'!$A$6:$S$54,10,FALSE),"")</x:f>
        <x:v>0</x:v>
      </x:c>
      <x:c r="K37" s="19" t="n">
        <x:f>IFERROR(VLOOKUP(B37,'敌人目录'!$A$6:$S$54,11,FALSE),"")</x:f>
        <x:v>40</x:v>
      </x:c>
      <x:c r="L37" s="19" t="n">
        <x:f>IFERROR(VLOOKUP(B37,'敌人目录'!$A$6:$S$54,12,FALSE),"")</x:f>
        <x:v>1</x:v>
      </x:c>
      <x:c r="M37" s="19" t="n">
        <x:f>IFERROR(VLOOKUP(B37,'敌人目录'!$A$6:$S$54,13,FALSE),"")</x:f>
        <x:v>1</x:v>
      </x:c>
      <x:c r="N37" s="19" t="n">
        <x:f>IF(B37="","",IF(ISNUMBER(D37),D37,IFERROR(VLOOKUP(B37,'敌人目录'!$A$6:$S$54,14,FALSE),"")))</x:f>
        <x:v>1</x:v>
      </x:c>
      <x:c r="O37" s="64" t="n">
        <x:f>IFERROR(VLOOKUP(B37,'敌人目录'!$A$6:$S$54,15,FALSE),"")</x:f>
        <x:v>0.05</x:v>
      </x:c>
      <x:c r="P37" s="19" t="n">
        <x:f>IF(F37="","",F37*G37)</x:f>
        <x:v>280</x:v>
      </x:c>
      <x:c r="Q37" s="19" t="n">
        <x:f>IF(F37="","",F37*L37)</x:f>
        <x:v>8</x:v>
      </x:c>
      <x:c r="R37" s="19" t="n">
        <x:f>IF(F37="","",F37*N37)</x:f>
        <x:v>8</x:v>
      </x:c>
      <x:c r="S37" s="19" t="n">
        <x:f>IF(R37="","",R37*'全局设置'!$B$5)</x:f>
        <x:v>8</x:v>
      </x:c>
      <x:c r="T37" s="73" t="n">
        <x:f>IF(F37="","",F37*O37)</x:f>
        <x:v>0.4</x:v>
      </x:c>
      <x:c r="U37" s="19" t="str">
        <x:f>IF(AND(B37="",C37=""),"",IF(B37="","缺少敌人",IF(C37="","缺少数量",IF(OR(C37&lt;1,C37&gt;9999,C37&lt;&gt;INT(C37)),"数量无效",IF(COUNTIF($E$36:$E$53,E37)&gt;1,"重复敌人",IF(AND(ISNUMBER(D37),OR(D37&lt;0,D37&gt;999,D37&lt;&gt;INT(D37))),"奖励无效","可导入"))))))</x:f>
        <x:v>可导入</x:v>
      </x:c>
    </x:row>
    <x:row r="38" ht="22" customHeight="1">
      <x:c r="A38" s="72" t="n">
        <x:v>3</x:v>
      </x:c>
      <x:c r="B38" s="41" t="str">
        <x:v>yuanshi_insect_shell｜硬壳原石虫</x:v>
      </x:c>
      <x:c r="C38" s="41" t="n">
        <x:v>6</x:v>
      </x:c>
      <x:c r="D38" s="41"/>
      <x:c r="E38" s="19" t="str">
        <x:f>IFERROR(VLOOKUP(B38,'敌人目录'!$A$6:$S$54,2,FALSE),"")</x:f>
        <x:v>yuanshi_insect_shell</x:v>
      </x:c>
      <x:c r="F38" s="19" t="n">
        <x:f>IF(OR(B38="",C38=""),"",ROUNDUP(C38*(1+('全局设置'!$B$5-1)*'全局设置'!$B$6),0))</x:f>
        <x:v>6</x:v>
      </x:c>
      <x:c r="G38" s="19" t="n">
        <x:f>IFERROR(VLOOKUP(B38,'敌人目录'!$A$6:$S$54,7,FALSE),"")</x:f>
        <x:v>140</x:v>
      </x:c>
      <x:c r="H38" s="19" t="n">
        <x:f>IFERROR(VLOOKUP(B38,'敌人目录'!$A$6:$S$54,8,FALSE),"")</x:f>
        <x:v>14</x:v>
      </x:c>
      <x:c r="I38" s="19" t="n">
        <x:f>IFERROR(VLOOKUP(B38,'敌人目录'!$A$6:$S$54,9,FALSE),"")</x:f>
        <x:v>3</x:v>
      </x:c>
      <x:c r="J38" s="19" t="n">
        <x:f>IFERROR(VLOOKUP(B38,'敌人目录'!$A$6:$S$54,10,FALSE),"")</x:f>
        <x:v>0</x:v>
      </x:c>
      <x:c r="K38" s="19" t="n">
        <x:f>IFERROR(VLOOKUP(B38,'敌人目录'!$A$6:$S$54,11,FALSE),"")</x:f>
        <x:v>20</x:v>
      </x:c>
      <x:c r="L38" s="19" t="n">
        <x:f>IFERROR(VLOOKUP(B38,'敌人目录'!$A$6:$S$54,12,FALSE),"")</x:f>
        <x:v>2</x:v>
      </x:c>
      <x:c r="M38" s="19" t="n">
        <x:f>IFERROR(VLOOKUP(B38,'敌人目录'!$A$6:$S$54,13,FALSE),"")</x:f>
        <x:v>2</x:v>
      </x:c>
      <x:c r="N38" s="19" t="n">
        <x:f>IF(B38="","",IF(ISNUMBER(D38),D38,IFERROR(VLOOKUP(B38,'敌人目录'!$A$6:$S$54,14,FALSE),"")))</x:f>
        <x:v>2</x:v>
      </x:c>
      <x:c r="O38" s="64" t="n">
        <x:f>IFERROR(VLOOKUP(B38,'敌人目录'!$A$6:$S$54,15,FALSE),"")</x:f>
        <x:v>0.05</x:v>
      </x:c>
      <x:c r="P38" s="19" t="n">
        <x:f>IF(F38="","",F38*G38)</x:f>
        <x:v>840</x:v>
      </x:c>
      <x:c r="Q38" s="19" t="n">
        <x:f>IF(F38="","",F38*L38)</x:f>
        <x:v>12</x:v>
      </x:c>
      <x:c r="R38" s="19" t="n">
        <x:f>IF(F38="","",F38*N38)</x:f>
        <x:v>12</x:v>
      </x:c>
      <x:c r="S38" s="19" t="n">
        <x:f>IF(R38="","",R38*'全局设置'!$B$5)</x:f>
        <x:v>12</x:v>
      </x:c>
      <x:c r="T38" s="73" t="n">
        <x:f>IF(F38="","",F38*O38)</x:f>
        <x:v>0.30000000000000004</x:v>
      </x:c>
      <x:c r="U38" s="19" t="str">
        <x:f>IF(AND(B38="",C38=""),"",IF(B38="","缺少敌人",IF(C38="","缺少数量",IF(OR(C38&lt;1,C38&gt;9999,C38&lt;&gt;INT(C38)),"数量无效",IF(COUNTIF($E$36:$E$53,E38)&gt;1,"重复敌人",IF(AND(ISNUMBER(D38),OR(D38&lt;0,D38&gt;999,D38&lt;&gt;INT(D38))),"奖励无效","可导入"))))))</x:f>
        <x:v>可导入</x:v>
      </x:c>
    </x:row>
    <x:row r="39" ht="22" customHeight="1">
      <x:c r="A39" s="72" t="n">
        <x:v>4</x:v>
      </x:c>
      <x:c r="B39" s="41"/>
      <x:c r="C39" s="41"/>
      <x:c r="D39" s="41"/>
      <x:c r="E39" s="19" t="str">
        <x:f>IFERROR(VLOOKUP(B39,'敌人目录'!$A$6:$S$54,2,FALSE),"")</x:f>
      </x:c>
      <x:c r="F39" s="19" t="str">
        <x:f>IF(OR(B39="",C39=""),"",ROUNDUP(C39*(1+('全局设置'!$B$5-1)*'全局设置'!$B$6),0))</x:f>
      </x:c>
      <x:c r="G39" s="19" t="str">
        <x:f>IFERROR(VLOOKUP(B39,'敌人目录'!$A$6:$S$54,7,FALSE),"")</x:f>
      </x:c>
      <x:c r="H39" s="19" t="str">
        <x:f>IFERROR(VLOOKUP(B39,'敌人目录'!$A$6:$S$54,8,FALSE),"")</x:f>
      </x:c>
      <x:c r="I39" s="19" t="str">
        <x:f>IFERROR(VLOOKUP(B39,'敌人目录'!$A$6:$S$54,9,FALSE),"")</x:f>
      </x:c>
      <x:c r="J39" s="19" t="str">
        <x:f>IFERROR(VLOOKUP(B39,'敌人目录'!$A$6:$S$54,10,FALSE),"")</x:f>
      </x:c>
      <x:c r="K39" s="19" t="str">
        <x:f>IFERROR(VLOOKUP(B39,'敌人目录'!$A$6:$S$54,11,FALSE),"")</x:f>
      </x:c>
      <x:c r="L39" s="19" t="str">
        <x:f>IFERROR(VLOOKUP(B39,'敌人目录'!$A$6:$S$54,12,FALSE),"")</x:f>
      </x:c>
      <x:c r="M39" s="19" t="str">
        <x:f>IFERROR(VLOOKUP(B39,'敌人目录'!$A$6:$S$54,13,FALSE),"")</x:f>
      </x:c>
      <x:c r="N39" s="19" t="str">
        <x:f>IF(B39="","",IF(ISNUMBER(D39),D39,IFERROR(VLOOKUP(B39,'敌人目录'!$A$6:$S$54,14,FALSE),"")))</x:f>
      </x:c>
      <x:c r="O39" s="64" t="str">
        <x:f>IFERROR(VLOOKUP(B39,'敌人目录'!$A$6:$S$54,15,FALSE),"")</x:f>
      </x:c>
      <x:c r="P39" s="19" t="str">
        <x:f>IF(F39="","",F39*G39)</x:f>
      </x:c>
      <x:c r="Q39" s="19" t="str">
        <x:f>IF(F39="","",F39*L39)</x:f>
      </x:c>
      <x:c r="R39" s="19" t="str">
        <x:f>IF(F39="","",F39*N39)</x:f>
      </x:c>
      <x:c r="S39" s="19" t="str">
        <x:f>IF(R39="","",R39*'全局设置'!$B$5)</x:f>
      </x:c>
      <x:c r="T39" s="73" t="str">
        <x:f>IF(F39="","",F39*O39)</x:f>
      </x:c>
      <x:c r="U39" s="19" t="str">
        <x:f>IF(AND(B39="",C39=""),"",IF(B39="","缺少敌人",IF(C39="","缺少数量",IF(OR(C39&lt;1,C39&gt;9999,C39&lt;&gt;INT(C39)),"数量无效",IF(COUNTIF($E$36:$E$53,E39)&gt;1,"重复敌人",IF(AND(ISNUMBER(D39),OR(D39&lt;0,D39&gt;999,D39&lt;&gt;INT(D39))),"奖励无效","可导入"))))))</x:f>
      </x:c>
    </x:row>
    <x:row r="40" ht="22" customHeight="1">
      <x:c r="A40" s="72" t="n">
        <x:v>5</x:v>
      </x:c>
      <x:c r="B40" s="41"/>
      <x:c r="C40" s="41"/>
      <x:c r="D40" s="41"/>
      <x:c r="E40" s="19" t="str">
        <x:f>IFERROR(VLOOKUP(B40,'敌人目录'!$A$6:$S$54,2,FALSE),"")</x:f>
      </x:c>
      <x:c r="F40" s="19" t="str">
        <x:f>IF(OR(B40="",C40=""),"",ROUNDUP(C40*(1+('全局设置'!$B$5-1)*'全局设置'!$B$6),0))</x:f>
      </x:c>
      <x:c r="G40" s="19" t="str">
        <x:f>IFERROR(VLOOKUP(B40,'敌人目录'!$A$6:$S$54,7,FALSE),"")</x:f>
      </x:c>
      <x:c r="H40" s="19" t="str">
        <x:f>IFERROR(VLOOKUP(B40,'敌人目录'!$A$6:$S$54,8,FALSE),"")</x:f>
      </x:c>
      <x:c r="I40" s="19" t="str">
        <x:f>IFERROR(VLOOKUP(B40,'敌人目录'!$A$6:$S$54,9,FALSE),"")</x:f>
      </x:c>
      <x:c r="J40" s="19" t="str">
        <x:f>IFERROR(VLOOKUP(B40,'敌人目录'!$A$6:$S$54,10,FALSE),"")</x:f>
      </x:c>
      <x:c r="K40" s="19" t="str">
        <x:f>IFERROR(VLOOKUP(B40,'敌人目录'!$A$6:$S$54,11,FALSE),"")</x:f>
      </x:c>
      <x:c r="L40" s="19" t="str">
        <x:f>IFERROR(VLOOKUP(B40,'敌人目录'!$A$6:$S$54,12,FALSE),"")</x:f>
      </x:c>
      <x:c r="M40" s="19" t="str">
        <x:f>IFERROR(VLOOKUP(B40,'敌人目录'!$A$6:$S$54,13,FALSE),"")</x:f>
      </x:c>
      <x:c r="N40" s="19" t="str">
        <x:f>IF(B40="","",IF(ISNUMBER(D40),D40,IFERROR(VLOOKUP(B40,'敌人目录'!$A$6:$S$54,14,FALSE),"")))</x:f>
      </x:c>
      <x:c r="O40" s="64" t="str">
        <x:f>IFERROR(VLOOKUP(B40,'敌人目录'!$A$6:$S$54,15,FALSE),"")</x:f>
      </x:c>
      <x:c r="P40" s="19" t="str">
        <x:f>IF(F40="","",F40*G40)</x:f>
      </x:c>
      <x:c r="Q40" s="19" t="str">
        <x:f>IF(F40="","",F40*L40)</x:f>
      </x:c>
      <x:c r="R40" s="19" t="str">
        <x:f>IF(F40="","",F40*N40)</x:f>
      </x:c>
      <x:c r="S40" s="19" t="str">
        <x:f>IF(R40="","",R40*'全局设置'!$B$5)</x:f>
      </x:c>
      <x:c r="T40" s="73" t="str">
        <x:f>IF(F40="","",F40*O40)</x:f>
      </x:c>
      <x:c r="U40" s="19" t="str">
        <x:f>IF(AND(B40="",C40=""),"",IF(B40="","缺少敌人",IF(C40="","缺少数量",IF(OR(C40&lt;1,C40&gt;9999,C40&lt;&gt;INT(C40)),"数量无效",IF(COUNTIF($E$36:$E$53,E40)&gt;1,"重复敌人",IF(AND(ISNUMBER(D40),OR(D40&lt;0,D40&gt;999,D40&lt;&gt;INT(D40))),"奖励无效","可导入"))))))</x:f>
      </x:c>
    </x:row>
    <x:row r="41" ht="22" customHeight="1">
      <x:c r="A41" s="72" t="n">
        <x:v>6</x:v>
      </x:c>
      <x:c r="B41" s="41"/>
      <x:c r="C41" s="41"/>
      <x:c r="D41" s="41"/>
      <x:c r="E41" s="19" t="str">
        <x:f>IFERROR(VLOOKUP(B41,'敌人目录'!$A$6:$S$54,2,FALSE),"")</x:f>
      </x:c>
      <x:c r="F41" s="19" t="str">
        <x:f>IF(OR(B41="",C41=""),"",ROUNDUP(C41*(1+('全局设置'!$B$5-1)*'全局设置'!$B$6),0))</x:f>
      </x:c>
      <x:c r="G41" s="19" t="str">
        <x:f>IFERROR(VLOOKUP(B41,'敌人目录'!$A$6:$S$54,7,FALSE),"")</x:f>
      </x:c>
      <x:c r="H41" s="19" t="str">
        <x:f>IFERROR(VLOOKUP(B41,'敌人目录'!$A$6:$S$54,8,FALSE),"")</x:f>
      </x:c>
      <x:c r="I41" s="19" t="str">
        <x:f>IFERROR(VLOOKUP(B41,'敌人目录'!$A$6:$S$54,9,FALSE),"")</x:f>
      </x:c>
      <x:c r="J41" s="19" t="str">
        <x:f>IFERROR(VLOOKUP(B41,'敌人目录'!$A$6:$S$54,10,FALSE),"")</x:f>
      </x:c>
      <x:c r="K41" s="19" t="str">
        <x:f>IFERROR(VLOOKUP(B41,'敌人目录'!$A$6:$S$54,11,FALSE),"")</x:f>
      </x:c>
      <x:c r="L41" s="19" t="str">
        <x:f>IFERROR(VLOOKUP(B41,'敌人目录'!$A$6:$S$54,12,FALSE),"")</x:f>
      </x:c>
      <x:c r="M41" s="19" t="str">
        <x:f>IFERROR(VLOOKUP(B41,'敌人目录'!$A$6:$S$54,13,FALSE),"")</x:f>
      </x:c>
      <x:c r="N41" s="19" t="str">
        <x:f>IF(B41="","",IF(ISNUMBER(D41),D41,IFERROR(VLOOKUP(B41,'敌人目录'!$A$6:$S$54,14,FALSE),"")))</x:f>
      </x:c>
      <x:c r="O41" s="64" t="str">
        <x:f>IFERROR(VLOOKUP(B41,'敌人目录'!$A$6:$S$54,15,FALSE),"")</x:f>
      </x:c>
      <x:c r="P41" s="19" t="str">
        <x:f>IF(F41="","",F41*G41)</x:f>
      </x:c>
      <x:c r="Q41" s="19" t="str">
        <x:f>IF(F41="","",F41*L41)</x:f>
      </x:c>
      <x:c r="R41" s="19" t="str">
        <x:f>IF(F41="","",F41*N41)</x:f>
      </x:c>
      <x:c r="S41" s="19" t="str">
        <x:f>IF(R41="","",R41*'全局设置'!$B$5)</x:f>
      </x:c>
      <x:c r="T41" s="73" t="str">
        <x:f>IF(F41="","",F41*O41)</x:f>
      </x:c>
      <x:c r="U41" s="19" t="str">
        <x:f>IF(AND(B41="",C41=""),"",IF(B41="","缺少敌人",IF(C41="","缺少数量",IF(OR(C41&lt;1,C41&gt;9999,C41&lt;&gt;INT(C41)),"数量无效",IF(COUNTIF($E$36:$E$53,E41)&gt;1,"重复敌人",IF(AND(ISNUMBER(D41),OR(D41&lt;0,D41&gt;999,D41&lt;&gt;INT(D41))),"奖励无效","可导入"))))))</x:f>
      </x:c>
    </x:row>
    <x:row r="42" ht="22" customHeight="1">
      <x:c r="A42" s="72" t="n">
        <x:v>7</x:v>
      </x:c>
      <x:c r="B42" s="41"/>
      <x:c r="C42" s="41"/>
      <x:c r="D42" s="41"/>
      <x:c r="E42" s="19" t="str">
        <x:f>IFERROR(VLOOKUP(B42,'敌人目录'!$A$6:$S$54,2,FALSE),"")</x:f>
      </x:c>
      <x:c r="F42" s="19" t="str">
        <x:f>IF(OR(B42="",C42=""),"",ROUNDUP(C42*(1+('全局设置'!$B$5-1)*'全局设置'!$B$6),0))</x:f>
      </x:c>
      <x:c r="G42" s="19" t="str">
        <x:f>IFERROR(VLOOKUP(B42,'敌人目录'!$A$6:$S$54,7,FALSE),"")</x:f>
      </x:c>
      <x:c r="H42" s="19" t="str">
        <x:f>IFERROR(VLOOKUP(B42,'敌人目录'!$A$6:$S$54,8,FALSE),"")</x:f>
      </x:c>
      <x:c r="I42" s="19" t="str">
        <x:f>IFERROR(VLOOKUP(B42,'敌人目录'!$A$6:$S$54,9,FALSE),"")</x:f>
      </x:c>
      <x:c r="J42" s="19" t="str">
        <x:f>IFERROR(VLOOKUP(B42,'敌人目录'!$A$6:$S$54,10,FALSE),"")</x:f>
      </x:c>
      <x:c r="K42" s="19" t="str">
        <x:f>IFERROR(VLOOKUP(B42,'敌人目录'!$A$6:$S$54,11,FALSE),"")</x:f>
      </x:c>
      <x:c r="L42" s="19" t="str">
        <x:f>IFERROR(VLOOKUP(B42,'敌人目录'!$A$6:$S$54,12,FALSE),"")</x:f>
      </x:c>
      <x:c r="M42" s="19" t="str">
        <x:f>IFERROR(VLOOKUP(B42,'敌人目录'!$A$6:$S$54,13,FALSE),"")</x:f>
      </x:c>
      <x:c r="N42" s="19" t="str">
        <x:f>IF(B42="","",IF(ISNUMBER(D42),D42,IFERROR(VLOOKUP(B42,'敌人目录'!$A$6:$S$54,14,FALSE),"")))</x:f>
      </x:c>
      <x:c r="O42" s="64" t="str">
        <x:f>IFERROR(VLOOKUP(B42,'敌人目录'!$A$6:$S$54,15,FALSE),"")</x:f>
      </x:c>
      <x:c r="P42" s="19" t="str">
        <x:f>IF(F42="","",F42*G42)</x:f>
      </x:c>
      <x:c r="Q42" s="19" t="str">
        <x:f>IF(F42="","",F42*L42)</x:f>
      </x:c>
      <x:c r="R42" s="19" t="str">
        <x:f>IF(F42="","",F42*N42)</x:f>
      </x:c>
      <x:c r="S42" s="19" t="str">
        <x:f>IF(R42="","",R42*'全局设置'!$B$5)</x:f>
      </x:c>
      <x:c r="T42" s="73" t="str">
        <x:f>IF(F42="","",F42*O42)</x:f>
      </x:c>
      <x:c r="U42" s="19" t="str">
        <x:f>IF(AND(B42="",C42=""),"",IF(B42="","缺少敌人",IF(C42="","缺少数量",IF(OR(C42&lt;1,C42&gt;9999,C42&lt;&gt;INT(C42)),"数量无效",IF(COUNTIF($E$36:$E$53,E42)&gt;1,"重复敌人",IF(AND(ISNUMBER(D42),OR(D42&lt;0,D42&gt;999,D42&lt;&gt;INT(D42))),"奖励无效","可导入"))))))</x:f>
      </x:c>
    </x:row>
    <x:row r="43" ht="22" customHeight="1">
      <x:c r="A43" s="72" t="n">
        <x:v>8</x:v>
      </x:c>
      <x:c r="B43" s="41"/>
      <x:c r="C43" s="41"/>
      <x:c r="D43" s="41"/>
      <x:c r="E43" s="19" t="str">
        <x:f>IFERROR(VLOOKUP(B43,'敌人目录'!$A$6:$S$54,2,FALSE),"")</x:f>
      </x:c>
      <x:c r="F43" s="19" t="str">
        <x:f>IF(OR(B43="",C43=""),"",ROUNDUP(C43*(1+('全局设置'!$B$5-1)*'全局设置'!$B$6),0))</x:f>
      </x:c>
      <x:c r="G43" s="19" t="str">
        <x:f>IFERROR(VLOOKUP(B43,'敌人目录'!$A$6:$S$54,7,FALSE),"")</x:f>
      </x:c>
      <x:c r="H43" s="19" t="str">
        <x:f>IFERROR(VLOOKUP(B43,'敌人目录'!$A$6:$S$54,8,FALSE),"")</x:f>
      </x:c>
      <x:c r="I43" s="19" t="str">
        <x:f>IFERROR(VLOOKUP(B43,'敌人目录'!$A$6:$S$54,9,FALSE),"")</x:f>
      </x:c>
      <x:c r="J43" s="19" t="str">
        <x:f>IFERROR(VLOOKUP(B43,'敌人目录'!$A$6:$S$54,10,FALSE),"")</x:f>
      </x:c>
      <x:c r="K43" s="19" t="str">
        <x:f>IFERROR(VLOOKUP(B43,'敌人目录'!$A$6:$S$54,11,FALSE),"")</x:f>
      </x:c>
      <x:c r="L43" s="19" t="str">
        <x:f>IFERROR(VLOOKUP(B43,'敌人目录'!$A$6:$S$54,12,FALSE),"")</x:f>
      </x:c>
      <x:c r="M43" s="19" t="str">
        <x:f>IFERROR(VLOOKUP(B43,'敌人目录'!$A$6:$S$54,13,FALSE),"")</x:f>
      </x:c>
      <x:c r="N43" s="19" t="str">
        <x:f>IF(B43="","",IF(ISNUMBER(D43),D43,IFERROR(VLOOKUP(B43,'敌人目录'!$A$6:$S$54,14,FALSE),"")))</x:f>
      </x:c>
      <x:c r="O43" s="64" t="str">
        <x:f>IFERROR(VLOOKUP(B43,'敌人目录'!$A$6:$S$54,15,FALSE),"")</x:f>
      </x:c>
      <x:c r="P43" s="19" t="str">
        <x:f>IF(F43="","",F43*G43)</x:f>
      </x:c>
      <x:c r="Q43" s="19" t="str">
        <x:f>IF(F43="","",F43*L43)</x:f>
      </x:c>
      <x:c r="R43" s="19" t="str">
        <x:f>IF(F43="","",F43*N43)</x:f>
      </x:c>
      <x:c r="S43" s="19" t="str">
        <x:f>IF(R43="","",R43*'全局设置'!$B$5)</x:f>
      </x:c>
      <x:c r="T43" s="73" t="str">
        <x:f>IF(F43="","",F43*O43)</x:f>
      </x:c>
      <x:c r="U43" s="19" t="str">
        <x:f>IF(AND(B43="",C43=""),"",IF(B43="","缺少敌人",IF(C43="","缺少数量",IF(OR(C43&lt;1,C43&gt;9999,C43&lt;&gt;INT(C43)),"数量无效",IF(COUNTIF($E$36:$E$53,E43)&gt;1,"重复敌人",IF(AND(ISNUMBER(D43),OR(D43&lt;0,D43&gt;999,D43&lt;&gt;INT(D43))),"奖励无效","可导入"))))))</x:f>
      </x:c>
    </x:row>
    <x:row r="44" ht="22" customHeight="1">
      <x:c r="A44" s="72" t="n">
        <x:v>9</x:v>
      </x:c>
      <x:c r="B44" s="41"/>
      <x:c r="C44" s="41"/>
      <x:c r="D44" s="41"/>
      <x:c r="E44" s="19" t="str">
        <x:f>IFERROR(VLOOKUP(B44,'敌人目录'!$A$6:$S$54,2,FALSE),"")</x:f>
      </x:c>
      <x:c r="F44" s="19" t="str">
        <x:f>IF(OR(B44="",C44=""),"",ROUNDUP(C44*(1+('全局设置'!$B$5-1)*'全局设置'!$B$6),0))</x:f>
      </x:c>
      <x:c r="G44" s="19" t="str">
        <x:f>IFERROR(VLOOKUP(B44,'敌人目录'!$A$6:$S$54,7,FALSE),"")</x:f>
      </x:c>
      <x:c r="H44" s="19" t="str">
        <x:f>IFERROR(VLOOKUP(B44,'敌人目录'!$A$6:$S$54,8,FALSE),"")</x:f>
      </x:c>
      <x:c r="I44" s="19" t="str">
        <x:f>IFERROR(VLOOKUP(B44,'敌人目录'!$A$6:$S$54,9,FALSE),"")</x:f>
      </x:c>
      <x:c r="J44" s="19" t="str">
        <x:f>IFERROR(VLOOKUP(B44,'敌人目录'!$A$6:$S$54,10,FALSE),"")</x:f>
      </x:c>
      <x:c r="K44" s="19" t="str">
        <x:f>IFERROR(VLOOKUP(B44,'敌人目录'!$A$6:$S$54,11,FALSE),"")</x:f>
      </x:c>
      <x:c r="L44" s="19" t="str">
        <x:f>IFERROR(VLOOKUP(B44,'敌人目录'!$A$6:$S$54,12,FALSE),"")</x:f>
      </x:c>
      <x:c r="M44" s="19" t="str">
        <x:f>IFERROR(VLOOKUP(B44,'敌人目录'!$A$6:$S$54,13,FALSE),"")</x:f>
      </x:c>
      <x:c r="N44" s="19" t="str">
        <x:f>IF(B44="","",IF(ISNUMBER(D44),D44,IFERROR(VLOOKUP(B44,'敌人目录'!$A$6:$S$54,14,FALSE),"")))</x:f>
      </x:c>
      <x:c r="O44" s="64" t="str">
        <x:f>IFERROR(VLOOKUP(B44,'敌人目录'!$A$6:$S$54,15,FALSE),"")</x:f>
      </x:c>
      <x:c r="P44" s="19" t="str">
        <x:f>IF(F44="","",F44*G44)</x:f>
      </x:c>
      <x:c r="Q44" s="19" t="str">
        <x:f>IF(F44="","",F44*L44)</x:f>
      </x:c>
      <x:c r="R44" s="19" t="str">
        <x:f>IF(F44="","",F44*N44)</x:f>
      </x:c>
      <x:c r="S44" s="19" t="str">
        <x:f>IF(R44="","",R44*'全局设置'!$B$5)</x:f>
      </x:c>
      <x:c r="T44" s="73" t="str">
        <x:f>IF(F44="","",F44*O44)</x:f>
      </x:c>
      <x:c r="U44" s="19" t="str">
        <x:f>IF(AND(B44="",C44=""),"",IF(B44="","缺少敌人",IF(C44="","缺少数量",IF(OR(C44&lt;1,C44&gt;9999,C44&lt;&gt;INT(C44)),"数量无效",IF(COUNTIF($E$36:$E$53,E44)&gt;1,"重复敌人",IF(AND(ISNUMBER(D44),OR(D44&lt;0,D44&gt;999,D44&lt;&gt;INT(D44))),"奖励无效","可导入"))))))</x:f>
      </x:c>
    </x:row>
    <x:row r="45" ht="22" customHeight="1">
      <x:c r="A45" s="72" t="n">
        <x:v>10</x:v>
      </x:c>
      <x:c r="B45" s="41"/>
      <x:c r="C45" s="41"/>
      <x:c r="D45" s="41"/>
      <x:c r="E45" s="19" t="str">
        <x:f>IFERROR(VLOOKUP(B45,'敌人目录'!$A$6:$S$54,2,FALSE),"")</x:f>
      </x:c>
      <x:c r="F45" s="19" t="str">
        <x:f>IF(OR(B45="",C45=""),"",ROUNDUP(C45*(1+('全局设置'!$B$5-1)*'全局设置'!$B$6),0))</x:f>
      </x:c>
      <x:c r="G45" s="19" t="str">
        <x:f>IFERROR(VLOOKUP(B45,'敌人目录'!$A$6:$S$54,7,FALSE),"")</x:f>
      </x:c>
      <x:c r="H45" s="19" t="str">
        <x:f>IFERROR(VLOOKUP(B45,'敌人目录'!$A$6:$S$54,8,FALSE),"")</x:f>
      </x:c>
      <x:c r="I45" s="19" t="str">
        <x:f>IFERROR(VLOOKUP(B45,'敌人目录'!$A$6:$S$54,9,FALSE),"")</x:f>
      </x:c>
      <x:c r="J45" s="19" t="str">
        <x:f>IFERROR(VLOOKUP(B45,'敌人目录'!$A$6:$S$54,10,FALSE),"")</x:f>
      </x:c>
      <x:c r="K45" s="19" t="str">
        <x:f>IFERROR(VLOOKUP(B45,'敌人目录'!$A$6:$S$54,11,FALSE),"")</x:f>
      </x:c>
      <x:c r="L45" s="19" t="str">
        <x:f>IFERROR(VLOOKUP(B45,'敌人目录'!$A$6:$S$54,12,FALSE),"")</x:f>
      </x:c>
      <x:c r="M45" s="19" t="str">
        <x:f>IFERROR(VLOOKUP(B45,'敌人目录'!$A$6:$S$54,13,FALSE),"")</x:f>
      </x:c>
      <x:c r="N45" s="19" t="str">
        <x:f>IF(B45="","",IF(ISNUMBER(D45),D45,IFERROR(VLOOKUP(B45,'敌人目录'!$A$6:$S$54,14,FALSE),"")))</x:f>
      </x:c>
      <x:c r="O45" s="64" t="str">
        <x:f>IFERROR(VLOOKUP(B45,'敌人目录'!$A$6:$S$54,15,FALSE),"")</x:f>
      </x:c>
      <x:c r="P45" s="19" t="str">
        <x:f>IF(F45="","",F45*G45)</x:f>
      </x:c>
      <x:c r="Q45" s="19" t="str">
        <x:f>IF(F45="","",F45*L45)</x:f>
      </x:c>
      <x:c r="R45" s="19" t="str">
        <x:f>IF(F45="","",F45*N45)</x:f>
      </x:c>
      <x:c r="S45" s="19" t="str">
        <x:f>IF(R45="","",R45*'全局设置'!$B$5)</x:f>
      </x:c>
      <x:c r="T45" s="73" t="str">
        <x:f>IF(F45="","",F45*O45)</x:f>
      </x:c>
      <x:c r="U45" s="19" t="str">
        <x:f>IF(AND(B45="",C45=""),"",IF(B45="","缺少敌人",IF(C45="","缺少数量",IF(OR(C45&lt;1,C45&gt;9999,C45&lt;&gt;INT(C45)),"数量无效",IF(COUNTIF($E$36:$E$53,E45)&gt;1,"重复敌人",IF(AND(ISNUMBER(D45),OR(D45&lt;0,D45&gt;999,D45&lt;&gt;INT(D45))),"奖励无效","可导入"))))))</x:f>
      </x:c>
    </x:row>
    <x:row r="46" ht="22" customHeight="1">
      <x:c r="A46" s="72" t="n">
        <x:v>11</x:v>
      </x:c>
      <x:c r="B46" s="41"/>
      <x:c r="C46" s="41"/>
      <x:c r="D46" s="41"/>
      <x:c r="E46" s="19" t="str">
        <x:f>IFERROR(VLOOKUP(B46,'敌人目录'!$A$6:$S$54,2,FALSE),"")</x:f>
      </x:c>
      <x:c r="F46" s="19" t="str">
        <x:f>IF(OR(B46="",C46=""),"",ROUNDUP(C46*(1+('全局设置'!$B$5-1)*'全局设置'!$B$6),0))</x:f>
      </x:c>
      <x:c r="G46" s="19" t="str">
        <x:f>IFERROR(VLOOKUP(B46,'敌人目录'!$A$6:$S$54,7,FALSE),"")</x:f>
      </x:c>
      <x:c r="H46" s="19" t="str">
        <x:f>IFERROR(VLOOKUP(B46,'敌人目录'!$A$6:$S$54,8,FALSE),"")</x:f>
      </x:c>
      <x:c r="I46" s="19" t="str">
        <x:f>IFERROR(VLOOKUP(B46,'敌人目录'!$A$6:$S$54,9,FALSE),"")</x:f>
      </x:c>
      <x:c r="J46" s="19" t="str">
        <x:f>IFERROR(VLOOKUP(B46,'敌人目录'!$A$6:$S$54,10,FALSE),"")</x:f>
      </x:c>
      <x:c r="K46" s="19" t="str">
        <x:f>IFERROR(VLOOKUP(B46,'敌人目录'!$A$6:$S$54,11,FALSE),"")</x:f>
      </x:c>
      <x:c r="L46" s="19" t="str">
        <x:f>IFERROR(VLOOKUP(B46,'敌人目录'!$A$6:$S$54,12,FALSE),"")</x:f>
      </x:c>
      <x:c r="M46" s="19" t="str">
        <x:f>IFERROR(VLOOKUP(B46,'敌人目录'!$A$6:$S$54,13,FALSE),"")</x:f>
      </x:c>
      <x:c r="N46" s="19" t="str">
        <x:f>IF(B46="","",IF(ISNUMBER(D46),D46,IFERROR(VLOOKUP(B46,'敌人目录'!$A$6:$S$54,14,FALSE),"")))</x:f>
      </x:c>
      <x:c r="O46" s="64" t="str">
        <x:f>IFERROR(VLOOKUP(B46,'敌人目录'!$A$6:$S$54,15,FALSE),"")</x:f>
      </x:c>
      <x:c r="P46" s="19" t="str">
        <x:f>IF(F46="","",F46*G46)</x:f>
      </x:c>
      <x:c r="Q46" s="19" t="str">
        <x:f>IF(F46="","",F46*L46)</x:f>
      </x:c>
      <x:c r="R46" s="19" t="str">
        <x:f>IF(F46="","",F46*N46)</x:f>
      </x:c>
      <x:c r="S46" s="19" t="str">
        <x:f>IF(R46="","",R46*'全局设置'!$B$5)</x:f>
      </x:c>
      <x:c r="T46" s="73" t="str">
        <x:f>IF(F46="","",F46*O46)</x:f>
      </x:c>
      <x:c r="U46" s="19" t="str">
        <x:f>IF(AND(B46="",C46=""),"",IF(B46="","缺少敌人",IF(C46="","缺少数量",IF(OR(C46&lt;1,C46&gt;9999,C46&lt;&gt;INT(C46)),"数量无效",IF(COUNTIF($E$36:$E$53,E46)&gt;1,"重复敌人",IF(AND(ISNUMBER(D46),OR(D46&lt;0,D46&gt;999,D46&lt;&gt;INT(D46))),"奖励无效","可导入"))))))</x:f>
      </x:c>
    </x:row>
    <x:row r="47" ht="22" customHeight="1">
      <x:c r="A47" s="72" t="n">
        <x:v>12</x:v>
      </x:c>
      <x:c r="B47" s="41"/>
      <x:c r="C47" s="41"/>
      <x:c r="D47" s="41"/>
      <x:c r="E47" s="19" t="str">
        <x:f>IFERROR(VLOOKUP(B47,'敌人目录'!$A$6:$S$54,2,FALSE),"")</x:f>
      </x:c>
      <x:c r="F47" s="19" t="str">
        <x:f>IF(OR(B47="",C47=""),"",ROUNDUP(C47*(1+('全局设置'!$B$5-1)*'全局设置'!$B$6),0))</x:f>
      </x:c>
      <x:c r="G47" s="19" t="str">
        <x:f>IFERROR(VLOOKUP(B47,'敌人目录'!$A$6:$S$54,7,FALSE),"")</x:f>
      </x:c>
      <x:c r="H47" s="19" t="str">
        <x:f>IFERROR(VLOOKUP(B47,'敌人目录'!$A$6:$S$54,8,FALSE),"")</x:f>
      </x:c>
      <x:c r="I47" s="19" t="str">
        <x:f>IFERROR(VLOOKUP(B47,'敌人目录'!$A$6:$S$54,9,FALSE),"")</x:f>
      </x:c>
      <x:c r="J47" s="19" t="str">
        <x:f>IFERROR(VLOOKUP(B47,'敌人目录'!$A$6:$S$54,10,FALSE),"")</x:f>
      </x:c>
      <x:c r="K47" s="19" t="str">
        <x:f>IFERROR(VLOOKUP(B47,'敌人目录'!$A$6:$S$54,11,FALSE),"")</x:f>
      </x:c>
      <x:c r="L47" s="19" t="str">
        <x:f>IFERROR(VLOOKUP(B47,'敌人目录'!$A$6:$S$54,12,FALSE),"")</x:f>
      </x:c>
      <x:c r="M47" s="19" t="str">
        <x:f>IFERROR(VLOOKUP(B47,'敌人目录'!$A$6:$S$54,13,FALSE),"")</x:f>
      </x:c>
      <x:c r="N47" s="19" t="str">
        <x:f>IF(B47="","",IF(ISNUMBER(D47),D47,IFERROR(VLOOKUP(B47,'敌人目录'!$A$6:$S$54,14,FALSE),"")))</x:f>
      </x:c>
      <x:c r="O47" s="64" t="str">
        <x:f>IFERROR(VLOOKUP(B47,'敌人目录'!$A$6:$S$54,15,FALSE),"")</x:f>
      </x:c>
      <x:c r="P47" s="19" t="str">
        <x:f>IF(F47="","",F47*G47)</x:f>
      </x:c>
      <x:c r="Q47" s="19" t="str">
        <x:f>IF(F47="","",F47*L47)</x:f>
      </x:c>
      <x:c r="R47" s="19" t="str">
        <x:f>IF(F47="","",F47*N47)</x:f>
      </x:c>
      <x:c r="S47" s="19" t="str">
        <x:f>IF(R47="","",R47*'全局设置'!$B$5)</x:f>
      </x:c>
      <x:c r="T47" s="73" t="str">
        <x:f>IF(F47="","",F47*O47)</x:f>
      </x:c>
      <x:c r="U47" s="19" t="str">
        <x:f>IF(AND(B47="",C47=""),"",IF(B47="","缺少敌人",IF(C47="","缺少数量",IF(OR(C47&lt;1,C47&gt;9999,C47&lt;&gt;INT(C47)),"数量无效",IF(COUNTIF($E$36:$E$53,E47)&gt;1,"重复敌人",IF(AND(ISNUMBER(D47),OR(D47&lt;0,D47&gt;999,D47&lt;&gt;INT(D47))),"奖励无效","可导入"))))))</x:f>
      </x:c>
    </x:row>
    <x:row r="48" ht="22" customHeight="1">
      <x:c r="A48" s="72" t="n">
        <x:v>13</x:v>
      </x:c>
      <x:c r="B48" s="41"/>
      <x:c r="C48" s="41"/>
      <x:c r="D48" s="41"/>
      <x:c r="E48" s="19" t="str">
        <x:f>IFERROR(VLOOKUP(B48,'敌人目录'!$A$6:$S$54,2,FALSE),"")</x:f>
      </x:c>
      <x:c r="F48" s="19" t="str">
        <x:f>IF(OR(B48="",C48=""),"",ROUNDUP(C48*(1+('全局设置'!$B$5-1)*'全局设置'!$B$6),0))</x:f>
      </x:c>
      <x:c r="G48" s="19" t="str">
        <x:f>IFERROR(VLOOKUP(B48,'敌人目录'!$A$6:$S$54,7,FALSE),"")</x:f>
      </x:c>
      <x:c r="H48" s="19" t="str">
        <x:f>IFERROR(VLOOKUP(B48,'敌人目录'!$A$6:$S$54,8,FALSE),"")</x:f>
      </x:c>
      <x:c r="I48" s="19" t="str">
        <x:f>IFERROR(VLOOKUP(B48,'敌人目录'!$A$6:$S$54,9,FALSE),"")</x:f>
      </x:c>
      <x:c r="J48" s="19" t="str">
        <x:f>IFERROR(VLOOKUP(B48,'敌人目录'!$A$6:$S$54,10,FALSE),"")</x:f>
      </x:c>
      <x:c r="K48" s="19" t="str">
        <x:f>IFERROR(VLOOKUP(B48,'敌人目录'!$A$6:$S$54,11,FALSE),"")</x:f>
      </x:c>
      <x:c r="L48" s="19" t="str">
        <x:f>IFERROR(VLOOKUP(B48,'敌人目录'!$A$6:$S$54,12,FALSE),"")</x:f>
      </x:c>
      <x:c r="M48" s="19" t="str">
        <x:f>IFERROR(VLOOKUP(B48,'敌人目录'!$A$6:$S$54,13,FALSE),"")</x:f>
      </x:c>
      <x:c r="N48" s="19" t="str">
        <x:f>IF(B48="","",IF(ISNUMBER(D48),D48,IFERROR(VLOOKUP(B48,'敌人目录'!$A$6:$S$54,14,FALSE),"")))</x:f>
      </x:c>
      <x:c r="O48" s="64" t="str">
        <x:f>IFERROR(VLOOKUP(B48,'敌人目录'!$A$6:$S$54,15,FALSE),"")</x:f>
      </x:c>
      <x:c r="P48" s="19" t="str">
        <x:f>IF(F48="","",F48*G48)</x:f>
      </x:c>
      <x:c r="Q48" s="19" t="str">
        <x:f>IF(F48="","",F48*L48)</x:f>
      </x:c>
      <x:c r="R48" s="19" t="str">
        <x:f>IF(F48="","",F48*N48)</x:f>
      </x:c>
      <x:c r="S48" s="19" t="str">
        <x:f>IF(R48="","",R48*'全局设置'!$B$5)</x:f>
      </x:c>
      <x:c r="T48" s="73" t="str">
        <x:f>IF(F48="","",F48*O48)</x:f>
      </x:c>
      <x:c r="U48" s="19" t="str">
        <x:f>IF(AND(B48="",C48=""),"",IF(B48="","缺少敌人",IF(C48="","缺少数量",IF(OR(C48&lt;1,C48&gt;9999,C48&lt;&gt;INT(C48)),"数量无效",IF(COUNTIF($E$36:$E$53,E48)&gt;1,"重复敌人",IF(AND(ISNUMBER(D48),OR(D48&lt;0,D48&gt;999,D48&lt;&gt;INT(D48))),"奖励无效","可导入"))))))</x:f>
      </x:c>
    </x:row>
    <x:row r="49" ht="22" customHeight="1">
      <x:c r="A49" s="72" t="n">
        <x:v>14</x:v>
      </x:c>
      <x:c r="B49" s="41"/>
      <x:c r="C49" s="41"/>
      <x:c r="D49" s="41"/>
      <x:c r="E49" s="19" t="str">
        <x:f>IFERROR(VLOOKUP(B49,'敌人目录'!$A$6:$S$54,2,FALSE),"")</x:f>
      </x:c>
      <x:c r="F49" s="19" t="str">
        <x:f>IF(OR(B49="",C49=""),"",ROUNDUP(C49*(1+('全局设置'!$B$5-1)*'全局设置'!$B$6),0))</x:f>
      </x:c>
      <x:c r="G49" s="19" t="str">
        <x:f>IFERROR(VLOOKUP(B49,'敌人目录'!$A$6:$S$54,7,FALSE),"")</x:f>
      </x:c>
      <x:c r="H49" s="19" t="str">
        <x:f>IFERROR(VLOOKUP(B49,'敌人目录'!$A$6:$S$54,8,FALSE),"")</x:f>
      </x:c>
      <x:c r="I49" s="19" t="str">
        <x:f>IFERROR(VLOOKUP(B49,'敌人目录'!$A$6:$S$54,9,FALSE),"")</x:f>
      </x:c>
      <x:c r="J49" s="19" t="str">
        <x:f>IFERROR(VLOOKUP(B49,'敌人目录'!$A$6:$S$54,10,FALSE),"")</x:f>
      </x:c>
      <x:c r="K49" s="19" t="str">
        <x:f>IFERROR(VLOOKUP(B49,'敌人目录'!$A$6:$S$54,11,FALSE),"")</x:f>
      </x:c>
      <x:c r="L49" s="19" t="str">
        <x:f>IFERROR(VLOOKUP(B49,'敌人目录'!$A$6:$S$54,12,FALSE),"")</x:f>
      </x:c>
      <x:c r="M49" s="19" t="str">
        <x:f>IFERROR(VLOOKUP(B49,'敌人目录'!$A$6:$S$54,13,FALSE),"")</x:f>
      </x:c>
      <x:c r="N49" s="19" t="str">
        <x:f>IF(B49="","",IF(ISNUMBER(D49),D49,IFERROR(VLOOKUP(B49,'敌人目录'!$A$6:$S$54,14,FALSE),"")))</x:f>
      </x:c>
      <x:c r="O49" s="64" t="str">
        <x:f>IFERROR(VLOOKUP(B49,'敌人目录'!$A$6:$S$54,15,FALSE),"")</x:f>
      </x:c>
      <x:c r="P49" s="19" t="str">
        <x:f>IF(F49="","",F49*G49)</x:f>
      </x:c>
      <x:c r="Q49" s="19" t="str">
        <x:f>IF(F49="","",F49*L49)</x:f>
      </x:c>
      <x:c r="R49" s="19" t="str">
        <x:f>IF(F49="","",F49*N49)</x:f>
      </x:c>
      <x:c r="S49" s="19" t="str">
        <x:f>IF(R49="","",R49*'全局设置'!$B$5)</x:f>
      </x:c>
      <x:c r="T49" s="73" t="str">
        <x:f>IF(F49="","",F49*O49)</x:f>
      </x:c>
      <x:c r="U49" s="19" t="str">
        <x:f>IF(AND(B49="",C49=""),"",IF(B49="","缺少敌人",IF(C49="","缺少数量",IF(OR(C49&lt;1,C49&gt;9999,C49&lt;&gt;INT(C49)),"数量无效",IF(COUNTIF($E$36:$E$53,E49)&gt;1,"重复敌人",IF(AND(ISNUMBER(D49),OR(D49&lt;0,D49&gt;999,D49&lt;&gt;INT(D49))),"奖励无效","可导入"))))))</x:f>
      </x:c>
    </x:row>
    <x:row r="50" ht="22" customHeight="1">
      <x:c r="A50" s="72" t="n">
        <x:v>15</x:v>
      </x:c>
      <x:c r="B50" s="41"/>
      <x:c r="C50" s="41"/>
      <x:c r="D50" s="41"/>
      <x:c r="E50" s="19" t="str">
        <x:f>IFERROR(VLOOKUP(B50,'敌人目录'!$A$6:$S$54,2,FALSE),"")</x:f>
      </x:c>
      <x:c r="F50" s="19" t="str">
        <x:f>IF(OR(B50="",C50=""),"",ROUNDUP(C50*(1+('全局设置'!$B$5-1)*'全局设置'!$B$6),0))</x:f>
      </x:c>
      <x:c r="G50" s="19" t="str">
        <x:f>IFERROR(VLOOKUP(B50,'敌人目录'!$A$6:$S$54,7,FALSE),"")</x:f>
      </x:c>
      <x:c r="H50" s="19" t="str">
        <x:f>IFERROR(VLOOKUP(B50,'敌人目录'!$A$6:$S$54,8,FALSE),"")</x:f>
      </x:c>
      <x:c r="I50" s="19" t="str">
        <x:f>IFERROR(VLOOKUP(B50,'敌人目录'!$A$6:$S$54,9,FALSE),"")</x:f>
      </x:c>
      <x:c r="J50" s="19" t="str">
        <x:f>IFERROR(VLOOKUP(B50,'敌人目录'!$A$6:$S$54,10,FALSE),"")</x:f>
      </x:c>
      <x:c r="K50" s="19" t="str">
        <x:f>IFERROR(VLOOKUP(B50,'敌人目录'!$A$6:$S$54,11,FALSE),"")</x:f>
      </x:c>
      <x:c r="L50" s="19" t="str">
        <x:f>IFERROR(VLOOKUP(B50,'敌人目录'!$A$6:$S$54,12,FALSE),"")</x:f>
      </x:c>
      <x:c r="M50" s="19" t="str">
        <x:f>IFERROR(VLOOKUP(B50,'敌人目录'!$A$6:$S$54,13,FALSE),"")</x:f>
      </x:c>
      <x:c r="N50" s="19" t="str">
        <x:f>IF(B50="","",IF(ISNUMBER(D50),D50,IFERROR(VLOOKUP(B50,'敌人目录'!$A$6:$S$54,14,FALSE),"")))</x:f>
      </x:c>
      <x:c r="O50" s="64" t="str">
        <x:f>IFERROR(VLOOKUP(B50,'敌人目录'!$A$6:$S$54,15,FALSE),"")</x:f>
      </x:c>
      <x:c r="P50" s="19" t="str">
        <x:f>IF(F50="","",F50*G50)</x:f>
      </x:c>
      <x:c r="Q50" s="19" t="str">
        <x:f>IF(F50="","",F50*L50)</x:f>
      </x:c>
      <x:c r="R50" s="19" t="str">
        <x:f>IF(F50="","",F50*N50)</x:f>
      </x:c>
      <x:c r="S50" s="19" t="str">
        <x:f>IF(R50="","",R50*'全局设置'!$B$5)</x:f>
      </x:c>
      <x:c r="T50" s="73" t="str">
        <x:f>IF(F50="","",F50*O50)</x:f>
      </x:c>
      <x:c r="U50" s="19" t="str">
        <x:f>IF(AND(B50="",C50=""),"",IF(B50="","缺少敌人",IF(C50="","缺少数量",IF(OR(C50&lt;1,C50&gt;9999,C50&lt;&gt;INT(C50)),"数量无效",IF(COUNTIF($E$36:$E$53,E50)&gt;1,"重复敌人",IF(AND(ISNUMBER(D50),OR(D50&lt;0,D50&gt;999,D50&lt;&gt;INT(D50))),"奖励无效","可导入"))))))</x:f>
      </x:c>
    </x:row>
    <x:row r="51" ht="22" customHeight="1">
      <x:c r="A51" s="72" t="n">
        <x:v>16</x:v>
      </x:c>
      <x:c r="B51" s="41"/>
      <x:c r="C51" s="41"/>
      <x:c r="D51" s="41"/>
      <x:c r="E51" s="19" t="str">
        <x:f>IFERROR(VLOOKUP(B51,'敌人目录'!$A$6:$S$54,2,FALSE),"")</x:f>
      </x:c>
      <x:c r="F51" s="19" t="str">
        <x:f>IF(OR(B51="",C51=""),"",ROUNDUP(C51*(1+('全局设置'!$B$5-1)*'全局设置'!$B$6),0))</x:f>
      </x:c>
      <x:c r="G51" s="19" t="str">
        <x:f>IFERROR(VLOOKUP(B51,'敌人目录'!$A$6:$S$54,7,FALSE),"")</x:f>
      </x:c>
      <x:c r="H51" s="19" t="str">
        <x:f>IFERROR(VLOOKUP(B51,'敌人目录'!$A$6:$S$54,8,FALSE),"")</x:f>
      </x:c>
      <x:c r="I51" s="19" t="str">
        <x:f>IFERROR(VLOOKUP(B51,'敌人目录'!$A$6:$S$54,9,FALSE),"")</x:f>
      </x:c>
      <x:c r="J51" s="19" t="str">
        <x:f>IFERROR(VLOOKUP(B51,'敌人目录'!$A$6:$S$54,10,FALSE),"")</x:f>
      </x:c>
      <x:c r="K51" s="19" t="str">
        <x:f>IFERROR(VLOOKUP(B51,'敌人目录'!$A$6:$S$54,11,FALSE),"")</x:f>
      </x:c>
      <x:c r="L51" s="19" t="str">
        <x:f>IFERROR(VLOOKUP(B51,'敌人目录'!$A$6:$S$54,12,FALSE),"")</x:f>
      </x:c>
      <x:c r="M51" s="19" t="str">
        <x:f>IFERROR(VLOOKUP(B51,'敌人目录'!$A$6:$S$54,13,FALSE),"")</x:f>
      </x:c>
      <x:c r="N51" s="19" t="str">
        <x:f>IF(B51="","",IF(ISNUMBER(D51),D51,IFERROR(VLOOKUP(B51,'敌人目录'!$A$6:$S$54,14,FALSE),"")))</x:f>
      </x:c>
      <x:c r="O51" s="64" t="str">
        <x:f>IFERROR(VLOOKUP(B51,'敌人目录'!$A$6:$S$54,15,FALSE),"")</x:f>
      </x:c>
      <x:c r="P51" s="19" t="str">
        <x:f>IF(F51="","",F51*G51)</x:f>
      </x:c>
      <x:c r="Q51" s="19" t="str">
        <x:f>IF(F51="","",F51*L51)</x:f>
      </x:c>
      <x:c r="R51" s="19" t="str">
        <x:f>IF(F51="","",F51*N51)</x:f>
      </x:c>
      <x:c r="S51" s="19" t="str">
        <x:f>IF(R51="","",R51*'全局设置'!$B$5)</x:f>
      </x:c>
      <x:c r="T51" s="73" t="str">
        <x:f>IF(F51="","",F51*O51)</x:f>
      </x:c>
      <x:c r="U51" s="19" t="str">
        <x:f>IF(AND(B51="",C51=""),"",IF(B51="","缺少敌人",IF(C51="","缺少数量",IF(OR(C51&lt;1,C51&gt;9999,C51&lt;&gt;INT(C51)),"数量无效",IF(COUNTIF($E$36:$E$53,E51)&gt;1,"重复敌人",IF(AND(ISNUMBER(D51),OR(D51&lt;0,D51&gt;999,D51&lt;&gt;INT(D51))),"奖励无效","可导入"))))))</x:f>
      </x:c>
    </x:row>
    <x:row r="52" ht="22" customHeight="1">
      <x:c r="A52" s="72" t="n">
        <x:v>17</x:v>
      </x:c>
      <x:c r="B52" s="41"/>
      <x:c r="C52" s="41"/>
      <x:c r="D52" s="41"/>
      <x:c r="E52" s="19" t="str">
        <x:f>IFERROR(VLOOKUP(B52,'敌人目录'!$A$6:$S$54,2,FALSE),"")</x:f>
      </x:c>
      <x:c r="F52" s="19" t="str">
        <x:f>IF(OR(B52="",C52=""),"",ROUNDUP(C52*(1+('全局设置'!$B$5-1)*'全局设置'!$B$6),0))</x:f>
      </x:c>
      <x:c r="G52" s="19" t="str">
        <x:f>IFERROR(VLOOKUP(B52,'敌人目录'!$A$6:$S$54,7,FALSE),"")</x:f>
      </x:c>
      <x:c r="H52" s="19" t="str">
        <x:f>IFERROR(VLOOKUP(B52,'敌人目录'!$A$6:$S$54,8,FALSE),"")</x:f>
      </x:c>
      <x:c r="I52" s="19" t="str">
        <x:f>IFERROR(VLOOKUP(B52,'敌人目录'!$A$6:$S$54,9,FALSE),"")</x:f>
      </x:c>
      <x:c r="J52" s="19" t="str">
        <x:f>IFERROR(VLOOKUP(B52,'敌人目录'!$A$6:$S$54,10,FALSE),"")</x:f>
      </x:c>
      <x:c r="K52" s="19" t="str">
        <x:f>IFERROR(VLOOKUP(B52,'敌人目录'!$A$6:$S$54,11,FALSE),"")</x:f>
      </x:c>
      <x:c r="L52" s="19" t="str">
        <x:f>IFERROR(VLOOKUP(B52,'敌人目录'!$A$6:$S$54,12,FALSE),"")</x:f>
      </x:c>
      <x:c r="M52" s="19" t="str">
        <x:f>IFERROR(VLOOKUP(B52,'敌人目录'!$A$6:$S$54,13,FALSE),"")</x:f>
      </x:c>
      <x:c r="N52" s="19" t="str">
        <x:f>IF(B52="","",IF(ISNUMBER(D52),D52,IFERROR(VLOOKUP(B52,'敌人目录'!$A$6:$S$54,14,FALSE),"")))</x:f>
      </x:c>
      <x:c r="O52" s="64" t="str">
        <x:f>IFERROR(VLOOKUP(B52,'敌人目录'!$A$6:$S$54,15,FALSE),"")</x:f>
      </x:c>
      <x:c r="P52" s="19" t="str">
        <x:f>IF(F52="","",F52*G52)</x:f>
      </x:c>
      <x:c r="Q52" s="19" t="str">
        <x:f>IF(F52="","",F52*L52)</x:f>
      </x:c>
      <x:c r="R52" s="19" t="str">
        <x:f>IF(F52="","",F52*N52)</x:f>
      </x:c>
      <x:c r="S52" s="19" t="str">
        <x:f>IF(R52="","",R52*'全局设置'!$B$5)</x:f>
      </x:c>
      <x:c r="T52" s="73" t="str">
        <x:f>IF(F52="","",F52*O52)</x:f>
      </x:c>
      <x:c r="U52" s="19" t="str">
        <x:f>IF(AND(B52="",C52=""),"",IF(B52="","缺少敌人",IF(C52="","缺少数量",IF(OR(C52&lt;1,C52&gt;9999,C52&lt;&gt;INT(C52)),"数量无效",IF(COUNTIF($E$36:$E$53,E52)&gt;1,"重复敌人",IF(AND(ISNUMBER(D52),OR(D52&lt;0,D52&gt;999,D52&lt;&gt;INT(D52))),"奖励无效","可导入"))))))</x:f>
      </x:c>
    </x:row>
    <x:row r="53" ht="22" customHeight="1">
      <x:c r="A53" s="72" t="n">
        <x:v>18</x:v>
      </x:c>
      <x:c r="B53" s="41"/>
      <x:c r="C53" s="41"/>
      <x:c r="D53" s="41"/>
      <x:c r="E53" s="19" t="str">
        <x:f>IFERROR(VLOOKUP(B53,'敌人目录'!$A$6:$S$54,2,FALSE),"")</x:f>
      </x:c>
      <x:c r="F53" s="19" t="str">
        <x:f>IF(OR(B53="",C53=""),"",ROUNDUP(C53*(1+('全局设置'!$B$5-1)*'全局设置'!$B$6),0))</x:f>
      </x:c>
      <x:c r="G53" s="19" t="str">
        <x:f>IFERROR(VLOOKUP(B53,'敌人目录'!$A$6:$S$54,7,FALSE),"")</x:f>
      </x:c>
      <x:c r="H53" s="19" t="str">
        <x:f>IFERROR(VLOOKUP(B53,'敌人目录'!$A$6:$S$54,8,FALSE),"")</x:f>
      </x:c>
      <x:c r="I53" s="19" t="str">
        <x:f>IFERROR(VLOOKUP(B53,'敌人目录'!$A$6:$S$54,9,FALSE),"")</x:f>
      </x:c>
      <x:c r="J53" s="19" t="str">
        <x:f>IFERROR(VLOOKUP(B53,'敌人目录'!$A$6:$S$54,10,FALSE),"")</x:f>
      </x:c>
      <x:c r="K53" s="19" t="str">
        <x:f>IFERROR(VLOOKUP(B53,'敌人目录'!$A$6:$S$54,11,FALSE),"")</x:f>
      </x:c>
      <x:c r="L53" s="19" t="str">
        <x:f>IFERROR(VLOOKUP(B53,'敌人目录'!$A$6:$S$54,12,FALSE),"")</x:f>
      </x:c>
      <x:c r="M53" s="19" t="str">
        <x:f>IFERROR(VLOOKUP(B53,'敌人目录'!$A$6:$S$54,13,FALSE),"")</x:f>
      </x:c>
      <x:c r="N53" s="19" t="str">
        <x:f>IF(B53="","",IF(ISNUMBER(D53),D53,IFERROR(VLOOKUP(B53,'敌人目录'!$A$6:$S$54,14,FALSE),"")))</x:f>
      </x:c>
      <x:c r="O53" s="64" t="str">
        <x:f>IFERROR(VLOOKUP(B53,'敌人目录'!$A$6:$S$54,15,FALSE),"")</x:f>
      </x:c>
      <x:c r="P53" s="19" t="str">
        <x:f>IF(F53="","",F53*G53)</x:f>
      </x:c>
      <x:c r="Q53" s="19" t="str">
        <x:f>IF(F53="","",F53*L53)</x:f>
      </x:c>
      <x:c r="R53" s="19" t="str">
        <x:f>IF(F53="","",F53*N53)</x:f>
      </x:c>
      <x:c r="S53" s="19" t="str">
        <x:f>IF(R53="","",R53*'全局设置'!$B$5)</x:f>
      </x:c>
      <x:c r="T53" s="73" t="str">
        <x:f>IF(F53="","",F53*O53)</x:f>
      </x:c>
      <x:c r="U53" s="19" t="str">
        <x:f>IF(AND(B53="",C53=""),"",IF(B53="","缺少敌人",IF(C53="","缺少数量",IF(OR(C53&lt;1,C53&gt;9999,C53&lt;&gt;INT(C53)),"数量无效",IF(COUNTIF($E$36:$E$53,E53)&gt;1,"重复敌人",IF(AND(ISNUMBER(D53),OR(D53&lt;0,D53&gt;999,D53&lt;&gt;INT(D53))),"奖励无效","可导入"))))))</x:f>
      </x:c>
    </x:row>
    <x:row r="54" ht="22" customHeight="1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</x:row>
    <x:row r="55" ht="22" customHeight="1">
      <x:c r="A55" s="40" t="str">
        <x:v>基础总数</x:v>
      </x:c>
      <x:c r="B55" s="19" t="n">
        <x:f>SUM(C36:C53)</x:f>
        <x:v>36</x:v>
      </x:c>
      <x:c r="C55" s="40" t="str">
        <x:v>实际总数</x:v>
      </x:c>
      <x:c r="D55" s="19" t="n">
        <x:f>SUM(F36:F53)</x:f>
        <x:v>36</x:v>
      </x:c>
      <x:c r="E55" s="40" t="str">
        <x:v>敌人种类</x:v>
      </x:c>
      <x:c r="F55" s="19" t="n">
        <x:f>COUNTA(B36:B53)</x:f>
        <x:v>3</x:v>
      </x:c>
      <x:c r="G55" s="40" t="str">
        <x:v>生命池</x:v>
      </x:c>
      <x:c r="H55" s="19" t="n">
        <x:f>SUM(P36:P53)</x:f>
        <x:v>2000</x:v>
      </x:c>
      <x:c r="I55" s="40" t="str">
        <x:v>基础息壤/玩家</x:v>
      </x:c>
      <x:c r="J55" s="19" t="n">
        <x:f>SUM(R36:R53)</x:f>
        <x:v>42</x:v>
      </x:c>
      <x:c r="K55" s="40" t="str">
        <x:v>情景息壤/玩家</x:v>
      </x:c>
      <x:c r="L55" s="19" t="n">
        <x:f>J55*'全局设置'!$B$7*'全局设置'!$C$14</x:f>
        <x:v>42</x:v>
      </x:c>
      <x:c r="M55" s="40" t="str">
        <x:v>情景息壤/队伍</x:v>
      </x:c>
      <x:c r="N55" s="19" t="n">
        <x:f>L55*'全局设置'!$B$5</x:f>
        <x:v>42</x:v>
      </x:c>
      <x:c r="O55" s="40" t="str">
        <x:v>掉落期望</x:v>
      </x:c>
      <x:c r="P55" s="73" t="n">
        <x:f>SUM(T36:T53)</x:f>
        <x:v>1.8</x:v>
      </x:c>
      <x:c r="Q55" s="40" t="str">
        <x:v>全漏Home伤害</x:v>
      </x:c>
      <x:c r="R55" s="19" t="n">
        <x:f>SUM(Q36:Q53)</x:f>
        <x:v>42</x:v>
      </x:c>
      <x:c r="S55" s="40" t="str">
        <x:v>最短刷完(s)</x:v>
      </x:c>
      <x:c r="T55" s="73" t="n">
        <x:f>IF(D55=0,0,MAX(0,(ROUNDUP(D55/J32,0)-1)*H32))</x:f>
        <x:v>24.5</x:v>
      </x:c>
      <x:c r="U55" s="31"/>
    </x:row>
    <x:row r="56" ht="22" customHeight="1">
      <x:c r="A56" s="82" t="str">
        <x:v>情景收益 = 最大击杀息壤 × 全局击杀率 × 第1日倍率；最大队伍收益另按玩家人数相乘。</x:v>
      </x:c>
      <x:c r="B56" s="82" t="str">
        <x:v>情景收益 = 最大击杀息壤 × 全局击杀率 × 第1日倍率；最大队伍收益另按玩家人数相乘。</x:v>
      </x:c>
      <x:c r="C56" s="82" t="str">
        <x:v>情景收益 = 最大击杀息壤 × 全局击杀率 × 第1日倍率；最大队伍收益另按玩家人数相乘。</x:v>
      </x:c>
      <x:c r="D56" s="82" t="str">
        <x:v>情景收益 = 最大击杀息壤 × 全局击杀率 × 第1日倍率；最大队伍收益另按玩家人数相乘。</x:v>
      </x:c>
      <x:c r="E56" s="82" t="str">
        <x:v>情景收益 = 最大击杀息壤 × 全局击杀率 × 第1日倍率；最大队伍收益另按玩家人数相乘。</x:v>
      </x:c>
      <x:c r="F56" s="82" t="str">
        <x:v>情景收益 = 最大击杀息壤 × 全局击杀率 × 第1日倍率；最大队伍收益另按玩家人数相乘。</x:v>
      </x:c>
      <x:c r="G56" s="82" t="str">
        <x:v>情景收益 = 最大击杀息壤 × 全局击杀率 × 第1日倍率；最大队伍收益另按玩家人数相乘。</x:v>
      </x:c>
      <x:c r="H56" s="82" t="str">
        <x:v>情景收益 = 最大击杀息壤 × 全局击杀率 × 第1日倍率；最大队伍收益另按玩家人数相乘。</x:v>
      </x:c>
      <x:c r="I56" s="82" t="str">
        <x:v>情景收益 = 最大击杀息壤 × 全局击杀率 × 第1日倍率；最大队伍收益另按玩家人数相乘。</x:v>
      </x:c>
      <x:c r="J56" s="82" t="str">
        <x:v>情景收益 = 最大击杀息壤 × 全局击杀率 × 第1日倍率；最大队伍收益另按玩家人数相乘。</x:v>
      </x:c>
      <x:c r="K56" s="82" t="str">
        <x:v>情景收益 = 最大击杀息壤 × 全局击杀率 × 第1日倍率；最大队伍收益另按玩家人数相乘。</x:v>
      </x:c>
      <x:c r="L56" s="82" t="str">
        <x:v>情景收益 = 最大击杀息壤 × 全局击杀率 × 第1日倍率；最大队伍收益另按玩家人数相乘。</x:v>
      </x:c>
      <x:c r="M56" s="82" t="str">
        <x:v>情景收益 = 最大击杀息壤 × 全局击杀率 × 第1日倍率；最大队伍收益另按玩家人数相乘。</x:v>
      </x:c>
      <x:c r="N56" s="82" t="str">
        <x:v>情景收益 = 最大击杀息壤 × 全局击杀率 × 第1日倍率；最大队伍收益另按玩家人数相乘。</x:v>
      </x:c>
      <x:c r="O56" s="82" t="str">
        <x:v>情景收益 = 最大击杀息壤 × 全局击杀率 × 第1日倍率；最大队伍收益另按玩家人数相乘。</x:v>
      </x:c>
      <x:c r="P56" s="82" t="str">
        <x:v>情景收益 = 最大击杀息壤 × 全局击杀率 × 第1日倍率；最大队伍收益另按玩家人数相乘。</x:v>
      </x:c>
      <x:c r="Q56" s="82" t="str">
        <x:v>情景收益 = 最大击杀息壤 × 全局击杀率 × 第1日倍率；最大队伍收益另按玩家人数相乘。</x:v>
      </x:c>
      <x:c r="R56" s="82" t="str">
        <x:v>情景收益 = 最大击杀息壤 × 全局击杀率 × 第1日倍率；最大队伍收益另按玩家人数相乘。</x:v>
      </x:c>
      <x:c r="S56" s="82" t="str">
        <x:v>情景收益 = 最大击杀息壤 × 全局击杀率 × 第1日倍率；最大队伍收益另按玩家人数相乘。</x:v>
      </x:c>
      <x:c r="T56" s="82" t="str">
        <x:v>情景收益 = 最大击杀息壤 × 全局击杀率 × 第1日倍率；最大队伍收益另按玩家人数相乘。</x:v>
      </x:c>
      <x:c r="U56" s="82" t="str">
        <x:v>情景收益 = 最大击杀息壤 × 全局击杀率 × 第1日倍率；最大队伍收益另按玩家人数相乘。</x:v>
      </x:c>
    </x:row>
    <x:row r="57" ht="22" customHeight="1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</x:row>
    <x:row r="58" ht="22" customHeight="1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</x:row>
    <x:row r="59" ht="22" customHeight="1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</x:row>
    <x:row r="60" ht="22" customHeight="1">
      <x:c r="A60" s="78" t="str">
        <x:v>第 3 波｜第 1 日·3/4｜夜晚｜当前正式配置</x:v>
      </x:c>
      <x:c r="B60" s="78" t="str">
        <x:v>第 3 波｜第 1 日·3/4｜夜晚｜当前正式配置</x:v>
      </x:c>
      <x:c r="C60" s="78" t="str">
        <x:v>第 3 波｜第 1 日·3/4｜夜晚｜当前正式配置</x:v>
      </x:c>
      <x:c r="D60" s="78" t="str">
        <x:v>第 3 波｜第 1 日·3/4｜夜晚｜当前正式配置</x:v>
      </x:c>
      <x:c r="E60" s="78" t="str">
        <x:v>第 3 波｜第 1 日·3/4｜夜晚｜当前正式配置</x:v>
      </x:c>
      <x:c r="F60" s="78" t="str">
        <x:v>第 3 波｜第 1 日·3/4｜夜晚｜当前正式配置</x:v>
      </x:c>
      <x:c r="G60" s="78" t="str">
        <x:v>第 3 波｜第 1 日·3/4｜夜晚｜当前正式配置</x:v>
      </x:c>
      <x:c r="H60" s="78" t="str">
        <x:v>第 3 波｜第 1 日·3/4｜夜晚｜当前正式配置</x:v>
      </x:c>
      <x:c r="I60" s="78" t="str">
        <x:v>第 3 波｜第 1 日·3/4｜夜晚｜当前正式配置</x:v>
      </x:c>
      <x:c r="J60" s="78" t="str">
        <x:v>第 3 波｜第 1 日·3/4｜夜晚｜当前正式配置</x:v>
      </x:c>
      <x:c r="K60" s="78" t="str">
        <x:v>第 3 波｜第 1 日·3/4｜夜晚｜当前正式配置</x:v>
      </x:c>
      <x:c r="L60" s="78" t="str">
        <x:v>第 3 波｜第 1 日·3/4｜夜晚｜当前正式配置</x:v>
      </x:c>
      <x:c r="M60" s="78" t="str">
        <x:v>第 3 波｜第 1 日·3/4｜夜晚｜当前正式配置</x:v>
      </x:c>
      <x:c r="N60" s="78" t="str">
        <x:v>第 3 波｜第 1 日·3/4｜夜晚｜当前正式配置</x:v>
      </x:c>
      <x:c r="O60" s="78" t="str">
        <x:v>第 3 波｜第 1 日·3/4｜夜晚｜当前正式配置</x:v>
      </x:c>
      <x:c r="P60" s="78" t="str">
        <x:v>第 3 波｜第 1 日·3/4｜夜晚｜当前正式配置</x:v>
      </x:c>
      <x:c r="Q60" s="78" t="str">
        <x:v>第 3 波｜第 1 日·3/4｜夜晚｜当前正式配置</x:v>
      </x:c>
      <x:c r="R60" s="78" t="str">
        <x:v>第 3 波｜第 1 日·3/4｜夜晚｜当前正式配置</x:v>
      </x:c>
      <x:c r="S60" s="78" t="str">
        <x:v>第 3 波｜第 1 日·3/4｜夜晚｜当前正式配置</x:v>
      </x:c>
      <x:c r="T60" s="78" t="str">
        <x:v>第 3 波｜第 1 日·3/4｜夜晚｜当前正式配置</x:v>
      </x:c>
      <x:c r="U60" s="78" t="str">
        <x:v>第 3 波｜第 1 日·3/4｜夜晚｜当前正式配置</x:v>
      </x:c>
    </x:row>
    <x:row r="61" ht="22" customHeight="1">
      <x:c r="A61" s="48" t="str">
        <x:v>波次名称</x:v>
      </x:c>
      <x:c r="B61" s="41" t="str">
        <x:v>第3波 火线初现</x:v>
      </x:c>
      <x:c r="C61" s="41" t="str">
        <x:v>第3波 火线初现</x:v>
      </x:c>
      <x:c r="D61" s="41" t="str">
        <x:v>第3波 火线初现</x:v>
      </x:c>
      <x:c r="E61" s="41" t="str">
        <x:v>第3波 火线初现</x:v>
      </x:c>
      <x:c r="F61" s="41" t="str">
        <x:v>第3波 火线初现</x:v>
      </x:c>
      <x:c r="G61" s="48" t="str">
        <x:v>出生间隔(s)</x:v>
      </x:c>
      <x:c r="H61" s="41" t="n">
        <x:v>0.6</x:v>
      </x:c>
      <x:c r="I61" s="48" t="str">
        <x:v>每Tick</x:v>
      </x:c>
      <x:c r="J61" s="41" t="n">
        <x:v>1</x:v>
      </x:c>
      <x:c r="K61" s="48" t="str">
        <x:v>存活上限</x:v>
      </x:c>
      <x:c r="L61" s="41" t="n">
        <x:v>36</x:v>
      </x:c>
      <x:c r="M61" s="48" t="str">
        <x:v>校验</x:v>
      </x:c>
      <x:c r="N61" s="19" t="str">
        <x:f>IF(COUNTA(B65:B82)=0,"待设计",IF(COUNTIF(U65:U82,"可导入")=COUNTA(B65:B82),"可导入","需修正"))</x:f>
        <x:v>可导入</x:v>
      </x:c>
      <x:c r="O61" s="19" t="str"/>
      <x:c r="P61" s="48" t="str">
        <x:v>来源</x:v>
      </x:c>
      <x:c r="Q61" s="19" t="str">
        <x:v>当前游戏 formal 资源</x:v>
      </x:c>
      <x:c r="R61" s="19" t="str">
        <x:v>当前游戏 formal 资源</x:v>
      </x:c>
      <x:c r="S61" s="19" t="str">
        <x:v>当前游戏 formal 资源</x:v>
      </x:c>
      <x:c r="T61" s="19" t="str">
        <x:v>当前游戏 formal 资源</x:v>
      </x:c>
      <x:c r="U61" s="19" t="str">
        <x:v>当前游戏 formal 资源</x:v>
      </x:c>
    </x:row>
    <x:row r="62" ht="22" customHeight="1">
      <x:c r="A62" s="48" t="str">
        <x:v>出生点</x:v>
      </x:c>
      <x:c r="B62" s="41" t="str">
        <x:v>开启</x:v>
      </x:c>
      <x:c r="C62" s="41" t="str">
        <x:v>开启</x:v>
      </x:c>
      <x:c r="D62" s="41" t="str">
        <x:v>开启</x:v>
      </x:c>
      <x:c r="E62" s="41" t="str">
        <x:v>开启</x:v>
      </x:c>
      <x:c r="F62" s="41" t="str">
        <x:v>开启</x:v>
      </x:c>
      <x:c r="G62" s="41" t="str">
        <x:v>开启</x:v>
      </x:c>
      <x:c r="H62" s="48" t="str">
        <x:v>战斗音乐</x:v>
      </x:c>
      <x:c r="I62" s="19" t="str">
        <x:v>shenmu_forest_combat</x:v>
      </x:c>
      <x:c r="J62" s="19" t="str">
        <x:v>shenmu_forest_combat</x:v>
      </x:c>
      <x:c r="K62" s="19" t="str">
        <x:v>shenmu_forest_combat</x:v>
      </x:c>
      <x:c r="L62" s="19" t="str">
        <x:v>shenmu_forest_combat</x:v>
      </x:c>
      <x:c r="M62" s="19" t="str">
        <x:v>shenmu_forest_combat</x:v>
      </x:c>
      <x:c r="N62" s="48" t="str">
        <x:v>波后音乐</x:v>
      </x:c>
      <x:c r="O62" s="19" t="str">
        <x:v>shenmu_forest_intermission</x:v>
      </x:c>
      <x:c r="P62" s="19" t="str">
        <x:v>shenmu_forest_intermission</x:v>
      </x:c>
      <x:c r="Q62" s="19" t="str">
        <x:v>shenmu_forest_intermission</x:v>
      </x:c>
      <x:c r="R62" s="19" t="str">
        <x:v>shenmu_forest_intermission</x:v>
      </x:c>
      <x:c r="S62" s="19" t="str">
        <x:v>shenmu_forest_intermission</x:v>
      </x:c>
      <x:c r="T62" s="19" t="str">
        <x:v>shenmu_forest_intermission</x:v>
      </x:c>
      <x:c r="U62" s="19" t="str">
        <x:v>shenmu_forest_intermission</x:v>
      </x:c>
    </x:row>
    <x:row r="63" ht="22" customHeight="1">
      <x:c r="A63" s="83" t="str">
        <x:v>蓝色列可编辑。每种敌人一行；若同波重复选择同一稳定 ID，请合并数量。实际数量按当前模拟玩家数逐条向上取整。</x:v>
      </x:c>
      <x:c r="B63" s="83" t="str">
        <x:v>蓝色列可编辑。每种敌人一行；若同波重复选择同一稳定 ID，请合并数量。实际数量按当前模拟玩家数逐条向上取整。</x:v>
      </x:c>
      <x:c r="C63" s="83" t="str">
        <x:v>蓝色列可编辑。每种敌人一行；若同波重复选择同一稳定 ID，请合并数量。实际数量按当前模拟玩家数逐条向上取整。</x:v>
      </x:c>
      <x:c r="D63" s="83" t="str">
        <x:v>蓝色列可编辑。每种敌人一行；若同波重复选择同一稳定 ID，请合并数量。实际数量按当前模拟玩家数逐条向上取整。</x:v>
      </x:c>
      <x:c r="E63" s="83" t="str">
        <x:v>蓝色列可编辑。每种敌人一行；若同波重复选择同一稳定 ID，请合并数量。实际数量按当前模拟玩家数逐条向上取整。</x:v>
      </x:c>
      <x:c r="F63" s="83" t="str">
        <x:v>蓝色列可编辑。每种敌人一行；若同波重复选择同一稳定 ID，请合并数量。实际数量按当前模拟玩家数逐条向上取整。</x:v>
      </x:c>
      <x:c r="G63" s="83" t="str">
        <x:v>蓝色列可编辑。每种敌人一行；若同波重复选择同一稳定 ID，请合并数量。实际数量按当前模拟玩家数逐条向上取整。</x:v>
      </x:c>
      <x:c r="H63" s="83" t="str">
        <x:v>蓝色列可编辑。每种敌人一行；若同波重复选择同一稳定 ID，请合并数量。实际数量按当前模拟玩家数逐条向上取整。</x:v>
      </x:c>
      <x:c r="I63" s="83" t="str">
        <x:v>蓝色列可编辑。每种敌人一行；若同波重复选择同一稳定 ID，请合并数量。实际数量按当前模拟玩家数逐条向上取整。</x:v>
      </x:c>
      <x:c r="J63" s="83" t="str">
        <x:v>蓝色列可编辑。每种敌人一行；若同波重复选择同一稳定 ID，请合并数量。实际数量按当前模拟玩家数逐条向上取整。</x:v>
      </x:c>
      <x:c r="K63" s="83" t="str">
        <x:v>蓝色列可编辑。每种敌人一行；若同波重复选择同一稳定 ID，请合并数量。实际数量按当前模拟玩家数逐条向上取整。</x:v>
      </x:c>
      <x:c r="L63" s="83" t="str">
        <x:v>蓝色列可编辑。每种敌人一行；若同波重复选择同一稳定 ID，请合并数量。实际数量按当前模拟玩家数逐条向上取整。</x:v>
      </x:c>
      <x:c r="M63" s="83" t="str">
        <x:v>蓝色列可编辑。每种敌人一行；若同波重复选择同一稳定 ID，请合并数量。实际数量按当前模拟玩家数逐条向上取整。</x:v>
      </x:c>
      <x:c r="N63" s="83" t="str">
        <x:v>蓝色列可编辑。每种敌人一行；若同波重复选择同一稳定 ID，请合并数量。实际数量按当前模拟玩家数逐条向上取整。</x:v>
      </x:c>
      <x:c r="O63" s="83" t="str">
        <x:v>蓝色列可编辑。每种敌人一行；若同波重复选择同一稳定 ID，请合并数量。实际数量按当前模拟玩家数逐条向上取整。</x:v>
      </x:c>
      <x:c r="P63" s="83" t="str">
        <x:v>蓝色列可编辑。每种敌人一行；若同波重复选择同一稳定 ID，请合并数量。实际数量按当前模拟玩家数逐条向上取整。</x:v>
      </x:c>
      <x:c r="Q63" s="83" t="str">
        <x:v>蓝色列可编辑。每种敌人一行；若同波重复选择同一稳定 ID，请合并数量。实际数量按当前模拟玩家数逐条向上取整。</x:v>
      </x:c>
      <x:c r="R63" s="83" t="str">
        <x:v>蓝色列可编辑。每种敌人一行；若同波重复选择同一稳定 ID，请合并数量。实际数量按当前模拟玩家数逐条向上取整。</x:v>
      </x:c>
      <x:c r="S63" s="83" t="str">
        <x:v>蓝色列可编辑。每种敌人一行；若同波重复选择同一稳定 ID，请合并数量。实际数量按当前模拟玩家数逐条向上取整。</x:v>
      </x:c>
      <x:c r="T63" s="83" t="str">
        <x:v>蓝色列可编辑。每种敌人一行；若同波重复选择同一稳定 ID，请合并数量。实际数量按当前模拟玩家数逐条向上取整。</x:v>
      </x:c>
      <x:c r="U63" s="83" t="str">
        <x:v>蓝色列可编辑。每种敌人一行；若同波重复选择同一稳定 ID，请合并数量。实际数量按当前模拟玩家数逐条向上取整。</x:v>
      </x:c>
    </x:row>
    <x:row r="64" ht="22" customHeight="1">
      <x:c r="A64" s="48" t="str">
        <x:v>槽位</x:v>
      </x:c>
      <x:c r="B64" s="48" t="str">
        <x:v>敌人（下拉选择）</x:v>
      </x:c>
      <x:c r="C64" s="48" t="str">
        <x:v>基础数量</x:v>
      </x:c>
      <x:c r="D64" s="48" t="str">
        <x:v>本波息壤覆盖</x:v>
      </x:c>
      <x:c r="E64" s="48" t="str">
        <x:v>稳定敌人ID</x:v>
      </x:c>
      <x:c r="F64" s="48" t="str">
        <x:v>实际数量</x:v>
      </x:c>
      <x:c r="G64" s="48" t="str">
        <x:v>生命</x:v>
      </x:c>
      <x:c r="H64" s="48" t="str">
        <x:v>攻击</x:v>
      </x:c>
      <x:c r="I64" s="48" t="str">
        <x:v>物理防御</x:v>
      </x:c>
      <x:c r="J64" s="48" t="str">
        <x:v>法术防御</x:v>
      </x:c>
      <x:c r="K64" s="48" t="str">
        <x:v>移速</x:v>
      </x:c>
      <x:c r="L64" s="48" t="str">
        <x:v>Home伤害</x:v>
      </x:c>
      <x:c r="M64" s="48" t="str">
        <x:v>游戏默认息壤</x:v>
      </x:c>
      <x:c r="N64" s="48" t="str">
        <x:v>有效息壤</x:v>
      </x:c>
      <x:c r="O64" s="48" t="str">
        <x:v>掉落期望/击杀</x:v>
      </x:c>
      <x:c r="P64" s="48" t="str">
        <x:v>总生命</x:v>
      </x:c>
      <x:c r="Q64" s="48" t="str">
        <x:v>全漏Home伤害</x:v>
      </x:c>
      <x:c r="R64" s="48" t="str">
        <x:v>最大息壤/玩家</x:v>
      </x:c>
      <x:c r="S64" s="48" t="str">
        <x:v>最大息壤/队伍</x:v>
      </x:c>
      <x:c r="T64" s="48" t="str">
        <x:v>掉落期望</x:v>
      </x:c>
      <x:c r="U64" s="48" t="str">
        <x:v>校验</x:v>
      </x:c>
    </x:row>
    <x:row r="65" ht="22" customHeight="1">
      <x:c r="A65" s="72" t="n">
        <x:v>1</x:v>
      </x:c>
      <x:c r="B65" s="41" t="str">
        <x:v>yuanshi_insect_basic｜普通原石虫</x:v>
      </x:c>
      <x:c r="C65" s="41" t="n">
        <x:v>24</x:v>
      </x:c>
      <x:c r="D65" s="41"/>
      <x:c r="E65" s="19" t="str">
        <x:f>IFERROR(VLOOKUP(B65,'敌人目录'!$A$6:$S$54,2,FALSE),"")</x:f>
        <x:v>yuanshi_insect_basic</x:v>
      </x:c>
      <x:c r="F65" s="19" t="n">
        <x:f>IF(OR(B65="",C65=""),"",ROUNDUP(C65*(1+('全局设置'!$B$5-1)*'全局设置'!$B$6),0))</x:f>
        <x:v>24</x:v>
      </x:c>
      <x:c r="G65" s="19" t="n">
        <x:f>IFERROR(VLOOKUP(B65,'敌人目录'!$A$6:$S$54,7,FALSE),"")</x:f>
        <x:v>40</x:v>
      </x:c>
      <x:c r="H65" s="19" t="n">
        <x:f>IFERROR(VLOOKUP(B65,'敌人目录'!$A$6:$S$54,8,FALSE),"")</x:f>
        <x:v>10</x:v>
      </x:c>
      <x:c r="I65" s="19" t="n">
        <x:f>IFERROR(VLOOKUP(B65,'敌人目录'!$A$6:$S$54,9,FALSE),"")</x:f>
        <x:v>0</x:v>
      </x:c>
      <x:c r="J65" s="19" t="n">
        <x:f>IFERROR(VLOOKUP(B65,'敌人目录'!$A$6:$S$54,10,FALSE),"")</x:f>
        <x:v>0</x:v>
      </x:c>
      <x:c r="K65" s="19" t="n">
        <x:f>IFERROR(VLOOKUP(B65,'敌人目录'!$A$6:$S$54,11,FALSE),"")</x:f>
        <x:v>20</x:v>
      </x:c>
      <x:c r="L65" s="19" t="n">
        <x:f>IFERROR(VLOOKUP(B65,'敌人目录'!$A$6:$S$54,12,FALSE),"")</x:f>
        <x:v>1</x:v>
      </x:c>
      <x:c r="M65" s="19" t="n">
        <x:f>IFERROR(VLOOKUP(B65,'敌人目录'!$A$6:$S$54,13,FALSE),"")</x:f>
        <x:v>1</x:v>
      </x:c>
      <x:c r="N65" s="19" t="n">
        <x:f>IF(B65="","",IF(ISNUMBER(D65),D65,IFERROR(VLOOKUP(B65,'敌人目录'!$A$6:$S$54,14,FALSE),"")))</x:f>
        <x:v>1</x:v>
      </x:c>
      <x:c r="O65" s="64" t="n">
        <x:f>IFERROR(VLOOKUP(B65,'敌人目录'!$A$6:$S$54,15,FALSE),"")</x:f>
        <x:v>0.05</x:v>
      </x:c>
      <x:c r="P65" s="19" t="n">
        <x:f>IF(F65="","",F65*G65)</x:f>
        <x:v>960</x:v>
      </x:c>
      <x:c r="Q65" s="19" t="n">
        <x:f>IF(F65="","",F65*L65)</x:f>
        <x:v>24</x:v>
      </x:c>
      <x:c r="R65" s="19" t="n">
        <x:f>IF(F65="","",F65*N65)</x:f>
        <x:v>24</x:v>
      </x:c>
      <x:c r="S65" s="19" t="n">
        <x:f>IF(R65="","",R65*'全局设置'!$B$5)</x:f>
        <x:v>24</x:v>
      </x:c>
      <x:c r="T65" s="73" t="n">
        <x:f>IF(F65="","",F65*O65)</x:f>
        <x:v>1.2000000000000002</x:v>
      </x:c>
      <x:c r="U65" s="19" t="str">
        <x:f>IF(AND(B65="",C65=""),"",IF(B65="","缺少敌人",IF(C65="","缺少数量",IF(OR(C65&lt;1,C65&gt;9999,C65&lt;&gt;INT(C65)),"数量无效",IF(COUNTIF($E$65:$E$82,E65)&gt;1,"重复敌人",IF(AND(ISNUMBER(D65),OR(D65&lt;0,D65&gt;999,D65&lt;&gt;INT(D65))),"奖励无效","可导入"))))))</x:f>
        <x:v>可导入</x:v>
      </x:c>
    </x:row>
    <x:row r="66" ht="22" customHeight="1">
      <x:c r="A66" s="72" t="n">
        <x:v>2</x:v>
      </x:c>
      <x:c r="B66" s="41" t="str">
        <x:v>yuanshi_insect_fast｜迅捷原石虫</x:v>
      </x:c>
      <x:c r="C66" s="41" t="n">
        <x:v>12</x:v>
      </x:c>
      <x:c r="D66" s="41"/>
      <x:c r="E66" s="19" t="str">
        <x:f>IFERROR(VLOOKUP(B66,'敌人目录'!$A$6:$S$54,2,FALSE),"")</x:f>
        <x:v>yuanshi_insect_fast</x:v>
      </x:c>
      <x:c r="F66" s="19" t="n">
        <x:f>IF(OR(B66="",C66=""),"",ROUNDUP(C66*(1+('全局设置'!$B$5-1)*'全局设置'!$B$6),0))</x:f>
        <x:v>12</x:v>
      </x:c>
      <x:c r="G66" s="19" t="n">
        <x:f>IFERROR(VLOOKUP(B66,'敌人目录'!$A$6:$S$54,7,FALSE),"")</x:f>
        <x:v>35</x:v>
      </x:c>
      <x:c r="H66" s="19" t="n">
        <x:f>IFERROR(VLOOKUP(B66,'敌人目录'!$A$6:$S$54,8,FALSE),"")</x:f>
        <x:v>10</x:v>
      </x:c>
      <x:c r="I66" s="19" t="n">
        <x:f>IFERROR(VLOOKUP(B66,'敌人目录'!$A$6:$S$54,9,FALSE),"")</x:f>
        <x:v>0</x:v>
      </x:c>
      <x:c r="J66" s="19" t="n">
        <x:f>IFERROR(VLOOKUP(B66,'敌人目录'!$A$6:$S$54,10,FALSE),"")</x:f>
        <x:v>0</x:v>
      </x:c>
      <x:c r="K66" s="19" t="n">
        <x:f>IFERROR(VLOOKUP(B66,'敌人目录'!$A$6:$S$54,11,FALSE),"")</x:f>
        <x:v>40</x:v>
      </x:c>
      <x:c r="L66" s="19" t="n">
        <x:f>IFERROR(VLOOKUP(B66,'敌人目录'!$A$6:$S$54,12,FALSE),"")</x:f>
        <x:v>1</x:v>
      </x:c>
      <x:c r="M66" s="19" t="n">
        <x:f>IFERROR(VLOOKUP(B66,'敌人目录'!$A$6:$S$54,13,FALSE),"")</x:f>
        <x:v>1</x:v>
      </x:c>
      <x:c r="N66" s="19" t="n">
        <x:f>IF(B66="","",IF(ISNUMBER(D66),D66,IFERROR(VLOOKUP(B66,'敌人目录'!$A$6:$S$54,14,FALSE),"")))</x:f>
        <x:v>1</x:v>
      </x:c>
      <x:c r="O66" s="64" t="n">
        <x:f>IFERROR(VLOOKUP(B66,'敌人目录'!$A$6:$S$54,15,FALSE),"")</x:f>
        <x:v>0.05</x:v>
      </x:c>
      <x:c r="P66" s="19" t="n">
        <x:f>IF(F66="","",F66*G66)</x:f>
        <x:v>420</x:v>
      </x:c>
      <x:c r="Q66" s="19" t="n">
        <x:f>IF(F66="","",F66*L66)</x:f>
        <x:v>12</x:v>
      </x:c>
      <x:c r="R66" s="19" t="n">
        <x:f>IF(F66="","",F66*N66)</x:f>
        <x:v>12</x:v>
      </x:c>
      <x:c r="S66" s="19" t="n">
        <x:f>IF(R66="","",R66*'全局设置'!$B$5)</x:f>
        <x:v>12</x:v>
      </x:c>
      <x:c r="T66" s="73" t="n">
        <x:f>IF(F66="","",F66*O66)</x:f>
        <x:v>0.6000000000000001</x:v>
      </x:c>
      <x:c r="U66" s="19" t="str">
        <x:f>IF(AND(B66="",C66=""),"",IF(B66="","缺少敌人",IF(C66="","缺少数量",IF(OR(C66&lt;1,C66&gt;9999,C66&lt;&gt;INT(C66)),"数量无效",IF(COUNTIF($E$65:$E$82,E66)&gt;1,"重复敌人",IF(AND(ISNUMBER(D66),OR(D66&lt;0,D66&gt;999,D66&lt;&gt;INT(D66))),"奖励无效","可导入"))))))</x:f>
        <x:v>可导入</x:v>
      </x:c>
    </x:row>
    <x:row r="67" ht="22" customHeight="1">
      <x:c r="A67" s="72" t="n">
        <x:v>3</x:v>
      </x:c>
      <x:c r="B67" s="41" t="str">
        <x:v>yuanshi_insect_bomber｜自爆原石虫</x:v>
      </x:c>
      <x:c r="C67" s="41" t="n">
        <x:v>8</x:v>
      </x:c>
      <x:c r="D67" s="41"/>
      <x:c r="E67" s="19" t="str">
        <x:f>IFERROR(VLOOKUP(B67,'敌人目录'!$A$6:$S$54,2,FALSE),"")</x:f>
        <x:v>yuanshi_insect_bomber</x:v>
      </x:c>
      <x:c r="F67" s="19" t="n">
        <x:f>IF(OR(B67="",C67=""),"",ROUNDUP(C67*(1+('全局设置'!$B$5-1)*'全局设置'!$B$6),0))</x:f>
        <x:v>8</x:v>
      </x:c>
      <x:c r="G67" s="19" t="n">
        <x:f>IFERROR(VLOOKUP(B67,'敌人目录'!$A$6:$S$54,7,FALSE),"")</x:f>
        <x:v>30</x:v>
      </x:c>
      <x:c r="H67" s="19" t="n">
        <x:f>IFERROR(VLOOKUP(B67,'敌人目录'!$A$6:$S$54,8,FALSE),"")</x:f>
        <x:v>10</x:v>
      </x:c>
      <x:c r="I67" s="19" t="n">
        <x:f>IFERROR(VLOOKUP(B67,'敌人目录'!$A$6:$S$54,9,FALSE),"")</x:f>
        <x:v>0</x:v>
      </x:c>
      <x:c r="J67" s="19" t="n">
        <x:f>IFERROR(VLOOKUP(B67,'敌人目录'!$A$6:$S$54,10,FALSE),"")</x:f>
        <x:v>0</x:v>
      </x:c>
      <x:c r="K67" s="19" t="n">
        <x:f>IFERROR(VLOOKUP(B67,'敌人目录'!$A$6:$S$54,11,FALSE),"")</x:f>
        <x:v>18</x:v>
      </x:c>
      <x:c r="L67" s="19" t="n">
        <x:f>IFERROR(VLOOKUP(B67,'敌人目录'!$A$6:$S$54,12,FALSE),"")</x:f>
        <x:v>1</x:v>
      </x:c>
      <x:c r="M67" s="19" t="n">
        <x:f>IFERROR(VLOOKUP(B67,'敌人目录'!$A$6:$S$54,13,FALSE),"")</x:f>
        <x:v>1</x:v>
      </x:c>
      <x:c r="N67" s="19" t="n">
        <x:f>IF(B67="","",IF(ISNUMBER(D67),D67,IFERROR(VLOOKUP(B67,'敌人目录'!$A$6:$S$54,14,FALSE),"")))</x:f>
        <x:v>1</x:v>
      </x:c>
      <x:c r="O67" s="64" t="n">
        <x:f>IFERROR(VLOOKUP(B67,'敌人目录'!$A$6:$S$54,15,FALSE),"")</x:f>
        <x:v>0.05</x:v>
      </x:c>
      <x:c r="P67" s="19" t="n">
        <x:f>IF(F67="","",F67*G67)</x:f>
        <x:v>240</x:v>
      </x:c>
      <x:c r="Q67" s="19" t="n">
        <x:f>IF(F67="","",F67*L67)</x:f>
        <x:v>8</x:v>
      </x:c>
      <x:c r="R67" s="19" t="n">
        <x:f>IF(F67="","",F67*N67)</x:f>
        <x:v>8</x:v>
      </x:c>
      <x:c r="S67" s="19" t="n">
        <x:f>IF(R67="","",R67*'全局设置'!$B$5)</x:f>
        <x:v>8</x:v>
      </x:c>
      <x:c r="T67" s="73" t="n">
        <x:f>IF(F67="","",F67*O67)</x:f>
        <x:v>0.4</x:v>
      </x:c>
      <x:c r="U67" s="19" t="str">
        <x:f>IF(AND(B67="",C67=""),"",IF(B67="","缺少敌人",IF(C67="","缺少数量",IF(OR(C67&lt;1,C67&gt;9999,C67&lt;&gt;INT(C67)),"数量无效",IF(COUNTIF($E$65:$E$82,E67)&gt;1,"重复敌人",IF(AND(ISNUMBER(D67),OR(D67&lt;0,D67&gt;999,D67&lt;&gt;INT(D67))),"奖励无效","可导入"))))))</x:f>
        <x:v>可导入</x:v>
      </x:c>
    </x:row>
    <x:row r="68" ht="22" customHeight="1">
      <x:c r="A68" s="72" t="n">
        <x:v>4</x:v>
      </x:c>
      <x:c r="B68" s="41" t="str">
        <x:v>yuanshi_insect_fire_ranged｜火焰弹原石虫</x:v>
      </x:c>
      <x:c r="C68" s="41" t="n">
        <x:v>4</x:v>
      </x:c>
      <x:c r="D68" s="41"/>
      <x:c r="E68" s="19" t="str">
        <x:f>IFERROR(VLOOKUP(B68,'敌人目录'!$A$6:$S$54,2,FALSE),"")</x:f>
        <x:v>yuanshi_insect_fire_ranged</x:v>
      </x:c>
      <x:c r="F68" s="19" t="n">
        <x:f>IF(OR(B68="",C68=""),"",ROUNDUP(C68*(1+('全局设置'!$B$5-1)*'全局设置'!$B$6),0))</x:f>
        <x:v>4</x:v>
      </x:c>
      <x:c r="G68" s="19" t="n">
        <x:f>IFERROR(VLOOKUP(B68,'敌人目录'!$A$6:$S$54,7,FALSE),"")</x:f>
        <x:v>40</x:v>
      </x:c>
      <x:c r="H68" s="19" t="n">
        <x:f>IFERROR(VLOOKUP(B68,'敌人目录'!$A$6:$S$54,8,FALSE),"")</x:f>
        <x:v>25</x:v>
      </x:c>
      <x:c r="I68" s="19" t="n">
        <x:f>IFERROR(VLOOKUP(B68,'敌人目录'!$A$6:$S$54,9,FALSE),"")</x:f>
        <x:v>0</x:v>
      </x:c>
      <x:c r="J68" s="19" t="n">
        <x:f>IFERROR(VLOOKUP(B68,'敌人目录'!$A$6:$S$54,10,FALSE),"")</x:f>
        <x:v>0</x:v>
      </x:c>
      <x:c r="K68" s="19" t="n">
        <x:f>IFERROR(VLOOKUP(B68,'敌人目录'!$A$6:$S$54,11,FALSE),"")</x:f>
        <x:v>22</x:v>
      </x:c>
      <x:c r="L68" s="19" t="n">
        <x:f>IFERROR(VLOOKUP(B68,'敌人目录'!$A$6:$S$54,12,FALSE),"")</x:f>
        <x:v>2</x:v>
      </x:c>
      <x:c r="M68" s="19" t="n">
        <x:f>IFERROR(VLOOKUP(B68,'敌人目录'!$A$6:$S$54,13,FALSE),"")</x:f>
        <x:v>1</x:v>
      </x:c>
      <x:c r="N68" s="19" t="n">
        <x:f>IF(B68="","",IF(ISNUMBER(D68),D68,IFERROR(VLOOKUP(B68,'敌人目录'!$A$6:$S$54,14,FALSE),"")))</x:f>
        <x:v>1</x:v>
      </x:c>
      <x:c r="O68" s="64" t="n">
        <x:f>IFERROR(VLOOKUP(B68,'敌人目录'!$A$6:$S$54,15,FALSE),"")</x:f>
        <x:v>0.05</x:v>
      </x:c>
      <x:c r="P68" s="19" t="n">
        <x:f>IF(F68="","",F68*G68)</x:f>
        <x:v>160</x:v>
      </x:c>
      <x:c r="Q68" s="19" t="n">
        <x:f>IF(F68="","",F68*L68)</x:f>
        <x:v>8</x:v>
      </x:c>
      <x:c r="R68" s="19" t="n">
        <x:f>IF(F68="","",F68*N68)</x:f>
        <x:v>4</x:v>
      </x:c>
      <x:c r="S68" s="19" t="n">
        <x:f>IF(R68="","",R68*'全局设置'!$B$5)</x:f>
        <x:v>4</x:v>
      </x:c>
      <x:c r="T68" s="73" t="n">
        <x:f>IF(F68="","",F68*O68)</x:f>
        <x:v>0.2</x:v>
      </x:c>
      <x:c r="U68" s="19" t="str">
        <x:f>IF(AND(B68="",C68=""),"",IF(B68="","缺少敌人",IF(C68="","缺少数量",IF(OR(C68&lt;1,C68&gt;9999,C68&lt;&gt;INT(C68)),"数量无效",IF(COUNTIF($E$65:$E$82,E68)&gt;1,"重复敌人",IF(AND(ISNUMBER(D68),OR(D68&lt;0,D68&gt;999,D68&lt;&gt;INT(D68))),"奖励无效","可导入"))))))</x:f>
        <x:v>可导入</x:v>
      </x:c>
    </x:row>
    <x:row r="69" ht="22" customHeight="1">
      <x:c r="A69" s="72" t="n">
        <x:v>5</x:v>
      </x:c>
      <x:c r="B69" s="41"/>
      <x:c r="C69" s="41"/>
      <x:c r="D69" s="41"/>
      <x:c r="E69" s="19" t="str">
        <x:f>IFERROR(VLOOKUP(B69,'敌人目录'!$A$6:$S$54,2,FALSE),"")</x:f>
      </x:c>
      <x:c r="F69" s="19" t="str">
        <x:f>IF(OR(B69="",C69=""),"",ROUNDUP(C69*(1+('全局设置'!$B$5-1)*'全局设置'!$B$6),0))</x:f>
      </x:c>
      <x:c r="G69" s="19" t="str">
        <x:f>IFERROR(VLOOKUP(B69,'敌人目录'!$A$6:$S$54,7,FALSE),"")</x:f>
      </x:c>
      <x:c r="H69" s="19" t="str">
        <x:f>IFERROR(VLOOKUP(B69,'敌人目录'!$A$6:$S$54,8,FALSE),"")</x:f>
      </x:c>
      <x:c r="I69" s="19" t="str">
        <x:f>IFERROR(VLOOKUP(B69,'敌人目录'!$A$6:$S$54,9,FALSE),"")</x:f>
      </x:c>
      <x:c r="J69" s="19" t="str">
        <x:f>IFERROR(VLOOKUP(B69,'敌人目录'!$A$6:$S$54,10,FALSE),"")</x:f>
      </x:c>
      <x:c r="K69" s="19" t="str">
        <x:f>IFERROR(VLOOKUP(B69,'敌人目录'!$A$6:$S$54,11,FALSE),"")</x:f>
      </x:c>
      <x:c r="L69" s="19" t="str">
        <x:f>IFERROR(VLOOKUP(B69,'敌人目录'!$A$6:$S$54,12,FALSE),"")</x:f>
      </x:c>
      <x:c r="M69" s="19" t="str">
        <x:f>IFERROR(VLOOKUP(B69,'敌人目录'!$A$6:$S$54,13,FALSE),"")</x:f>
      </x:c>
      <x:c r="N69" s="19" t="str">
        <x:f>IF(B69="","",IF(ISNUMBER(D69),D69,IFERROR(VLOOKUP(B69,'敌人目录'!$A$6:$S$54,14,FALSE),"")))</x:f>
      </x:c>
      <x:c r="O69" s="64" t="str">
        <x:f>IFERROR(VLOOKUP(B69,'敌人目录'!$A$6:$S$54,15,FALSE),"")</x:f>
      </x:c>
      <x:c r="P69" s="19" t="str">
        <x:f>IF(F69="","",F69*G69)</x:f>
      </x:c>
      <x:c r="Q69" s="19" t="str">
        <x:f>IF(F69="","",F69*L69)</x:f>
      </x:c>
      <x:c r="R69" s="19" t="str">
        <x:f>IF(F69="","",F69*N69)</x:f>
      </x:c>
      <x:c r="S69" s="19" t="str">
        <x:f>IF(R69="","",R69*'全局设置'!$B$5)</x:f>
      </x:c>
      <x:c r="T69" s="73" t="str">
        <x:f>IF(F69="","",F69*O69)</x:f>
      </x:c>
      <x:c r="U69" s="19" t="str">
        <x:f>IF(AND(B69="",C69=""),"",IF(B69="","缺少敌人",IF(C69="","缺少数量",IF(OR(C69&lt;1,C69&gt;9999,C69&lt;&gt;INT(C69)),"数量无效",IF(COUNTIF($E$65:$E$82,E69)&gt;1,"重复敌人",IF(AND(ISNUMBER(D69),OR(D69&lt;0,D69&gt;999,D69&lt;&gt;INT(D69))),"奖励无效","可导入"))))))</x:f>
      </x:c>
    </x:row>
    <x:row r="70" ht="22" customHeight="1">
      <x:c r="A70" s="72" t="n">
        <x:v>6</x:v>
      </x:c>
      <x:c r="B70" s="41"/>
      <x:c r="C70" s="41"/>
      <x:c r="D70" s="41"/>
      <x:c r="E70" s="19" t="str">
        <x:f>IFERROR(VLOOKUP(B70,'敌人目录'!$A$6:$S$54,2,FALSE),"")</x:f>
      </x:c>
      <x:c r="F70" s="19" t="str">
        <x:f>IF(OR(B70="",C70=""),"",ROUNDUP(C70*(1+('全局设置'!$B$5-1)*'全局设置'!$B$6),0))</x:f>
      </x:c>
      <x:c r="G70" s="19" t="str">
        <x:f>IFERROR(VLOOKUP(B70,'敌人目录'!$A$6:$S$54,7,FALSE),"")</x:f>
      </x:c>
      <x:c r="H70" s="19" t="str">
        <x:f>IFERROR(VLOOKUP(B70,'敌人目录'!$A$6:$S$54,8,FALSE),"")</x:f>
      </x:c>
      <x:c r="I70" s="19" t="str">
        <x:f>IFERROR(VLOOKUP(B70,'敌人目录'!$A$6:$S$54,9,FALSE),"")</x:f>
      </x:c>
      <x:c r="J70" s="19" t="str">
        <x:f>IFERROR(VLOOKUP(B70,'敌人目录'!$A$6:$S$54,10,FALSE),"")</x:f>
      </x:c>
      <x:c r="K70" s="19" t="str">
        <x:f>IFERROR(VLOOKUP(B70,'敌人目录'!$A$6:$S$54,11,FALSE),"")</x:f>
      </x:c>
      <x:c r="L70" s="19" t="str">
        <x:f>IFERROR(VLOOKUP(B70,'敌人目录'!$A$6:$S$54,12,FALSE),"")</x:f>
      </x:c>
      <x:c r="M70" s="19" t="str">
        <x:f>IFERROR(VLOOKUP(B70,'敌人目录'!$A$6:$S$54,13,FALSE),"")</x:f>
      </x:c>
      <x:c r="N70" s="19" t="str">
        <x:f>IF(B70="","",IF(ISNUMBER(D70),D70,IFERROR(VLOOKUP(B70,'敌人目录'!$A$6:$S$54,14,FALSE),"")))</x:f>
      </x:c>
      <x:c r="O70" s="64" t="str">
        <x:f>IFERROR(VLOOKUP(B70,'敌人目录'!$A$6:$S$54,15,FALSE),"")</x:f>
      </x:c>
      <x:c r="P70" s="19" t="str">
        <x:f>IF(F70="","",F70*G70)</x:f>
      </x:c>
      <x:c r="Q70" s="19" t="str">
        <x:f>IF(F70="","",F70*L70)</x:f>
      </x:c>
      <x:c r="R70" s="19" t="str">
        <x:f>IF(F70="","",F70*N70)</x:f>
      </x:c>
      <x:c r="S70" s="19" t="str">
        <x:f>IF(R70="","",R70*'全局设置'!$B$5)</x:f>
      </x:c>
      <x:c r="T70" s="73" t="str">
        <x:f>IF(F70="","",F70*O70)</x:f>
      </x:c>
      <x:c r="U70" s="19" t="str">
        <x:f>IF(AND(B70="",C70=""),"",IF(B70="","缺少敌人",IF(C70="","缺少数量",IF(OR(C70&lt;1,C70&gt;9999,C70&lt;&gt;INT(C70)),"数量无效",IF(COUNTIF($E$65:$E$82,E70)&gt;1,"重复敌人",IF(AND(ISNUMBER(D70),OR(D70&lt;0,D70&gt;999,D70&lt;&gt;INT(D70))),"奖励无效","可导入"))))))</x:f>
      </x:c>
    </x:row>
    <x:row r="71" ht="22" customHeight="1">
      <x:c r="A71" s="72" t="n">
        <x:v>7</x:v>
      </x:c>
      <x:c r="B71" s="41"/>
      <x:c r="C71" s="41"/>
      <x:c r="D71" s="41"/>
      <x:c r="E71" s="19" t="str">
        <x:f>IFERROR(VLOOKUP(B71,'敌人目录'!$A$6:$S$54,2,FALSE),"")</x:f>
      </x:c>
      <x:c r="F71" s="19" t="str">
        <x:f>IF(OR(B71="",C71=""),"",ROUNDUP(C71*(1+('全局设置'!$B$5-1)*'全局设置'!$B$6),0))</x:f>
      </x:c>
      <x:c r="G71" s="19" t="str">
        <x:f>IFERROR(VLOOKUP(B71,'敌人目录'!$A$6:$S$54,7,FALSE),"")</x:f>
      </x:c>
      <x:c r="H71" s="19" t="str">
        <x:f>IFERROR(VLOOKUP(B71,'敌人目录'!$A$6:$S$54,8,FALSE),"")</x:f>
      </x:c>
      <x:c r="I71" s="19" t="str">
        <x:f>IFERROR(VLOOKUP(B71,'敌人目录'!$A$6:$S$54,9,FALSE),"")</x:f>
      </x:c>
      <x:c r="J71" s="19" t="str">
        <x:f>IFERROR(VLOOKUP(B71,'敌人目录'!$A$6:$S$54,10,FALSE),"")</x:f>
      </x:c>
      <x:c r="K71" s="19" t="str">
        <x:f>IFERROR(VLOOKUP(B71,'敌人目录'!$A$6:$S$54,11,FALSE),"")</x:f>
      </x:c>
      <x:c r="L71" s="19" t="str">
        <x:f>IFERROR(VLOOKUP(B71,'敌人目录'!$A$6:$S$54,12,FALSE),"")</x:f>
      </x:c>
      <x:c r="M71" s="19" t="str">
        <x:f>IFERROR(VLOOKUP(B71,'敌人目录'!$A$6:$S$54,13,FALSE),"")</x:f>
      </x:c>
      <x:c r="N71" s="19" t="str">
        <x:f>IF(B71="","",IF(ISNUMBER(D71),D71,IFERROR(VLOOKUP(B71,'敌人目录'!$A$6:$S$54,14,FALSE),"")))</x:f>
      </x:c>
      <x:c r="O71" s="64" t="str">
        <x:f>IFERROR(VLOOKUP(B71,'敌人目录'!$A$6:$S$54,15,FALSE),"")</x:f>
      </x:c>
      <x:c r="P71" s="19" t="str">
        <x:f>IF(F71="","",F71*G71)</x:f>
      </x:c>
      <x:c r="Q71" s="19" t="str">
        <x:f>IF(F71="","",F71*L71)</x:f>
      </x:c>
      <x:c r="R71" s="19" t="str">
        <x:f>IF(F71="","",F71*N71)</x:f>
      </x:c>
      <x:c r="S71" s="19" t="str">
        <x:f>IF(R71="","",R71*'全局设置'!$B$5)</x:f>
      </x:c>
      <x:c r="T71" s="73" t="str">
        <x:f>IF(F71="","",F71*O71)</x:f>
      </x:c>
      <x:c r="U71" s="19" t="str">
        <x:f>IF(AND(B71="",C71=""),"",IF(B71="","缺少敌人",IF(C71="","缺少数量",IF(OR(C71&lt;1,C71&gt;9999,C71&lt;&gt;INT(C71)),"数量无效",IF(COUNTIF($E$65:$E$82,E71)&gt;1,"重复敌人",IF(AND(ISNUMBER(D71),OR(D71&lt;0,D71&gt;999,D71&lt;&gt;INT(D71))),"奖励无效","可导入"))))))</x:f>
      </x:c>
    </x:row>
    <x:row r="72" ht="22" customHeight="1">
      <x:c r="A72" s="72" t="n">
        <x:v>8</x:v>
      </x:c>
      <x:c r="B72" s="41"/>
      <x:c r="C72" s="41"/>
      <x:c r="D72" s="41"/>
      <x:c r="E72" s="19" t="str">
        <x:f>IFERROR(VLOOKUP(B72,'敌人目录'!$A$6:$S$54,2,FALSE),"")</x:f>
      </x:c>
      <x:c r="F72" s="19" t="str">
        <x:f>IF(OR(B72="",C72=""),"",ROUNDUP(C72*(1+('全局设置'!$B$5-1)*'全局设置'!$B$6),0))</x:f>
      </x:c>
      <x:c r="G72" s="19" t="str">
        <x:f>IFERROR(VLOOKUP(B72,'敌人目录'!$A$6:$S$54,7,FALSE),"")</x:f>
      </x:c>
      <x:c r="H72" s="19" t="str">
        <x:f>IFERROR(VLOOKUP(B72,'敌人目录'!$A$6:$S$54,8,FALSE),"")</x:f>
      </x:c>
      <x:c r="I72" s="19" t="str">
        <x:f>IFERROR(VLOOKUP(B72,'敌人目录'!$A$6:$S$54,9,FALSE),"")</x:f>
      </x:c>
      <x:c r="J72" s="19" t="str">
        <x:f>IFERROR(VLOOKUP(B72,'敌人目录'!$A$6:$S$54,10,FALSE),"")</x:f>
      </x:c>
      <x:c r="K72" s="19" t="str">
        <x:f>IFERROR(VLOOKUP(B72,'敌人目录'!$A$6:$S$54,11,FALSE),"")</x:f>
      </x:c>
      <x:c r="L72" s="19" t="str">
        <x:f>IFERROR(VLOOKUP(B72,'敌人目录'!$A$6:$S$54,12,FALSE),"")</x:f>
      </x:c>
      <x:c r="M72" s="19" t="str">
        <x:f>IFERROR(VLOOKUP(B72,'敌人目录'!$A$6:$S$54,13,FALSE),"")</x:f>
      </x:c>
      <x:c r="N72" s="19" t="str">
        <x:f>IF(B72="","",IF(ISNUMBER(D72),D72,IFERROR(VLOOKUP(B72,'敌人目录'!$A$6:$S$54,14,FALSE),"")))</x:f>
      </x:c>
      <x:c r="O72" s="64" t="str">
        <x:f>IFERROR(VLOOKUP(B72,'敌人目录'!$A$6:$S$54,15,FALSE),"")</x:f>
      </x:c>
      <x:c r="P72" s="19" t="str">
        <x:f>IF(F72="","",F72*G72)</x:f>
      </x:c>
      <x:c r="Q72" s="19" t="str">
        <x:f>IF(F72="","",F72*L72)</x:f>
      </x:c>
      <x:c r="R72" s="19" t="str">
        <x:f>IF(F72="","",F72*N72)</x:f>
      </x:c>
      <x:c r="S72" s="19" t="str">
        <x:f>IF(R72="","",R72*'全局设置'!$B$5)</x:f>
      </x:c>
      <x:c r="T72" s="73" t="str">
        <x:f>IF(F72="","",F72*O72)</x:f>
      </x:c>
      <x:c r="U72" s="19" t="str">
        <x:f>IF(AND(B72="",C72=""),"",IF(B72="","缺少敌人",IF(C72="","缺少数量",IF(OR(C72&lt;1,C72&gt;9999,C72&lt;&gt;INT(C72)),"数量无效",IF(COUNTIF($E$65:$E$82,E72)&gt;1,"重复敌人",IF(AND(ISNUMBER(D72),OR(D72&lt;0,D72&gt;999,D72&lt;&gt;INT(D72))),"奖励无效","可导入"))))))</x:f>
      </x:c>
    </x:row>
    <x:row r="73" ht="22" customHeight="1">
      <x:c r="A73" s="72" t="n">
        <x:v>9</x:v>
      </x:c>
      <x:c r="B73" s="41"/>
      <x:c r="C73" s="41"/>
      <x:c r="D73" s="41"/>
      <x:c r="E73" s="19" t="str">
        <x:f>IFERROR(VLOOKUP(B73,'敌人目录'!$A$6:$S$54,2,FALSE),"")</x:f>
      </x:c>
      <x:c r="F73" s="19" t="str">
        <x:f>IF(OR(B73="",C73=""),"",ROUNDUP(C73*(1+('全局设置'!$B$5-1)*'全局设置'!$B$6),0))</x:f>
      </x:c>
      <x:c r="G73" s="19" t="str">
        <x:f>IFERROR(VLOOKUP(B73,'敌人目录'!$A$6:$S$54,7,FALSE),"")</x:f>
      </x:c>
      <x:c r="H73" s="19" t="str">
        <x:f>IFERROR(VLOOKUP(B73,'敌人目录'!$A$6:$S$54,8,FALSE),"")</x:f>
      </x:c>
      <x:c r="I73" s="19" t="str">
        <x:f>IFERROR(VLOOKUP(B73,'敌人目录'!$A$6:$S$54,9,FALSE),"")</x:f>
      </x:c>
      <x:c r="J73" s="19" t="str">
        <x:f>IFERROR(VLOOKUP(B73,'敌人目录'!$A$6:$S$54,10,FALSE),"")</x:f>
      </x:c>
      <x:c r="K73" s="19" t="str">
        <x:f>IFERROR(VLOOKUP(B73,'敌人目录'!$A$6:$S$54,11,FALSE),"")</x:f>
      </x:c>
      <x:c r="L73" s="19" t="str">
        <x:f>IFERROR(VLOOKUP(B73,'敌人目录'!$A$6:$S$54,12,FALSE),"")</x:f>
      </x:c>
      <x:c r="M73" s="19" t="str">
        <x:f>IFERROR(VLOOKUP(B73,'敌人目录'!$A$6:$S$54,13,FALSE),"")</x:f>
      </x:c>
      <x:c r="N73" s="19" t="str">
        <x:f>IF(B73="","",IF(ISNUMBER(D73),D73,IFERROR(VLOOKUP(B73,'敌人目录'!$A$6:$S$54,14,FALSE),"")))</x:f>
      </x:c>
      <x:c r="O73" s="64" t="str">
        <x:f>IFERROR(VLOOKUP(B73,'敌人目录'!$A$6:$S$54,15,FALSE),"")</x:f>
      </x:c>
      <x:c r="P73" s="19" t="str">
        <x:f>IF(F73="","",F73*G73)</x:f>
      </x:c>
      <x:c r="Q73" s="19" t="str">
        <x:f>IF(F73="","",F73*L73)</x:f>
      </x:c>
      <x:c r="R73" s="19" t="str">
        <x:f>IF(F73="","",F73*N73)</x:f>
      </x:c>
      <x:c r="S73" s="19" t="str">
        <x:f>IF(R73="","",R73*'全局设置'!$B$5)</x:f>
      </x:c>
      <x:c r="T73" s="73" t="str">
        <x:f>IF(F73="","",F73*O73)</x:f>
      </x:c>
      <x:c r="U73" s="19" t="str">
        <x:f>IF(AND(B73="",C73=""),"",IF(B73="","缺少敌人",IF(C73="","缺少数量",IF(OR(C73&lt;1,C73&gt;9999,C73&lt;&gt;INT(C73)),"数量无效",IF(COUNTIF($E$65:$E$82,E73)&gt;1,"重复敌人",IF(AND(ISNUMBER(D73),OR(D73&lt;0,D73&gt;999,D73&lt;&gt;INT(D73))),"奖励无效","可导入"))))))</x:f>
      </x:c>
    </x:row>
    <x:row r="74" ht="22" customHeight="1">
      <x:c r="A74" s="72" t="n">
        <x:v>10</x:v>
      </x:c>
      <x:c r="B74" s="41"/>
      <x:c r="C74" s="41"/>
      <x:c r="D74" s="41"/>
      <x:c r="E74" s="19" t="str">
        <x:f>IFERROR(VLOOKUP(B74,'敌人目录'!$A$6:$S$54,2,FALSE),"")</x:f>
      </x:c>
      <x:c r="F74" s="19" t="str">
        <x:f>IF(OR(B74="",C74=""),"",ROUNDUP(C74*(1+('全局设置'!$B$5-1)*'全局设置'!$B$6),0))</x:f>
      </x:c>
      <x:c r="G74" s="19" t="str">
        <x:f>IFERROR(VLOOKUP(B74,'敌人目录'!$A$6:$S$54,7,FALSE),"")</x:f>
      </x:c>
      <x:c r="H74" s="19" t="str">
        <x:f>IFERROR(VLOOKUP(B74,'敌人目录'!$A$6:$S$54,8,FALSE),"")</x:f>
      </x:c>
      <x:c r="I74" s="19" t="str">
        <x:f>IFERROR(VLOOKUP(B74,'敌人目录'!$A$6:$S$54,9,FALSE),"")</x:f>
      </x:c>
      <x:c r="J74" s="19" t="str">
        <x:f>IFERROR(VLOOKUP(B74,'敌人目录'!$A$6:$S$54,10,FALSE),"")</x:f>
      </x:c>
      <x:c r="K74" s="19" t="str">
        <x:f>IFERROR(VLOOKUP(B74,'敌人目录'!$A$6:$S$54,11,FALSE),"")</x:f>
      </x:c>
      <x:c r="L74" s="19" t="str">
        <x:f>IFERROR(VLOOKUP(B74,'敌人目录'!$A$6:$S$54,12,FALSE),"")</x:f>
      </x:c>
      <x:c r="M74" s="19" t="str">
        <x:f>IFERROR(VLOOKUP(B74,'敌人目录'!$A$6:$S$54,13,FALSE),"")</x:f>
      </x:c>
      <x:c r="N74" s="19" t="str">
        <x:f>IF(B74="","",IF(ISNUMBER(D74),D74,IFERROR(VLOOKUP(B74,'敌人目录'!$A$6:$S$54,14,FALSE),"")))</x:f>
      </x:c>
      <x:c r="O74" s="64" t="str">
        <x:f>IFERROR(VLOOKUP(B74,'敌人目录'!$A$6:$S$54,15,FALSE),"")</x:f>
      </x:c>
      <x:c r="P74" s="19" t="str">
        <x:f>IF(F74="","",F74*G74)</x:f>
      </x:c>
      <x:c r="Q74" s="19" t="str">
        <x:f>IF(F74="","",F74*L74)</x:f>
      </x:c>
      <x:c r="R74" s="19" t="str">
        <x:f>IF(F74="","",F74*N74)</x:f>
      </x:c>
      <x:c r="S74" s="19" t="str">
        <x:f>IF(R74="","",R74*'全局设置'!$B$5)</x:f>
      </x:c>
      <x:c r="T74" s="73" t="str">
        <x:f>IF(F74="","",F74*O74)</x:f>
      </x:c>
      <x:c r="U74" s="19" t="str">
        <x:f>IF(AND(B74="",C74=""),"",IF(B74="","缺少敌人",IF(C74="","缺少数量",IF(OR(C74&lt;1,C74&gt;9999,C74&lt;&gt;INT(C74)),"数量无效",IF(COUNTIF($E$65:$E$82,E74)&gt;1,"重复敌人",IF(AND(ISNUMBER(D74),OR(D74&lt;0,D74&gt;999,D74&lt;&gt;INT(D74))),"奖励无效","可导入"))))))</x:f>
      </x:c>
    </x:row>
    <x:row r="75" ht="22" customHeight="1">
      <x:c r="A75" s="72" t="n">
        <x:v>11</x:v>
      </x:c>
      <x:c r="B75" s="41"/>
      <x:c r="C75" s="41"/>
      <x:c r="D75" s="41"/>
      <x:c r="E75" s="19" t="str">
        <x:f>IFERROR(VLOOKUP(B75,'敌人目录'!$A$6:$S$54,2,FALSE),"")</x:f>
      </x:c>
      <x:c r="F75" s="19" t="str">
        <x:f>IF(OR(B75="",C75=""),"",ROUNDUP(C75*(1+('全局设置'!$B$5-1)*'全局设置'!$B$6),0))</x:f>
      </x:c>
      <x:c r="G75" s="19" t="str">
        <x:f>IFERROR(VLOOKUP(B75,'敌人目录'!$A$6:$S$54,7,FALSE),"")</x:f>
      </x:c>
      <x:c r="H75" s="19" t="str">
        <x:f>IFERROR(VLOOKUP(B75,'敌人目录'!$A$6:$S$54,8,FALSE),"")</x:f>
      </x:c>
      <x:c r="I75" s="19" t="str">
        <x:f>IFERROR(VLOOKUP(B75,'敌人目录'!$A$6:$S$54,9,FALSE),"")</x:f>
      </x:c>
      <x:c r="J75" s="19" t="str">
        <x:f>IFERROR(VLOOKUP(B75,'敌人目录'!$A$6:$S$54,10,FALSE),"")</x:f>
      </x:c>
      <x:c r="K75" s="19" t="str">
        <x:f>IFERROR(VLOOKUP(B75,'敌人目录'!$A$6:$S$54,11,FALSE),"")</x:f>
      </x:c>
      <x:c r="L75" s="19" t="str">
        <x:f>IFERROR(VLOOKUP(B75,'敌人目录'!$A$6:$S$54,12,FALSE),"")</x:f>
      </x:c>
      <x:c r="M75" s="19" t="str">
        <x:f>IFERROR(VLOOKUP(B75,'敌人目录'!$A$6:$S$54,13,FALSE),"")</x:f>
      </x:c>
      <x:c r="N75" s="19" t="str">
        <x:f>IF(B75="","",IF(ISNUMBER(D75),D75,IFERROR(VLOOKUP(B75,'敌人目录'!$A$6:$S$54,14,FALSE),"")))</x:f>
      </x:c>
      <x:c r="O75" s="64" t="str">
        <x:f>IFERROR(VLOOKUP(B75,'敌人目录'!$A$6:$S$54,15,FALSE),"")</x:f>
      </x:c>
      <x:c r="P75" s="19" t="str">
        <x:f>IF(F75="","",F75*G75)</x:f>
      </x:c>
      <x:c r="Q75" s="19" t="str">
        <x:f>IF(F75="","",F75*L75)</x:f>
      </x:c>
      <x:c r="R75" s="19" t="str">
        <x:f>IF(F75="","",F75*N75)</x:f>
      </x:c>
      <x:c r="S75" s="19" t="str">
        <x:f>IF(R75="","",R75*'全局设置'!$B$5)</x:f>
      </x:c>
      <x:c r="T75" s="73" t="str">
        <x:f>IF(F75="","",F75*O75)</x:f>
      </x:c>
      <x:c r="U75" s="19" t="str">
        <x:f>IF(AND(B75="",C75=""),"",IF(B75="","缺少敌人",IF(C75="","缺少数量",IF(OR(C75&lt;1,C75&gt;9999,C75&lt;&gt;INT(C75)),"数量无效",IF(COUNTIF($E$65:$E$82,E75)&gt;1,"重复敌人",IF(AND(ISNUMBER(D75),OR(D75&lt;0,D75&gt;999,D75&lt;&gt;INT(D75))),"奖励无效","可导入"))))))</x:f>
      </x:c>
    </x:row>
    <x:row r="76" ht="22" customHeight="1">
      <x:c r="A76" s="72" t="n">
        <x:v>12</x:v>
      </x:c>
      <x:c r="B76" s="41"/>
      <x:c r="C76" s="41"/>
      <x:c r="D76" s="41"/>
      <x:c r="E76" s="19" t="str">
        <x:f>IFERROR(VLOOKUP(B76,'敌人目录'!$A$6:$S$54,2,FALSE),"")</x:f>
      </x:c>
      <x:c r="F76" s="19" t="str">
        <x:f>IF(OR(B76="",C76=""),"",ROUNDUP(C76*(1+('全局设置'!$B$5-1)*'全局设置'!$B$6),0))</x:f>
      </x:c>
      <x:c r="G76" s="19" t="str">
        <x:f>IFERROR(VLOOKUP(B76,'敌人目录'!$A$6:$S$54,7,FALSE),"")</x:f>
      </x:c>
      <x:c r="H76" s="19" t="str">
        <x:f>IFERROR(VLOOKUP(B76,'敌人目录'!$A$6:$S$54,8,FALSE),"")</x:f>
      </x:c>
      <x:c r="I76" s="19" t="str">
        <x:f>IFERROR(VLOOKUP(B76,'敌人目录'!$A$6:$S$54,9,FALSE),"")</x:f>
      </x:c>
      <x:c r="J76" s="19" t="str">
        <x:f>IFERROR(VLOOKUP(B76,'敌人目录'!$A$6:$S$54,10,FALSE),"")</x:f>
      </x:c>
      <x:c r="K76" s="19" t="str">
        <x:f>IFERROR(VLOOKUP(B76,'敌人目录'!$A$6:$S$54,11,FALSE),"")</x:f>
      </x:c>
      <x:c r="L76" s="19" t="str">
        <x:f>IFERROR(VLOOKUP(B76,'敌人目录'!$A$6:$S$54,12,FALSE),"")</x:f>
      </x:c>
      <x:c r="M76" s="19" t="str">
        <x:f>IFERROR(VLOOKUP(B76,'敌人目录'!$A$6:$S$54,13,FALSE),"")</x:f>
      </x:c>
      <x:c r="N76" s="19" t="str">
        <x:f>IF(B76="","",IF(ISNUMBER(D76),D76,IFERROR(VLOOKUP(B76,'敌人目录'!$A$6:$S$54,14,FALSE),"")))</x:f>
      </x:c>
      <x:c r="O76" s="64" t="str">
        <x:f>IFERROR(VLOOKUP(B76,'敌人目录'!$A$6:$S$54,15,FALSE),"")</x:f>
      </x:c>
      <x:c r="P76" s="19" t="str">
        <x:f>IF(F76="","",F76*G76)</x:f>
      </x:c>
      <x:c r="Q76" s="19" t="str">
        <x:f>IF(F76="","",F76*L76)</x:f>
      </x:c>
      <x:c r="R76" s="19" t="str">
        <x:f>IF(F76="","",F76*N76)</x:f>
      </x:c>
      <x:c r="S76" s="19" t="str">
        <x:f>IF(R76="","",R76*'全局设置'!$B$5)</x:f>
      </x:c>
      <x:c r="T76" s="73" t="str">
        <x:f>IF(F76="","",F76*O76)</x:f>
      </x:c>
      <x:c r="U76" s="19" t="str">
        <x:f>IF(AND(B76="",C76=""),"",IF(B76="","缺少敌人",IF(C76="","缺少数量",IF(OR(C76&lt;1,C76&gt;9999,C76&lt;&gt;INT(C76)),"数量无效",IF(COUNTIF($E$65:$E$82,E76)&gt;1,"重复敌人",IF(AND(ISNUMBER(D76),OR(D76&lt;0,D76&gt;999,D76&lt;&gt;INT(D76))),"奖励无效","可导入"))))))</x:f>
      </x:c>
    </x:row>
    <x:row r="77" ht="22" customHeight="1">
      <x:c r="A77" s="72" t="n">
        <x:v>13</x:v>
      </x:c>
      <x:c r="B77" s="41"/>
      <x:c r="C77" s="41"/>
      <x:c r="D77" s="41"/>
      <x:c r="E77" s="19" t="str">
        <x:f>IFERROR(VLOOKUP(B77,'敌人目录'!$A$6:$S$54,2,FALSE),"")</x:f>
      </x:c>
      <x:c r="F77" s="19" t="str">
        <x:f>IF(OR(B77="",C77=""),"",ROUNDUP(C77*(1+('全局设置'!$B$5-1)*'全局设置'!$B$6),0))</x:f>
      </x:c>
      <x:c r="G77" s="19" t="str">
        <x:f>IFERROR(VLOOKUP(B77,'敌人目录'!$A$6:$S$54,7,FALSE),"")</x:f>
      </x:c>
      <x:c r="H77" s="19" t="str">
        <x:f>IFERROR(VLOOKUP(B77,'敌人目录'!$A$6:$S$54,8,FALSE),"")</x:f>
      </x:c>
      <x:c r="I77" s="19" t="str">
        <x:f>IFERROR(VLOOKUP(B77,'敌人目录'!$A$6:$S$54,9,FALSE),"")</x:f>
      </x:c>
      <x:c r="J77" s="19" t="str">
        <x:f>IFERROR(VLOOKUP(B77,'敌人目录'!$A$6:$S$54,10,FALSE),"")</x:f>
      </x:c>
      <x:c r="K77" s="19" t="str">
        <x:f>IFERROR(VLOOKUP(B77,'敌人目录'!$A$6:$S$54,11,FALSE),"")</x:f>
      </x:c>
      <x:c r="L77" s="19" t="str">
        <x:f>IFERROR(VLOOKUP(B77,'敌人目录'!$A$6:$S$54,12,FALSE),"")</x:f>
      </x:c>
      <x:c r="M77" s="19" t="str">
        <x:f>IFERROR(VLOOKUP(B77,'敌人目录'!$A$6:$S$54,13,FALSE),"")</x:f>
      </x:c>
      <x:c r="N77" s="19" t="str">
        <x:f>IF(B77="","",IF(ISNUMBER(D77),D77,IFERROR(VLOOKUP(B77,'敌人目录'!$A$6:$S$54,14,FALSE),"")))</x:f>
      </x:c>
      <x:c r="O77" s="64" t="str">
        <x:f>IFERROR(VLOOKUP(B77,'敌人目录'!$A$6:$S$54,15,FALSE),"")</x:f>
      </x:c>
      <x:c r="P77" s="19" t="str">
        <x:f>IF(F77="","",F77*G77)</x:f>
      </x:c>
      <x:c r="Q77" s="19" t="str">
        <x:f>IF(F77="","",F77*L77)</x:f>
      </x:c>
      <x:c r="R77" s="19" t="str">
        <x:f>IF(F77="","",F77*N77)</x:f>
      </x:c>
      <x:c r="S77" s="19" t="str">
        <x:f>IF(R77="","",R77*'全局设置'!$B$5)</x:f>
      </x:c>
      <x:c r="T77" s="73" t="str">
        <x:f>IF(F77="","",F77*O77)</x:f>
      </x:c>
      <x:c r="U77" s="19" t="str">
        <x:f>IF(AND(B77="",C77=""),"",IF(B77="","缺少敌人",IF(C77="","缺少数量",IF(OR(C77&lt;1,C77&gt;9999,C77&lt;&gt;INT(C77)),"数量无效",IF(COUNTIF($E$65:$E$82,E77)&gt;1,"重复敌人",IF(AND(ISNUMBER(D77),OR(D77&lt;0,D77&gt;999,D77&lt;&gt;INT(D77))),"奖励无效","可导入"))))))</x:f>
      </x:c>
    </x:row>
    <x:row r="78" ht="22" customHeight="1">
      <x:c r="A78" s="72" t="n">
        <x:v>14</x:v>
      </x:c>
      <x:c r="B78" s="41"/>
      <x:c r="C78" s="41"/>
      <x:c r="D78" s="41"/>
      <x:c r="E78" s="19" t="str">
        <x:f>IFERROR(VLOOKUP(B78,'敌人目录'!$A$6:$S$54,2,FALSE),"")</x:f>
      </x:c>
      <x:c r="F78" s="19" t="str">
        <x:f>IF(OR(B78="",C78=""),"",ROUNDUP(C78*(1+('全局设置'!$B$5-1)*'全局设置'!$B$6),0))</x:f>
      </x:c>
      <x:c r="G78" s="19" t="str">
        <x:f>IFERROR(VLOOKUP(B78,'敌人目录'!$A$6:$S$54,7,FALSE),"")</x:f>
      </x:c>
      <x:c r="H78" s="19" t="str">
        <x:f>IFERROR(VLOOKUP(B78,'敌人目录'!$A$6:$S$54,8,FALSE),"")</x:f>
      </x:c>
      <x:c r="I78" s="19" t="str">
        <x:f>IFERROR(VLOOKUP(B78,'敌人目录'!$A$6:$S$54,9,FALSE),"")</x:f>
      </x:c>
      <x:c r="J78" s="19" t="str">
        <x:f>IFERROR(VLOOKUP(B78,'敌人目录'!$A$6:$S$54,10,FALSE),"")</x:f>
      </x:c>
      <x:c r="K78" s="19" t="str">
        <x:f>IFERROR(VLOOKUP(B78,'敌人目录'!$A$6:$S$54,11,FALSE),"")</x:f>
      </x:c>
      <x:c r="L78" s="19" t="str">
        <x:f>IFERROR(VLOOKUP(B78,'敌人目录'!$A$6:$S$54,12,FALSE),"")</x:f>
      </x:c>
      <x:c r="M78" s="19" t="str">
        <x:f>IFERROR(VLOOKUP(B78,'敌人目录'!$A$6:$S$54,13,FALSE),"")</x:f>
      </x:c>
      <x:c r="N78" s="19" t="str">
        <x:f>IF(B78="","",IF(ISNUMBER(D78),D78,IFERROR(VLOOKUP(B78,'敌人目录'!$A$6:$S$54,14,FALSE),"")))</x:f>
      </x:c>
      <x:c r="O78" s="64" t="str">
        <x:f>IFERROR(VLOOKUP(B78,'敌人目录'!$A$6:$S$54,15,FALSE),"")</x:f>
      </x:c>
      <x:c r="P78" s="19" t="str">
        <x:f>IF(F78="","",F78*G78)</x:f>
      </x:c>
      <x:c r="Q78" s="19" t="str">
        <x:f>IF(F78="","",F78*L78)</x:f>
      </x:c>
      <x:c r="R78" s="19" t="str">
        <x:f>IF(F78="","",F78*N78)</x:f>
      </x:c>
      <x:c r="S78" s="19" t="str">
        <x:f>IF(R78="","",R78*'全局设置'!$B$5)</x:f>
      </x:c>
      <x:c r="T78" s="73" t="str">
        <x:f>IF(F78="","",F78*O78)</x:f>
      </x:c>
      <x:c r="U78" s="19" t="str">
        <x:f>IF(AND(B78="",C78=""),"",IF(B78="","缺少敌人",IF(C78="","缺少数量",IF(OR(C78&lt;1,C78&gt;9999,C78&lt;&gt;INT(C78)),"数量无效",IF(COUNTIF($E$65:$E$82,E78)&gt;1,"重复敌人",IF(AND(ISNUMBER(D78),OR(D78&lt;0,D78&gt;999,D78&lt;&gt;INT(D78))),"奖励无效","可导入"))))))</x:f>
      </x:c>
    </x:row>
    <x:row r="79" ht="22" customHeight="1">
      <x:c r="A79" s="72" t="n">
        <x:v>15</x:v>
      </x:c>
      <x:c r="B79" s="41"/>
      <x:c r="C79" s="41"/>
      <x:c r="D79" s="41"/>
      <x:c r="E79" s="19" t="str">
        <x:f>IFERROR(VLOOKUP(B79,'敌人目录'!$A$6:$S$54,2,FALSE),"")</x:f>
      </x:c>
      <x:c r="F79" s="19" t="str">
        <x:f>IF(OR(B79="",C79=""),"",ROUNDUP(C79*(1+('全局设置'!$B$5-1)*'全局设置'!$B$6),0))</x:f>
      </x:c>
      <x:c r="G79" s="19" t="str">
        <x:f>IFERROR(VLOOKUP(B79,'敌人目录'!$A$6:$S$54,7,FALSE),"")</x:f>
      </x:c>
      <x:c r="H79" s="19" t="str">
        <x:f>IFERROR(VLOOKUP(B79,'敌人目录'!$A$6:$S$54,8,FALSE),"")</x:f>
      </x:c>
      <x:c r="I79" s="19" t="str">
        <x:f>IFERROR(VLOOKUP(B79,'敌人目录'!$A$6:$S$54,9,FALSE),"")</x:f>
      </x:c>
      <x:c r="J79" s="19" t="str">
        <x:f>IFERROR(VLOOKUP(B79,'敌人目录'!$A$6:$S$54,10,FALSE),"")</x:f>
      </x:c>
      <x:c r="K79" s="19" t="str">
        <x:f>IFERROR(VLOOKUP(B79,'敌人目录'!$A$6:$S$54,11,FALSE),"")</x:f>
      </x:c>
      <x:c r="L79" s="19" t="str">
        <x:f>IFERROR(VLOOKUP(B79,'敌人目录'!$A$6:$S$54,12,FALSE),"")</x:f>
      </x:c>
      <x:c r="M79" s="19" t="str">
        <x:f>IFERROR(VLOOKUP(B79,'敌人目录'!$A$6:$S$54,13,FALSE),"")</x:f>
      </x:c>
      <x:c r="N79" s="19" t="str">
        <x:f>IF(B79="","",IF(ISNUMBER(D79),D79,IFERROR(VLOOKUP(B79,'敌人目录'!$A$6:$S$54,14,FALSE),"")))</x:f>
      </x:c>
      <x:c r="O79" s="64" t="str">
        <x:f>IFERROR(VLOOKUP(B79,'敌人目录'!$A$6:$S$54,15,FALSE),"")</x:f>
      </x:c>
      <x:c r="P79" s="19" t="str">
        <x:f>IF(F79="","",F79*G79)</x:f>
      </x:c>
      <x:c r="Q79" s="19" t="str">
        <x:f>IF(F79="","",F79*L79)</x:f>
      </x:c>
      <x:c r="R79" s="19" t="str">
        <x:f>IF(F79="","",F79*N79)</x:f>
      </x:c>
      <x:c r="S79" s="19" t="str">
        <x:f>IF(R79="","",R79*'全局设置'!$B$5)</x:f>
      </x:c>
      <x:c r="T79" s="73" t="str">
        <x:f>IF(F79="","",F79*O79)</x:f>
      </x:c>
      <x:c r="U79" s="19" t="str">
        <x:f>IF(AND(B79="",C79=""),"",IF(B79="","缺少敌人",IF(C79="","缺少数量",IF(OR(C79&lt;1,C79&gt;9999,C79&lt;&gt;INT(C79)),"数量无效",IF(COUNTIF($E$65:$E$82,E79)&gt;1,"重复敌人",IF(AND(ISNUMBER(D79),OR(D79&lt;0,D79&gt;999,D79&lt;&gt;INT(D79))),"奖励无效","可导入"))))))</x:f>
      </x:c>
    </x:row>
    <x:row r="80" ht="22" customHeight="1">
      <x:c r="A80" s="72" t="n">
        <x:v>16</x:v>
      </x:c>
      <x:c r="B80" s="41"/>
      <x:c r="C80" s="41"/>
      <x:c r="D80" s="41"/>
      <x:c r="E80" s="19" t="str">
        <x:f>IFERROR(VLOOKUP(B80,'敌人目录'!$A$6:$S$54,2,FALSE),"")</x:f>
      </x:c>
      <x:c r="F80" s="19" t="str">
        <x:f>IF(OR(B80="",C80=""),"",ROUNDUP(C80*(1+('全局设置'!$B$5-1)*'全局设置'!$B$6),0))</x:f>
      </x:c>
      <x:c r="G80" s="19" t="str">
        <x:f>IFERROR(VLOOKUP(B80,'敌人目录'!$A$6:$S$54,7,FALSE),"")</x:f>
      </x:c>
      <x:c r="H80" s="19" t="str">
        <x:f>IFERROR(VLOOKUP(B80,'敌人目录'!$A$6:$S$54,8,FALSE),"")</x:f>
      </x:c>
      <x:c r="I80" s="19" t="str">
        <x:f>IFERROR(VLOOKUP(B80,'敌人目录'!$A$6:$S$54,9,FALSE),"")</x:f>
      </x:c>
      <x:c r="J80" s="19" t="str">
        <x:f>IFERROR(VLOOKUP(B80,'敌人目录'!$A$6:$S$54,10,FALSE),"")</x:f>
      </x:c>
      <x:c r="K80" s="19" t="str">
        <x:f>IFERROR(VLOOKUP(B80,'敌人目录'!$A$6:$S$54,11,FALSE),"")</x:f>
      </x:c>
      <x:c r="L80" s="19" t="str">
        <x:f>IFERROR(VLOOKUP(B80,'敌人目录'!$A$6:$S$54,12,FALSE),"")</x:f>
      </x:c>
      <x:c r="M80" s="19" t="str">
        <x:f>IFERROR(VLOOKUP(B80,'敌人目录'!$A$6:$S$54,13,FALSE),"")</x:f>
      </x:c>
      <x:c r="N80" s="19" t="str">
        <x:f>IF(B80="","",IF(ISNUMBER(D80),D80,IFERROR(VLOOKUP(B80,'敌人目录'!$A$6:$S$54,14,FALSE),"")))</x:f>
      </x:c>
      <x:c r="O80" s="64" t="str">
        <x:f>IFERROR(VLOOKUP(B80,'敌人目录'!$A$6:$S$54,15,FALSE),"")</x:f>
      </x:c>
      <x:c r="P80" s="19" t="str">
        <x:f>IF(F80="","",F80*G80)</x:f>
      </x:c>
      <x:c r="Q80" s="19" t="str">
        <x:f>IF(F80="","",F80*L80)</x:f>
      </x:c>
      <x:c r="R80" s="19" t="str">
        <x:f>IF(F80="","",F80*N80)</x:f>
      </x:c>
      <x:c r="S80" s="19" t="str">
        <x:f>IF(R80="","",R80*'全局设置'!$B$5)</x:f>
      </x:c>
      <x:c r="T80" s="73" t="str">
        <x:f>IF(F80="","",F80*O80)</x:f>
      </x:c>
      <x:c r="U80" s="19" t="str">
        <x:f>IF(AND(B80="",C80=""),"",IF(B80="","缺少敌人",IF(C80="","缺少数量",IF(OR(C80&lt;1,C80&gt;9999,C80&lt;&gt;INT(C80)),"数量无效",IF(COUNTIF($E$65:$E$82,E80)&gt;1,"重复敌人",IF(AND(ISNUMBER(D80),OR(D80&lt;0,D80&gt;999,D80&lt;&gt;INT(D80))),"奖励无效","可导入"))))))</x:f>
      </x:c>
    </x:row>
    <x:row r="81" ht="22" customHeight="1">
      <x:c r="A81" s="72" t="n">
        <x:v>17</x:v>
      </x:c>
      <x:c r="B81" s="41"/>
      <x:c r="C81" s="41"/>
      <x:c r="D81" s="41"/>
      <x:c r="E81" s="19" t="str">
        <x:f>IFERROR(VLOOKUP(B81,'敌人目录'!$A$6:$S$54,2,FALSE),"")</x:f>
      </x:c>
      <x:c r="F81" s="19" t="str">
        <x:f>IF(OR(B81="",C81=""),"",ROUNDUP(C81*(1+('全局设置'!$B$5-1)*'全局设置'!$B$6),0))</x:f>
      </x:c>
      <x:c r="G81" s="19" t="str">
        <x:f>IFERROR(VLOOKUP(B81,'敌人目录'!$A$6:$S$54,7,FALSE),"")</x:f>
      </x:c>
      <x:c r="H81" s="19" t="str">
        <x:f>IFERROR(VLOOKUP(B81,'敌人目录'!$A$6:$S$54,8,FALSE),"")</x:f>
      </x:c>
      <x:c r="I81" s="19" t="str">
        <x:f>IFERROR(VLOOKUP(B81,'敌人目录'!$A$6:$S$54,9,FALSE),"")</x:f>
      </x:c>
      <x:c r="J81" s="19" t="str">
        <x:f>IFERROR(VLOOKUP(B81,'敌人目录'!$A$6:$S$54,10,FALSE),"")</x:f>
      </x:c>
      <x:c r="K81" s="19" t="str">
        <x:f>IFERROR(VLOOKUP(B81,'敌人目录'!$A$6:$S$54,11,FALSE),"")</x:f>
      </x:c>
      <x:c r="L81" s="19" t="str">
        <x:f>IFERROR(VLOOKUP(B81,'敌人目录'!$A$6:$S$54,12,FALSE),"")</x:f>
      </x:c>
      <x:c r="M81" s="19" t="str">
        <x:f>IFERROR(VLOOKUP(B81,'敌人目录'!$A$6:$S$54,13,FALSE),"")</x:f>
      </x:c>
      <x:c r="N81" s="19" t="str">
        <x:f>IF(B81="","",IF(ISNUMBER(D81),D81,IFERROR(VLOOKUP(B81,'敌人目录'!$A$6:$S$54,14,FALSE),"")))</x:f>
      </x:c>
      <x:c r="O81" s="64" t="str">
        <x:f>IFERROR(VLOOKUP(B81,'敌人目录'!$A$6:$S$54,15,FALSE),"")</x:f>
      </x:c>
      <x:c r="P81" s="19" t="str">
        <x:f>IF(F81="","",F81*G81)</x:f>
      </x:c>
      <x:c r="Q81" s="19" t="str">
        <x:f>IF(F81="","",F81*L81)</x:f>
      </x:c>
      <x:c r="R81" s="19" t="str">
        <x:f>IF(F81="","",F81*N81)</x:f>
      </x:c>
      <x:c r="S81" s="19" t="str">
        <x:f>IF(R81="","",R81*'全局设置'!$B$5)</x:f>
      </x:c>
      <x:c r="T81" s="73" t="str">
        <x:f>IF(F81="","",F81*O81)</x:f>
      </x:c>
      <x:c r="U81" s="19" t="str">
        <x:f>IF(AND(B81="",C81=""),"",IF(B81="","缺少敌人",IF(C81="","缺少数量",IF(OR(C81&lt;1,C81&gt;9999,C81&lt;&gt;INT(C81)),"数量无效",IF(COUNTIF($E$65:$E$82,E81)&gt;1,"重复敌人",IF(AND(ISNUMBER(D81),OR(D81&lt;0,D81&gt;999,D81&lt;&gt;INT(D81))),"奖励无效","可导入"))))))</x:f>
      </x:c>
    </x:row>
    <x:row r="82" ht="22" customHeight="1">
      <x:c r="A82" s="72" t="n">
        <x:v>18</x:v>
      </x:c>
      <x:c r="B82" s="41"/>
      <x:c r="C82" s="41"/>
      <x:c r="D82" s="41"/>
      <x:c r="E82" s="19" t="str">
        <x:f>IFERROR(VLOOKUP(B82,'敌人目录'!$A$6:$S$54,2,FALSE),"")</x:f>
      </x:c>
      <x:c r="F82" s="19" t="str">
        <x:f>IF(OR(B82="",C82=""),"",ROUNDUP(C82*(1+('全局设置'!$B$5-1)*'全局设置'!$B$6),0))</x:f>
      </x:c>
      <x:c r="G82" s="19" t="str">
        <x:f>IFERROR(VLOOKUP(B82,'敌人目录'!$A$6:$S$54,7,FALSE),"")</x:f>
      </x:c>
      <x:c r="H82" s="19" t="str">
        <x:f>IFERROR(VLOOKUP(B82,'敌人目录'!$A$6:$S$54,8,FALSE),"")</x:f>
      </x:c>
      <x:c r="I82" s="19" t="str">
        <x:f>IFERROR(VLOOKUP(B82,'敌人目录'!$A$6:$S$54,9,FALSE),"")</x:f>
      </x:c>
      <x:c r="J82" s="19" t="str">
        <x:f>IFERROR(VLOOKUP(B82,'敌人目录'!$A$6:$S$54,10,FALSE),"")</x:f>
      </x:c>
      <x:c r="K82" s="19" t="str">
        <x:f>IFERROR(VLOOKUP(B82,'敌人目录'!$A$6:$S$54,11,FALSE),"")</x:f>
      </x:c>
      <x:c r="L82" s="19" t="str">
        <x:f>IFERROR(VLOOKUP(B82,'敌人目录'!$A$6:$S$54,12,FALSE),"")</x:f>
      </x:c>
      <x:c r="M82" s="19" t="str">
        <x:f>IFERROR(VLOOKUP(B82,'敌人目录'!$A$6:$S$54,13,FALSE),"")</x:f>
      </x:c>
      <x:c r="N82" s="19" t="str">
        <x:f>IF(B82="","",IF(ISNUMBER(D82),D82,IFERROR(VLOOKUP(B82,'敌人目录'!$A$6:$S$54,14,FALSE),"")))</x:f>
      </x:c>
      <x:c r="O82" s="64" t="str">
        <x:f>IFERROR(VLOOKUP(B82,'敌人目录'!$A$6:$S$54,15,FALSE),"")</x:f>
      </x:c>
      <x:c r="P82" s="19" t="str">
        <x:f>IF(F82="","",F82*G82)</x:f>
      </x:c>
      <x:c r="Q82" s="19" t="str">
        <x:f>IF(F82="","",F82*L82)</x:f>
      </x:c>
      <x:c r="R82" s="19" t="str">
        <x:f>IF(F82="","",F82*N82)</x:f>
      </x:c>
      <x:c r="S82" s="19" t="str">
        <x:f>IF(R82="","",R82*'全局设置'!$B$5)</x:f>
      </x:c>
      <x:c r="T82" s="73" t="str">
        <x:f>IF(F82="","",F82*O82)</x:f>
      </x:c>
      <x:c r="U82" s="19" t="str">
        <x:f>IF(AND(B82="",C82=""),"",IF(B82="","缺少敌人",IF(C82="","缺少数量",IF(OR(C82&lt;1,C82&gt;9999,C82&lt;&gt;INT(C82)),"数量无效",IF(COUNTIF($E$65:$E$82,E82)&gt;1,"重复敌人",IF(AND(ISNUMBER(D82),OR(D82&lt;0,D82&gt;999,D82&lt;&gt;INT(D82))),"奖励无效","可导入"))))))</x:f>
      </x:c>
    </x:row>
    <x:row r="83" ht="22" customHeight="1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</x:row>
    <x:row r="84" ht="22" customHeight="1">
      <x:c r="A84" s="48" t="str">
        <x:v>基础总数</x:v>
      </x:c>
      <x:c r="B84" s="19" t="n">
        <x:f>SUM(C65:C82)</x:f>
        <x:v>48</x:v>
      </x:c>
      <x:c r="C84" s="48" t="str">
        <x:v>实际总数</x:v>
      </x:c>
      <x:c r="D84" s="19" t="n">
        <x:f>SUM(F65:F82)</x:f>
        <x:v>48</x:v>
      </x:c>
      <x:c r="E84" s="48" t="str">
        <x:v>敌人种类</x:v>
      </x:c>
      <x:c r="F84" s="19" t="n">
        <x:f>COUNTA(B65:B82)</x:f>
        <x:v>4</x:v>
      </x:c>
      <x:c r="G84" s="48" t="str">
        <x:v>生命池</x:v>
      </x:c>
      <x:c r="H84" s="19" t="n">
        <x:f>SUM(P65:P82)</x:f>
        <x:v>1780</x:v>
      </x:c>
      <x:c r="I84" s="48" t="str">
        <x:v>基础息壤/玩家</x:v>
      </x:c>
      <x:c r="J84" s="19" t="n">
        <x:f>SUM(R65:R82)</x:f>
        <x:v>48</x:v>
      </x:c>
      <x:c r="K84" s="48" t="str">
        <x:v>情景息壤/玩家</x:v>
      </x:c>
      <x:c r="L84" s="19" t="n">
        <x:f>J84*'全局设置'!$B$7*'全局设置'!$C$14</x:f>
        <x:v>48</x:v>
      </x:c>
      <x:c r="M84" s="48" t="str">
        <x:v>情景息壤/队伍</x:v>
      </x:c>
      <x:c r="N84" s="19" t="n">
        <x:f>L84*'全局设置'!$B$5</x:f>
        <x:v>48</x:v>
      </x:c>
      <x:c r="O84" s="48" t="str">
        <x:v>掉落期望</x:v>
      </x:c>
      <x:c r="P84" s="73" t="n">
        <x:f>SUM(T65:T82)</x:f>
        <x:v>2.4000000000000004</x:v>
      </x:c>
      <x:c r="Q84" s="48" t="str">
        <x:v>全漏Home伤害</x:v>
      </x:c>
      <x:c r="R84" s="19" t="n">
        <x:f>SUM(Q65:Q82)</x:f>
        <x:v>52</x:v>
      </x:c>
      <x:c r="S84" s="48" t="str">
        <x:v>最短刷完(s)</x:v>
      </x:c>
      <x:c r="T84" s="73" t="n">
        <x:f>IF(D84=0,0,MAX(0,(ROUNDUP(D84/J61,0)-1)*H61))</x:f>
        <x:v>28.2</x:v>
      </x:c>
      <x:c r="U84" s="31"/>
    </x:row>
    <x:row r="85" ht="22" customHeight="1">
      <x:c r="A85" s="82" t="str">
        <x:v>情景收益 = 最大击杀息壤 × 全局击杀率 × 第1日倍率；最大队伍收益另按玩家人数相乘。</x:v>
      </x:c>
      <x:c r="B85" s="82" t="str">
        <x:v>情景收益 = 最大击杀息壤 × 全局击杀率 × 第1日倍率；最大队伍收益另按玩家人数相乘。</x:v>
      </x:c>
      <x:c r="C85" s="82" t="str">
        <x:v>情景收益 = 最大击杀息壤 × 全局击杀率 × 第1日倍率；最大队伍收益另按玩家人数相乘。</x:v>
      </x:c>
      <x:c r="D85" s="82" t="str">
        <x:v>情景收益 = 最大击杀息壤 × 全局击杀率 × 第1日倍率；最大队伍收益另按玩家人数相乘。</x:v>
      </x:c>
      <x:c r="E85" s="82" t="str">
        <x:v>情景收益 = 最大击杀息壤 × 全局击杀率 × 第1日倍率；最大队伍收益另按玩家人数相乘。</x:v>
      </x:c>
      <x:c r="F85" s="82" t="str">
        <x:v>情景收益 = 最大击杀息壤 × 全局击杀率 × 第1日倍率；最大队伍收益另按玩家人数相乘。</x:v>
      </x:c>
      <x:c r="G85" s="82" t="str">
        <x:v>情景收益 = 最大击杀息壤 × 全局击杀率 × 第1日倍率；最大队伍收益另按玩家人数相乘。</x:v>
      </x:c>
      <x:c r="H85" s="82" t="str">
        <x:v>情景收益 = 最大击杀息壤 × 全局击杀率 × 第1日倍率；最大队伍收益另按玩家人数相乘。</x:v>
      </x:c>
      <x:c r="I85" s="82" t="str">
        <x:v>情景收益 = 最大击杀息壤 × 全局击杀率 × 第1日倍率；最大队伍收益另按玩家人数相乘。</x:v>
      </x:c>
      <x:c r="J85" s="82" t="str">
        <x:v>情景收益 = 最大击杀息壤 × 全局击杀率 × 第1日倍率；最大队伍收益另按玩家人数相乘。</x:v>
      </x:c>
      <x:c r="K85" s="82" t="str">
        <x:v>情景收益 = 最大击杀息壤 × 全局击杀率 × 第1日倍率；最大队伍收益另按玩家人数相乘。</x:v>
      </x:c>
      <x:c r="L85" s="82" t="str">
        <x:v>情景收益 = 最大击杀息壤 × 全局击杀率 × 第1日倍率；最大队伍收益另按玩家人数相乘。</x:v>
      </x:c>
      <x:c r="M85" s="82" t="str">
        <x:v>情景收益 = 最大击杀息壤 × 全局击杀率 × 第1日倍率；最大队伍收益另按玩家人数相乘。</x:v>
      </x:c>
      <x:c r="N85" s="82" t="str">
        <x:v>情景收益 = 最大击杀息壤 × 全局击杀率 × 第1日倍率；最大队伍收益另按玩家人数相乘。</x:v>
      </x:c>
      <x:c r="O85" s="82" t="str">
        <x:v>情景收益 = 最大击杀息壤 × 全局击杀率 × 第1日倍率；最大队伍收益另按玩家人数相乘。</x:v>
      </x:c>
      <x:c r="P85" s="82" t="str">
        <x:v>情景收益 = 最大击杀息壤 × 全局击杀率 × 第1日倍率；最大队伍收益另按玩家人数相乘。</x:v>
      </x:c>
      <x:c r="Q85" s="82" t="str">
        <x:v>情景收益 = 最大击杀息壤 × 全局击杀率 × 第1日倍率；最大队伍收益另按玩家人数相乘。</x:v>
      </x:c>
      <x:c r="R85" s="82" t="str">
        <x:v>情景收益 = 最大击杀息壤 × 全局击杀率 × 第1日倍率；最大队伍收益另按玩家人数相乘。</x:v>
      </x:c>
      <x:c r="S85" s="82" t="str">
        <x:v>情景收益 = 最大击杀息壤 × 全局击杀率 × 第1日倍率；最大队伍收益另按玩家人数相乘。</x:v>
      </x:c>
      <x:c r="T85" s="82" t="str">
        <x:v>情景收益 = 最大击杀息壤 × 全局击杀率 × 第1日倍率；最大队伍收益另按玩家人数相乘。</x:v>
      </x:c>
      <x:c r="U85" s="82" t="str">
        <x:v>情景收益 = 最大击杀息壤 × 全局击杀率 × 第1日倍率；最大队伍收益另按玩家人数相乘。</x:v>
      </x:c>
    </x:row>
    <x:row r="86" ht="22" customHeight="1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</x:row>
    <x:row r="87" ht="22" customHeight="1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</x:row>
    <x:row r="88" ht="22" customHeight="1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</x:row>
    <x:row r="89" ht="22" customHeight="1">
      <x:c r="A89" s="78" t="str">
        <x:v>第 4 波｜第 1 日·4/4｜夜晚｜当前正式配置</x:v>
      </x:c>
      <x:c r="B89" s="78" t="str">
        <x:v>第 4 波｜第 1 日·4/4｜夜晚｜当前正式配置</x:v>
      </x:c>
      <x:c r="C89" s="78" t="str">
        <x:v>第 4 波｜第 1 日·4/4｜夜晚｜当前正式配置</x:v>
      </x:c>
      <x:c r="D89" s="78" t="str">
        <x:v>第 4 波｜第 1 日·4/4｜夜晚｜当前正式配置</x:v>
      </x:c>
      <x:c r="E89" s="78" t="str">
        <x:v>第 4 波｜第 1 日·4/4｜夜晚｜当前正式配置</x:v>
      </x:c>
      <x:c r="F89" s="78" t="str">
        <x:v>第 4 波｜第 1 日·4/4｜夜晚｜当前正式配置</x:v>
      </x:c>
      <x:c r="G89" s="78" t="str">
        <x:v>第 4 波｜第 1 日·4/4｜夜晚｜当前正式配置</x:v>
      </x:c>
      <x:c r="H89" s="78" t="str">
        <x:v>第 4 波｜第 1 日·4/4｜夜晚｜当前正式配置</x:v>
      </x:c>
      <x:c r="I89" s="78" t="str">
        <x:v>第 4 波｜第 1 日·4/4｜夜晚｜当前正式配置</x:v>
      </x:c>
      <x:c r="J89" s="78" t="str">
        <x:v>第 4 波｜第 1 日·4/4｜夜晚｜当前正式配置</x:v>
      </x:c>
      <x:c r="K89" s="78" t="str">
        <x:v>第 4 波｜第 1 日·4/4｜夜晚｜当前正式配置</x:v>
      </x:c>
      <x:c r="L89" s="78" t="str">
        <x:v>第 4 波｜第 1 日·4/4｜夜晚｜当前正式配置</x:v>
      </x:c>
      <x:c r="M89" s="78" t="str">
        <x:v>第 4 波｜第 1 日·4/4｜夜晚｜当前正式配置</x:v>
      </x:c>
      <x:c r="N89" s="78" t="str">
        <x:v>第 4 波｜第 1 日·4/4｜夜晚｜当前正式配置</x:v>
      </x:c>
      <x:c r="O89" s="78" t="str">
        <x:v>第 4 波｜第 1 日·4/4｜夜晚｜当前正式配置</x:v>
      </x:c>
      <x:c r="P89" s="78" t="str">
        <x:v>第 4 波｜第 1 日·4/4｜夜晚｜当前正式配置</x:v>
      </x:c>
      <x:c r="Q89" s="78" t="str">
        <x:v>第 4 波｜第 1 日·4/4｜夜晚｜当前正式配置</x:v>
      </x:c>
      <x:c r="R89" s="78" t="str">
        <x:v>第 4 波｜第 1 日·4/4｜夜晚｜当前正式配置</x:v>
      </x:c>
      <x:c r="S89" s="78" t="str">
        <x:v>第 4 波｜第 1 日·4/4｜夜晚｜当前正式配置</x:v>
      </x:c>
      <x:c r="T89" s="78" t="str">
        <x:v>第 4 波｜第 1 日·4/4｜夜晚｜当前正式配置</x:v>
      </x:c>
      <x:c r="U89" s="78" t="str">
        <x:v>第 4 波｜第 1 日·4/4｜夜晚｜当前正式配置</x:v>
      </x:c>
    </x:row>
    <x:row r="90" ht="22" customHeight="1">
      <x:c r="A90" s="48" t="str">
        <x:v>波次名称</x:v>
      </x:c>
      <x:c r="B90" s="41" t="str">
        <x:v>第4波 林地合围</x:v>
      </x:c>
      <x:c r="C90" s="41" t="str">
        <x:v>第4波 林地合围</x:v>
      </x:c>
      <x:c r="D90" s="41" t="str">
        <x:v>第4波 林地合围</x:v>
      </x:c>
      <x:c r="E90" s="41" t="str">
        <x:v>第4波 林地合围</x:v>
      </x:c>
      <x:c r="F90" s="41" t="str">
        <x:v>第4波 林地合围</x:v>
      </x:c>
      <x:c r="G90" s="48" t="str">
        <x:v>出生间隔(s)</x:v>
      </x:c>
      <x:c r="H90" s="41" t="n">
        <x:v>0.5</x:v>
      </x:c>
      <x:c r="I90" s="48" t="str">
        <x:v>每Tick</x:v>
      </x:c>
      <x:c r="J90" s="41" t="n">
        <x:v>1</x:v>
      </x:c>
      <x:c r="K90" s="48" t="str">
        <x:v>存活上限</x:v>
      </x:c>
      <x:c r="L90" s="41" t="n">
        <x:v>40</x:v>
      </x:c>
      <x:c r="M90" s="48" t="str">
        <x:v>校验</x:v>
      </x:c>
      <x:c r="N90" s="19" t="str">
        <x:f>IF(COUNTA(B94:B111)=0,"待设计",IF(COUNTIF(U94:U111,"可导入")=COUNTA(B94:B111),"可导入","需修正"))</x:f>
        <x:v>可导入</x:v>
      </x:c>
      <x:c r="O90" s="19" t="str"/>
      <x:c r="P90" s="48" t="str">
        <x:v>来源</x:v>
      </x:c>
      <x:c r="Q90" s="19" t="str">
        <x:v>当前游戏 formal 资源</x:v>
      </x:c>
      <x:c r="R90" s="19" t="str">
        <x:v>当前游戏 formal 资源</x:v>
      </x:c>
      <x:c r="S90" s="19" t="str">
        <x:v>当前游戏 formal 资源</x:v>
      </x:c>
      <x:c r="T90" s="19" t="str">
        <x:v>当前游戏 formal 资源</x:v>
      </x:c>
      <x:c r="U90" s="19" t="str">
        <x:v>当前游戏 formal 资源</x:v>
      </x:c>
    </x:row>
    <x:row r="91" ht="22" customHeight="1">
      <x:c r="A91" s="48" t="str">
        <x:v>出生点</x:v>
      </x:c>
      <x:c r="B91" s="41" t="str">
        <x:v>开启</x:v>
      </x:c>
      <x:c r="C91" s="41" t="str">
        <x:v>开启</x:v>
      </x:c>
      <x:c r="D91" s="41" t="str">
        <x:v>开启</x:v>
      </x:c>
      <x:c r="E91" s="41" t="str">
        <x:v>开启</x:v>
      </x:c>
      <x:c r="F91" s="41" t="str">
        <x:v>开启</x:v>
      </x:c>
      <x:c r="G91" s="41" t="str">
        <x:v>开启</x:v>
      </x:c>
      <x:c r="H91" s="48" t="str">
        <x:v>战斗音乐</x:v>
      </x:c>
      <x:c r="I91" s="19" t="str">
        <x:v>shenmu_forest_combat</x:v>
      </x:c>
      <x:c r="J91" s="19" t="str">
        <x:v>shenmu_forest_combat</x:v>
      </x:c>
      <x:c r="K91" s="19" t="str">
        <x:v>shenmu_forest_combat</x:v>
      </x:c>
      <x:c r="L91" s="19" t="str">
        <x:v>shenmu_forest_combat</x:v>
      </x:c>
      <x:c r="M91" s="19" t="str">
        <x:v>shenmu_forest_combat</x:v>
      </x:c>
      <x:c r="N91" s="48" t="str">
        <x:v>波后音乐</x:v>
      </x:c>
      <x:c r="O91" s="19" t="str">
        <x:v>shenmu_forest_intermission</x:v>
      </x:c>
      <x:c r="P91" s="19" t="str">
        <x:v>shenmu_forest_intermission</x:v>
      </x:c>
      <x:c r="Q91" s="19" t="str">
        <x:v>shenmu_forest_intermission</x:v>
      </x:c>
      <x:c r="R91" s="19" t="str">
        <x:v>shenmu_forest_intermission</x:v>
      </x:c>
      <x:c r="S91" s="19" t="str">
        <x:v>shenmu_forest_intermission</x:v>
      </x:c>
      <x:c r="T91" s="19" t="str">
        <x:v>shenmu_forest_intermission</x:v>
      </x:c>
      <x:c r="U91" s="19" t="str">
        <x:v>shenmu_forest_intermission</x:v>
      </x:c>
    </x:row>
    <x:row r="92" ht="22" customHeight="1">
      <x:c r="A92" s="83" t="str">
        <x:v>蓝色列可编辑。每种敌人一行；若同波重复选择同一稳定 ID，请合并数量。实际数量按当前模拟玩家数逐条向上取整。</x:v>
      </x:c>
      <x:c r="B92" s="83" t="str">
        <x:v>蓝色列可编辑。每种敌人一行；若同波重复选择同一稳定 ID，请合并数量。实际数量按当前模拟玩家数逐条向上取整。</x:v>
      </x:c>
      <x:c r="C92" s="83" t="str">
        <x:v>蓝色列可编辑。每种敌人一行；若同波重复选择同一稳定 ID，请合并数量。实际数量按当前模拟玩家数逐条向上取整。</x:v>
      </x:c>
      <x:c r="D92" s="83" t="str">
        <x:v>蓝色列可编辑。每种敌人一行；若同波重复选择同一稳定 ID，请合并数量。实际数量按当前模拟玩家数逐条向上取整。</x:v>
      </x:c>
      <x:c r="E92" s="83" t="str">
        <x:v>蓝色列可编辑。每种敌人一行；若同波重复选择同一稳定 ID，请合并数量。实际数量按当前模拟玩家数逐条向上取整。</x:v>
      </x:c>
      <x:c r="F92" s="83" t="str">
        <x:v>蓝色列可编辑。每种敌人一行；若同波重复选择同一稳定 ID，请合并数量。实际数量按当前模拟玩家数逐条向上取整。</x:v>
      </x:c>
      <x:c r="G92" s="83" t="str">
        <x:v>蓝色列可编辑。每种敌人一行；若同波重复选择同一稳定 ID，请合并数量。实际数量按当前模拟玩家数逐条向上取整。</x:v>
      </x:c>
      <x:c r="H92" s="83" t="str">
        <x:v>蓝色列可编辑。每种敌人一行；若同波重复选择同一稳定 ID，请合并数量。实际数量按当前模拟玩家数逐条向上取整。</x:v>
      </x:c>
      <x:c r="I92" s="83" t="str">
        <x:v>蓝色列可编辑。每种敌人一行；若同波重复选择同一稳定 ID，请合并数量。实际数量按当前模拟玩家数逐条向上取整。</x:v>
      </x:c>
      <x:c r="J92" s="83" t="str">
        <x:v>蓝色列可编辑。每种敌人一行；若同波重复选择同一稳定 ID，请合并数量。实际数量按当前模拟玩家数逐条向上取整。</x:v>
      </x:c>
      <x:c r="K92" s="83" t="str">
        <x:v>蓝色列可编辑。每种敌人一行；若同波重复选择同一稳定 ID，请合并数量。实际数量按当前模拟玩家数逐条向上取整。</x:v>
      </x:c>
      <x:c r="L92" s="83" t="str">
        <x:v>蓝色列可编辑。每种敌人一行；若同波重复选择同一稳定 ID，请合并数量。实际数量按当前模拟玩家数逐条向上取整。</x:v>
      </x:c>
      <x:c r="M92" s="83" t="str">
        <x:v>蓝色列可编辑。每种敌人一行；若同波重复选择同一稳定 ID，请合并数量。实际数量按当前模拟玩家数逐条向上取整。</x:v>
      </x:c>
      <x:c r="N92" s="83" t="str">
        <x:v>蓝色列可编辑。每种敌人一行；若同波重复选择同一稳定 ID，请合并数量。实际数量按当前模拟玩家数逐条向上取整。</x:v>
      </x:c>
      <x:c r="O92" s="83" t="str">
        <x:v>蓝色列可编辑。每种敌人一行；若同波重复选择同一稳定 ID，请合并数量。实际数量按当前模拟玩家数逐条向上取整。</x:v>
      </x:c>
      <x:c r="P92" s="83" t="str">
        <x:v>蓝色列可编辑。每种敌人一行；若同波重复选择同一稳定 ID，请合并数量。实际数量按当前模拟玩家数逐条向上取整。</x:v>
      </x:c>
      <x:c r="Q92" s="83" t="str">
        <x:v>蓝色列可编辑。每种敌人一行；若同波重复选择同一稳定 ID，请合并数量。实际数量按当前模拟玩家数逐条向上取整。</x:v>
      </x:c>
      <x:c r="R92" s="83" t="str">
        <x:v>蓝色列可编辑。每种敌人一行；若同波重复选择同一稳定 ID，请合并数量。实际数量按当前模拟玩家数逐条向上取整。</x:v>
      </x:c>
      <x:c r="S92" s="83" t="str">
        <x:v>蓝色列可编辑。每种敌人一行；若同波重复选择同一稳定 ID，请合并数量。实际数量按当前模拟玩家数逐条向上取整。</x:v>
      </x:c>
      <x:c r="T92" s="83" t="str">
        <x:v>蓝色列可编辑。每种敌人一行；若同波重复选择同一稳定 ID，请合并数量。实际数量按当前模拟玩家数逐条向上取整。</x:v>
      </x:c>
      <x:c r="U92" s="83" t="str">
        <x:v>蓝色列可编辑。每种敌人一行；若同波重复选择同一稳定 ID，请合并数量。实际数量按当前模拟玩家数逐条向上取整。</x:v>
      </x:c>
    </x:row>
    <x:row r="93" ht="22" customHeight="1">
      <x:c r="A93" s="48" t="str">
        <x:v>槽位</x:v>
      </x:c>
      <x:c r="B93" s="48" t="str">
        <x:v>敌人（下拉选择）</x:v>
      </x:c>
      <x:c r="C93" s="48" t="str">
        <x:v>基础数量</x:v>
      </x:c>
      <x:c r="D93" s="48" t="str">
        <x:v>本波息壤覆盖</x:v>
      </x:c>
      <x:c r="E93" s="48" t="str">
        <x:v>稳定敌人ID</x:v>
      </x:c>
      <x:c r="F93" s="48" t="str">
        <x:v>实际数量</x:v>
      </x:c>
      <x:c r="G93" s="48" t="str">
        <x:v>生命</x:v>
      </x:c>
      <x:c r="H93" s="48" t="str">
        <x:v>攻击</x:v>
      </x:c>
      <x:c r="I93" s="48" t="str">
        <x:v>物理防御</x:v>
      </x:c>
      <x:c r="J93" s="48" t="str">
        <x:v>法术防御</x:v>
      </x:c>
      <x:c r="K93" s="48" t="str">
        <x:v>移速</x:v>
      </x:c>
      <x:c r="L93" s="48" t="str">
        <x:v>Home伤害</x:v>
      </x:c>
      <x:c r="M93" s="48" t="str">
        <x:v>游戏默认息壤</x:v>
      </x:c>
      <x:c r="N93" s="48" t="str">
        <x:v>有效息壤</x:v>
      </x:c>
      <x:c r="O93" s="48" t="str">
        <x:v>掉落期望/击杀</x:v>
      </x:c>
      <x:c r="P93" s="48" t="str">
        <x:v>总生命</x:v>
      </x:c>
      <x:c r="Q93" s="48" t="str">
        <x:v>全漏Home伤害</x:v>
      </x:c>
      <x:c r="R93" s="48" t="str">
        <x:v>最大息壤/玩家</x:v>
      </x:c>
      <x:c r="S93" s="48" t="str">
        <x:v>最大息壤/队伍</x:v>
      </x:c>
      <x:c r="T93" s="48" t="str">
        <x:v>掉落期望</x:v>
      </x:c>
      <x:c r="U93" s="48" t="str">
        <x:v>校验</x:v>
      </x:c>
    </x:row>
    <x:row r="94" ht="22" customHeight="1">
      <x:c r="A94" s="72" t="n">
        <x:v>1</x:v>
      </x:c>
      <x:c r="B94" s="41" t="str">
        <x:v>yuanshi_insect_basic｜普通原石虫</x:v>
      </x:c>
      <x:c r="C94" s="41" t="n">
        <x:v>24</x:v>
      </x:c>
      <x:c r="D94" s="41"/>
      <x:c r="E94" s="19" t="str">
        <x:f>IFERROR(VLOOKUP(B94,'敌人目录'!$A$6:$S$54,2,FALSE),"")</x:f>
        <x:v>yuanshi_insect_basic</x:v>
      </x:c>
      <x:c r="F94" s="19" t="n">
        <x:f>IF(OR(B94="",C94=""),"",ROUNDUP(C94*(1+('全局设置'!$B$5-1)*'全局设置'!$B$6),0))</x:f>
        <x:v>24</x:v>
      </x:c>
      <x:c r="G94" s="19" t="n">
        <x:f>IFERROR(VLOOKUP(B94,'敌人目录'!$A$6:$S$54,7,FALSE),"")</x:f>
        <x:v>40</x:v>
      </x:c>
      <x:c r="H94" s="19" t="n">
        <x:f>IFERROR(VLOOKUP(B94,'敌人目录'!$A$6:$S$54,8,FALSE),"")</x:f>
        <x:v>10</x:v>
      </x:c>
      <x:c r="I94" s="19" t="n">
        <x:f>IFERROR(VLOOKUP(B94,'敌人目录'!$A$6:$S$54,9,FALSE),"")</x:f>
        <x:v>0</x:v>
      </x:c>
      <x:c r="J94" s="19" t="n">
        <x:f>IFERROR(VLOOKUP(B94,'敌人目录'!$A$6:$S$54,10,FALSE),"")</x:f>
        <x:v>0</x:v>
      </x:c>
      <x:c r="K94" s="19" t="n">
        <x:f>IFERROR(VLOOKUP(B94,'敌人目录'!$A$6:$S$54,11,FALSE),"")</x:f>
        <x:v>20</x:v>
      </x:c>
      <x:c r="L94" s="19" t="n">
        <x:f>IFERROR(VLOOKUP(B94,'敌人目录'!$A$6:$S$54,12,FALSE),"")</x:f>
        <x:v>1</x:v>
      </x:c>
      <x:c r="M94" s="19" t="n">
        <x:f>IFERROR(VLOOKUP(B94,'敌人目录'!$A$6:$S$54,13,FALSE),"")</x:f>
        <x:v>1</x:v>
      </x:c>
      <x:c r="N94" s="19" t="n">
        <x:f>IF(B94="","",IF(ISNUMBER(D94),D94,IFERROR(VLOOKUP(B94,'敌人目录'!$A$6:$S$54,14,FALSE),"")))</x:f>
        <x:v>1</x:v>
      </x:c>
      <x:c r="O94" s="64" t="n">
        <x:f>IFERROR(VLOOKUP(B94,'敌人目录'!$A$6:$S$54,15,FALSE),"")</x:f>
        <x:v>0.05</x:v>
      </x:c>
      <x:c r="P94" s="19" t="n">
        <x:f>IF(F94="","",F94*G94)</x:f>
        <x:v>960</x:v>
      </x:c>
      <x:c r="Q94" s="19" t="n">
        <x:f>IF(F94="","",F94*L94)</x:f>
        <x:v>24</x:v>
      </x:c>
      <x:c r="R94" s="19" t="n">
        <x:f>IF(F94="","",F94*N94)</x:f>
        <x:v>24</x:v>
      </x:c>
      <x:c r="S94" s="19" t="n">
        <x:f>IF(R94="","",R94*'全局设置'!$B$5)</x:f>
        <x:v>24</x:v>
      </x:c>
      <x:c r="T94" s="73" t="n">
        <x:f>IF(F94="","",F94*O94)</x:f>
        <x:v>1.2000000000000002</x:v>
      </x:c>
      <x:c r="U94" s="19" t="str">
        <x:f>IF(AND(B94="",C94=""),"",IF(B94="","缺少敌人",IF(C94="","缺少数量",IF(OR(C94&lt;1,C94&gt;9999,C94&lt;&gt;INT(C94)),"数量无效",IF(COUNTIF($E$94:$E$111,E94)&gt;1,"重复敌人",IF(AND(ISNUMBER(D94),OR(D94&lt;0,D94&gt;999,D94&lt;&gt;INT(D94))),"奖励无效","可导入"))))))</x:f>
        <x:v>可导入</x:v>
      </x:c>
    </x:row>
    <x:row r="95" ht="22" customHeight="1">
      <x:c r="A95" s="72" t="n">
        <x:v>2</x:v>
      </x:c>
      <x:c r="B95" s="41" t="str">
        <x:v>yuanshi_insect_fast｜迅捷原石虫</x:v>
      </x:c>
      <x:c r="C95" s="41" t="n">
        <x:v>16</x:v>
      </x:c>
      <x:c r="D95" s="41"/>
      <x:c r="E95" s="19" t="str">
        <x:f>IFERROR(VLOOKUP(B95,'敌人目录'!$A$6:$S$54,2,FALSE),"")</x:f>
        <x:v>yuanshi_insect_fast</x:v>
      </x:c>
      <x:c r="F95" s="19" t="n">
        <x:f>IF(OR(B95="",C95=""),"",ROUNDUP(C95*(1+('全局设置'!$B$5-1)*'全局设置'!$B$6),0))</x:f>
        <x:v>16</x:v>
      </x:c>
      <x:c r="G95" s="19" t="n">
        <x:f>IFERROR(VLOOKUP(B95,'敌人目录'!$A$6:$S$54,7,FALSE),"")</x:f>
        <x:v>35</x:v>
      </x:c>
      <x:c r="H95" s="19" t="n">
        <x:f>IFERROR(VLOOKUP(B95,'敌人目录'!$A$6:$S$54,8,FALSE),"")</x:f>
        <x:v>10</x:v>
      </x:c>
      <x:c r="I95" s="19" t="n">
        <x:f>IFERROR(VLOOKUP(B95,'敌人目录'!$A$6:$S$54,9,FALSE),"")</x:f>
        <x:v>0</x:v>
      </x:c>
      <x:c r="J95" s="19" t="n">
        <x:f>IFERROR(VLOOKUP(B95,'敌人目录'!$A$6:$S$54,10,FALSE),"")</x:f>
        <x:v>0</x:v>
      </x:c>
      <x:c r="K95" s="19" t="n">
        <x:f>IFERROR(VLOOKUP(B95,'敌人目录'!$A$6:$S$54,11,FALSE),"")</x:f>
        <x:v>40</x:v>
      </x:c>
      <x:c r="L95" s="19" t="n">
        <x:f>IFERROR(VLOOKUP(B95,'敌人目录'!$A$6:$S$54,12,FALSE),"")</x:f>
        <x:v>1</x:v>
      </x:c>
      <x:c r="M95" s="19" t="n">
        <x:f>IFERROR(VLOOKUP(B95,'敌人目录'!$A$6:$S$54,13,FALSE),"")</x:f>
        <x:v>1</x:v>
      </x:c>
      <x:c r="N95" s="19" t="n">
        <x:f>IF(B95="","",IF(ISNUMBER(D95),D95,IFERROR(VLOOKUP(B95,'敌人目录'!$A$6:$S$54,14,FALSE),"")))</x:f>
        <x:v>1</x:v>
      </x:c>
      <x:c r="O95" s="64" t="n">
        <x:f>IFERROR(VLOOKUP(B95,'敌人目录'!$A$6:$S$54,15,FALSE),"")</x:f>
        <x:v>0.05</x:v>
      </x:c>
      <x:c r="P95" s="19" t="n">
        <x:f>IF(F95="","",F95*G95)</x:f>
        <x:v>560</x:v>
      </x:c>
      <x:c r="Q95" s="19" t="n">
        <x:f>IF(F95="","",F95*L95)</x:f>
        <x:v>16</x:v>
      </x:c>
      <x:c r="R95" s="19" t="n">
        <x:f>IF(F95="","",F95*N95)</x:f>
        <x:v>16</x:v>
      </x:c>
      <x:c r="S95" s="19" t="n">
        <x:f>IF(R95="","",R95*'全局设置'!$B$5)</x:f>
        <x:v>16</x:v>
      </x:c>
      <x:c r="T95" s="73" t="n">
        <x:f>IF(F95="","",F95*O95)</x:f>
        <x:v>0.8</x:v>
      </x:c>
      <x:c r="U95" s="19" t="str">
        <x:f>IF(AND(B95="",C95=""),"",IF(B95="","缺少敌人",IF(C95="","缺少数量",IF(OR(C95&lt;1,C95&gt;9999,C95&lt;&gt;INT(C95)),"数量无效",IF(COUNTIF($E$94:$E$111,E95)&gt;1,"重复敌人",IF(AND(ISNUMBER(D95),OR(D95&lt;0,D95&gt;999,D95&lt;&gt;INT(D95))),"奖励无效","可导入"))))))</x:f>
        <x:v>可导入</x:v>
      </x:c>
    </x:row>
    <x:row r="96" ht="22" customHeight="1">
      <x:c r="A96" s="72" t="n">
        <x:v>3</x:v>
      </x:c>
      <x:c r="B96" s="41" t="str">
        <x:v>yuanshi_insect_shell｜硬壳原石虫</x:v>
      </x:c>
      <x:c r="C96" s="41" t="n">
        <x:v>12</x:v>
      </x:c>
      <x:c r="D96" s="41"/>
      <x:c r="E96" s="19" t="str">
        <x:f>IFERROR(VLOOKUP(B96,'敌人目录'!$A$6:$S$54,2,FALSE),"")</x:f>
        <x:v>yuanshi_insect_shell</x:v>
      </x:c>
      <x:c r="F96" s="19" t="n">
        <x:f>IF(OR(B96="",C96=""),"",ROUNDUP(C96*(1+('全局设置'!$B$5-1)*'全局设置'!$B$6),0))</x:f>
        <x:v>12</x:v>
      </x:c>
      <x:c r="G96" s="19" t="n">
        <x:f>IFERROR(VLOOKUP(B96,'敌人目录'!$A$6:$S$54,7,FALSE),"")</x:f>
        <x:v>140</x:v>
      </x:c>
      <x:c r="H96" s="19" t="n">
        <x:f>IFERROR(VLOOKUP(B96,'敌人目录'!$A$6:$S$54,8,FALSE),"")</x:f>
        <x:v>14</x:v>
      </x:c>
      <x:c r="I96" s="19" t="n">
        <x:f>IFERROR(VLOOKUP(B96,'敌人目录'!$A$6:$S$54,9,FALSE),"")</x:f>
        <x:v>3</x:v>
      </x:c>
      <x:c r="J96" s="19" t="n">
        <x:f>IFERROR(VLOOKUP(B96,'敌人目录'!$A$6:$S$54,10,FALSE),"")</x:f>
        <x:v>0</x:v>
      </x:c>
      <x:c r="K96" s="19" t="n">
        <x:f>IFERROR(VLOOKUP(B96,'敌人目录'!$A$6:$S$54,11,FALSE),"")</x:f>
        <x:v>20</x:v>
      </x:c>
      <x:c r="L96" s="19" t="n">
        <x:f>IFERROR(VLOOKUP(B96,'敌人目录'!$A$6:$S$54,12,FALSE),"")</x:f>
        <x:v>2</x:v>
      </x:c>
      <x:c r="M96" s="19" t="n">
        <x:f>IFERROR(VLOOKUP(B96,'敌人目录'!$A$6:$S$54,13,FALSE),"")</x:f>
        <x:v>2</x:v>
      </x:c>
      <x:c r="N96" s="19" t="n">
        <x:f>IF(B96="","",IF(ISNUMBER(D96),D96,IFERROR(VLOOKUP(B96,'敌人目录'!$A$6:$S$54,14,FALSE),"")))</x:f>
        <x:v>2</x:v>
      </x:c>
      <x:c r="O96" s="64" t="n">
        <x:f>IFERROR(VLOOKUP(B96,'敌人目录'!$A$6:$S$54,15,FALSE),"")</x:f>
        <x:v>0.05</x:v>
      </x:c>
      <x:c r="P96" s="19" t="n">
        <x:f>IF(F96="","",F96*G96)</x:f>
        <x:v>1680</x:v>
      </x:c>
      <x:c r="Q96" s="19" t="n">
        <x:f>IF(F96="","",F96*L96)</x:f>
        <x:v>24</x:v>
      </x:c>
      <x:c r="R96" s="19" t="n">
        <x:f>IF(F96="","",F96*N96)</x:f>
        <x:v>24</x:v>
      </x:c>
      <x:c r="S96" s="19" t="n">
        <x:f>IF(R96="","",R96*'全局设置'!$B$5)</x:f>
        <x:v>24</x:v>
      </x:c>
      <x:c r="T96" s="73" t="n">
        <x:f>IF(F96="","",F96*O96)</x:f>
        <x:v>0.6000000000000001</x:v>
      </x:c>
      <x:c r="U96" s="19" t="str">
        <x:f>IF(AND(B96="",C96=""),"",IF(B96="","缺少敌人",IF(C96="","缺少数量",IF(OR(C96&lt;1,C96&gt;9999,C96&lt;&gt;INT(C96)),"数量无效",IF(COUNTIF($E$94:$E$111,E96)&gt;1,"重复敌人",IF(AND(ISNUMBER(D96),OR(D96&lt;0,D96&gt;999,D96&lt;&gt;INT(D96))),"奖励无效","可导入"))))))</x:f>
        <x:v>可导入</x:v>
      </x:c>
    </x:row>
    <x:row r="97" ht="22" customHeight="1">
      <x:c r="A97" s="72" t="n">
        <x:v>4</x:v>
      </x:c>
      <x:c r="B97" s="41" t="str">
        <x:v>yuanshi_insect_bomber｜自爆原石虫</x:v>
      </x:c>
      <x:c r="C97" s="41" t="n">
        <x:v>8</x:v>
      </x:c>
      <x:c r="D97" s="41"/>
      <x:c r="E97" s="19" t="str">
        <x:f>IFERROR(VLOOKUP(B97,'敌人目录'!$A$6:$S$54,2,FALSE),"")</x:f>
        <x:v>yuanshi_insect_bomber</x:v>
      </x:c>
      <x:c r="F97" s="19" t="n">
        <x:f>IF(OR(B97="",C97=""),"",ROUNDUP(C97*(1+('全局设置'!$B$5-1)*'全局设置'!$B$6),0))</x:f>
        <x:v>8</x:v>
      </x:c>
      <x:c r="G97" s="19" t="n">
        <x:f>IFERROR(VLOOKUP(B97,'敌人目录'!$A$6:$S$54,7,FALSE),"")</x:f>
        <x:v>30</x:v>
      </x:c>
      <x:c r="H97" s="19" t="n">
        <x:f>IFERROR(VLOOKUP(B97,'敌人目录'!$A$6:$S$54,8,FALSE),"")</x:f>
        <x:v>10</x:v>
      </x:c>
      <x:c r="I97" s="19" t="n">
        <x:f>IFERROR(VLOOKUP(B97,'敌人目录'!$A$6:$S$54,9,FALSE),"")</x:f>
        <x:v>0</x:v>
      </x:c>
      <x:c r="J97" s="19" t="n">
        <x:f>IFERROR(VLOOKUP(B97,'敌人目录'!$A$6:$S$54,10,FALSE),"")</x:f>
        <x:v>0</x:v>
      </x:c>
      <x:c r="K97" s="19" t="n">
        <x:f>IFERROR(VLOOKUP(B97,'敌人目录'!$A$6:$S$54,11,FALSE),"")</x:f>
        <x:v>18</x:v>
      </x:c>
      <x:c r="L97" s="19" t="n">
        <x:f>IFERROR(VLOOKUP(B97,'敌人目录'!$A$6:$S$54,12,FALSE),"")</x:f>
        <x:v>1</x:v>
      </x:c>
      <x:c r="M97" s="19" t="n">
        <x:f>IFERROR(VLOOKUP(B97,'敌人目录'!$A$6:$S$54,13,FALSE),"")</x:f>
        <x:v>1</x:v>
      </x:c>
      <x:c r="N97" s="19" t="n">
        <x:f>IF(B97="","",IF(ISNUMBER(D97),D97,IFERROR(VLOOKUP(B97,'敌人目录'!$A$6:$S$54,14,FALSE),"")))</x:f>
        <x:v>1</x:v>
      </x:c>
      <x:c r="O97" s="64" t="n">
        <x:f>IFERROR(VLOOKUP(B97,'敌人目录'!$A$6:$S$54,15,FALSE),"")</x:f>
        <x:v>0.05</x:v>
      </x:c>
      <x:c r="P97" s="19" t="n">
        <x:f>IF(F97="","",F97*G97)</x:f>
        <x:v>240</x:v>
      </x:c>
      <x:c r="Q97" s="19" t="n">
        <x:f>IF(F97="","",F97*L97)</x:f>
        <x:v>8</x:v>
      </x:c>
      <x:c r="R97" s="19" t="n">
        <x:f>IF(F97="","",F97*N97)</x:f>
        <x:v>8</x:v>
      </x:c>
      <x:c r="S97" s="19" t="n">
        <x:f>IF(R97="","",R97*'全局设置'!$B$5)</x:f>
        <x:v>8</x:v>
      </x:c>
      <x:c r="T97" s="73" t="n">
        <x:f>IF(F97="","",F97*O97)</x:f>
        <x:v>0.4</x:v>
      </x:c>
      <x:c r="U97" s="19" t="str">
        <x:f>IF(AND(B97="",C97=""),"",IF(B97="","缺少敌人",IF(C97="","缺少数量",IF(OR(C97&lt;1,C97&gt;9999,C97&lt;&gt;INT(C97)),"数量无效",IF(COUNTIF($E$94:$E$111,E97)&gt;1,"重复敌人",IF(AND(ISNUMBER(D97),OR(D97&lt;0,D97&gt;999,D97&lt;&gt;INT(D97))),"奖励无效","可导入"))))))</x:f>
        <x:v>可导入</x:v>
      </x:c>
    </x:row>
    <x:row r="98" ht="22" customHeight="1">
      <x:c r="A98" s="72" t="n">
        <x:v>5</x:v>
      </x:c>
      <x:c r="B98" s="41" t="str">
        <x:v>yuanshi_insect_fire_ranged｜火焰弹原石虫</x:v>
      </x:c>
      <x:c r="C98" s="41" t="n">
        <x:v>4</x:v>
      </x:c>
      <x:c r="D98" s="41"/>
      <x:c r="E98" s="19" t="str">
        <x:f>IFERROR(VLOOKUP(B98,'敌人目录'!$A$6:$S$54,2,FALSE),"")</x:f>
        <x:v>yuanshi_insect_fire_ranged</x:v>
      </x:c>
      <x:c r="F98" s="19" t="n">
        <x:f>IF(OR(B98="",C98=""),"",ROUNDUP(C98*(1+('全局设置'!$B$5-1)*'全局设置'!$B$6),0))</x:f>
        <x:v>4</x:v>
      </x:c>
      <x:c r="G98" s="19" t="n">
        <x:f>IFERROR(VLOOKUP(B98,'敌人目录'!$A$6:$S$54,7,FALSE),"")</x:f>
        <x:v>40</x:v>
      </x:c>
      <x:c r="H98" s="19" t="n">
        <x:f>IFERROR(VLOOKUP(B98,'敌人目录'!$A$6:$S$54,8,FALSE),"")</x:f>
        <x:v>25</x:v>
      </x:c>
      <x:c r="I98" s="19" t="n">
        <x:f>IFERROR(VLOOKUP(B98,'敌人目录'!$A$6:$S$54,9,FALSE),"")</x:f>
        <x:v>0</x:v>
      </x:c>
      <x:c r="J98" s="19" t="n">
        <x:f>IFERROR(VLOOKUP(B98,'敌人目录'!$A$6:$S$54,10,FALSE),"")</x:f>
        <x:v>0</x:v>
      </x:c>
      <x:c r="K98" s="19" t="n">
        <x:f>IFERROR(VLOOKUP(B98,'敌人目录'!$A$6:$S$54,11,FALSE),"")</x:f>
        <x:v>22</x:v>
      </x:c>
      <x:c r="L98" s="19" t="n">
        <x:f>IFERROR(VLOOKUP(B98,'敌人目录'!$A$6:$S$54,12,FALSE),"")</x:f>
        <x:v>2</x:v>
      </x:c>
      <x:c r="M98" s="19" t="n">
        <x:f>IFERROR(VLOOKUP(B98,'敌人目录'!$A$6:$S$54,13,FALSE),"")</x:f>
        <x:v>1</x:v>
      </x:c>
      <x:c r="N98" s="19" t="n">
        <x:f>IF(B98="","",IF(ISNUMBER(D98),D98,IFERROR(VLOOKUP(B98,'敌人目录'!$A$6:$S$54,14,FALSE),"")))</x:f>
        <x:v>1</x:v>
      </x:c>
      <x:c r="O98" s="64" t="n">
        <x:f>IFERROR(VLOOKUP(B98,'敌人目录'!$A$6:$S$54,15,FALSE),"")</x:f>
        <x:v>0.05</x:v>
      </x:c>
      <x:c r="P98" s="19" t="n">
        <x:f>IF(F98="","",F98*G98)</x:f>
        <x:v>160</x:v>
      </x:c>
      <x:c r="Q98" s="19" t="n">
        <x:f>IF(F98="","",F98*L98)</x:f>
        <x:v>8</x:v>
      </x:c>
      <x:c r="R98" s="19" t="n">
        <x:f>IF(F98="","",F98*N98)</x:f>
        <x:v>4</x:v>
      </x:c>
      <x:c r="S98" s="19" t="n">
        <x:f>IF(R98="","",R98*'全局设置'!$B$5)</x:f>
        <x:v>4</x:v>
      </x:c>
      <x:c r="T98" s="73" t="n">
        <x:f>IF(F98="","",F98*O98)</x:f>
        <x:v>0.2</x:v>
      </x:c>
      <x:c r="U98" s="19" t="str">
        <x:f>IF(AND(B98="",C98=""),"",IF(B98="","缺少敌人",IF(C98="","缺少数量",IF(OR(C98&lt;1,C98&gt;9999,C98&lt;&gt;INT(C98)),"数量无效",IF(COUNTIF($E$94:$E$111,E98)&gt;1,"重复敌人",IF(AND(ISNUMBER(D98),OR(D98&lt;0,D98&gt;999,D98&lt;&gt;INT(D98))),"奖励无效","可导入"))))))</x:f>
        <x:v>可导入</x:v>
      </x:c>
    </x:row>
    <x:row r="99" ht="22" customHeight="1">
      <x:c r="A99" s="72" t="n">
        <x:v>6</x:v>
      </x:c>
      <x:c r="B99" s="41"/>
      <x:c r="C99" s="41"/>
      <x:c r="D99" s="41"/>
      <x:c r="E99" s="19" t="str">
        <x:f>IFERROR(VLOOKUP(B99,'敌人目录'!$A$6:$S$54,2,FALSE),"")</x:f>
      </x:c>
      <x:c r="F99" s="19" t="str">
        <x:f>IF(OR(B99="",C99=""),"",ROUNDUP(C99*(1+('全局设置'!$B$5-1)*'全局设置'!$B$6),0))</x:f>
      </x:c>
      <x:c r="G99" s="19" t="str">
        <x:f>IFERROR(VLOOKUP(B99,'敌人目录'!$A$6:$S$54,7,FALSE),"")</x:f>
      </x:c>
      <x:c r="H99" s="19" t="str">
        <x:f>IFERROR(VLOOKUP(B99,'敌人目录'!$A$6:$S$54,8,FALSE),"")</x:f>
      </x:c>
      <x:c r="I99" s="19" t="str">
        <x:f>IFERROR(VLOOKUP(B99,'敌人目录'!$A$6:$S$54,9,FALSE),"")</x:f>
      </x:c>
      <x:c r="J99" s="19" t="str">
        <x:f>IFERROR(VLOOKUP(B99,'敌人目录'!$A$6:$S$54,10,FALSE),"")</x:f>
      </x:c>
      <x:c r="K99" s="19" t="str">
        <x:f>IFERROR(VLOOKUP(B99,'敌人目录'!$A$6:$S$54,11,FALSE),"")</x:f>
      </x:c>
      <x:c r="L99" s="19" t="str">
        <x:f>IFERROR(VLOOKUP(B99,'敌人目录'!$A$6:$S$54,12,FALSE),"")</x:f>
      </x:c>
      <x:c r="M99" s="19" t="str">
        <x:f>IFERROR(VLOOKUP(B99,'敌人目录'!$A$6:$S$54,13,FALSE),"")</x:f>
      </x:c>
      <x:c r="N99" s="19" t="str">
        <x:f>IF(B99="","",IF(ISNUMBER(D99),D99,IFERROR(VLOOKUP(B99,'敌人目录'!$A$6:$S$54,14,FALSE),"")))</x:f>
      </x:c>
      <x:c r="O99" s="64" t="str">
        <x:f>IFERROR(VLOOKUP(B99,'敌人目录'!$A$6:$S$54,15,FALSE),"")</x:f>
      </x:c>
      <x:c r="P99" s="19" t="str">
        <x:f>IF(F99="","",F99*G99)</x:f>
      </x:c>
      <x:c r="Q99" s="19" t="str">
        <x:f>IF(F99="","",F99*L99)</x:f>
      </x:c>
      <x:c r="R99" s="19" t="str">
        <x:f>IF(F99="","",F99*N99)</x:f>
      </x:c>
      <x:c r="S99" s="19" t="str">
        <x:f>IF(R99="","",R99*'全局设置'!$B$5)</x:f>
      </x:c>
      <x:c r="T99" s="73" t="str">
        <x:f>IF(F99="","",F99*O99)</x:f>
      </x:c>
      <x:c r="U99" s="19" t="str">
        <x:f>IF(AND(B99="",C99=""),"",IF(B99="","缺少敌人",IF(C99="","缺少数量",IF(OR(C99&lt;1,C99&gt;9999,C99&lt;&gt;INT(C99)),"数量无效",IF(COUNTIF($E$94:$E$111,E99)&gt;1,"重复敌人",IF(AND(ISNUMBER(D99),OR(D99&lt;0,D99&gt;999,D99&lt;&gt;INT(D99))),"奖励无效","可导入"))))))</x:f>
      </x:c>
    </x:row>
    <x:row r="100" ht="22" customHeight="1">
      <x:c r="A100" s="72" t="n">
        <x:v>7</x:v>
      </x:c>
      <x:c r="B100" s="41"/>
      <x:c r="C100" s="41"/>
      <x:c r="D100" s="41"/>
      <x:c r="E100" s="19" t="str">
        <x:f>IFERROR(VLOOKUP(B100,'敌人目录'!$A$6:$S$54,2,FALSE),"")</x:f>
      </x:c>
      <x:c r="F100" s="19" t="str">
        <x:f>IF(OR(B100="",C100=""),"",ROUNDUP(C100*(1+('全局设置'!$B$5-1)*'全局设置'!$B$6),0))</x:f>
      </x:c>
      <x:c r="G100" s="19" t="str">
        <x:f>IFERROR(VLOOKUP(B100,'敌人目录'!$A$6:$S$54,7,FALSE),"")</x:f>
      </x:c>
      <x:c r="H100" s="19" t="str">
        <x:f>IFERROR(VLOOKUP(B100,'敌人目录'!$A$6:$S$54,8,FALSE),"")</x:f>
      </x:c>
      <x:c r="I100" s="19" t="str">
        <x:f>IFERROR(VLOOKUP(B100,'敌人目录'!$A$6:$S$54,9,FALSE),"")</x:f>
      </x:c>
      <x:c r="J100" s="19" t="str">
        <x:f>IFERROR(VLOOKUP(B100,'敌人目录'!$A$6:$S$54,10,FALSE),"")</x:f>
      </x:c>
      <x:c r="K100" s="19" t="str">
        <x:f>IFERROR(VLOOKUP(B100,'敌人目录'!$A$6:$S$54,11,FALSE),"")</x:f>
      </x:c>
      <x:c r="L100" s="19" t="str">
        <x:f>IFERROR(VLOOKUP(B100,'敌人目录'!$A$6:$S$54,12,FALSE),"")</x:f>
      </x:c>
      <x:c r="M100" s="19" t="str">
        <x:f>IFERROR(VLOOKUP(B100,'敌人目录'!$A$6:$S$54,13,FALSE),"")</x:f>
      </x:c>
      <x:c r="N100" s="19" t="str">
        <x:f>IF(B100="","",IF(ISNUMBER(D100),D100,IFERROR(VLOOKUP(B100,'敌人目录'!$A$6:$S$54,14,FALSE),"")))</x:f>
      </x:c>
      <x:c r="O100" s="64" t="str">
        <x:f>IFERROR(VLOOKUP(B100,'敌人目录'!$A$6:$S$54,15,FALSE),"")</x:f>
      </x:c>
      <x:c r="P100" s="19" t="str">
        <x:f>IF(F100="","",F100*G100)</x:f>
      </x:c>
      <x:c r="Q100" s="19" t="str">
        <x:f>IF(F100="","",F100*L100)</x:f>
      </x:c>
      <x:c r="R100" s="19" t="str">
        <x:f>IF(F100="","",F100*N100)</x:f>
      </x:c>
      <x:c r="S100" s="19" t="str">
        <x:f>IF(R100="","",R100*'全局设置'!$B$5)</x:f>
      </x:c>
      <x:c r="T100" s="73" t="str">
        <x:f>IF(F100="","",F100*O100)</x:f>
      </x:c>
      <x:c r="U100" s="19" t="str">
        <x:f>IF(AND(B100="",C100=""),"",IF(B100="","缺少敌人",IF(C100="","缺少数量",IF(OR(C100&lt;1,C100&gt;9999,C100&lt;&gt;INT(C100)),"数量无效",IF(COUNTIF($E$94:$E$111,E100)&gt;1,"重复敌人",IF(AND(ISNUMBER(D100),OR(D100&lt;0,D100&gt;999,D100&lt;&gt;INT(D100))),"奖励无效","可导入"))))))</x:f>
      </x:c>
    </x:row>
    <x:row r="101" ht="22" customHeight="1">
      <x:c r="A101" s="72" t="n">
        <x:v>8</x:v>
      </x:c>
      <x:c r="B101" s="41"/>
      <x:c r="C101" s="41"/>
      <x:c r="D101" s="41"/>
      <x:c r="E101" s="19" t="str">
        <x:f>IFERROR(VLOOKUP(B101,'敌人目录'!$A$6:$S$54,2,FALSE),"")</x:f>
      </x:c>
      <x:c r="F101" s="19" t="str">
        <x:f>IF(OR(B101="",C101=""),"",ROUNDUP(C101*(1+('全局设置'!$B$5-1)*'全局设置'!$B$6),0))</x:f>
      </x:c>
      <x:c r="G101" s="19" t="str">
        <x:f>IFERROR(VLOOKUP(B101,'敌人目录'!$A$6:$S$54,7,FALSE),"")</x:f>
      </x:c>
      <x:c r="H101" s="19" t="str">
        <x:f>IFERROR(VLOOKUP(B101,'敌人目录'!$A$6:$S$54,8,FALSE),"")</x:f>
      </x:c>
      <x:c r="I101" s="19" t="str">
        <x:f>IFERROR(VLOOKUP(B101,'敌人目录'!$A$6:$S$54,9,FALSE),"")</x:f>
      </x:c>
      <x:c r="J101" s="19" t="str">
        <x:f>IFERROR(VLOOKUP(B101,'敌人目录'!$A$6:$S$54,10,FALSE),"")</x:f>
      </x:c>
      <x:c r="K101" s="19" t="str">
        <x:f>IFERROR(VLOOKUP(B101,'敌人目录'!$A$6:$S$54,11,FALSE),"")</x:f>
      </x:c>
      <x:c r="L101" s="19" t="str">
        <x:f>IFERROR(VLOOKUP(B101,'敌人目录'!$A$6:$S$54,12,FALSE),"")</x:f>
      </x:c>
      <x:c r="M101" s="19" t="str">
        <x:f>IFERROR(VLOOKUP(B101,'敌人目录'!$A$6:$S$54,13,FALSE),"")</x:f>
      </x:c>
      <x:c r="N101" s="19" t="str">
        <x:f>IF(B101="","",IF(ISNUMBER(D101),D101,IFERROR(VLOOKUP(B101,'敌人目录'!$A$6:$S$54,14,FALSE),"")))</x:f>
      </x:c>
      <x:c r="O101" s="64" t="str">
        <x:f>IFERROR(VLOOKUP(B101,'敌人目录'!$A$6:$S$54,15,FALSE),"")</x:f>
      </x:c>
      <x:c r="P101" s="19" t="str">
        <x:f>IF(F101="","",F101*G101)</x:f>
      </x:c>
      <x:c r="Q101" s="19" t="str">
        <x:f>IF(F101="","",F101*L101)</x:f>
      </x:c>
      <x:c r="R101" s="19" t="str">
        <x:f>IF(F101="","",F101*N101)</x:f>
      </x:c>
      <x:c r="S101" s="19" t="str">
        <x:f>IF(R101="","",R101*'全局设置'!$B$5)</x:f>
      </x:c>
      <x:c r="T101" s="73" t="str">
        <x:f>IF(F101="","",F101*O101)</x:f>
      </x:c>
      <x:c r="U101" s="19" t="str">
        <x:f>IF(AND(B101="",C101=""),"",IF(B101="","缺少敌人",IF(C101="","缺少数量",IF(OR(C101&lt;1,C101&gt;9999,C101&lt;&gt;INT(C101)),"数量无效",IF(COUNTIF($E$94:$E$111,E101)&gt;1,"重复敌人",IF(AND(ISNUMBER(D101),OR(D101&lt;0,D101&gt;999,D101&lt;&gt;INT(D101))),"奖励无效","可导入"))))))</x:f>
      </x:c>
    </x:row>
    <x:row r="102" ht="22" customHeight="1">
      <x:c r="A102" s="72" t="n">
        <x:v>9</x:v>
      </x:c>
      <x:c r="B102" s="41"/>
      <x:c r="C102" s="41"/>
      <x:c r="D102" s="41"/>
      <x:c r="E102" s="19" t="str">
        <x:f>IFERROR(VLOOKUP(B102,'敌人目录'!$A$6:$S$54,2,FALSE),"")</x:f>
      </x:c>
      <x:c r="F102" s="19" t="str">
        <x:f>IF(OR(B102="",C102=""),"",ROUNDUP(C102*(1+('全局设置'!$B$5-1)*'全局设置'!$B$6),0))</x:f>
      </x:c>
      <x:c r="G102" s="19" t="str">
        <x:f>IFERROR(VLOOKUP(B102,'敌人目录'!$A$6:$S$54,7,FALSE),"")</x:f>
      </x:c>
      <x:c r="H102" s="19" t="str">
        <x:f>IFERROR(VLOOKUP(B102,'敌人目录'!$A$6:$S$54,8,FALSE),"")</x:f>
      </x:c>
      <x:c r="I102" s="19" t="str">
        <x:f>IFERROR(VLOOKUP(B102,'敌人目录'!$A$6:$S$54,9,FALSE),"")</x:f>
      </x:c>
      <x:c r="J102" s="19" t="str">
        <x:f>IFERROR(VLOOKUP(B102,'敌人目录'!$A$6:$S$54,10,FALSE),"")</x:f>
      </x:c>
      <x:c r="K102" s="19" t="str">
        <x:f>IFERROR(VLOOKUP(B102,'敌人目录'!$A$6:$S$54,11,FALSE),"")</x:f>
      </x:c>
      <x:c r="L102" s="19" t="str">
        <x:f>IFERROR(VLOOKUP(B102,'敌人目录'!$A$6:$S$54,12,FALSE),"")</x:f>
      </x:c>
      <x:c r="M102" s="19" t="str">
        <x:f>IFERROR(VLOOKUP(B102,'敌人目录'!$A$6:$S$54,13,FALSE),"")</x:f>
      </x:c>
      <x:c r="N102" s="19" t="str">
        <x:f>IF(B102="","",IF(ISNUMBER(D102),D102,IFERROR(VLOOKUP(B102,'敌人目录'!$A$6:$S$54,14,FALSE),"")))</x:f>
      </x:c>
      <x:c r="O102" s="64" t="str">
        <x:f>IFERROR(VLOOKUP(B102,'敌人目录'!$A$6:$S$54,15,FALSE),"")</x:f>
      </x:c>
      <x:c r="P102" s="19" t="str">
        <x:f>IF(F102="","",F102*G102)</x:f>
      </x:c>
      <x:c r="Q102" s="19" t="str">
        <x:f>IF(F102="","",F102*L102)</x:f>
      </x:c>
      <x:c r="R102" s="19" t="str">
        <x:f>IF(F102="","",F102*N102)</x:f>
      </x:c>
      <x:c r="S102" s="19" t="str">
        <x:f>IF(R102="","",R102*'全局设置'!$B$5)</x:f>
      </x:c>
      <x:c r="T102" s="73" t="str">
        <x:f>IF(F102="","",F102*O102)</x:f>
      </x:c>
      <x:c r="U102" s="19" t="str">
        <x:f>IF(AND(B102="",C102=""),"",IF(B102="","缺少敌人",IF(C102="","缺少数量",IF(OR(C102&lt;1,C102&gt;9999,C102&lt;&gt;INT(C102)),"数量无效",IF(COUNTIF($E$94:$E$111,E102)&gt;1,"重复敌人",IF(AND(ISNUMBER(D102),OR(D102&lt;0,D102&gt;999,D102&lt;&gt;INT(D102))),"奖励无效","可导入"))))))</x:f>
      </x:c>
    </x:row>
    <x:row r="103" ht="22" customHeight="1">
      <x:c r="A103" s="72" t="n">
        <x:v>10</x:v>
      </x:c>
      <x:c r="B103" s="41"/>
      <x:c r="C103" s="41"/>
      <x:c r="D103" s="41"/>
      <x:c r="E103" s="19" t="str">
        <x:f>IFERROR(VLOOKUP(B103,'敌人目录'!$A$6:$S$54,2,FALSE),"")</x:f>
      </x:c>
      <x:c r="F103" s="19" t="str">
        <x:f>IF(OR(B103="",C103=""),"",ROUNDUP(C103*(1+('全局设置'!$B$5-1)*'全局设置'!$B$6),0))</x:f>
      </x:c>
      <x:c r="G103" s="19" t="str">
        <x:f>IFERROR(VLOOKUP(B103,'敌人目录'!$A$6:$S$54,7,FALSE),"")</x:f>
      </x:c>
      <x:c r="H103" s="19" t="str">
        <x:f>IFERROR(VLOOKUP(B103,'敌人目录'!$A$6:$S$54,8,FALSE),"")</x:f>
      </x:c>
      <x:c r="I103" s="19" t="str">
        <x:f>IFERROR(VLOOKUP(B103,'敌人目录'!$A$6:$S$54,9,FALSE),"")</x:f>
      </x:c>
      <x:c r="J103" s="19" t="str">
        <x:f>IFERROR(VLOOKUP(B103,'敌人目录'!$A$6:$S$54,10,FALSE),"")</x:f>
      </x:c>
      <x:c r="K103" s="19" t="str">
        <x:f>IFERROR(VLOOKUP(B103,'敌人目录'!$A$6:$S$54,11,FALSE),"")</x:f>
      </x:c>
      <x:c r="L103" s="19" t="str">
        <x:f>IFERROR(VLOOKUP(B103,'敌人目录'!$A$6:$S$54,12,FALSE),"")</x:f>
      </x:c>
      <x:c r="M103" s="19" t="str">
        <x:f>IFERROR(VLOOKUP(B103,'敌人目录'!$A$6:$S$54,13,FALSE),"")</x:f>
      </x:c>
      <x:c r="N103" s="19" t="str">
        <x:f>IF(B103="","",IF(ISNUMBER(D103),D103,IFERROR(VLOOKUP(B103,'敌人目录'!$A$6:$S$54,14,FALSE),"")))</x:f>
      </x:c>
      <x:c r="O103" s="64" t="str">
        <x:f>IFERROR(VLOOKUP(B103,'敌人目录'!$A$6:$S$54,15,FALSE),"")</x:f>
      </x:c>
      <x:c r="P103" s="19" t="str">
        <x:f>IF(F103="","",F103*G103)</x:f>
      </x:c>
      <x:c r="Q103" s="19" t="str">
        <x:f>IF(F103="","",F103*L103)</x:f>
      </x:c>
      <x:c r="R103" s="19" t="str">
        <x:f>IF(F103="","",F103*N103)</x:f>
      </x:c>
      <x:c r="S103" s="19" t="str">
        <x:f>IF(R103="","",R103*'全局设置'!$B$5)</x:f>
      </x:c>
      <x:c r="T103" s="73" t="str">
        <x:f>IF(F103="","",F103*O103)</x:f>
      </x:c>
      <x:c r="U103" s="19" t="str">
        <x:f>IF(AND(B103="",C103=""),"",IF(B103="","缺少敌人",IF(C103="","缺少数量",IF(OR(C103&lt;1,C103&gt;9999,C103&lt;&gt;INT(C103)),"数量无效",IF(COUNTIF($E$94:$E$111,E103)&gt;1,"重复敌人",IF(AND(ISNUMBER(D103),OR(D103&lt;0,D103&gt;999,D103&lt;&gt;INT(D103))),"奖励无效","可导入"))))))</x:f>
      </x:c>
    </x:row>
    <x:row r="104" ht="22" customHeight="1">
      <x:c r="A104" s="72" t="n">
        <x:v>11</x:v>
      </x:c>
      <x:c r="B104" s="41"/>
      <x:c r="C104" s="41"/>
      <x:c r="D104" s="41"/>
      <x:c r="E104" s="19" t="str">
        <x:f>IFERROR(VLOOKUP(B104,'敌人目录'!$A$6:$S$54,2,FALSE),"")</x:f>
      </x:c>
      <x:c r="F104" s="19" t="str">
        <x:f>IF(OR(B104="",C104=""),"",ROUNDUP(C104*(1+('全局设置'!$B$5-1)*'全局设置'!$B$6),0))</x:f>
      </x:c>
      <x:c r="G104" s="19" t="str">
        <x:f>IFERROR(VLOOKUP(B104,'敌人目录'!$A$6:$S$54,7,FALSE),"")</x:f>
      </x:c>
      <x:c r="H104" s="19" t="str">
        <x:f>IFERROR(VLOOKUP(B104,'敌人目录'!$A$6:$S$54,8,FALSE),"")</x:f>
      </x:c>
      <x:c r="I104" s="19" t="str">
        <x:f>IFERROR(VLOOKUP(B104,'敌人目录'!$A$6:$S$54,9,FALSE),"")</x:f>
      </x:c>
      <x:c r="J104" s="19" t="str">
        <x:f>IFERROR(VLOOKUP(B104,'敌人目录'!$A$6:$S$54,10,FALSE),"")</x:f>
      </x:c>
      <x:c r="K104" s="19" t="str">
        <x:f>IFERROR(VLOOKUP(B104,'敌人目录'!$A$6:$S$54,11,FALSE),"")</x:f>
      </x:c>
      <x:c r="L104" s="19" t="str">
        <x:f>IFERROR(VLOOKUP(B104,'敌人目录'!$A$6:$S$54,12,FALSE),"")</x:f>
      </x:c>
      <x:c r="M104" s="19" t="str">
        <x:f>IFERROR(VLOOKUP(B104,'敌人目录'!$A$6:$S$54,13,FALSE),"")</x:f>
      </x:c>
      <x:c r="N104" s="19" t="str">
        <x:f>IF(B104="","",IF(ISNUMBER(D104),D104,IFERROR(VLOOKUP(B104,'敌人目录'!$A$6:$S$54,14,FALSE),"")))</x:f>
      </x:c>
      <x:c r="O104" s="64" t="str">
        <x:f>IFERROR(VLOOKUP(B104,'敌人目录'!$A$6:$S$54,15,FALSE),"")</x:f>
      </x:c>
      <x:c r="P104" s="19" t="str">
        <x:f>IF(F104="","",F104*G104)</x:f>
      </x:c>
      <x:c r="Q104" s="19" t="str">
        <x:f>IF(F104="","",F104*L104)</x:f>
      </x:c>
      <x:c r="R104" s="19" t="str">
        <x:f>IF(F104="","",F104*N104)</x:f>
      </x:c>
      <x:c r="S104" s="19" t="str">
        <x:f>IF(R104="","",R104*'全局设置'!$B$5)</x:f>
      </x:c>
      <x:c r="T104" s="73" t="str">
        <x:f>IF(F104="","",F104*O104)</x:f>
      </x:c>
      <x:c r="U104" s="19" t="str">
        <x:f>IF(AND(B104="",C104=""),"",IF(B104="","缺少敌人",IF(C104="","缺少数量",IF(OR(C104&lt;1,C104&gt;9999,C104&lt;&gt;INT(C104)),"数量无效",IF(COUNTIF($E$94:$E$111,E104)&gt;1,"重复敌人",IF(AND(ISNUMBER(D104),OR(D104&lt;0,D104&gt;999,D104&lt;&gt;INT(D104))),"奖励无效","可导入"))))))</x:f>
      </x:c>
    </x:row>
    <x:row r="105" ht="22" customHeight="1">
      <x:c r="A105" s="72" t="n">
        <x:v>12</x:v>
      </x:c>
      <x:c r="B105" s="41"/>
      <x:c r="C105" s="41"/>
      <x:c r="D105" s="41"/>
      <x:c r="E105" s="19" t="str">
        <x:f>IFERROR(VLOOKUP(B105,'敌人目录'!$A$6:$S$54,2,FALSE),"")</x:f>
      </x:c>
      <x:c r="F105" s="19" t="str">
        <x:f>IF(OR(B105="",C105=""),"",ROUNDUP(C105*(1+('全局设置'!$B$5-1)*'全局设置'!$B$6),0))</x:f>
      </x:c>
      <x:c r="G105" s="19" t="str">
        <x:f>IFERROR(VLOOKUP(B105,'敌人目录'!$A$6:$S$54,7,FALSE),"")</x:f>
      </x:c>
      <x:c r="H105" s="19" t="str">
        <x:f>IFERROR(VLOOKUP(B105,'敌人目录'!$A$6:$S$54,8,FALSE),"")</x:f>
      </x:c>
      <x:c r="I105" s="19" t="str">
        <x:f>IFERROR(VLOOKUP(B105,'敌人目录'!$A$6:$S$54,9,FALSE),"")</x:f>
      </x:c>
      <x:c r="J105" s="19" t="str">
        <x:f>IFERROR(VLOOKUP(B105,'敌人目录'!$A$6:$S$54,10,FALSE),"")</x:f>
      </x:c>
      <x:c r="K105" s="19" t="str">
        <x:f>IFERROR(VLOOKUP(B105,'敌人目录'!$A$6:$S$54,11,FALSE),"")</x:f>
      </x:c>
      <x:c r="L105" s="19" t="str">
        <x:f>IFERROR(VLOOKUP(B105,'敌人目录'!$A$6:$S$54,12,FALSE),"")</x:f>
      </x:c>
      <x:c r="M105" s="19" t="str">
        <x:f>IFERROR(VLOOKUP(B105,'敌人目录'!$A$6:$S$54,13,FALSE),"")</x:f>
      </x:c>
      <x:c r="N105" s="19" t="str">
        <x:f>IF(B105="","",IF(ISNUMBER(D105),D105,IFERROR(VLOOKUP(B105,'敌人目录'!$A$6:$S$54,14,FALSE),"")))</x:f>
      </x:c>
      <x:c r="O105" s="64" t="str">
        <x:f>IFERROR(VLOOKUP(B105,'敌人目录'!$A$6:$S$54,15,FALSE),"")</x:f>
      </x:c>
      <x:c r="P105" s="19" t="str">
        <x:f>IF(F105="","",F105*G105)</x:f>
      </x:c>
      <x:c r="Q105" s="19" t="str">
        <x:f>IF(F105="","",F105*L105)</x:f>
      </x:c>
      <x:c r="R105" s="19" t="str">
        <x:f>IF(F105="","",F105*N105)</x:f>
      </x:c>
      <x:c r="S105" s="19" t="str">
        <x:f>IF(R105="","",R105*'全局设置'!$B$5)</x:f>
      </x:c>
      <x:c r="T105" s="73" t="str">
        <x:f>IF(F105="","",F105*O105)</x:f>
      </x:c>
      <x:c r="U105" s="19" t="str">
        <x:f>IF(AND(B105="",C105=""),"",IF(B105="","缺少敌人",IF(C105="","缺少数量",IF(OR(C105&lt;1,C105&gt;9999,C105&lt;&gt;INT(C105)),"数量无效",IF(COUNTIF($E$94:$E$111,E105)&gt;1,"重复敌人",IF(AND(ISNUMBER(D105),OR(D105&lt;0,D105&gt;999,D105&lt;&gt;INT(D105))),"奖励无效","可导入"))))))</x:f>
      </x:c>
    </x:row>
    <x:row r="106" ht="22" customHeight="1">
      <x:c r="A106" s="72" t="n">
        <x:v>13</x:v>
      </x:c>
      <x:c r="B106" s="41"/>
      <x:c r="C106" s="41"/>
      <x:c r="D106" s="41"/>
      <x:c r="E106" s="19" t="str">
        <x:f>IFERROR(VLOOKUP(B106,'敌人目录'!$A$6:$S$54,2,FALSE),"")</x:f>
      </x:c>
      <x:c r="F106" s="19" t="str">
        <x:f>IF(OR(B106="",C106=""),"",ROUNDUP(C106*(1+('全局设置'!$B$5-1)*'全局设置'!$B$6),0))</x:f>
      </x:c>
      <x:c r="G106" s="19" t="str">
        <x:f>IFERROR(VLOOKUP(B106,'敌人目录'!$A$6:$S$54,7,FALSE),"")</x:f>
      </x:c>
      <x:c r="H106" s="19" t="str">
        <x:f>IFERROR(VLOOKUP(B106,'敌人目录'!$A$6:$S$54,8,FALSE),"")</x:f>
      </x:c>
      <x:c r="I106" s="19" t="str">
        <x:f>IFERROR(VLOOKUP(B106,'敌人目录'!$A$6:$S$54,9,FALSE),"")</x:f>
      </x:c>
      <x:c r="J106" s="19" t="str">
        <x:f>IFERROR(VLOOKUP(B106,'敌人目录'!$A$6:$S$54,10,FALSE),"")</x:f>
      </x:c>
      <x:c r="K106" s="19" t="str">
        <x:f>IFERROR(VLOOKUP(B106,'敌人目录'!$A$6:$S$54,11,FALSE),"")</x:f>
      </x:c>
      <x:c r="L106" s="19" t="str">
        <x:f>IFERROR(VLOOKUP(B106,'敌人目录'!$A$6:$S$54,12,FALSE),"")</x:f>
      </x:c>
      <x:c r="M106" s="19" t="str">
        <x:f>IFERROR(VLOOKUP(B106,'敌人目录'!$A$6:$S$54,13,FALSE),"")</x:f>
      </x:c>
      <x:c r="N106" s="19" t="str">
        <x:f>IF(B106="","",IF(ISNUMBER(D106),D106,IFERROR(VLOOKUP(B106,'敌人目录'!$A$6:$S$54,14,FALSE),"")))</x:f>
      </x:c>
      <x:c r="O106" s="64" t="str">
        <x:f>IFERROR(VLOOKUP(B106,'敌人目录'!$A$6:$S$54,15,FALSE),"")</x:f>
      </x:c>
      <x:c r="P106" s="19" t="str">
        <x:f>IF(F106="","",F106*G106)</x:f>
      </x:c>
      <x:c r="Q106" s="19" t="str">
        <x:f>IF(F106="","",F106*L106)</x:f>
      </x:c>
      <x:c r="R106" s="19" t="str">
        <x:f>IF(F106="","",F106*N106)</x:f>
      </x:c>
      <x:c r="S106" s="19" t="str">
        <x:f>IF(R106="","",R106*'全局设置'!$B$5)</x:f>
      </x:c>
      <x:c r="T106" s="73" t="str">
        <x:f>IF(F106="","",F106*O106)</x:f>
      </x:c>
      <x:c r="U106" s="19" t="str">
        <x:f>IF(AND(B106="",C106=""),"",IF(B106="","缺少敌人",IF(C106="","缺少数量",IF(OR(C106&lt;1,C106&gt;9999,C106&lt;&gt;INT(C106)),"数量无效",IF(COUNTIF($E$94:$E$111,E106)&gt;1,"重复敌人",IF(AND(ISNUMBER(D106),OR(D106&lt;0,D106&gt;999,D106&lt;&gt;INT(D106))),"奖励无效","可导入"))))))</x:f>
      </x:c>
    </x:row>
    <x:row r="107" ht="22" customHeight="1">
      <x:c r="A107" s="72" t="n">
        <x:v>14</x:v>
      </x:c>
      <x:c r="B107" s="41"/>
      <x:c r="C107" s="41"/>
      <x:c r="D107" s="41"/>
      <x:c r="E107" s="19" t="str">
        <x:f>IFERROR(VLOOKUP(B107,'敌人目录'!$A$6:$S$54,2,FALSE),"")</x:f>
      </x:c>
      <x:c r="F107" s="19" t="str">
        <x:f>IF(OR(B107="",C107=""),"",ROUNDUP(C107*(1+('全局设置'!$B$5-1)*'全局设置'!$B$6),0))</x:f>
      </x:c>
      <x:c r="G107" s="19" t="str">
        <x:f>IFERROR(VLOOKUP(B107,'敌人目录'!$A$6:$S$54,7,FALSE),"")</x:f>
      </x:c>
      <x:c r="H107" s="19" t="str">
        <x:f>IFERROR(VLOOKUP(B107,'敌人目录'!$A$6:$S$54,8,FALSE),"")</x:f>
      </x:c>
      <x:c r="I107" s="19" t="str">
        <x:f>IFERROR(VLOOKUP(B107,'敌人目录'!$A$6:$S$54,9,FALSE),"")</x:f>
      </x:c>
      <x:c r="J107" s="19" t="str">
        <x:f>IFERROR(VLOOKUP(B107,'敌人目录'!$A$6:$S$54,10,FALSE),"")</x:f>
      </x:c>
      <x:c r="K107" s="19" t="str">
        <x:f>IFERROR(VLOOKUP(B107,'敌人目录'!$A$6:$S$54,11,FALSE),"")</x:f>
      </x:c>
      <x:c r="L107" s="19" t="str">
        <x:f>IFERROR(VLOOKUP(B107,'敌人目录'!$A$6:$S$54,12,FALSE),"")</x:f>
      </x:c>
      <x:c r="M107" s="19" t="str">
        <x:f>IFERROR(VLOOKUP(B107,'敌人目录'!$A$6:$S$54,13,FALSE),"")</x:f>
      </x:c>
      <x:c r="N107" s="19" t="str">
        <x:f>IF(B107="","",IF(ISNUMBER(D107),D107,IFERROR(VLOOKUP(B107,'敌人目录'!$A$6:$S$54,14,FALSE),"")))</x:f>
      </x:c>
      <x:c r="O107" s="64" t="str">
        <x:f>IFERROR(VLOOKUP(B107,'敌人目录'!$A$6:$S$54,15,FALSE),"")</x:f>
      </x:c>
      <x:c r="P107" s="19" t="str">
        <x:f>IF(F107="","",F107*G107)</x:f>
      </x:c>
      <x:c r="Q107" s="19" t="str">
        <x:f>IF(F107="","",F107*L107)</x:f>
      </x:c>
      <x:c r="R107" s="19" t="str">
        <x:f>IF(F107="","",F107*N107)</x:f>
      </x:c>
      <x:c r="S107" s="19" t="str">
        <x:f>IF(R107="","",R107*'全局设置'!$B$5)</x:f>
      </x:c>
      <x:c r="T107" s="73" t="str">
        <x:f>IF(F107="","",F107*O107)</x:f>
      </x:c>
      <x:c r="U107" s="19" t="str">
        <x:f>IF(AND(B107="",C107=""),"",IF(B107="","缺少敌人",IF(C107="","缺少数量",IF(OR(C107&lt;1,C107&gt;9999,C107&lt;&gt;INT(C107)),"数量无效",IF(COUNTIF($E$94:$E$111,E107)&gt;1,"重复敌人",IF(AND(ISNUMBER(D107),OR(D107&lt;0,D107&gt;999,D107&lt;&gt;INT(D107))),"奖励无效","可导入"))))))</x:f>
      </x:c>
    </x:row>
    <x:row r="108" ht="22" customHeight="1">
      <x:c r="A108" s="72" t="n">
        <x:v>15</x:v>
      </x:c>
      <x:c r="B108" s="41"/>
      <x:c r="C108" s="41"/>
      <x:c r="D108" s="41"/>
      <x:c r="E108" s="19" t="str">
        <x:f>IFERROR(VLOOKUP(B108,'敌人目录'!$A$6:$S$54,2,FALSE),"")</x:f>
      </x:c>
      <x:c r="F108" s="19" t="str">
        <x:f>IF(OR(B108="",C108=""),"",ROUNDUP(C108*(1+('全局设置'!$B$5-1)*'全局设置'!$B$6),0))</x:f>
      </x:c>
      <x:c r="G108" s="19" t="str">
        <x:f>IFERROR(VLOOKUP(B108,'敌人目录'!$A$6:$S$54,7,FALSE),"")</x:f>
      </x:c>
      <x:c r="H108" s="19" t="str">
        <x:f>IFERROR(VLOOKUP(B108,'敌人目录'!$A$6:$S$54,8,FALSE),"")</x:f>
      </x:c>
      <x:c r="I108" s="19" t="str">
        <x:f>IFERROR(VLOOKUP(B108,'敌人目录'!$A$6:$S$54,9,FALSE),"")</x:f>
      </x:c>
      <x:c r="J108" s="19" t="str">
        <x:f>IFERROR(VLOOKUP(B108,'敌人目录'!$A$6:$S$54,10,FALSE),"")</x:f>
      </x:c>
      <x:c r="K108" s="19" t="str">
        <x:f>IFERROR(VLOOKUP(B108,'敌人目录'!$A$6:$S$54,11,FALSE),"")</x:f>
      </x:c>
      <x:c r="L108" s="19" t="str">
        <x:f>IFERROR(VLOOKUP(B108,'敌人目录'!$A$6:$S$54,12,FALSE),"")</x:f>
      </x:c>
      <x:c r="M108" s="19" t="str">
        <x:f>IFERROR(VLOOKUP(B108,'敌人目录'!$A$6:$S$54,13,FALSE),"")</x:f>
      </x:c>
      <x:c r="N108" s="19" t="str">
        <x:f>IF(B108="","",IF(ISNUMBER(D108),D108,IFERROR(VLOOKUP(B108,'敌人目录'!$A$6:$S$54,14,FALSE),"")))</x:f>
      </x:c>
      <x:c r="O108" s="64" t="str">
        <x:f>IFERROR(VLOOKUP(B108,'敌人目录'!$A$6:$S$54,15,FALSE),"")</x:f>
      </x:c>
      <x:c r="P108" s="19" t="str">
        <x:f>IF(F108="","",F108*G108)</x:f>
      </x:c>
      <x:c r="Q108" s="19" t="str">
        <x:f>IF(F108="","",F108*L108)</x:f>
      </x:c>
      <x:c r="R108" s="19" t="str">
        <x:f>IF(F108="","",F108*N108)</x:f>
      </x:c>
      <x:c r="S108" s="19" t="str">
        <x:f>IF(R108="","",R108*'全局设置'!$B$5)</x:f>
      </x:c>
      <x:c r="T108" s="73" t="str">
        <x:f>IF(F108="","",F108*O108)</x:f>
      </x:c>
      <x:c r="U108" s="19" t="str">
        <x:f>IF(AND(B108="",C108=""),"",IF(B108="","缺少敌人",IF(C108="","缺少数量",IF(OR(C108&lt;1,C108&gt;9999,C108&lt;&gt;INT(C108)),"数量无效",IF(COUNTIF($E$94:$E$111,E108)&gt;1,"重复敌人",IF(AND(ISNUMBER(D108),OR(D108&lt;0,D108&gt;999,D108&lt;&gt;INT(D108))),"奖励无效","可导入"))))))</x:f>
      </x:c>
    </x:row>
    <x:row r="109" ht="22" customHeight="1">
      <x:c r="A109" s="72" t="n">
        <x:v>16</x:v>
      </x:c>
      <x:c r="B109" s="41"/>
      <x:c r="C109" s="41"/>
      <x:c r="D109" s="41"/>
      <x:c r="E109" s="19" t="str">
        <x:f>IFERROR(VLOOKUP(B109,'敌人目录'!$A$6:$S$54,2,FALSE),"")</x:f>
      </x:c>
      <x:c r="F109" s="19" t="str">
        <x:f>IF(OR(B109="",C109=""),"",ROUNDUP(C109*(1+('全局设置'!$B$5-1)*'全局设置'!$B$6),0))</x:f>
      </x:c>
      <x:c r="G109" s="19" t="str">
        <x:f>IFERROR(VLOOKUP(B109,'敌人目录'!$A$6:$S$54,7,FALSE),"")</x:f>
      </x:c>
      <x:c r="H109" s="19" t="str">
        <x:f>IFERROR(VLOOKUP(B109,'敌人目录'!$A$6:$S$54,8,FALSE),"")</x:f>
      </x:c>
      <x:c r="I109" s="19" t="str">
        <x:f>IFERROR(VLOOKUP(B109,'敌人目录'!$A$6:$S$54,9,FALSE),"")</x:f>
      </x:c>
      <x:c r="J109" s="19" t="str">
        <x:f>IFERROR(VLOOKUP(B109,'敌人目录'!$A$6:$S$54,10,FALSE),"")</x:f>
      </x:c>
      <x:c r="K109" s="19" t="str">
        <x:f>IFERROR(VLOOKUP(B109,'敌人目录'!$A$6:$S$54,11,FALSE),"")</x:f>
      </x:c>
      <x:c r="L109" s="19" t="str">
        <x:f>IFERROR(VLOOKUP(B109,'敌人目录'!$A$6:$S$54,12,FALSE),"")</x:f>
      </x:c>
      <x:c r="M109" s="19" t="str">
        <x:f>IFERROR(VLOOKUP(B109,'敌人目录'!$A$6:$S$54,13,FALSE),"")</x:f>
      </x:c>
      <x:c r="N109" s="19" t="str">
        <x:f>IF(B109="","",IF(ISNUMBER(D109),D109,IFERROR(VLOOKUP(B109,'敌人目录'!$A$6:$S$54,14,FALSE),"")))</x:f>
      </x:c>
      <x:c r="O109" s="64" t="str">
        <x:f>IFERROR(VLOOKUP(B109,'敌人目录'!$A$6:$S$54,15,FALSE),"")</x:f>
      </x:c>
      <x:c r="P109" s="19" t="str">
        <x:f>IF(F109="","",F109*G109)</x:f>
      </x:c>
      <x:c r="Q109" s="19" t="str">
        <x:f>IF(F109="","",F109*L109)</x:f>
      </x:c>
      <x:c r="R109" s="19" t="str">
        <x:f>IF(F109="","",F109*N109)</x:f>
      </x:c>
      <x:c r="S109" s="19" t="str">
        <x:f>IF(R109="","",R109*'全局设置'!$B$5)</x:f>
      </x:c>
      <x:c r="T109" s="73" t="str">
        <x:f>IF(F109="","",F109*O109)</x:f>
      </x:c>
      <x:c r="U109" s="19" t="str">
        <x:f>IF(AND(B109="",C109=""),"",IF(B109="","缺少敌人",IF(C109="","缺少数量",IF(OR(C109&lt;1,C109&gt;9999,C109&lt;&gt;INT(C109)),"数量无效",IF(COUNTIF($E$94:$E$111,E109)&gt;1,"重复敌人",IF(AND(ISNUMBER(D109),OR(D109&lt;0,D109&gt;999,D109&lt;&gt;INT(D109))),"奖励无效","可导入"))))))</x:f>
      </x:c>
    </x:row>
    <x:row r="110" ht="22" customHeight="1">
      <x:c r="A110" s="72" t="n">
        <x:v>17</x:v>
      </x:c>
      <x:c r="B110" s="41"/>
      <x:c r="C110" s="41"/>
      <x:c r="D110" s="41"/>
      <x:c r="E110" s="19" t="str">
        <x:f>IFERROR(VLOOKUP(B110,'敌人目录'!$A$6:$S$54,2,FALSE),"")</x:f>
      </x:c>
      <x:c r="F110" s="19" t="str">
        <x:f>IF(OR(B110="",C110=""),"",ROUNDUP(C110*(1+('全局设置'!$B$5-1)*'全局设置'!$B$6),0))</x:f>
      </x:c>
      <x:c r="G110" s="19" t="str">
        <x:f>IFERROR(VLOOKUP(B110,'敌人目录'!$A$6:$S$54,7,FALSE),"")</x:f>
      </x:c>
      <x:c r="H110" s="19" t="str">
        <x:f>IFERROR(VLOOKUP(B110,'敌人目录'!$A$6:$S$54,8,FALSE),"")</x:f>
      </x:c>
      <x:c r="I110" s="19" t="str">
        <x:f>IFERROR(VLOOKUP(B110,'敌人目录'!$A$6:$S$54,9,FALSE),"")</x:f>
      </x:c>
      <x:c r="J110" s="19" t="str">
        <x:f>IFERROR(VLOOKUP(B110,'敌人目录'!$A$6:$S$54,10,FALSE),"")</x:f>
      </x:c>
      <x:c r="K110" s="19" t="str">
        <x:f>IFERROR(VLOOKUP(B110,'敌人目录'!$A$6:$S$54,11,FALSE),"")</x:f>
      </x:c>
      <x:c r="L110" s="19" t="str">
        <x:f>IFERROR(VLOOKUP(B110,'敌人目录'!$A$6:$S$54,12,FALSE),"")</x:f>
      </x:c>
      <x:c r="M110" s="19" t="str">
        <x:f>IFERROR(VLOOKUP(B110,'敌人目录'!$A$6:$S$54,13,FALSE),"")</x:f>
      </x:c>
      <x:c r="N110" s="19" t="str">
        <x:f>IF(B110="","",IF(ISNUMBER(D110),D110,IFERROR(VLOOKUP(B110,'敌人目录'!$A$6:$S$54,14,FALSE),"")))</x:f>
      </x:c>
      <x:c r="O110" s="64" t="str">
        <x:f>IFERROR(VLOOKUP(B110,'敌人目录'!$A$6:$S$54,15,FALSE),"")</x:f>
      </x:c>
      <x:c r="P110" s="19" t="str">
        <x:f>IF(F110="","",F110*G110)</x:f>
      </x:c>
      <x:c r="Q110" s="19" t="str">
        <x:f>IF(F110="","",F110*L110)</x:f>
      </x:c>
      <x:c r="R110" s="19" t="str">
        <x:f>IF(F110="","",F110*N110)</x:f>
      </x:c>
      <x:c r="S110" s="19" t="str">
        <x:f>IF(R110="","",R110*'全局设置'!$B$5)</x:f>
      </x:c>
      <x:c r="T110" s="73" t="str">
        <x:f>IF(F110="","",F110*O110)</x:f>
      </x:c>
      <x:c r="U110" s="19" t="str">
        <x:f>IF(AND(B110="",C110=""),"",IF(B110="","缺少敌人",IF(C110="","缺少数量",IF(OR(C110&lt;1,C110&gt;9999,C110&lt;&gt;INT(C110)),"数量无效",IF(COUNTIF($E$94:$E$111,E110)&gt;1,"重复敌人",IF(AND(ISNUMBER(D110),OR(D110&lt;0,D110&gt;999,D110&lt;&gt;INT(D110))),"奖励无效","可导入"))))))</x:f>
      </x:c>
    </x:row>
    <x:row r="111" ht="22" customHeight="1">
      <x:c r="A111" s="72" t="n">
        <x:v>18</x:v>
      </x:c>
      <x:c r="B111" s="41"/>
      <x:c r="C111" s="41"/>
      <x:c r="D111" s="41"/>
      <x:c r="E111" s="19" t="str">
        <x:f>IFERROR(VLOOKUP(B111,'敌人目录'!$A$6:$S$54,2,FALSE),"")</x:f>
      </x:c>
      <x:c r="F111" s="19" t="str">
        <x:f>IF(OR(B111="",C111=""),"",ROUNDUP(C111*(1+('全局设置'!$B$5-1)*'全局设置'!$B$6),0))</x:f>
      </x:c>
      <x:c r="G111" s="19" t="str">
        <x:f>IFERROR(VLOOKUP(B111,'敌人目录'!$A$6:$S$54,7,FALSE),"")</x:f>
      </x:c>
      <x:c r="H111" s="19" t="str">
        <x:f>IFERROR(VLOOKUP(B111,'敌人目录'!$A$6:$S$54,8,FALSE),"")</x:f>
      </x:c>
      <x:c r="I111" s="19" t="str">
        <x:f>IFERROR(VLOOKUP(B111,'敌人目录'!$A$6:$S$54,9,FALSE),"")</x:f>
      </x:c>
      <x:c r="J111" s="19" t="str">
        <x:f>IFERROR(VLOOKUP(B111,'敌人目录'!$A$6:$S$54,10,FALSE),"")</x:f>
      </x:c>
      <x:c r="K111" s="19" t="str">
        <x:f>IFERROR(VLOOKUP(B111,'敌人目录'!$A$6:$S$54,11,FALSE),"")</x:f>
      </x:c>
      <x:c r="L111" s="19" t="str">
        <x:f>IFERROR(VLOOKUP(B111,'敌人目录'!$A$6:$S$54,12,FALSE),"")</x:f>
      </x:c>
      <x:c r="M111" s="19" t="str">
        <x:f>IFERROR(VLOOKUP(B111,'敌人目录'!$A$6:$S$54,13,FALSE),"")</x:f>
      </x:c>
      <x:c r="N111" s="19" t="str">
        <x:f>IF(B111="","",IF(ISNUMBER(D111),D111,IFERROR(VLOOKUP(B111,'敌人目录'!$A$6:$S$54,14,FALSE),"")))</x:f>
      </x:c>
      <x:c r="O111" s="64" t="str">
        <x:f>IFERROR(VLOOKUP(B111,'敌人目录'!$A$6:$S$54,15,FALSE),"")</x:f>
      </x:c>
      <x:c r="P111" s="19" t="str">
        <x:f>IF(F111="","",F111*G111)</x:f>
      </x:c>
      <x:c r="Q111" s="19" t="str">
        <x:f>IF(F111="","",F111*L111)</x:f>
      </x:c>
      <x:c r="R111" s="19" t="str">
        <x:f>IF(F111="","",F111*N111)</x:f>
      </x:c>
      <x:c r="S111" s="19" t="str">
        <x:f>IF(R111="","",R111*'全局设置'!$B$5)</x:f>
      </x:c>
      <x:c r="T111" s="73" t="str">
        <x:f>IF(F111="","",F111*O111)</x:f>
      </x:c>
      <x:c r="U111" s="19" t="str">
        <x:f>IF(AND(B111="",C111=""),"",IF(B111="","缺少敌人",IF(C111="","缺少数量",IF(OR(C111&lt;1,C111&gt;9999,C111&lt;&gt;INT(C111)),"数量无效",IF(COUNTIF($E$94:$E$111,E111)&gt;1,"重复敌人",IF(AND(ISNUMBER(D111),OR(D111&lt;0,D111&gt;999,D111&lt;&gt;INT(D111))),"奖励无效","可导入"))))))</x:f>
      </x:c>
    </x:row>
    <x:row r="112" ht="22" customHeight="1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</x:row>
    <x:row r="113" ht="22" customHeight="1">
      <x:c r="A113" s="48" t="str">
        <x:v>基础总数</x:v>
      </x:c>
      <x:c r="B113" s="19" t="n">
        <x:f>SUM(C94:C111)</x:f>
        <x:v>64</x:v>
      </x:c>
      <x:c r="C113" s="48" t="str">
        <x:v>实际总数</x:v>
      </x:c>
      <x:c r="D113" s="19" t="n">
        <x:f>SUM(F94:F111)</x:f>
        <x:v>64</x:v>
      </x:c>
      <x:c r="E113" s="48" t="str">
        <x:v>敌人种类</x:v>
      </x:c>
      <x:c r="F113" s="19" t="n">
        <x:f>COUNTA(B94:B111)</x:f>
        <x:v>5</x:v>
      </x:c>
      <x:c r="G113" s="48" t="str">
        <x:v>生命池</x:v>
      </x:c>
      <x:c r="H113" s="19" t="n">
        <x:f>SUM(P94:P111)</x:f>
        <x:v>3600</x:v>
      </x:c>
      <x:c r="I113" s="48" t="str">
        <x:v>基础息壤/玩家</x:v>
      </x:c>
      <x:c r="J113" s="19" t="n">
        <x:f>SUM(R94:R111)</x:f>
        <x:v>76</x:v>
      </x:c>
      <x:c r="K113" s="48" t="str">
        <x:v>情景息壤/玩家</x:v>
      </x:c>
      <x:c r="L113" s="19" t="n">
        <x:f>J113*'全局设置'!$B$7*'全局设置'!$C$14</x:f>
        <x:v>76</x:v>
      </x:c>
      <x:c r="M113" s="48" t="str">
        <x:v>情景息壤/队伍</x:v>
      </x:c>
      <x:c r="N113" s="19" t="n">
        <x:f>L113*'全局设置'!$B$5</x:f>
        <x:v>76</x:v>
      </x:c>
      <x:c r="O113" s="48" t="str">
        <x:v>掉落期望</x:v>
      </x:c>
      <x:c r="P113" s="73" t="n">
        <x:f>SUM(T94:T111)</x:f>
        <x:v>3.2</x:v>
      </x:c>
      <x:c r="Q113" s="48" t="str">
        <x:v>全漏Home伤害</x:v>
      </x:c>
      <x:c r="R113" s="19" t="n">
        <x:f>SUM(Q94:Q111)</x:f>
        <x:v>80</x:v>
      </x:c>
      <x:c r="S113" s="48" t="str">
        <x:v>最短刷完(s)</x:v>
      </x:c>
      <x:c r="T113" s="73" t="n">
        <x:f>IF(D113=0,0,MAX(0,(ROUNDUP(D113/J90,0)-1)*H90))</x:f>
        <x:v>31.5</x:v>
      </x:c>
      <x:c r="U113" s="31"/>
    </x:row>
    <x:row r="114" ht="22" customHeight="1">
      <x:c r="A114" s="82" t="str">
        <x:v>情景收益 = 最大击杀息壤 × 全局击杀率 × 第1日倍率；最大队伍收益另按玩家人数相乘。</x:v>
      </x:c>
      <x:c r="B114" s="82" t="str">
        <x:v>情景收益 = 最大击杀息壤 × 全局击杀率 × 第1日倍率；最大队伍收益另按玩家人数相乘。</x:v>
      </x:c>
      <x:c r="C114" s="82" t="str">
        <x:v>情景收益 = 最大击杀息壤 × 全局击杀率 × 第1日倍率；最大队伍收益另按玩家人数相乘。</x:v>
      </x:c>
      <x:c r="D114" s="82" t="str">
        <x:v>情景收益 = 最大击杀息壤 × 全局击杀率 × 第1日倍率；最大队伍收益另按玩家人数相乘。</x:v>
      </x:c>
      <x:c r="E114" s="82" t="str">
        <x:v>情景收益 = 最大击杀息壤 × 全局击杀率 × 第1日倍率；最大队伍收益另按玩家人数相乘。</x:v>
      </x:c>
      <x:c r="F114" s="82" t="str">
        <x:v>情景收益 = 最大击杀息壤 × 全局击杀率 × 第1日倍率；最大队伍收益另按玩家人数相乘。</x:v>
      </x:c>
      <x:c r="G114" s="82" t="str">
        <x:v>情景收益 = 最大击杀息壤 × 全局击杀率 × 第1日倍率；最大队伍收益另按玩家人数相乘。</x:v>
      </x:c>
      <x:c r="H114" s="82" t="str">
        <x:v>情景收益 = 最大击杀息壤 × 全局击杀率 × 第1日倍率；最大队伍收益另按玩家人数相乘。</x:v>
      </x:c>
      <x:c r="I114" s="82" t="str">
        <x:v>情景收益 = 最大击杀息壤 × 全局击杀率 × 第1日倍率；最大队伍收益另按玩家人数相乘。</x:v>
      </x:c>
      <x:c r="J114" s="82" t="str">
        <x:v>情景收益 = 最大击杀息壤 × 全局击杀率 × 第1日倍率；最大队伍收益另按玩家人数相乘。</x:v>
      </x:c>
      <x:c r="K114" s="82" t="str">
        <x:v>情景收益 = 最大击杀息壤 × 全局击杀率 × 第1日倍率；最大队伍收益另按玩家人数相乘。</x:v>
      </x:c>
      <x:c r="L114" s="82" t="str">
        <x:v>情景收益 = 最大击杀息壤 × 全局击杀率 × 第1日倍率；最大队伍收益另按玩家人数相乘。</x:v>
      </x:c>
      <x:c r="M114" s="82" t="str">
        <x:v>情景收益 = 最大击杀息壤 × 全局击杀率 × 第1日倍率；最大队伍收益另按玩家人数相乘。</x:v>
      </x:c>
      <x:c r="N114" s="82" t="str">
        <x:v>情景收益 = 最大击杀息壤 × 全局击杀率 × 第1日倍率；最大队伍收益另按玩家人数相乘。</x:v>
      </x:c>
      <x:c r="O114" s="82" t="str">
        <x:v>情景收益 = 最大击杀息壤 × 全局击杀率 × 第1日倍率；最大队伍收益另按玩家人数相乘。</x:v>
      </x:c>
      <x:c r="P114" s="82" t="str">
        <x:v>情景收益 = 最大击杀息壤 × 全局击杀率 × 第1日倍率；最大队伍收益另按玩家人数相乘。</x:v>
      </x:c>
      <x:c r="Q114" s="82" t="str">
        <x:v>情景收益 = 最大击杀息壤 × 全局击杀率 × 第1日倍率；最大队伍收益另按玩家人数相乘。</x:v>
      </x:c>
      <x:c r="R114" s="82" t="str">
        <x:v>情景收益 = 最大击杀息壤 × 全局击杀率 × 第1日倍率；最大队伍收益另按玩家人数相乘。</x:v>
      </x:c>
      <x:c r="S114" s="82" t="str">
        <x:v>情景收益 = 最大击杀息壤 × 全局击杀率 × 第1日倍率；最大队伍收益另按玩家人数相乘。</x:v>
      </x:c>
      <x:c r="T114" s="82" t="str">
        <x:v>情景收益 = 最大击杀息壤 × 全局击杀率 × 第1日倍率；最大队伍收益另按玩家人数相乘。</x:v>
      </x:c>
      <x:c r="U114" s="82" t="str">
        <x:v>情景收益 = 最大击杀息壤 × 全局击杀率 × 第1日倍率；最大队伍收益另按玩家人数相乘。</x:v>
      </x:c>
    </x:row>
    <x:row r="115" ht="22" customHeight="1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</x:row>
    <x:row r="116" ht="22" customHeight="1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</x:row>
    <x:row r="117" ht="22" customHeight="1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</x:row>
    <x:row r="118" ht="22" customHeight="1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</x:row>
  </x:sheetData>
  <x:mergeCells>
    <x:mergeCell ref="A2:U2"/>
    <x:mergeCell ref="B3:F3"/>
    <x:mergeCell ref="N3:O3"/>
    <x:mergeCell ref="Q3:U3"/>
    <x:mergeCell ref="I4:M4"/>
    <x:mergeCell ref="O4:U4"/>
    <x:mergeCell ref="A5:U5"/>
    <x:mergeCell ref="A27:U27"/>
    <x:mergeCell ref="A31:U31"/>
    <x:mergeCell ref="B32:F32"/>
    <x:mergeCell ref="N32:O32"/>
    <x:mergeCell ref="Q32:U32"/>
    <x:mergeCell ref="I33:M33"/>
    <x:mergeCell ref="O33:U33"/>
    <x:mergeCell ref="A34:U34"/>
    <x:mergeCell ref="A56:U56"/>
    <x:mergeCell ref="A60:U60"/>
    <x:mergeCell ref="B61:F61"/>
    <x:mergeCell ref="N61:O61"/>
    <x:mergeCell ref="Q61:U61"/>
    <x:mergeCell ref="I62:M62"/>
    <x:mergeCell ref="O62:U62"/>
    <x:mergeCell ref="A63:U63"/>
    <x:mergeCell ref="A85:U85"/>
    <x:mergeCell ref="A89:U89"/>
    <x:mergeCell ref="B90:F90"/>
    <x:mergeCell ref="N90:O90"/>
    <x:mergeCell ref="Q90:U90"/>
    <x:mergeCell ref="I91:M91"/>
    <x:mergeCell ref="O91:U91"/>
    <x:mergeCell ref="A92:U92"/>
    <x:mergeCell ref="A114:U114"/>
  </x:mergeCells>
  <x:conditionalFormatting sqref="U7:U24">
    <x:cfRule type="containsText" dxfId="4" priority="1" operator="containsText" text="可导入"/>
    <x:cfRule type="containsText" dxfId="5" priority="2" operator="containsText" text="缺少"/>
    <x:cfRule type="containsText" dxfId="6" priority="3" operator="containsText" text="无效"/>
    <x:cfRule type="containsText" dxfId="7" priority="4" operator="containsText" text="重复"/>
  </x:conditionalFormatting>
  <x:conditionalFormatting sqref="N3:O3">
    <x:cfRule type="containsText" dxfId="8" priority="5" operator="containsText" text="可导入"/>
    <x:cfRule type="containsText" dxfId="9" priority="6" operator="containsText" text="待设计"/>
    <x:cfRule type="containsText" dxfId="10" priority="7" operator="containsText" text="需修正"/>
  </x:conditionalFormatting>
  <x:conditionalFormatting sqref="U36:U53">
    <x:cfRule type="containsText" dxfId="11" priority="8" operator="containsText" text="可导入"/>
    <x:cfRule type="containsText" dxfId="12" priority="9" operator="containsText" text="缺少"/>
    <x:cfRule type="containsText" dxfId="13" priority="10" operator="containsText" text="无效"/>
    <x:cfRule type="containsText" dxfId="14" priority="11" operator="containsText" text="重复"/>
  </x:conditionalFormatting>
  <x:conditionalFormatting sqref="N32:O32">
    <x:cfRule type="containsText" dxfId="15" priority="12" operator="containsText" text="可导入"/>
    <x:cfRule type="containsText" dxfId="16" priority="13" operator="containsText" text="待设计"/>
    <x:cfRule type="containsText" dxfId="17" priority="14" operator="containsText" text="需修正"/>
  </x:conditionalFormatting>
  <x:conditionalFormatting sqref="U65:U82">
    <x:cfRule type="containsText" dxfId="18" priority="15" operator="containsText" text="可导入"/>
    <x:cfRule type="containsText" dxfId="19" priority="16" operator="containsText" text="缺少"/>
    <x:cfRule type="containsText" dxfId="20" priority="17" operator="containsText" text="无效"/>
    <x:cfRule type="containsText" dxfId="21" priority="18" operator="containsText" text="重复"/>
  </x:conditionalFormatting>
  <x:conditionalFormatting sqref="N61:O61">
    <x:cfRule type="containsText" dxfId="22" priority="19" operator="containsText" text="可导入"/>
    <x:cfRule type="containsText" dxfId="23" priority="20" operator="containsText" text="待设计"/>
    <x:cfRule type="containsText" dxfId="24" priority="21" operator="containsText" text="需修正"/>
  </x:conditionalFormatting>
  <x:conditionalFormatting sqref="U94:U111">
    <x:cfRule type="containsText" dxfId="25" priority="22" operator="containsText" text="可导入"/>
    <x:cfRule type="containsText" dxfId="26" priority="23" operator="containsText" text="缺少"/>
    <x:cfRule type="containsText" dxfId="27" priority="24" operator="containsText" text="无效"/>
    <x:cfRule type="containsText" dxfId="28" priority="25" operator="containsText" text="重复"/>
  </x:conditionalFormatting>
  <x:conditionalFormatting sqref="N90:O90">
    <x:cfRule type="containsText" dxfId="29" priority="26" operator="containsText" text="可导入"/>
    <x:cfRule type="containsText" dxfId="30" priority="27" operator="containsText" text="待设计"/>
    <x:cfRule type="containsText" dxfId="31" priority="28" operator="containsText" text="需修正"/>
  </x:conditionalFormatting>
  <x:dataValidations count="28">
    <x:dataValidation type="decimal" operator="between" sqref="H3">
      <x:formula1>0.025</x:formula1>
      <x:formula2>60</x:formula2>
    </x:dataValidation>
    <x:dataValidation type="whole" operator="between" sqref="J3">
      <x:formula1>1</x:formula1>
      <x:formula2>4</x:formula2>
    </x:dataValidation>
    <x:dataValidation type="whole" operator="between" sqref="L3">
      <x:formula1>1</x:formula1>
      <x:formula2>999</x:formula2>
    </x:dataValidation>
    <x:dataValidation type="list" sqref="B4:G4">
      <x:formula1>"开启,关闭"</x:formula1>
    </x:dataValidation>
    <x:dataValidation type="list" sqref="B7:B24">
      <x:formula1>'系统数据（勿改）'!$A$4:$A$52</x:formula1>
    </x:dataValidation>
    <x:dataValidation type="whole" operator="between" sqref="C7:C24">
      <x:formula1>1</x:formula1>
      <x:formula2>9999</x:formula2>
    </x:dataValidation>
    <x:dataValidation type="whole" operator="between" sqref="D7:D24">
      <x:formula1>0</x:formula1>
      <x:formula2>999</x:formula2>
    </x:dataValidation>
    <x:dataValidation type="decimal" operator="between" sqref="H32">
      <x:formula1>0.025</x:formula1>
      <x:formula2>60</x:formula2>
    </x:dataValidation>
    <x:dataValidation type="whole" operator="between" sqref="J32">
      <x:formula1>1</x:formula1>
      <x:formula2>4</x:formula2>
    </x:dataValidation>
    <x:dataValidation type="whole" operator="between" sqref="L32">
      <x:formula1>1</x:formula1>
      <x:formula2>999</x:formula2>
    </x:dataValidation>
    <x:dataValidation type="list" sqref="B33:G33">
      <x:formula1>"开启,关闭"</x:formula1>
    </x:dataValidation>
    <x:dataValidation type="list" sqref="B36:B53">
      <x:formula1>'系统数据（勿改）'!$A$4:$A$52</x:formula1>
    </x:dataValidation>
    <x:dataValidation type="whole" operator="between" sqref="C36:C53">
      <x:formula1>1</x:formula1>
      <x:formula2>9999</x:formula2>
    </x:dataValidation>
    <x:dataValidation type="whole" operator="between" sqref="D36:D53">
      <x:formula1>0</x:formula1>
      <x:formula2>999</x:formula2>
    </x:dataValidation>
    <x:dataValidation type="decimal" operator="between" sqref="H61">
      <x:formula1>0.025</x:formula1>
      <x:formula2>60</x:formula2>
    </x:dataValidation>
    <x:dataValidation type="whole" operator="between" sqref="J61">
      <x:formula1>1</x:formula1>
      <x:formula2>4</x:formula2>
    </x:dataValidation>
    <x:dataValidation type="whole" operator="between" sqref="L61">
      <x:formula1>1</x:formula1>
      <x:formula2>999</x:formula2>
    </x:dataValidation>
    <x:dataValidation type="list" sqref="B62:G62">
      <x:formula1>"开启,关闭"</x:formula1>
    </x:dataValidation>
    <x:dataValidation type="list" sqref="B65:B82">
      <x:formula1>'系统数据（勿改）'!$A$4:$A$52</x:formula1>
    </x:dataValidation>
    <x:dataValidation type="whole" operator="between" sqref="C65:C82">
      <x:formula1>1</x:formula1>
      <x:formula2>9999</x:formula2>
    </x:dataValidation>
    <x:dataValidation type="whole" operator="between" sqref="D65:D82">
      <x:formula1>0</x:formula1>
      <x:formula2>999</x:formula2>
    </x:dataValidation>
    <x:dataValidation type="decimal" operator="between" sqref="H90">
      <x:formula1>0.025</x:formula1>
      <x:formula2>60</x:formula2>
    </x:dataValidation>
    <x:dataValidation type="whole" operator="between" sqref="J90">
      <x:formula1>1</x:formula1>
      <x:formula2>4</x:formula2>
    </x:dataValidation>
    <x:dataValidation type="whole" operator="between" sqref="L90">
      <x:formula1>1</x:formula1>
      <x:formula2>999</x:formula2>
    </x:dataValidation>
    <x:dataValidation type="list" sqref="B91:G91">
      <x:formula1>"开启,关闭"</x:formula1>
    </x:dataValidation>
    <x:dataValidation type="list" sqref="B94:B111">
      <x:formula1>'系统数据（勿改）'!$A$4:$A$52</x:formula1>
    </x:dataValidation>
    <x:dataValidation type="whole" operator="between" sqref="C94:C111">
      <x:formula1>1</x:formula1>
      <x:formula2>9999</x:formula2>
    </x:dataValidation>
    <x:dataValidation type="whole" operator="between" sqref="D94:D111">
      <x:formula1>0</x:formula1>
      <x:formula2>999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0" hidden="0" customWidth="1"/>
    <x:col min="3" max="3" width="10" hidden="0" customWidth="1"/>
    <x:col min="4" max="4" width="13" hidden="0" customWidth="1"/>
    <x:col min="5" max="5" width="3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1" hidden="0" customWidth="1"/>
    <x:col min="13" max="13" width="12" hidden="0" customWidth="1"/>
    <x:col min="14" max="14" width="12" hidden="0" customWidth="1"/>
    <x:col min="15" max="15" width="15" hidden="0" customWidth="1"/>
    <x:col min="16" max="16" width="13" hidden="0" customWidth="1"/>
    <x:col min="17" max="17" width="15" hidden="0" customWidth="1"/>
    <x:col min="18" max="18" width="15" hidden="0" customWidth="1"/>
    <x:col min="19" max="19" width="15" hidden="0" customWidth="1"/>
    <x:col min="20" max="20" width="13" hidden="0" customWidth="1"/>
    <x:col min="21" max="21" width="12" hidden="0" customWidth="1"/>
  </x:cols>
  <x:sheetData>
    <x:row r="1" ht="22" customHeight="1">
      <x:c r="A1" s="31"/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</x:row>
    <x:row r="2" ht="22" customHeight="1">
      <x:c r="A2" s="71" t="str">
        <x:v>第 5 波｜第 2 日·1/4｜白昼｜当前正式配置</x:v>
      </x:c>
      <x:c r="B2" s="71" t="str">
        <x:v>第 5 波｜第 2 日·1/4｜白昼｜当前正式配置</x:v>
      </x:c>
      <x:c r="C2" s="71" t="str">
        <x:v>第 5 波｜第 2 日·1/4｜白昼｜当前正式配置</x:v>
      </x:c>
      <x:c r="D2" s="71" t="str">
        <x:v>第 5 波｜第 2 日·1/4｜白昼｜当前正式配置</x:v>
      </x:c>
      <x:c r="E2" s="71" t="str">
        <x:v>第 5 波｜第 2 日·1/4｜白昼｜当前正式配置</x:v>
      </x:c>
      <x:c r="F2" s="71" t="str">
        <x:v>第 5 波｜第 2 日·1/4｜白昼｜当前正式配置</x:v>
      </x:c>
      <x:c r="G2" s="71" t="str">
        <x:v>第 5 波｜第 2 日·1/4｜白昼｜当前正式配置</x:v>
      </x:c>
      <x:c r="H2" s="71" t="str">
        <x:v>第 5 波｜第 2 日·1/4｜白昼｜当前正式配置</x:v>
      </x:c>
      <x:c r="I2" s="71" t="str">
        <x:v>第 5 波｜第 2 日·1/4｜白昼｜当前正式配置</x:v>
      </x:c>
      <x:c r="J2" s="71" t="str">
        <x:v>第 5 波｜第 2 日·1/4｜白昼｜当前正式配置</x:v>
      </x:c>
      <x:c r="K2" s="71" t="str">
        <x:v>第 5 波｜第 2 日·1/4｜白昼｜当前正式配置</x:v>
      </x:c>
      <x:c r="L2" s="71" t="str">
        <x:v>第 5 波｜第 2 日·1/4｜白昼｜当前正式配置</x:v>
      </x:c>
      <x:c r="M2" s="71" t="str">
        <x:v>第 5 波｜第 2 日·1/4｜白昼｜当前正式配置</x:v>
      </x:c>
      <x:c r="N2" s="71" t="str">
        <x:v>第 5 波｜第 2 日·1/4｜白昼｜当前正式配置</x:v>
      </x:c>
      <x:c r="O2" s="71" t="str">
        <x:v>第 5 波｜第 2 日·1/4｜白昼｜当前正式配置</x:v>
      </x:c>
      <x:c r="P2" s="71" t="str">
        <x:v>第 5 波｜第 2 日·1/4｜白昼｜当前正式配置</x:v>
      </x:c>
      <x:c r="Q2" s="71" t="str">
        <x:v>第 5 波｜第 2 日·1/4｜白昼｜当前正式配置</x:v>
      </x:c>
      <x:c r="R2" s="71" t="str">
        <x:v>第 5 波｜第 2 日·1/4｜白昼｜当前正式配置</x:v>
      </x:c>
      <x:c r="S2" s="71" t="str">
        <x:v>第 5 波｜第 2 日·1/4｜白昼｜当前正式配置</x:v>
      </x:c>
      <x:c r="T2" s="71" t="str">
        <x:v>第 5 波｜第 2 日·1/4｜白昼｜当前正式配置</x:v>
      </x:c>
      <x:c r="U2" s="71" t="str">
        <x:v>第 5 波｜第 2 日·1/4｜白昼｜当前正式配置</x:v>
      </x:c>
    </x:row>
    <x:row r="3" ht="22" customHeight="1">
      <x:c r="A3" s="40" t="str">
        <x:v>波次名称</x:v>
      </x:c>
      <x:c r="B3" s="41" t="str">
        <x:v>第5波 沼泽先遣</x:v>
      </x:c>
      <x:c r="C3" s="41" t="str">
        <x:v>第5波 沼泽先遣</x:v>
      </x:c>
      <x:c r="D3" s="41" t="str">
        <x:v>第5波 沼泽先遣</x:v>
      </x:c>
      <x:c r="E3" s="41" t="str">
        <x:v>第5波 沼泽先遣</x:v>
      </x:c>
      <x:c r="F3" s="41" t="str">
        <x:v>第5波 沼泽先遣</x:v>
      </x:c>
      <x:c r="G3" s="40" t="str">
        <x:v>出生间隔(s)</x:v>
      </x:c>
      <x:c r="H3" s="41" t="n">
        <x:v>0.45</x:v>
      </x:c>
      <x:c r="I3" s="40" t="str">
        <x:v>每Tick</x:v>
      </x:c>
      <x:c r="J3" s="41" t="n">
        <x:v>1</x:v>
      </x:c>
      <x:c r="K3" s="40" t="str">
        <x:v>存活上限</x:v>
      </x:c>
      <x:c r="L3" s="41" t="n">
        <x:v>48</x:v>
      </x:c>
      <x:c r="M3" s="40" t="str">
        <x:v>校验</x:v>
      </x:c>
      <x:c r="N3" s="19" t="str">
        <x:f>IF(COUNTA(B7:B24)=0,"待设计",IF(COUNTIF(U7:U24,"可导入")=COUNTA(B7:B24),"可导入","需修正"))</x:f>
        <x:v>可导入</x:v>
      </x:c>
      <x:c r="O3" s="19" t="str"/>
      <x:c r="P3" s="40" t="str">
        <x:v>来源</x:v>
      </x:c>
      <x:c r="Q3" s="19" t="str">
        <x:v>当前游戏 formal 资源</x:v>
      </x:c>
      <x:c r="R3" s="19" t="str">
        <x:v>当前游戏 formal 资源</x:v>
      </x:c>
      <x:c r="S3" s="19" t="str">
        <x:v>当前游戏 formal 资源</x:v>
      </x:c>
      <x:c r="T3" s="19" t="str">
        <x:v>当前游戏 formal 资源</x:v>
      </x:c>
      <x:c r="U3" s="19" t="str">
        <x:v>当前游戏 formal 资源</x:v>
      </x:c>
    </x:row>
    <x:row r="4" ht="22" customHeight="1">
      <x:c r="A4" s="40" t="str">
        <x:v>出生点</x:v>
      </x:c>
      <x:c r="B4" s="41" t="str">
        <x:v>开启</x:v>
      </x:c>
      <x:c r="C4" s="41" t="str">
        <x:v>开启</x:v>
      </x:c>
      <x:c r="D4" s="41" t="str">
        <x:v>开启</x:v>
      </x:c>
      <x:c r="E4" s="41" t="str">
        <x:v>开启</x:v>
      </x:c>
      <x:c r="F4" s="41" t="str">
        <x:v>开启</x:v>
      </x:c>
      <x:c r="G4" s="41" t="str">
        <x:v>开启</x:v>
      </x:c>
      <x:c r="H4" s="40" t="str">
        <x:v>战斗音乐</x:v>
      </x:c>
      <x:c r="I4" s="19" t="str">
        <x:v>shenmu_swamp_combat</x:v>
      </x:c>
      <x:c r="J4" s="19" t="str">
        <x:v>shenmu_swamp_combat</x:v>
      </x:c>
      <x:c r="K4" s="19" t="str">
        <x:v>shenmu_swamp_combat</x:v>
      </x:c>
      <x:c r="L4" s="19" t="str">
        <x:v>shenmu_swamp_combat</x:v>
      </x:c>
      <x:c r="M4" s="19" t="str">
        <x:v>shenmu_swamp_combat</x:v>
      </x:c>
      <x:c r="N4" s="40" t="str">
        <x:v>波后音乐</x:v>
      </x:c>
      <x:c r="O4" s="19" t="str">
        <x:v>shenmu_swamp_intermission</x:v>
      </x:c>
      <x:c r="P4" s="19" t="str">
        <x:v>shenmu_swamp_intermission</x:v>
      </x:c>
      <x:c r="Q4" s="19" t="str">
        <x:v>shenmu_swamp_intermission</x:v>
      </x:c>
      <x:c r="R4" s="19" t="str">
        <x:v>shenmu_swamp_intermission</x:v>
      </x:c>
      <x:c r="S4" s="19" t="str">
        <x:v>shenmu_swamp_intermission</x:v>
      </x:c>
      <x:c r="T4" s="19" t="str">
        <x:v>shenmu_swamp_intermission</x:v>
      </x:c>
      <x:c r="U4" s="19" t="str">
        <x:v>shenmu_swamp_intermission</x:v>
      </x:c>
    </x:row>
    <x:row r="5" ht="22" customHeight="1">
      <x:c r="A5" s="56" t="str">
        <x:v>蓝色列可编辑。每种敌人一行；若同波重复选择同一稳定 ID，请合并数量。实际数量按当前模拟玩家数逐条向上取整。</x:v>
      </x:c>
      <x:c r="B5" s="56" t="str">
        <x:v>蓝色列可编辑。每种敌人一行；若同波重复选择同一稳定 ID，请合并数量。实际数量按当前模拟玩家数逐条向上取整。</x:v>
      </x:c>
      <x:c r="C5" s="56" t="str">
        <x:v>蓝色列可编辑。每种敌人一行；若同波重复选择同一稳定 ID，请合并数量。实际数量按当前模拟玩家数逐条向上取整。</x:v>
      </x:c>
      <x:c r="D5" s="56" t="str">
        <x:v>蓝色列可编辑。每种敌人一行；若同波重复选择同一稳定 ID，请合并数量。实际数量按当前模拟玩家数逐条向上取整。</x:v>
      </x:c>
      <x:c r="E5" s="56" t="str">
        <x:v>蓝色列可编辑。每种敌人一行；若同波重复选择同一稳定 ID，请合并数量。实际数量按当前模拟玩家数逐条向上取整。</x:v>
      </x:c>
      <x:c r="F5" s="56" t="str">
        <x:v>蓝色列可编辑。每种敌人一行；若同波重复选择同一稳定 ID，请合并数量。实际数量按当前模拟玩家数逐条向上取整。</x:v>
      </x:c>
      <x:c r="G5" s="56" t="str">
        <x:v>蓝色列可编辑。每种敌人一行；若同波重复选择同一稳定 ID，请合并数量。实际数量按当前模拟玩家数逐条向上取整。</x:v>
      </x:c>
      <x:c r="H5" s="56" t="str">
        <x:v>蓝色列可编辑。每种敌人一行；若同波重复选择同一稳定 ID，请合并数量。实际数量按当前模拟玩家数逐条向上取整。</x:v>
      </x:c>
      <x:c r="I5" s="56" t="str">
        <x:v>蓝色列可编辑。每种敌人一行；若同波重复选择同一稳定 ID，请合并数量。实际数量按当前模拟玩家数逐条向上取整。</x:v>
      </x:c>
      <x:c r="J5" s="56" t="str">
        <x:v>蓝色列可编辑。每种敌人一行；若同波重复选择同一稳定 ID，请合并数量。实际数量按当前模拟玩家数逐条向上取整。</x:v>
      </x:c>
      <x:c r="K5" s="56" t="str">
        <x:v>蓝色列可编辑。每种敌人一行；若同波重复选择同一稳定 ID，请合并数量。实际数量按当前模拟玩家数逐条向上取整。</x:v>
      </x:c>
      <x:c r="L5" s="56" t="str">
        <x:v>蓝色列可编辑。每种敌人一行；若同波重复选择同一稳定 ID，请合并数量。实际数量按当前模拟玩家数逐条向上取整。</x:v>
      </x:c>
      <x:c r="M5" s="56" t="str">
        <x:v>蓝色列可编辑。每种敌人一行；若同波重复选择同一稳定 ID，请合并数量。实际数量按当前模拟玩家数逐条向上取整。</x:v>
      </x:c>
      <x:c r="N5" s="56" t="str">
        <x:v>蓝色列可编辑。每种敌人一行；若同波重复选择同一稳定 ID，请合并数量。实际数量按当前模拟玩家数逐条向上取整。</x:v>
      </x:c>
      <x:c r="O5" s="56" t="str">
        <x:v>蓝色列可编辑。每种敌人一行；若同波重复选择同一稳定 ID，请合并数量。实际数量按当前模拟玩家数逐条向上取整。</x:v>
      </x:c>
      <x:c r="P5" s="56" t="str">
        <x:v>蓝色列可编辑。每种敌人一行；若同波重复选择同一稳定 ID，请合并数量。实际数量按当前模拟玩家数逐条向上取整。</x:v>
      </x:c>
      <x:c r="Q5" s="56" t="str">
        <x:v>蓝色列可编辑。每种敌人一行；若同波重复选择同一稳定 ID，请合并数量。实际数量按当前模拟玩家数逐条向上取整。</x:v>
      </x:c>
      <x:c r="R5" s="56" t="str">
        <x:v>蓝色列可编辑。每种敌人一行；若同波重复选择同一稳定 ID，请合并数量。实际数量按当前模拟玩家数逐条向上取整。</x:v>
      </x:c>
      <x:c r="S5" s="56" t="str">
        <x:v>蓝色列可编辑。每种敌人一行；若同波重复选择同一稳定 ID，请合并数量。实际数量按当前模拟玩家数逐条向上取整。</x:v>
      </x:c>
      <x:c r="T5" s="56" t="str">
        <x:v>蓝色列可编辑。每种敌人一行；若同波重复选择同一稳定 ID，请合并数量。实际数量按当前模拟玩家数逐条向上取整。</x:v>
      </x:c>
      <x:c r="U5" s="56" t="str">
        <x:v>蓝色列可编辑。每种敌人一行；若同波重复选择同一稳定 ID，请合并数量。实际数量按当前模拟玩家数逐条向上取整。</x:v>
      </x:c>
    </x:row>
    <x:row r="6" ht="22" customHeight="1">
      <x:c r="A6" s="63" t="str">
        <x:v>槽位</x:v>
      </x:c>
      <x:c r="B6" s="63" t="str">
        <x:v>敌人（下拉选择）</x:v>
      </x:c>
      <x:c r="C6" s="63" t="str">
        <x:v>基础数量</x:v>
      </x:c>
      <x:c r="D6" s="63" t="str">
        <x:v>本波息壤覆盖</x:v>
      </x:c>
      <x:c r="E6" s="63" t="str">
        <x:v>稳定敌人ID</x:v>
      </x:c>
      <x:c r="F6" s="63" t="str">
        <x:v>实际数量</x:v>
      </x:c>
      <x:c r="G6" s="63" t="str">
        <x:v>生命</x:v>
      </x:c>
      <x:c r="H6" s="63" t="str">
        <x:v>攻击</x:v>
      </x:c>
      <x:c r="I6" s="63" t="str">
        <x:v>物理防御</x:v>
      </x:c>
      <x:c r="J6" s="63" t="str">
        <x:v>法术防御</x:v>
      </x:c>
      <x:c r="K6" s="63" t="str">
        <x:v>移速</x:v>
      </x:c>
      <x:c r="L6" s="63" t="str">
        <x:v>Home伤害</x:v>
      </x:c>
      <x:c r="M6" s="63" t="str">
        <x:v>游戏默认息壤</x:v>
      </x:c>
      <x:c r="N6" s="63" t="str">
        <x:v>有效息壤</x:v>
      </x:c>
      <x:c r="O6" s="63" t="str">
        <x:v>掉落期望/击杀</x:v>
      </x:c>
      <x:c r="P6" s="63" t="str">
        <x:v>总生命</x:v>
      </x:c>
      <x:c r="Q6" s="63" t="str">
        <x:v>全漏Home伤害</x:v>
      </x:c>
      <x:c r="R6" s="63" t="str">
        <x:v>最大息壤/玩家</x:v>
      </x:c>
      <x:c r="S6" s="63" t="str">
        <x:v>最大息壤/队伍</x:v>
      </x:c>
      <x:c r="T6" s="63" t="str">
        <x:v>掉落期望</x:v>
      </x:c>
      <x:c r="U6" s="63" t="str">
        <x:v>校验</x:v>
      </x:c>
    </x:row>
    <x:row r="7" ht="22" customHeight="1">
      <x:c r="A7" s="72" t="n">
        <x:v>1</x:v>
      </x:c>
      <x:c r="B7" s="41" t="str">
        <x:v>yuanshi_insect_basic｜普通原石虫</x:v>
      </x:c>
      <x:c r="C7" s="41" t="n">
        <x:v>28</x:v>
      </x:c>
      <x:c r="D7" s="41"/>
      <x:c r="E7" s="19" t="str">
        <x:f>IFERROR(VLOOKUP(B7,'敌人目录'!$A$6:$S$54,2,FALSE),"")</x:f>
        <x:v>yuanshi_insect_basic</x:v>
      </x:c>
      <x:c r="F7" s="19" t="n">
        <x:f>IF(OR(B7="",C7=""),"",ROUNDUP(C7*(1+('全局设置'!$B$5-1)*'全局设置'!$B$6),0))</x:f>
        <x:v>28</x:v>
      </x:c>
      <x:c r="G7" s="19" t="n">
        <x:f>IFERROR(VLOOKUP(B7,'敌人目录'!$A$6:$S$54,7,FALSE),"")</x:f>
        <x:v>40</x:v>
      </x:c>
      <x:c r="H7" s="19" t="n">
        <x:f>IFERROR(VLOOKUP(B7,'敌人目录'!$A$6:$S$54,8,FALSE),"")</x:f>
        <x:v>10</x:v>
      </x:c>
      <x:c r="I7" s="19" t="n">
        <x:f>IFERROR(VLOOKUP(B7,'敌人目录'!$A$6:$S$54,9,FALSE),"")</x:f>
        <x:v>0</x:v>
      </x:c>
      <x:c r="J7" s="19" t="n">
        <x:f>IFERROR(VLOOKUP(B7,'敌人目录'!$A$6:$S$54,10,FALSE),"")</x:f>
        <x:v>0</x:v>
      </x:c>
      <x:c r="K7" s="19" t="n">
        <x:f>IFERROR(VLOOKUP(B7,'敌人目录'!$A$6:$S$54,11,FALSE),"")</x:f>
        <x:v>20</x:v>
      </x:c>
      <x:c r="L7" s="19" t="n">
        <x:f>IFERROR(VLOOKUP(B7,'敌人目录'!$A$6:$S$54,12,FALSE),"")</x:f>
        <x:v>1</x:v>
      </x:c>
      <x:c r="M7" s="19" t="n">
        <x:f>IFERROR(VLOOKUP(B7,'敌人目录'!$A$6:$S$54,13,FALSE),"")</x:f>
        <x:v>1</x:v>
      </x:c>
      <x:c r="N7" s="19" t="n">
        <x:f>IF(B7="","",IF(ISNUMBER(D7),D7,IFERROR(VLOOKUP(B7,'敌人目录'!$A$6:$S$54,14,FALSE),"")))</x:f>
        <x:v>1</x:v>
      </x:c>
      <x:c r="O7" s="64" t="n">
        <x:f>IFERROR(VLOOKUP(B7,'敌人目录'!$A$6:$S$54,15,FALSE),"")</x:f>
        <x:v>0.05</x:v>
      </x:c>
      <x:c r="P7" s="19" t="n">
        <x:f>IF(F7="","",F7*G7)</x:f>
        <x:v>1120</x:v>
      </x:c>
      <x:c r="Q7" s="19" t="n">
        <x:f>IF(F7="","",F7*L7)</x:f>
        <x:v>28</x:v>
      </x:c>
      <x:c r="R7" s="19" t="n">
        <x:f>IF(F7="","",F7*N7)</x:f>
        <x:v>28</x:v>
      </x:c>
      <x:c r="S7" s="19" t="n">
        <x:f>IF(R7="","",R7*'全局设置'!$B$5)</x:f>
        <x:v>28</x:v>
      </x:c>
      <x:c r="T7" s="73" t="n">
        <x:f>IF(F7="","",F7*O7)</x:f>
        <x:v>1.4000000000000001</x:v>
      </x:c>
      <x:c r="U7" s="19" t="str">
        <x:f>IF(AND(B7="",C7=""),"",IF(B7="","缺少敌人",IF(C7="","缺少数量",IF(OR(C7&lt;1,C7&gt;9999,C7&lt;&gt;INT(C7)),"数量无效",IF(COUNTIF($E$7:$E$24,E7)&gt;1,"重复敌人",IF(AND(ISNUMBER(D7),OR(D7&lt;0,D7&gt;999,D7&lt;&gt;INT(D7))),"奖励无效","可导入"))))))</x:f>
        <x:v>可导入</x:v>
      </x:c>
    </x:row>
    <x:row r="8" ht="22" customHeight="1">
      <x:c r="A8" s="72" t="n">
        <x:v>2</x:v>
      </x:c>
      <x:c r="B8" s="41" t="str">
        <x:v>yuanshi_insect_fast｜迅捷原石虫</x:v>
      </x:c>
      <x:c r="C8" s="41" t="n">
        <x:v>20</x:v>
      </x:c>
      <x:c r="D8" s="41"/>
      <x:c r="E8" s="19" t="str">
        <x:f>IFERROR(VLOOKUP(B8,'敌人目录'!$A$6:$S$54,2,FALSE),"")</x:f>
        <x:v>yuanshi_insect_fast</x:v>
      </x:c>
      <x:c r="F8" s="19" t="n">
        <x:f>IF(OR(B8="",C8=""),"",ROUNDUP(C8*(1+('全局设置'!$B$5-1)*'全局设置'!$B$6),0))</x:f>
        <x:v>20</x:v>
      </x:c>
      <x:c r="G8" s="19" t="n">
        <x:f>IFERROR(VLOOKUP(B8,'敌人目录'!$A$6:$S$54,7,FALSE),"")</x:f>
        <x:v>35</x:v>
      </x:c>
      <x:c r="H8" s="19" t="n">
        <x:f>IFERROR(VLOOKUP(B8,'敌人目录'!$A$6:$S$54,8,FALSE),"")</x:f>
        <x:v>10</x:v>
      </x:c>
      <x:c r="I8" s="19" t="n">
        <x:f>IFERROR(VLOOKUP(B8,'敌人目录'!$A$6:$S$54,9,FALSE),"")</x:f>
        <x:v>0</x:v>
      </x:c>
      <x:c r="J8" s="19" t="n">
        <x:f>IFERROR(VLOOKUP(B8,'敌人目录'!$A$6:$S$54,10,FALSE),"")</x:f>
        <x:v>0</x:v>
      </x:c>
      <x:c r="K8" s="19" t="n">
        <x:f>IFERROR(VLOOKUP(B8,'敌人目录'!$A$6:$S$54,11,FALSE),"")</x:f>
        <x:v>40</x:v>
      </x:c>
      <x:c r="L8" s="19" t="n">
        <x:f>IFERROR(VLOOKUP(B8,'敌人目录'!$A$6:$S$54,12,FALSE),"")</x:f>
        <x:v>1</x:v>
      </x:c>
      <x:c r="M8" s="19" t="n">
        <x:f>IFERROR(VLOOKUP(B8,'敌人目录'!$A$6:$S$54,13,FALSE),"")</x:f>
        <x:v>1</x:v>
      </x:c>
      <x:c r="N8" s="19" t="n">
        <x:f>IF(B8="","",IF(ISNUMBER(D8),D8,IFERROR(VLOOKUP(B8,'敌人目录'!$A$6:$S$54,14,FALSE),"")))</x:f>
        <x:v>1</x:v>
      </x:c>
      <x:c r="O8" s="64" t="n">
        <x:f>IFERROR(VLOOKUP(B8,'敌人目录'!$A$6:$S$54,15,FALSE),"")</x:f>
        <x:v>0.05</x:v>
      </x:c>
      <x:c r="P8" s="19" t="n">
        <x:f>IF(F8="","",F8*G8)</x:f>
        <x:v>700</x:v>
      </x:c>
      <x:c r="Q8" s="19" t="n">
        <x:f>IF(F8="","",F8*L8)</x:f>
        <x:v>20</x:v>
      </x:c>
      <x:c r="R8" s="19" t="n">
        <x:f>IF(F8="","",F8*N8)</x:f>
        <x:v>20</x:v>
      </x:c>
      <x:c r="S8" s="19" t="n">
        <x:f>IF(R8="","",R8*'全局设置'!$B$5)</x:f>
        <x:v>20</x:v>
      </x:c>
      <x:c r="T8" s="73" t="n">
        <x:f>IF(F8="","",F8*O8)</x:f>
        <x:v>1</x:v>
      </x:c>
      <x:c r="U8" s="19" t="str">
        <x:f>IF(AND(B8="",C8=""),"",IF(B8="","缺少敌人",IF(C8="","缺少数量",IF(OR(C8&lt;1,C8&gt;9999,C8&lt;&gt;INT(C8)),"数量无效",IF(COUNTIF($E$7:$E$24,E8)&gt;1,"重复敌人",IF(AND(ISNUMBER(D8),OR(D8&lt;0,D8&gt;999,D8&lt;&gt;INT(D8))),"奖励无效","可导入"))))))</x:f>
        <x:v>可导入</x:v>
      </x:c>
    </x:row>
    <x:row r="9" ht="22" customHeight="1">
      <x:c r="A9" s="72" t="n">
        <x:v>3</x:v>
      </x:c>
      <x:c r="B9" s="41" t="str">
        <x:v>yuanshi_insect_shell｜硬壳原石虫</x:v>
      </x:c>
      <x:c r="C9" s="41" t="n">
        <x:v>12</x:v>
      </x:c>
      <x:c r="D9" s="41"/>
      <x:c r="E9" s="19" t="str">
        <x:f>IFERROR(VLOOKUP(B9,'敌人目录'!$A$6:$S$54,2,FALSE),"")</x:f>
        <x:v>yuanshi_insect_shell</x:v>
      </x:c>
      <x:c r="F9" s="19" t="n">
        <x:f>IF(OR(B9="",C9=""),"",ROUNDUP(C9*(1+('全局设置'!$B$5-1)*'全局设置'!$B$6),0))</x:f>
        <x:v>12</x:v>
      </x:c>
      <x:c r="G9" s="19" t="n">
        <x:f>IFERROR(VLOOKUP(B9,'敌人目录'!$A$6:$S$54,7,FALSE),"")</x:f>
        <x:v>140</x:v>
      </x:c>
      <x:c r="H9" s="19" t="n">
        <x:f>IFERROR(VLOOKUP(B9,'敌人目录'!$A$6:$S$54,8,FALSE),"")</x:f>
        <x:v>14</x:v>
      </x:c>
      <x:c r="I9" s="19" t="n">
        <x:f>IFERROR(VLOOKUP(B9,'敌人目录'!$A$6:$S$54,9,FALSE),"")</x:f>
        <x:v>3</x:v>
      </x:c>
      <x:c r="J9" s="19" t="n">
        <x:f>IFERROR(VLOOKUP(B9,'敌人目录'!$A$6:$S$54,10,FALSE),"")</x:f>
        <x:v>0</x:v>
      </x:c>
      <x:c r="K9" s="19" t="n">
        <x:f>IFERROR(VLOOKUP(B9,'敌人目录'!$A$6:$S$54,11,FALSE),"")</x:f>
        <x:v>20</x:v>
      </x:c>
      <x:c r="L9" s="19" t="n">
        <x:f>IFERROR(VLOOKUP(B9,'敌人目录'!$A$6:$S$54,12,FALSE),"")</x:f>
        <x:v>2</x:v>
      </x:c>
      <x:c r="M9" s="19" t="n">
        <x:f>IFERROR(VLOOKUP(B9,'敌人目录'!$A$6:$S$54,13,FALSE),"")</x:f>
        <x:v>2</x:v>
      </x:c>
      <x:c r="N9" s="19" t="n">
        <x:f>IF(B9="","",IF(ISNUMBER(D9),D9,IFERROR(VLOOKUP(B9,'敌人目录'!$A$6:$S$54,14,FALSE),"")))</x:f>
        <x:v>2</x:v>
      </x:c>
      <x:c r="O9" s="64" t="n">
        <x:f>IFERROR(VLOOKUP(B9,'敌人目录'!$A$6:$S$54,15,FALSE),"")</x:f>
        <x:v>0.05</x:v>
      </x:c>
      <x:c r="P9" s="19" t="n">
        <x:f>IF(F9="","",F9*G9)</x:f>
        <x:v>1680</x:v>
      </x:c>
      <x:c r="Q9" s="19" t="n">
        <x:f>IF(F9="","",F9*L9)</x:f>
        <x:v>24</x:v>
      </x:c>
      <x:c r="R9" s="19" t="n">
        <x:f>IF(F9="","",F9*N9)</x:f>
        <x:v>24</x:v>
      </x:c>
      <x:c r="S9" s="19" t="n">
        <x:f>IF(R9="","",R9*'全局设置'!$B$5)</x:f>
        <x:v>24</x:v>
      </x:c>
      <x:c r="T9" s="73" t="n">
        <x:f>IF(F9="","",F9*O9)</x:f>
        <x:v>0.6000000000000001</x:v>
      </x:c>
      <x:c r="U9" s="19" t="str">
        <x:f>IF(AND(B9="",C9=""),"",IF(B9="","缺少敌人",IF(C9="","缺少数量",IF(OR(C9&lt;1,C9&gt;9999,C9&lt;&gt;INT(C9)),"数量无效",IF(COUNTIF($E$7:$E$24,E9)&gt;1,"重复敌人",IF(AND(ISNUMBER(D9),OR(D9&lt;0,D9&gt;999,D9&lt;&gt;INT(D9))),"奖励无效","可导入"))))))</x:f>
        <x:v>可导入</x:v>
      </x:c>
    </x:row>
    <x:row r="10" ht="22" customHeight="1">
      <x:c r="A10" s="72" t="n">
        <x:v>4</x:v>
      </x:c>
      <x:c r="B10" s="41" t="str">
        <x:v>yuanshi_insect_bomber｜自爆原石虫</x:v>
      </x:c>
      <x:c r="C10" s="41" t="n">
        <x:v>8</x:v>
      </x:c>
      <x:c r="D10" s="41"/>
      <x:c r="E10" s="19" t="str">
        <x:f>IFERROR(VLOOKUP(B10,'敌人目录'!$A$6:$S$54,2,FALSE),"")</x:f>
        <x:v>yuanshi_insect_bomber</x:v>
      </x:c>
      <x:c r="F10" s="19" t="n">
        <x:f>IF(OR(B10="",C10=""),"",ROUNDUP(C10*(1+('全局设置'!$B$5-1)*'全局设置'!$B$6),0))</x:f>
        <x:v>8</x:v>
      </x:c>
      <x:c r="G10" s="19" t="n">
        <x:f>IFERROR(VLOOKUP(B10,'敌人目录'!$A$6:$S$54,7,FALSE),"")</x:f>
        <x:v>30</x:v>
      </x:c>
      <x:c r="H10" s="19" t="n">
        <x:f>IFERROR(VLOOKUP(B10,'敌人目录'!$A$6:$S$54,8,FALSE),"")</x:f>
        <x:v>10</x:v>
      </x:c>
      <x:c r="I10" s="19" t="n">
        <x:f>IFERROR(VLOOKUP(B10,'敌人目录'!$A$6:$S$54,9,FALSE),"")</x:f>
        <x:v>0</x:v>
      </x:c>
      <x:c r="J10" s="19" t="n">
        <x:f>IFERROR(VLOOKUP(B10,'敌人目录'!$A$6:$S$54,10,FALSE),"")</x:f>
        <x:v>0</x:v>
      </x:c>
      <x:c r="K10" s="19" t="n">
        <x:f>IFERROR(VLOOKUP(B10,'敌人目录'!$A$6:$S$54,11,FALSE),"")</x:f>
        <x:v>18</x:v>
      </x:c>
      <x:c r="L10" s="19" t="n">
        <x:f>IFERROR(VLOOKUP(B10,'敌人目录'!$A$6:$S$54,12,FALSE),"")</x:f>
        <x:v>1</x:v>
      </x:c>
      <x:c r="M10" s="19" t="n">
        <x:f>IFERROR(VLOOKUP(B10,'敌人目录'!$A$6:$S$54,13,FALSE),"")</x:f>
        <x:v>1</x:v>
      </x:c>
      <x:c r="N10" s="19" t="n">
        <x:f>IF(B10="","",IF(ISNUMBER(D10),D10,IFERROR(VLOOKUP(B10,'敌人目录'!$A$6:$S$54,14,FALSE),"")))</x:f>
        <x:v>1</x:v>
      </x:c>
      <x:c r="O10" s="64" t="n">
        <x:f>IFERROR(VLOOKUP(B10,'敌人目录'!$A$6:$S$54,15,FALSE),"")</x:f>
        <x:v>0.05</x:v>
      </x:c>
      <x:c r="P10" s="19" t="n">
        <x:f>IF(F10="","",F10*G10)</x:f>
        <x:v>240</x:v>
      </x:c>
      <x:c r="Q10" s="19" t="n">
        <x:f>IF(F10="","",F10*L10)</x:f>
        <x:v>8</x:v>
      </x:c>
      <x:c r="R10" s="19" t="n">
        <x:f>IF(F10="","",F10*N10)</x:f>
        <x:v>8</x:v>
      </x:c>
      <x:c r="S10" s="19" t="n">
        <x:f>IF(R10="","",R10*'全局设置'!$B$5)</x:f>
        <x:v>8</x:v>
      </x:c>
      <x:c r="T10" s="73" t="n">
        <x:f>IF(F10="","",F10*O10)</x:f>
        <x:v>0.4</x:v>
      </x:c>
      <x:c r="U10" s="19" t="str">
        <x:f>IF(AND(B10="",C10=""),"",IF(B10="","缺少敌人",IF(C10="","缺少数量",IF(OR(C10&lt;1,C10&gt;9999,C10&lt;&gt;INT(C10)),"数量无效",IF(COUNTIF($E$7:$E$24,E10)&gt;1,"重复敌人",IF(AND(ISNUMBER(D10),OR(D10&lt;0,D10&gt;999,D10&lt;&gt;INT(D10))),"奖励无效","可导入"))))))</x:f>
        <x:v>可导入</x:v>
      </x:c>
    </x:row>
    <x:row r="11" ht="22" customHeight="1">
      <x:c r="A11" s="72" t="n">
        <x:v>5</x:v>
      </x:c>
      <x:c r="B11" s="41" t="str">
        <x:v>yuanshi_insect_fire_ranged｜火焰弹原石虫</x:v>
      </x:c>
      <x:c r="C11" s="41" t="n">
        <x:v>8</x:v>
      </x:c>
      <x:c r="D11" s="41"/>
      <x:c r="E11" s="19" t="str">
        <x:f>IFERROR(VLOOKUP(B11,'敌人目录'!$A$6:$S$54,2,FALSE),"")</x:f>
        <x:v>yuanshi_insect_fire_ranged</x:v>
      </x:c>
      <x:c r="F11" s="19" t="n">
        <x:f>IF(OR(B11="",C11=""),"",ROUNDUP(C11*(1+('全局设置'!$B$5-1)*'全局设置'!$B$6),0))</x:f>
        <x:v>8</x:v>
      </x:c>
      <x:c r="G11" s="19" t="n">
        <x:f>IFERROR(VLOOKUP(B11,'敌人目录'!$A$6:$S$54,7,FALSE),"")</x:f>
        <x:v>40</x:v>
      </x:c>
      <x:c r="H11" s="19" t="n">
        <x:f>IFERROR(VLOOKUP(B11,'敌人目录'!$A$6:$S$54,8,FALSE),"")</x:f>
        <x:v>25</x:v>
      </x:c>
      <x:c r="I11" s="19" t="n">
        <x:f>IFERROR(VLOOKUP(B11,'敌人目录'!$A$6:$S$54,9,FALSE),"")</x:f>
        <x:v>0</x:v>
      </x:c>
      <x:c r="J11" s="19" t="n">
        <x:f>IFERROR(VLOOKUP(B11,'敌人目录'!$A$6:$S$54,10,FALSE),"")</x:f>
        <x:v>0</x:v>
      </x:c>
      <x:c r="K11" s="19" t="n">
        <x:f>IFERROR(VLOOKUP(B11,'敌人目录'!$A$6:$S$54,11,FALSE),"")</x:f>
        <x:v>22</x:v>
      </x:c>
      <x:c r="L11" s="19" t="n">
        <x:f>IFERROR(VLOOKUP(B11,'敌人目录'!$A$6:$S$54,12,FALSE),"")</x:f>
        <x:v>2</x:v>
      </x:c>
      <x:c r="M11" s="19" t="n">
        <x:f>IFERROR(VLOOKUP(B11,'敌人目录'!$A$6:$S$54,13,FALSE),"")</x:f>
        <x:v>1</x:v>
      </x:c>
      <x:c r="N11" s="19" t="n">
        <x:f>IF(B11="","",IF(ISNUMBER(D11),D11,IFERROR(VLOOKUP(B11,'敌人目录'!$A$6:$S$54,14,FALSE),"")))</x:f>
        <x:v>1</x:v>
      </x:c>
      <x:c r="O11" s="64" t="n">
        <x:f>IFERROR(VLOOKUP(B11,'敌人目录'!$A$6:$S$54,15,FALSE),"")</x:f>
        <x:v>0.05</x:v>
      </x:c>
      <x:c r="P11" s="19" t="n">
        <x:f>IF(F11="","",F11*G11)</x:f>
        <x:v>320</x:v>
      </x:c>
      <x:c r="Q11" s="19" t="n">
        <x:f>IF(F11="","",F11*L11)</x:f>
        <x:v>16</x:v>
      </x:c>
      <x:c r="R11" s="19" t="n">
        <x:f>IF(F11="","",F11*N11)</x:f>
        <x:v>8</x:v>
      </x:c>
      <x:c r="S11" s="19" t="n">
        <x:f>IF(R11="","",R11*'全局设置'!$B$5)</x:f>
        <x:v>8</x:v>
      </x:c>
      <x:c r="T11" s="73" t="n">
        <x:f>IF(F11="","",F11*O11)</x:f>
        <x:v>0.4</x:v>
      </x:c>
      <x:c r="U11" s="19" t="str">
        <x:f>IF(AND(B11="",C11=""),"",IF(B11="","缺少敌人",IF(C11="","缺少数量",IF(OR(C11&lt;1,C11&gt;9999,C11&lt;&gt;INT(C11)),"数量无效",IF(COUNTIF($E$7:$E$24,E11)&gt;1,"重复敌人",IF(AND(ISNUMBER(D11),OR(D11&lt;0,D11&gt;999,D11&lt;&gt;INT(D11))),"奖励无效","可导入"))))))</x:f>
        <x:v>可导入</x:v>
      </x:c>
    </x:row>
    <x:row r="12" ht="22" customHeight="1">
      <x:c r="A12" s="72" t="n">
        <x:v>6</x:v>
      </x:c>
      <x:c r="B12" s="41" t="str">
        <x:v>yuanshi_insect_guardian｜守护者原石虫</x:v>
      </x:c>
      <x:c r="C12" s="41" t="n">
        <x:v>4</x:v>
      </x:c>
      <x:c r="D12" s="41"/>
      <x:c r="E12" s="19" t="str">
        <x:f>IFERROR(VLOOKUP(B12,'敌人目录'!$A$6:$S$54,2,FALSE),"")</x:f>
        <x:v>yuanshi_insect_guardian</x:v>
      </x:c>
      <x:c r="F12" s="19" t="n">
        <x:f>IF(OR(B12="",C12=""),"",ROUNDUP(C12*(1+('全局设置'!$B$5-1)*'全局设置'!$B$6),0))</x:f>
        <x:v>4</x:v>
      </x:c>
      <x:c r="G12" s="19" t="n">
        <x:f>IFERROR(VLOOKUP(B12,'敌人目录'!$A$6:$S$54,7,FALSE),"")</x:f>
        <x:v>150</x:v>
      </x:c>
      <x:c r="H12" s="19" t="n">
        <x:f>IFERROR(VLOOKUP(B12,'敌人目录'!$A$6:$S$54,8,FALSE),"")</x:f>
        <x:v>10</x:v>
      </x:c>
      <x:c r="I12" s="19" t="n">
        <x:f>IFERROR(VLOOKUP(B12,'敌人目录'!$A$6:$S$54,9,FALSE),"")</x:f>
        <x:v>5</x:v>
      </x:c>
      <x:c r="J12" s="19" t="n">
        <x:f>IFERROR(VLOOKUP(B12,'敌人目录'!$A$6:$S$54,10,FALSE),"")</x:f>
        <x:v>0</x:v>
      </x:c>
      <x:c r="K12" s="19" t="n">
        <x:f>IFERROR(VLOOKUP(B12,'敌人目录'!$A$6:$S$54,11,FALSE),"")</x:f>
        <x:v>20</x:v>
      </x:c>
      <x:c r="L12" s="19" t="n">
        <x:f>IFERROR(VLOOKUP(B12,'敌人目录'!$A$6:$S$54,12,FALSE),"")</x:f>
        <x:v>5</x:v>
      </x:c>
      <x:c r="M12" s="19" t="n">
        <x:f>IFERROR(VLOOKUP(B12,'敌人目录'!$A$6:$S$54,13,FALSE),"")</x:f>
        <x:v>2</x:v>
      </x:c>
      <x:c r="N12" s="19" t="n">
        <x:f>IF(B12="","",IF(ISNUMBER(D12),D12,IFERROR(VLOOKUP(B12,'敌人目录'!$A$6:$S$54,14,FALSE),"")))</x:f>
        <x:v>2</x:v>
      </x:c>
      <x:c r="O12" s="64" t="n">
        <x:f>IFERROR(VLOOKUP(B12,'敌人目录'!$A$6:$S$54,15,FALSE),"")</x:f>
        <x:v>0.05</x:v>
      </x:c>
      <x:c r="P12" s="19" t="n">
        <x:f>IF(F12="","",F12*G12)</x:f>
        <x:v>600</x:v>
      </x:c>
      <x:c r="Q12" s="19" t="n">
        <x:f>IF(F12="","",F12*L12)</x:f>
        <x:v>20</x:v>
      </x:c>
      <x:c r="R12" s="19" t="n">
        <x:f>IF(F12="","",F12*N12)</x:f>
        <x:v>8</x:v>
      </x:c>
      <x:c r="S12" s="19" t="n">
        <x:f>IF(R12="","",R12*'全局设置'!$B$5)</x:f>
        <x:v>8</x:v>
      </x:c>
      <x:c r="T12" s="73" t="n">
        <x:f>IF(F12="","",F12*O12)</x:f>
        <x:v>0.2</x:v>
      </x:c>
      <x:c r="U12" s="19" t="str">
        <x:f>IF(AND(B12="",C12=""),"",IF(B12="","缺少敌人",IF(C12="","缺少数量",IF(OR(C12&lt;1,C12&gt;9999,C12&lt;&gt;INT(C12)),"数量无效",IF(COUNTIF($E$7:$E$24,E12)&gt;1,"重复敌人",IF(AND(ISNUMBER(D12),OR(D12&lt;0,D12&gt;999,D12&lt;&gt;INT(D12))),"奖励无效","可导入"))))))</x:f>
        <x:v>可导入</x:v>
      </x:c>
    </x:row>
    <x:row r="13" ht="22" customHeight="1">
      <x:c r="A13" s="72" t="n">
        <x:v>7</x:v>
      </x:c>
      <x:c r="B13" s="41"/>
      <x:c r="C13" s="41"/>
      <x:c r="D13" s="41"/>
      <x:c r="E13" s="19" t="str">
        <x:f>IFERROR(VLOOKUP(B13,'敌人目录'!$A$6:$S$54,2,FALSE),"")</x:f>
      </x:c>
      <x:c r="F13" s="19" t="str">
        <x:f>IF(OR(B13="",C13=""),"",ROUNDUP(C13*(1+('全局设置'!$B$5-1)*'全局设置'!$B$6),0))</x:f>
      </x:c>
      <x:c r="G13" s="19" t="str">
        <x:f>IFERROR(VLOOKUP(B13,'敌人目录'!$A$6:$S$54,7,FALSE),"")</x:f>
      </x:c>
      <x:c r="H13" s="19" t="str">
        <x:f>IFERROR(VLOOKUP(B13,'敌人目录'!$A$6:$S$54,8,FALSE),"")</x:f>
      </x:c>
      <x:c r="I13" s="19" t="str">
        <x:f>IFERROR(VLOOKUP(B13,'敌人目录'!$A$6:$S$54,9,FALSE),"")</x:f>
      </x:c>
      <x:c r="J13" s="19" t="str">
        <x:f>IFERROR(VLOOKUP(B13,'敌人目录'!$A$6:$S$54,10,FALSE),"")</x:f>
      </x:c>
      <x:c r="K13" s="19" t="str">
        <x:f>IFERROR(VLOOKUP(B13,'敌人目录'!$A$6:$S$54,11,FALSE),"")</x:f>
      </x:c>
      <x:c r="L13" s="19" t="str">
        <x:f>IFERROR(VLOOKUP(B13,'敌人目录'!$A$6:$S$54,12,FALSE),"")</x:f>
      </x:c>
      <x:c r="M13" s="19" t="str">
        <x:f>IFERROR(VLOOKUP(B13,'敌人目录'!$A$6:$S$54,13,FALSE),"")</x:f>
      </x:c>
      <x:c r="N13" s="19" t="str">
        <x:f>IF(B13="","",IF(ISNUMBER(D13),D13,IFERROR(VLOOKUP(B13,'敌人目录'!$A$6:$S$54,14,FALSE),"")))</x:f>
      </x:c>
      <x:c r="O13" s="64" t="str">
        <x:f>IFERROR(VLOOKUP(B13,'敌人目录'!$A$6:$S$54,15,FALSE),"")</x:f>
      </x:c>
      <x:c r="P13" s="19" t="str">
        <x:f>IF(F13="","",F13*G13)</x:f>
      </x:c>
      <x:c r="Q13" s="19" t="str">
        <x:f>IF(F13="","",F13*L13)</x:f>
      </x:c>
      <x:c r="R13" s="19" t="str">
        <x:f>IF(F13="","",F13*N13)</x:f>
      </x:c>
      <x:c r="S13" s="19" t="str">
        <x:f>IF(R13="","",R13*'全局设置'!$B$5)</x:f>
      </x:c>
      <x:c r="T13" s="73" t="str">
        <x:f>IF(F13="","",F13*O13)</x:f>
      </x:c>
      <x:c r="U13" s="19" t="str">
        <x:f>IF(AND(B13="",C13=""),"",IF(B13="","缺少敌人",IF(C13="","缺少数量",IF(OR(C13&lt;1,C13&gt;9999,C13&lt;&gt;INT(C13)),"数量无效",IF(COUNTIF($E$7:$E$24,E13)&gt;1,"重复敌人",IF(AND(ISNUMBER(D13),OR(D13&lt;0,D13&gt;999,D13&lt;&gt;INT(D13))),"奖励无效","可导入"))))))</x:f>
      </x:c>
    </x:row>
    <x:row r="14" ht="22" customHeight="1">
      <x:c r="A14" s="72" t="n">
        <x:v>8</x:v>
      </x:c>
      <x:c r="B14" s="41"/>
      <x:c r="C14" s="41"/>
      <x:c r="D14" s="41"/>
      <x:c r="E14" s="19" t="str">
        <x:f>IFERROR(VLOOKUP(B14,'敌人目录'!$A$6:$S$54,2,FALSE),"")</x:f>
      </x:c>
      <x:c r="F14" s="19" t="str">
        <x:f>IF(OR(B14="",C14=""),"",ROUNDUP(C14*(1+('全局设置'!$B$5-1)*'全局设置'!$B$6),0))</x:f>
      </x:c>
      <x:c r="G14" s="19" t="str">
        <x:f>IFERROR(VLOOKUP(B14,'敌人目录'!$A$6:$S$54,7,FALSE),"")</x:f>
      </x:c>
      <x:c r="H14" s="19" t="str">
        <x:f>IFERROR(VLOOKUP(B14,'敌人目录'!$A$6:$S$54,8,FALSE),"")</x:f>
      </x:c>
      <x:c r="I14" s="19" t="str">
        <x:f>IFERROR(VLOOKUP(B14,'敌人目录'!$A$6:$S$54,9,FALSE),"")</x:f>
      </x:c>
      <x:c r="J14" s="19" t="str">
        <x:f>IFERROR(VLOOKUP(B14,'敌人目录'!$A$6:$S$54,10,FALSE),"")</x:f>
      </x:c>
      <x:c r="K14" s="19" t="str">
        <x:f>IFERROR(VLOOKUP(B14,'敌人目录'!$A$6:$S$54,11,FALSE),"")</x:f>
      </x:c>
      <x:c r="L14" s="19" t="str">
        <x:f>IFERROR(VLOOKUP(B14,'敌人目录'!$A$6:$S$54,12,FALSE),"")</x:f>
      </x:c>
      <x:c r="M14" s="19" t="str">
        <x:f>IFERROR(VLOOKUP(B14,'敌人目录'!$A$6:$S$54,13,FALSE),"")</x:f>
      </x:c>
      <x:c r="N14" s="19" t="str">
        <x:f>IF(B14="","",IF(ISNUMBER(D14),D14,IFERROR(VLOOKUP(B14,'敌人目录'!$A$6:$S$54,14,FALSE),"")))</x:f>
      </x:c>
      <x:c r="O14" s="64" t="str">
        <x:f>IFERROR(VLOOKUP(B14,'敌人目录'!$A$6:$S$54,15,FALSE),"")</x:f>
      </x:c>
      <x:c r="P14" s="19" t="str">
        <x:f>IF(F14="","",F14*G14)</x:f>
      </x:c>
      <x:c r="Q14" s="19" t="str">
        <x:f>IF(F14="","",F14*L14)</x:f>
      </x:c>
      <x:c r="R14" s="19" t="str">
        <x:f>IF(F14="","",F14*N14)</x:f>
      </x:c>
      <x:c r="S14" s="19" t="str">
        <x:f>IF(R14="","",R14*'全局设置'!$B$5)</x:f>
      </x:c>
      <x:c r="T14" s="73" t="str">
        <x:f>IF(F14="","",F14*O14)</x:f>
      </x:c>
      <x:c r="U14" s="19" t="str">
        <x:f>IF(AND(B14="",C14=""),"",IF(B14="","缺少敌人",IF(C14="","缺少数量",IF(OR(C14&lt;1,C14&gt;9999,C14&lt;&gt;INT(C14)),"数量无效",IF(COUNTIF($E$7:$E$24,E14)&gt;1,"重复敌人",IF(AND(ISNUMBER(D14),OR(D14&lt;0,D14&gt;999,D14&lt;&gt;INT(D14))),"奖励无效","可导入"))))))</x:f>
      </x:c>
    </x:row>
    <x:row r="15" ht="22" customHeight="1">
      <x:c r="A15" s="72" t="n">
        <x:v>9</x:v>
      </x:c>
      <x:c r="B15" s="41"/>
      <x:c r="C15" s="41"/>
      <x:c r="D15" s="41"/>
      <x:c r="E15" s="19" t="str">
        <x:f>IFERROR(VLOOKUP(B15,'敌人目录'!$A$6:$S$54,2,FALSE),"")</x:f>
      </x:c>
      <x:c r="F15" s="19" t="str">
        <x:f>IF(OR(B15="",C15=""),"",ROUNDUP(C15*(1+('全局设置'!$B$5-1)*'全局设置'!$B$6),0))</x:f>
      </x:c>
      <x:c r="G15" s="19" t="str">
        <x:f>IFERROR(VLOOKUP(B15,'敌人目录'!$A$6:$S$54,7,FALSE),"")</x:f>
      </x:c>
      <x:c r="H15" s="19" t="str">
        <x:f>IFERROR(VLOOKUP(B15,'敌人目录'!$A$6:$S$54,8,FALSE),"")</x:f>
      </x:c>
      <x:c r="I15" s="19" t="str">
        <x:f>IFERROR(VLOOKUP(B15,'敌人目录'!$A$6:$S$54,9,FALSE),"")</x:f>
      </x:c>
      <x:c r="J15" s="19" t="str">
        <x:f>IFERROR(VLOOKUP(B15,'敌人目录'!$A$6:$S$54,10,FALSE),"")</x:f>
      </x:c>
      <x:c r="K15" s="19" t="str">
        <x:f>IFERROR(VLOOKUP(B15,'敌人目录'!$A$6:$S$54,11,FALSE),"")</x:f>
      </x:c>
      <x:c r="L15" s="19" t="str">
        <x:f>IFERROR(VLOOKUP(B15,'敌人目录'!$A$6:$S$54,12,FALSE),"")</x:f>
      </x:c>
      <x:c r="M15" s="19" t="str">
        <x:f>IFERROR(VLOOKUP(B15,'敌人目录'!$A$6:$S$54,13,FALSE),"")</x:f>
      </x:c>
      <x:c r="N15" s="19" t="str">
        <x:f>IF(B15="","",IF(ISNUMBER(D15),D15,IFERROR(VLOOKUP(B15,'敌人目录'!$A$6:$S$54,14,FALSE),"")))</x:f>
      </x:c>
      <x:c r="O15" s="64" t="str">
        <x:f>IFERROR(VLOOKUP(B15,'敌人目录'!$A$6:$S$54,15,FALSE),"")</x:f>
      </x:c>
      <x:c r="P15" s="19" t="str">
        <x:f>IF(F15="","",F15*G15)</x:f>
      </x:c>
      <x:c r="Q15" s="19" t="str">
        <x:f>IF(F15="","",F15*L15)</x:f>
      </x:c>
      <x:c r="R15" s="19" t="str">
        <x:f>IF(F15="","",F15*N15)</x:f>
      </x:c>
      <x:c r="S15" s="19" t="str">
        <x:f>IF(R15="","",R15*'全局设置'!$B$5)</x:f>
      </x:c>
      <x:c r="T15" s="73" t="str">
        <x:f>IF(F15="","",F15*O15)</x:f>
      </x:c>
      <x:c r="U15" s="19" t="str">
        <x:f>IF(AND(B15="",C15=""),"",IF(B15="","缺少敌人",IF(C15="","缺少数量",IF(OR(C15&lt;1,C15&gt;9999,C15&lt;&gt;INT(C15)),"数量无效",IF(COUNTIF($E$7:$E$24,E15)&gt;1,"重复敌人",IF(AND(ISNUMBER(D15),OR(D15&lt;0,D15&gt;999,D15&lt;&gt;INT(D15))),"奖励无效","可导入"))))))</x:f>
      </x:c>
    </x:row>
    <x:row r="16" ht="22" customHeight="1">
      <x:c r="A16" s="72" t="n">
        <x:v>10</x:v>
      </x:c>
      <x:c r="B16" s="41"/>
      <x:c r="C16" s="41"/>
      <x:c r="D16" s="41"/>
      <x:c r="E16" s="19" t="str">
        <x:f>IFERROR(VLOOKUP(B16,'敌人目录'!$A$6:$S$54,2,FALSE),"")</x:f>
      </x:c>
      <x:c r="F16" s="19" t="str">
        <x:f>IF(OR(B16="",C16=""),"",ROUNDUP(C16*(1+('全局设置'!$B$5-1)*'全局设置'!$B$6),0))</x:f>
      </x:c>
      <x:c r="G16" s="19" t="str">
        <x:f>IFERROR(VLOOKUP(B16,'敌人目录'!$A$6:$S$54,7,FALSE),"")</x:f>
      </x:c>
      <x:c r="H16" s="19" t="str">
        <x:f>IFERROR(VLOOKUP(B16,'敌人目录'!$A$6:$S$54,8,FALSE),"")</x:f>
      </x:c>
      <x:c r="I16" s="19" t="str">
        <x:f>IFERROR(VLOOKUP(B16,'敌人目录'!$A$6:$S$54,9,FALSE),"")</x:f>
      </x:c>
      <x:c r="J16" s="19" t="str">
        <x:f>IFERROR(VLOOKUP(B16,'敌人目录'!$A$6:$S$54,10,FALSE),"")</x:f>
      </x:c>
      <x:c r="K16" s="19" t="str">
        <x:f>IFERROR(VLOOKUP(B16,'敌人目录'!$A$6:$S$54,11,FALSE),"")</x:f>
      </x:c>
      <x:c r="L16" s="19" t="str">
        <x:f>IFERROR(VLOOKUP(B16,'敌人目录'!$A$6:$S$54,12,FALSE),"")</x:f>
      </x:c>
      <x:c r="M16" s="19" t="str">
        <x:f>IFERROR(VLOOKUP(B16,'敌人目录'!$A$6:$S$54,13,FALSE),"")</x:f>
      </x:c>
      <x:c r="N16" s="19" t="str">
        <x:f>IF(B16="","",IF(ISNUMBER(D16),D16,IFERROR(VLOOKUP(B16,'敌人目录'!$A$6:$S$54,14,FALSE),"")))</x:f>
      </x:c>
      <x:c r="O16" s="64" t="str">
        <x:f>IFERROR(VLOOKUP(B16,'敌人目录'!$A$6:$S$54,15,FALSE),"")</x:f>
      </x:c>
      <x:c r="P16" s="19" t="str">
        <x:f>IF(F16="","",F16*G16)</x:f>
      </x:c>
      <x:c r="Q16" s="19" t="str">
        <x:f>IF(F16="","",F16*L16)</x:f>
      </x:c>
      <x:c r="R16" s="19" t="str">
        <x:f>IF(F16="","",F16*N16)</x:f>
      </x:c>
      <x:c r="S16" s="19" t="str">
        <x:f>IF(R16="","",R16*'全局设置'!$B$5)</x:f>
      </x:c>
      <x:c r="T16" s="73" t="str">
        <x:f>IF(F16="","",F16*O16)</x:f>
      </x:c>
      <x:c r="U16" s="19" t="str">
        <x:f>IF(AND(B16="",C16=""),"",IF(B16="","缺少敌人",IF(C16="","缺少数量",IF(OR(C16&lt;1,C16&gt;9999,C16&lt;&gt;INT(C16)),"数量无效",IF(COUNTIF($E$7:$E$24,E16)&gt;1,"重复敌人",IF(AND(ISNUMBER(D16),OR(D16&lt;0,D16&gt;999,D16&lt;&gt;INT(D16))),"奖励无效","可导入"))))))</x:f>
      </x:c>
    </x:row>
    <x:row r="17" ht="22" customHeight="1">
      <x:c r="A17" s="72" t="n">
        <x:v>11</x:v>
      </x:c>
      <x:c r="B17" s="41"/>
      <x:c r="C17" s="41"/>
      <x:c r="D17" s="41"/>
      <x:c r="E17" s="19" t="str">
        <x:f>IFERROR(VLOOKUP(B17,'敌人目录'!$A$6:$S$54,2,FALSE),"")</x:f>
      </x:c>
      <x:c r="F17" s="19" t="str">
        <x:f>IF(OR(B17="",C17=""),"",ROUNDUP(C17*(1+('全局设置'!$B$5-1)*'全局设置'!$B$6),0))</x:f>
      </x:c>
      <x:c r="G17" s="19" t="str">
        <x:f>IFERROR(VLOOKUP(B17,'敌人目录'!$A$6:$S$54,7,FALSE),"")</x:f>
      </x:c>
      <x:c r="H17" s="19" t="str">
        <x:f>IFERROR(VLOOKUP(B17,'敌人目录'!$A$6:$S$54,8,FALSE),"")</x:f>
      </x:c>
      <x:c r="I17" s="19" t="str">
        <x:f>IFERROR(VLOOKUP(B17,'敌人目录'!$A$6:$S$54,9,FALSE),"")</x:f>
      </x:c>
      <x:c r="J17" s="19" t="str">
        <x:f>IFERROR(VLOOKUP(B17,'敌人目录'!$A$6:$S$54,10,FALSE),"")</x:f>
      </x:c>
      <x:c r="K17" s="19" t="str">
        <x:f>IFERROR(VLOOKUP(B17,'敌人目录'!$A$6:$S$54,11,FALSE),"")</x:f>
      </x:c>
      <x:c r="L17" s="19" t="str">
        <x:f>IFERROR(VLOOKUP(B17,'敌人目录'!$A$6:$S$54,12,FALSE),"")</x:f>
      </x:c>
      <x:c r="M17" s="19" t="str">
        <x:f>IFERROR(VLOOKUP(B17,'敌人目录'!$A$6:$S$54,13,FALSE),"")</x:f>
      </x:c>
      <x:c r="N17" s="19" t="str">
        <x:f>IF(B17="","",IF(ISNUMBER(D17),D17,IFERROR(VLOOKUP(B17,'敌人目录'!$A$6:$S$54,14,FALSE),"")))</x:f>
      </x:c>
      <x:c r="O17" s="64" t="str">
        <x:f>IFERROR(VLOOKUP(B17,'敌人目录'!$A$6:$S$54,15,FALSE),"")</x:f>
      </x:c>
      <x:c r="P17" s="19" t="str">
        <x:f>IF(F17="","",F17*G17)</x:f>
      </x:c>
      <x:c r="Q17" s="19" t="str">
        <x:f>IF(F17="","",F17*L17)</x:f>
      </x:c>
      <x:c r="R17" s="19" t="str">
        <x:f>IF(F17="","",F17*N17)</x:f>
      </x:c>
      <x:c r="S17" s="19" t="str">
        <x:f>IF(R17="","",R17*'全局设置'!$B$5)</x:f>
      </x:c>
      <x:c r="T17" s="73" t="str">
        <x:f>IF(F17="","",F17*O17)</x:f>
      </x:c>
      <x:c r="U17" s="19" t="str">
        <x:f>IF(AND(B17="",C17=""),"",IF(B17="","缺少敌人",IF(C17="","缺少数量",IF(OR(C17&lt;1,C17&gt;9999,C17&lt;&gt;INT(C17)),"数量无效",IF(COUNTIF($E$7:$E$24,E17)&gt;1,"重复敌人",IF(AND(ISNUMBER(D17),OR(D17&lt;0,D17&gt;999,D17&lt;&gt;INT(D17))),"奖励无效","可导入"))))))</x:f>
      </x:c>
    </x:row>
    <x:row r="18" ht="22" customHeight="1">
      <x:c r="A18" s="72" t="n">
        <x:v>12</x:v>
      </x:c>
      <x:c r="B18" s="41"/>
      <x:c r="C18" s="41"/>
      <x:c r="D18" s="41"/>
      <x:c r="E18" s="19" t="str">
        <x:f>IFERROR(VLOOKUP(B18,'敌人目录'!$A$6:$S$54,2,FALSE),"")</x:f>
      </x:c>
      <x:c r="F18" s="19" t="str">
        <x:f>IF(OR(B18="",C18=""),"",ROUNDUP(C18*(1+('全局设置'!$B$5-1)*'全局设置'!$B$6),0))</x:f>
      </x:c>
      <x:c r="G18" s="19" t="str">
        <x:f>IFERROR(VLOOKUP(B18,'敌人目录'!$A$6:$S$54,7,FALSE),"")</x:f>
      </x:c>
      <x:c r="H18" s="19" t="str">
        <x:f>IFERROR(VLOOKUP(B18,'敌人目录'!$A$6:$S$54,8,FALSE),"")</x:f>
      </x:c>
      <x:c r="I18" s="19" t="str">
        <x:f>IFERROR(VLOOKUP(B18,'敌人目录'!$A$6:$S$54,9,FALSE),"")</x:f>
      </x:c>
      <x:c r="J18" s="19" t="str">
        <x:f>IFERROR(VLOOKUP(B18,'敌人目录'!$A$6:$S$54,10,FALSE),"")</x:f>
      </x:c>
      <x:c r="K18" s="19" t="str">
        <x:f>IFERROR(VLOOKUP(B18,'敌人目录'!$A$6:$S$54,11,FALSE),"")</x:f>
      </x:c>
      <x:c r="L18" s="19" t="str">
        <x:f>IFERROR(VLOOKUP(B18,'敌人目录'!$A$6:$S$54,12,FALSE),"")</x:f>
      </x:c>
      <x:c r="M18" s="19" t="str">
        <x:f>IFERROR(VLOOKUP(B18,'敌人目录'!$A$6:$S$54,13,FALSE),"")</x:f>
      </x:c>
      <x:c r="N18" s="19" t="str">
        <x:f>IF(B18="","",IF(ISNUMBER(D18),D18,IFERROR(VLOOKUP(B18,'敌人目录'!$A$6:$S$54,14,FALSE),"")))</x:f>
      </x:c>
      <x:c r="O18" s="64" t="str">
        <x:f>IFERROR(VLOOKUP(B18,'敌人目录'!$A$6:$S$54,15,FALSE),"")</x:f>
      </x:c>
      <x:c r="P18" s="19" t="str">
        <x:f>IF(F18="","",F18*G18)</x:f>
      </x:c>
      <x:c r="Q18" s="19" t="str">
        <x:f>IF(F18="","",F18*L18)</x:f>
      </x:c>
      <x:c r="R18" s="19" t="str">
        <x:f>IF(F18="","",F18*N18)</x:f>
      </x:c>
      <x:c r="S18" s="19" t="str">
        <x:f>IF(R18="","",R18*'全局设置'!$B$5)</x:f>
      </x:c>
      <x:c r="T18" s="73" t="str">
        <x:f>IF(F18="","",F18*O18)</x:f>
      </x:c>
      <x:c r="U18" s="19" t="str">
        <x:f>IF(AND(B18="",C18=""),"",IF(B18="","缺少敌人",IF(C18="","缺少数量",IF(OR(C18&lt;1,C18&gt;9999,C18&lt;&gt;INT(C18)),"数量无效",IF(COUNTIF($E$7:$E$24,E18)&gt;1,"重复敌人",IF(AND(ISNUMBER(D18),OR(D18&lt;0,D18&gt;999,D18&lt;&gt;INT(D18))),"奖励无效","可导入"))))))</x:f>
      </x:c>
    </x:row>
    <x:row r="19" ht="22" customHeight="1">
      <x:c r="A19" s="72" t="n">
        <x:v>13</x:v>
      </x:c>
      <x:c r="B19" s="41"/>
      <x:c r="C19" s="41"/>
      <x:c r="D19" s="41"/>
      <x:c r="E19" s="19" t="str">
        <x:f>IFERROR(VLOOKUP(B19,'敌人目录'!$A$6:$S$54,2,FALSE),"")</x:f>
      </x:c>
      <x:c r="F19" s="19" t="str">
        <x:f>IF(OR(B19="",C19=""),"",ROUNDUP(C19*(1+('全局设置'!$B$5-1)*'全局设置'!$B$6),0))</x:f>
      </x:c>
      <x:c r="G19" s="19" t="str">
        <x:f>IFERROR(VLOOKUP(B19,'敌人目录'!$A$6:$S$54,7,FALSE),"")</x:f>
      </x:c>
      <x:c r="H19" s="19" t="str">
        <x:f>IFERROR(VLOOKUP(B19,'敌人目录'!$A$6:$S$54,8,FALSE),"")</x:f>
      </x:c>
      <x:c r="I19" s="19" t="str">
        <x:f>IFERROR(VLOOKUP(B19,'敌人目录'!$A$6:$S$54,9,FALSE),"")</x:f>
      </x:c>
      <x:c r="J19" s="19" t="str">
        <x:f>IFERROR(VLOOKUP(B19,'敌人目录'!$A$6:$S$54,10,FALSE),"")</x:f>
      </x:c>
      <x:c r="K19" s="19" t="str">
        <x:f>IFERROR(VLOOKUP(B19,'敌人目录'!$A$6:$S$54,11,FALSE),"")</x:f>
      </x:c>
      <x:c r="L19" s="19" t="str">
        <x:f>IFERROR(VLOOKUP(B19,'敌人目录'!$A$6:$S$54,12,FALSE),"")</x:f>
      </x:c>
      <x:c r="M19" s="19" t="str">
        <x:f>IFERROR(VLOOKUP(B19,'敌人目录'!$A$6:$S$54,13,FALSE),"")</x:f>
      </x:c>
      <x:c r="N19" s="19" t="str">
        <x:f>IF(B19="","",IF(ISNUMBER(D19),D19,IFERROR(VLOOKUP(B19,'敌人目录'!$A$6:$S$54,14,FALSE),"")))</x:f>
      </x:c>
      <x:c r="O19" s="64" t="str">
        <x:f>IFERROR(VLOOKUP(B19,'敌人目录'!$A$6:$S$54,15,FALSE),"")</x:f>
      </x:c>
      <x:c r="P19" s="19" t="str">
        <x:f>IF(F19="","",F19*G19)</x:f>
      </x:c>
      <x:c r="Q19" s="19" t="str">
        <x:f>IF(F19="","",F19*L19)</x:f>
      </x:c>
      <x:c r="R19" s="19" t="str">
        <x:f>IF(F19="","",F19*N19)</x:f>
      </x:c>
      <x:c r="S19" s="19" t="str">
        <x:f>IF(R19="","",R19*'全局设置'!$B$5)</x:f>
      </x:c>
      <x:c r="T19" s="73" t="str">
        <x:f>IF(F19="","",F19*O19)</x:f>
      </x:c>
      <x:c r="U19" s="19" t="str">
        <x:f>IF(AND(B19="",C19=""),"",IF(B19="","缺少敌人",IF(C19="","缺少数量",IF(OR(C19&lt;1,C19&gt;9999,C19&lt;&gt;INT(C19)),"数量无效",IF(COUNTIF($E$7:$E$24,E19)&gt;1,"重复敌人",IF(AND(ISNUMBER(D19),OR(D19&lt;0,D19&gt;999,D19&lt;&gt;INT(D19))),"奖励无效","可导入"))))))</x:f>
      </x:c>
    </x:row>
    <x:row r="20" ht="22" customHeight="1">
      <x:c r="A20" s="72" t="n">
        <x:v>14</x:v>
      </x:c>
      <x:c r="B20" s="41"/>
      <x:c r="C20" s="41"/>
      <x:c r="D20" s="41"/>
      <x:c r="E20" s="19" t="str">
        <x:f>IFERROR(VLOOKUP(B20,'敌人目录'!$A$6:$S$54,2,FALSE),"")</x:f>
      </x:c>
      <x:c r="F20" s="19" t="str">
        <x:f>IF(OR(B20="",C20=""),"",ROUNDUP(C20*(1+('全局设置'!$B$5-1)*'全局设置'!$B$6),0))</x:f>
      </x:c>
      <x:c r="G20" s="19" t="str">
        <x:f>IFERROR(VLOOKUP(B20,'敌人目录'!$A$6:$S$54,7,FALSE),"")</x:f>
      </x:c>
      <x:c r="H20" s="19" t="str">
        <x:f>IFERROR(VLOOKUP(B20,'敌人目录'!$A$6:$S$54,8,FALSE),"")</x:f>
      </x:c>
      <x:c r="I20" s="19" t="str">
        <x:f>IFERROR(VLOOKUP(B20,'敌人目录'!$A$6:$S$54,9,FALSE),"")</x:f>
      </x:c>
      <x:c r="J20" s="19" t="str">
        <x:f>IFERROR(VLOOKUP(B20,'敌人目录'!$A$6:$S$54,10,FALSE),"")</x:f>
      </x:c>
      <x:c r="K20" s="19" t="str">
        <x:f>IFERROR(VLOOKUP(B20,'敌人目录'!$A$6:$S$54,11,FALSE),"")</x:f>
      </x:c>
      <x:c r="L20" s="19" t="str">
        <x:f>IFERROR(VLOOKUP(B20,'敌人目录'!$A$6:$S$54,12,FALSE),"")</x:f>
      </x:c>
      <x:c r="M20" s="19" t="str">
        <x:f>IFERROR(VLOOKUP(B20,'敌人目录'!$A$6:$S$54,13,FALSE),"")</x:f>
      </x:c>
      <x:c r="N20" s="19" t="str">
        <x:f>IF(B20="","",IF(ISNUMBER(D20),D20,IFERROR(VLOOKUP(B20,'敌人目录'!$A$6:$S$54,14,FALSE),"")))</x:f>
      </x:c>
      <x:c r="O20" s="64" t="str">
        <x:f>IFERROR(VLOOKUP(B20,'敌人目录'!$A$6:$S$54,15,FALSE),"")</x:f>
      </x:c>
      <x:c r="P20" s="19" t="str">
        <x:f>IF(F20="","",F20*G20)</x:f>
      </x:c>
      <x:c r="Q20" s="19" t="str">
        <x:f>IF(F20="","",F20*L20)</x:f>
      </x:c>
      <x:c r="R20" s="19" t="str">
        <x:f>IF(F20="","",F20*N20)</x:f>
      </x:c>
      <x:c r="S20" s="19" t="str">
        <x:f>IF(R20="","",R20*'全局设置'!$B$5)</x:f>
      </x:c>
      <x:c r="T20" s="73" t="str">
        <x:f>IF(F20="","",F20*O20)</x:f>
      </x:c>
      <x:c r="U20" s="19" t="str">
        <x:f>IF(AND(B20="",C20=""),"",IF(B20="","缺少敌人",IF(C20="","缺少数量",IF(OR(C20&lt;1,C20&gt;9999,C20&lt;&gt;INT(C20)),"数量无效",IF(COUNTIF($E$7:$E$24,E20)&gt;1,"重复敌人",IF(AND(ISNUMBER(D20),OR(D20&lt;0,D20&gt;999,D20&lt;&gt;INT(D20))),"奖励无效","可导入"))))))</x:f>
      </x:c>
    </x:row>
    <x:row r="21" ht="22" customHeight="1">
      <x:c r="A21" s="72" t="n">
        <x:v>15</x:v>
      </x:c>
      <x:c r="B21" s="41"/>
      <x:c r="C21" s="41"/>
      <x:c r="D21" s="41"/>
      <x:c r="E21" s="19" t="str">
        <x:f>IFERROR(VLOOKUP(B21,'敌人目录'!$A$6:$S$54,2,FALSE),"")</x:f>
      </x:c>
      <x:c r="F21" s="19" t="str">
        <x:f>IF(OR(B21="",C21=""),"",ROUNDUP(C21*(1+('全局设置'!$B$5-1)*'全局设置'!$B$6),0))</x:f>
      </x:c>
      <x:c r="G21" s="19" t="str">
        <x:f>IFERROR(VLOOKUP(B21,'敌人目录'!$A$6:$S$54,7,FALSE),"")</x:f>
      </x:c>
      <x:c r="H21" s="19" t="str">
        <x:f>IFERROR(VLOOKUP(B21,'敌人目录'!$A$6:$S$54,8,FALSE),"")</x:f>
      </x:c>
      <x:c r="I21" s="19" t="str">
        <x:f>IFERROR(VLOOKUP(B21,'敌人目录'!$A$6:$S$54,9,FALSE),"")</x:f>
      </x:c>
      <x:c r="J21" s="19" t="str">
        <x:f>IFERROR(VLOOKUP(B21,'敌人目录'!$A$6:$S$54,10,FALSE),"")</x:f>
      </x:c>
      <x:c r="K21" s="19" t="str">
        <x:f>IFERROR(VLOOKUP(B21,'敌人目录'!$A$6:$S$54,11,FALSE),"")</x:f>
      </x:c>
      <x:c r="L21" s="19" t="str">
        <x:f>IFERROR(VLOOKUP(B21,'敌人目录'!$A$6:$S$54,12,FALSE),"")</x:f>
      </x:c>
      <x:c r="M21" s="19" t="str">
        <x:f>IFERROR(VLOOKUP(B21,'敌人目录'!$A$6:$S$54,13,FALSE),"")</x:f>
      </x:c>
      <x:c r="N21" s="19" t="str">
        <x:f>IF(B21="","",IF(ISNUMBER(D21),D21,IFERROR(VLOOKUP(B21,'敌人目录'!$A$6:$S$54,14,FALSE),"")))</x:f>
      </x:c>
      <x:c r="O21" s="64" t="str">
        <x:f>IFERROR(VLOOKUP(B21,'敌人目录'!$A$6:$S$54,15,FALSE),"")</x:f>
      </x:c>
      <x:c r="P21" s="19" t="str">
        <x:f>IF(F21="","",F21*G21)</x:f>
      </x:c>
      <x:c r="Q21" s="19" t="str">
        <x:f>IF(F21="","",F21*L21)</x:f>
      </x:c>
      <x:c r="R21" s="19" t="str">
        <x:f>IF(F21="","",F21*N21)</x:f>
      </x:c>
      <x:c r="S21" s="19" t="str">
        <x:f>IF(R21="","",R21*'全局设置'!$B$5)</x:f>
      </x:c>
      <x:c r="T21" s="73" t="str">
        <x:f>IF(F21="","",F21*O21)</x:f>
      </x:c>
      <x:c r="U21" s="19" t="str">
        <x:f>IF(AND(B21="",C21=""),"",IF(B21="","缺少敌人",IF(C21="","缺少数量",IF(OR(C21&lt;1,C21&gt;9999,C21&lt;&gt;INT(C21)),"数量无效",IF(COUNTIF($E$7:$E$24,E21)&gt;1,"重复敌人",IF(AND(ISNUMBER(D21),OR(D21&lt;0,D21&gt;999,D21&lt;&gt;INT(D21))),"奖励无效","可导入"))))))</x:f>
      </x:c>
    </x:row>
    <x:row r="22" ht="22" customHeight="1">
      <x:c r="A22" s="72" t="n">
        <x:v>16</x:v>
      </x:c>
      <x:c r="B22" s="41"/>
      <x:c r="C22" s="41"/>
      <x:c r="D22" s="41"/>
      <x:c r="E22" s="19" t="str">
        <x:f>IFERROR(VLOOKUP(B22,'敌人目录'!$A$6:$S$54,2,FALSE),"")</x:f>
      </x:c>
      <x:c r="F22" s="19" t="str">
        <x:f>IF(OR(B22="",C22=""),"",ROUNDUP(C22*(1+('全局设置'!$B$5-1)*'全局设置'!$B$6),0))</x:f>
      </x:c>
      <x:c r="G22" s="19" t="str">
        <x:f>IFERROR(VLOOKUP(B22,'敌人目录'!$A$6:$S$54,7,FALSE),"")</x:f>
      </x:c>
      <x:c r="H22" s="19" t="str">
        <x:f>IFERROR(VLOOKUP(B22,'敌人目录'!$A$6:$S$54,8,FALSE),"")</x:f>
      </x:c>
      <x:c r="I22" s="19" t="str">
        <x:f>IFERROR(VLOOKUP(B22,'敌人目录'!$A$6:$S$54,9,FALSE),"")</x:f>
      </x:c>
      <x:c r="J22" s="19" t="str">
        <x:f>IFERROR(VLOOKUP(B22,'敌人目录'!$A$6:$S$54,10,FALSE),"")</x:f>
      </x:c>
      <x:c r="K22" s="19" t="str">
        <x:f>IFERROR(VLOOKUP(B22,'敌人目录'!$A$6:$S$54,11,FALSE),"")</x:f>
      </x:c>
      <x:c r="L22" s="19" t="str">
        <x:f>IFERROR(VLOOKUP(B22,'敌人目录'!$A$6:$S$54,12,FALSE),"")</x:f>
      </x:c>
      <x:c r="M22" s="19" t="str">
        <x:f>IFERROR(VLOOKUP(B22,'敌人目录'!$A$6:$S$54,13,FALSE),"")</x:f>
      </x:c>
      <x:c r="N22" s="19" t="str">
        <x:f>IF(B22="","",IF(ISNUMBER(D22),D22,IFERROR(VLOOKUP(B22,'敌人目录'!$A$6:$S$54,14,FALSE),"")))</x:f>
      </x:c>
      <x:c r="O22" s="64" t="str">
        <x:f>IFERROR(VLOOKUP(B22,'敌人目录'!$A$6:$S$54,15,FALSE),"")</x:f>
      </x:c>
      <x:c r="P22" s="19" t="str">
        <x:f>IF(F22="","",F22*G22)</x:f>
      </x:c>
      <x:c r="Q22" s="19" t="str">
        <x:f>IF(F22="","",F22*L22)</x:f>
      </x:c>
      <x:c r="R22" s="19" t="str">
        <x:f>IF(F22="","",F22*N22)</x:f>
      </x:c>
      <x:c r="S22" s="19" t="str">
        <x:f>IF(R22="","",R22*'全局设置'!$B$5)</x:f>
      </x:c>
      <x:c r="T22" s="73" t="str">
        <x:f>IF(F22="","",F22*O22)</x:f>
      </x:c>
      <x:c r="U22" s="19" t="str">
        <x:f>IF(AND(B22="",C22=""),"",IF(B22="","缺少敌人",IF(C22="","缺少数量",IF(OR(C22&lt;1,C22&gt;9999,C22&lt;&gt;INT(C22)),"数量无效",IF(COUNTIF($E$7:$E$24,E22)&gt;1,"重复敌人",IF(AND(ISNUMBER(D22),OR(D22&lt;0,D22&gt;999,D22&lt;&gt;INT(D22))),"奖励无效","可导入"))))))</x:f>
      </x:c>
    </x:row>
    <x:row r="23" ht="22" customHeight="1">
      <x:c r="A23" s="72" t="n">
        <x:v>17</x:v>
      </x:c>
      <x:c r="B23" s="41"/>
      <x:c r="C23" s="41"/>
      <x:c r="D23" s="41"/>
      <x:c r="E23" s="19" t="str">
        <x:f>IFERROR(VLOOKUP(B23,'敌人目录'!$A$6:$S$54,2,FALSE),"")</x:f>
      </x:c>
      <x:c r="F23" s="19" t="str">
        <x:f>IF(OR(B23="",C23=""),"",ROUNDUP(C23*(1+('全局设置'!$B$5-1)*'全局设置'!$B$6),0))</x:f>
      </x:c>
      <x:c r="G23" s="19" t="str">
        <x:f>IFERROR(VLOOKUP(B23,'敌人目录'!$A$6:$S$54,7,FALSE),"")</x:f>
      </x:c>
      <x:c r="H23" s="19" t="str">
        <x:f>IFERROR(VLOOKUP(B23,'敌人目录'!$A$6:$S$54,8,FALSE),"")</x:f>
      </x:c>
      <x:c r="I23" s="19" t="str">
        <x:f>IFERROR(VLOOKUP(B23,'敌人目录'!$A$6:$S$54,9,FALSE),"")</x:f>
      </x:c>
      <x:c r="J23" s="19" t="str">
        <x:f>IFERROR(VLOOKUP(B23,'敌人目录'!$A$6:$S$54,10,FALSE),"")</x:f>
      </x:c>
      <x:c r="K23" s="19" t="str">
        <x:f>IFERROR(VLOOKUP(B23,'敌人目录'!$A$6:$S$54,11,FALSE),"")</x:f>
      </x:c>
      <x:c r="L23" s="19" t="str">
        <x:f>IFERROR(VLOOKUP(B23,'敌人目录'!$A$6:$S$54,12,FALSE),"")</x:f>
      </x:c>
      <x:c r="M23" s="19" t="str">
        <x:f>IFERROR(VLOOKUP(B23,'敌人目录'!$A$6:$S$54,13,FALSE),"")</x:f>
      </x:c>
      <x:c r="N23" s="19" t="str">
        <x:f>IF(B23="","",IF(ISNUMBER(D23),D23,IFERROR(VLOOKUP(B23,'敌人目录'!$A$6:$S$54,14,FALSE),"")))</x:f>
      </x:c>
      <x:c r="O23" s="64" t="str">
        <x:f>IFERROR(VLOOKUP(B23,'敌人目录'!$A$6:$S$54,15,FALSE),"")</x:f>
      </x:c>
      <x:c r="P23" s="19" t="str">
        <x:f>IF(F23="","",F23*G23)</x:f>
      </x:c>
      <x:c r="Q23" s="19" t="str">
        <x:f>IF(F23="","",F23*L23)</x:f>
      </x:c>
      <x:c r="R23" s="19" t="str">
        <x:f>IF(F23="","",F23*N23)</x:f>
      </x:c>
      <x:c r="S23" s="19" t="str">
        <x:f>IF(R23="","",R23*'全局设置'!$B$5)</x:f>
      </x:c>
      <x:c r="T23" s="73" t="str">
        <x:f>IF(F23="","",F23*O23)</x:f>
      </x:c>
      <x:c r="U23" s="19" t="str">
        <x:f>IF(AND(B23="",C23=""),"",IF(B23="","缺少敌人",IF(C23="","缺少数量",IF(OR(C23&lt;1,C23&gt;9999,C23&lt;&gt;INT(C23)),"数量无效",IF(COUNTIF($E$7:$E$24,E23)&gt;1,"重复敌人",IF(AND(ISNUMBER(D23),OR(D23&lt;0,D23&gt;999,D23&lt;&gt;INT(D23))),"奖励无效","可导入"))))))</x:f>
      </x:c>
    </x:row>
    <x:row r="24" ht="22" customHeight="1">
      <x:c r="A24" s="72" t="n">
        <x:v>18</x:v>
      </x:c>
      <x:c r="B24" s="41"/>
      <x:c r="C24" s="41"/>
      <x:c r="D24" s="41"/>
      <x:c r="E24" s="19" t="str">
        <x:f>IFERROR(VLOOKUP(B24,'敌人目录'!$A$6:$S$54,2,FALSE),"")</x:f>
      </x:c>
      <x:c r="F24" s="19" t="str">
        <x:f>IF(OR(B24="",C24=""),"",ROUNDUP(C24*(1+('全局设置'!$B$5-1)*'全局设置'!$B$6),0))</x:f>
      </x:c>
      <x:c r="G24" s="19" t="str">
        <x:f>IFERROR(VLOOKUP(B24,'敌人目录'!$A$6:$S$54,7,FALSE),"")</x:f>
      </x:c>
      <x:c r="H24" s="19" t="str">
        <x:f>IFERROR(VLOOKUP(B24,'敌人目录'!$A$6:$S$54,8,FALSE),"")</x:f>
      </x:c>
      <x:c r="I24" s="19" t="str">
        <x:f>IFERROR(VLOOKUP(B24,'敌人目录'!$A$6:$S$54,9,FALSE),"")</x:f>
      </x:c>
      <x:c r="J24" s="19" t="str">
        <x:f>IFERROR(VLOOKUP(B24,'敌人目录'!$A$6:$S$54,10,FALSE),"")</x:f>
      </x:c>
      <x:c r="K24" s="19" t="str">
        <x:f>IFERROR(VLOOKUP(B24,'敌人目录'!$A$6:$S$54,11,FALSE),"")</x:f>
      </x:c>
      <x:c r="L24" s="19" t="str">
        <x:f>IFERROR(VLOOKUP(B24,'敌人目录'!$A$6:$S$54,12,FALSE),"")</x:f>
      </x:c>
      <x:c r="M24" s="19" t="str">
        <x:f>IFERROR(VLOOKUP(B24,'敌人目录'!$A$6:$S$54,13,FALSE),"")</x:f>
      </x:c>
      <x:c r="N24" s="19" t="str">
        <x:f>IF(B24="","",IF(ISNUMBER(D24),D24,IFERROR(VLOOKUP(B24,'敌人目录'!$A$6:$S$54,14,FALSE),"")))</x:f>
      </x:c>
      <x:c r="O24" s="64" t="str">
        <x:f>IFERROR(VLOOKUP(B24,'敌人目录'!$A$6:$S$54,15,FALSE),"")</x:f>
      </x:c>
      <x:c r="P24" s="19" t="str">
        <x:f>IF(F24="","",F24*G24)</x:f>
      </x:c>
      <x:c r="Q24" s="19" t="str">
        <x:f>IF(F24="","",F24*L24)</x:f>
      </x:c>
      <x:c r="R24" s="19" t="str">
        <x:f>IF(F24="","",F24*N24)</x:f>
      </x:c>
      <x:c r="S24" s="19" t="str">
        <x:f>IF(R24="","",R24*'全局设置'!$B$5)</x:f>
      </x:c>
      <x:c r="T24" s="73" t="str">
        <x:f>IF(F24="","",F24*O24)</x:f>
      </x:c>
      <x:c r="U24" s="19" t="str">
        <x:f>IF(AND(B24="",C24=""),"",IF(B24="","缺少敌人",IF(C24="","缺少数量",IF(OR(C24&lt;1,C24&gt;9999,C24&lt;&gt;INT(C24)),"数量无效",IF(COUNTIF($E$7:$E$24,E24)&gt;1,"重复敌人",IF(AND(ISNUMBER(D24),OR(D24&lt;0,D24&gt;999,D24&lt;&gt;INT(D24))),"奖励无效","可导入"))))))</x:f>
      </x:c>
    </x:row>
    <x:row r="25" ht="22" customHeight="1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</x:row>
    <x:row r="26" ht="22" customHeight="1">
      <x:c r="A26" s="40" t="str">
        <x:v>基础总数</x:v>
      </x:c>
      <x:c r="B26" s="19" t="n">
        <x:f>SUM(C7:C24)</x:f>
        <x:v>80</x:v>
      </x:c>
      <x:c r="C26" s="40" t="str">
        <x:v>实际总数</x:v>
      </x:c>
      <x:c r="D26" s="19" t="n">
        <x:f>SUM(F7:F24)</x:f>
        <x:v>80</x:v>
      </x:c>
      <x:c r="E26" s="40" t="str">
        <x:v>敌人种类</x:v>
      </x:c>
      <x:c r="F26" s="19" t="n">
        <x:f>COUNTA(B7:B24)</x:f>
        <x:v>6</x:v>
      </x:c>
      <x:c r="G26" s="40" t="str">
        <x:v>生命池</x:v>
      </x:c>
      <x:c r="H26" s="19" t="n">
        <x:f>SUM(P7:P24)</x:f>
        <x:v>4660</x:v>
      </x:c>
      <x:c r="I26" s="40" t="str">
        <x:v>基础息壤/玩家</x:v>
      </x:c>
      <x:c r="J26" s="19" t="n">
        <x:f>SUM(R7:R24)</x:f>
        <x:v>96</x:v>
      </x:c>
      <x:c r="K26" s="40" t="str">
        <x:v>情景息壤/玩家</x:v>
      </x:c>
      <x:c r="L26" s="19" t="n">
        <x:f>J26*'全局设置'!$B$7*'全局设置'!$D$14</x:f>
        <x:v>96</x:v>
      </x:c>
      <x:c r="M26" s="40" t="str">
        <x:v>情景息壤/队伍</x:v>
      </x:c>
      <x:c r="N26" s="19" t="n">
        <x:f>L26*'全局设置'!$B$5</x:f>
        <x:v>96</x:v>
      </x:c>
      <x:c r="O26" s="40" t="str">
        <x:v>掉落期望</x:v>
      </x:c>
      <x:c r="P26" s="73" t="n">
        <x:f>SUM(T7:T24)</x:f>
        <x:v>4</x:v>
      </x:c>
      <x:c r="Q26" s="40" t="str">
        <x:v>全漏Home伤害</x:v>
      </x:c>
      <x:c r="R26" s="19" t="n">
        <x:f>SUM(Q7:Q24)</x:f>
        <x:v>116</x:v>
      </x:c>
      <x:c r="S26" s="40" t="str">
        <x:v>最短刷完(s)</x:v>
      </x:c>
      <x:c r="T26" s="73" t="n">
        <x:f>IF(D26=0,0,MAX(0,(ROUNDUP(D26/J3,0)-1)*H3))</x:f>
        <x:v>35.550000000000004</x:v>
      </x:c>
      <x:c r="U26" s="31"/>
    </x:row>
    <x:row r="27" ht="22" customHeight="1">
      <x:c r="A27" s="82" t="str">
        <x:v>情景收益 = 最大击杀息壤 × 全局击杀率 × 第2日倍率；最大队伍收益另按玩家人数相乘。</x:v>
      </x:c>
      <x:c r="B27" s="82" t="str">
        <x:v>情景收益 = 最大击杀息壤 × 全局击杀率 × 第2日倍率；最大队伍收益另按玩家人数相乘。</x:v>
      </x:c>
      <x:c r="C27" s="82" t="str">
        <x:v>情景收益 = 最大击杀息壤 × 全局击杀率 × 第2日倍率；最大队伍收益另按玩家人数相乘。</x:v>
      </x:c>
      <x:c r="D27" s="82" t="str">
        <x:v>情景收益 = 最大击杀息壤 × 全局击杀率 × 第2日倍率；最大队伍收益另按玩家人数相乘。</x:v>
      </x:c>
      <x:c r="E27" s="82" t="str">
        <x:v>情景收益 = 最大击杀息壤 × 全局击杀率 × 第2日倍率；最大队伍收益另按玩家人数相乘。</x:v>
      </x:c>
      <x:c r="F27" s="82" t="str">
        <x:v>情景收益 = 最大击杀息壤 × 全局击杀率 × 第2日倍率；最大队伍收益另按玩家人数相乘。</x:v>
      </x:c>
      <x:c r="G27" s="82" t="str">
        <x:v>情景收益 = 最大击杀息壤 × 全局击杀率 × 第2日倍率；最大队伍收益另按玩家人数相乘。</x:v>
      </x:c>
      <x:c r="H27" s="82" t="str">
        <x:v>情景收益 = 最大击杀息壤 × 全局击杀率 × 第2日倍率；最大队伍收益另按玩家人数相乘。</x:v>
      </x:c>
      <x:c r="I27" s="82" t="str">
        <x:v>情景收益 = 最大击杀息壤 × 全局击杀率 × 第2日倍率；最大队伍收益另按玩家人数相乘。</x:v>
      </x:c>
      <x:c r="J27" s="82" t="str">
        <x:v>情景收益 = 最大击杀息壤 × 全局击杀率 × 第2日倍率；最大队伍收益另按玩家人数相乘。</x:v>
      </x:c>
      <x:c r="K27" s="82" t="str">
        <x:v>情景收益 = 最大击杀息壤 × 全局击杀率 × 第2日倍率；最大队伍收益另按玩家人数相乘。</x:v>
      </x:c>
      <x:c r="L27" s="82" t="str">
        <x:v>情景收益 = 最大击杀息壤 × 全局击杀率 × 第2日倍率；最大队伍收益另按玩家人数相乘。</x:v>
      </x:c>
      <x:c r="M27" s="82" t="str">
        <x:v>情景收益 = 最大击杀息壤 × 全局击杀率 × 第2日倍率；最大队伍收益另按玩家人数相乘。</x:v>
      </x:c>
      <x:c r="N27" s="82" t="str">
        <x:v>情景收益 = 最大击杀息壤 × 全局击杀率 × 第2日倍率；最大队伍收益另按玩家人数相乘。</x:v>
      </x:c>
      <x:c r="O27" s="82" t="str">
        <x:v>情景收益 = 最大击杀息壤 × 全局击杀率 × 第2日倍率；最大队伍收益另按玩家人数相乘。</x:v>
      </x:c>
      <x:c r="P27" s="82" t="str">
        <x:v>情景收益 = 最大击杀息壤 × 全局击杀率 × 第2日倍率；最大队伍收益另按玩家人数相乘。</x:v>
      </x:c>
      <x:c r="Q27" s="82" t="str">
        <x:v>情景收益 = 最大击杀息壤 × 全局击杀率 × 第2日倍率；最大队伍收益另按玩家人数相乘。</x:v>
      </x:c>
      <x:c r="R27" s="82" t="str">
        <x:v>情景收益 = 最大击杀息壤 × 全局击杀率 × 第2日倍率；最大队伍收益另按玩家人数相乘。</x:v>
      </x:c>
      <x:c r="S27" s="82" t="str">
        <x:v>情景收益 = 最大击杀息壤 × 全局击杀率 × 第2日倍率；最大队伍收益另按玩家人数相乘。</x:v>
      </x:c>
      <x:c r="T27" s="82" t="str">
        <x:v>情景收益 = 最大击杀息壤 × 全局击杀率 × 第2日倍率；最大队伍收益另按玩家人数相乘。</x:v>
      </x:c>
      <x:c r="U27" s="82" t="str">
        <x:v>情景收益 = 最大击杀息壤 × 全局击杀率 × 第2日倍率；最大队伍收益另按玩家人数相乘。</x:v>
      </x:c>
    </x:row>
    <x:row r="28" ht="22" customHeight="1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</x:row>
    <x:row r="29" ht="22" customHeight="1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</x:row>
    <x:row r="30" ht="22" customHeight="1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</x:row>
    <x:row r="31" ht="22" customHeight="1">
      <x:c r="A31" s="71" t="str">
        <x:v>第 6 波｜第 2 日·2/4｜白昼｜当前正式配置</x:v>
      </x:c>
      <x:c r="B31" s="71" t="str">
        <x:v>第 6 波｜第 2 日·2/4｜白昼｜当前正式配置</x:v>
      </x:c>
      <x:c r="C31" s="71" t="str">
        <x:v>第 6 波｜第 2 日·2/4｜白昼｜当前正式配置</x:v>
      </x:c>
      <x:c r="D31" s="71" t="str">
        <x:v>第 6 波｜第 2 日·2/4｜白昼｜当前正式配置</x:v>
      </x:c>
      <x:c r="E31" s="71" t="str">
        <x:v>第 6 波｜第 2 日·2/4｜白昼｜当前正式配置</x:v>
      </x:c>
      <x:c r="F31" s="71" t="str">
        <x:v>第 6 波｜第 2 日·2/4｜白昼｜当前正式配置</x:v>
      </x:c>
      <x:c r="G31" s="71" t="str">
        <x:v>第 6 波｜第 2 日·2/4｜白昼｜当前正式配置</x:v>
      </x:c>
      <x:c r="H31" s="71" t="str">
        <x:v>第 6 波｜第 2 日·2/4｜白昼｜当前正式配置</x:v>
      </x:c>
      <x:c r="I31" s="71" t="str">
        <x:v>第 6 波｜第 2 日·2/4｜白昼｜当前正式配置</x:v>
      </x:c>
      <x:c r="J31" s="71" t="str">
        <x:v>第 6 波｜第 2 日·2/4｜白昼｜当前正式配置</x:v>
      </x:c>
      <x:c r="K31" s="71" t="str">
        <x:v>第 6 波｜第 2 日·2/4｜白昼｜当前正式配置</x:v>
      </x:c>
      <x:c r="L31" s="71" t="str">
        <x:v>第 6 波｜第 2 日·2/4｜白昼｜当前正式配置</x:v>
      </x:c>
      <x:c r="M31" s="71" t="str">
        <x:v>第 6 波｜第 2 日·2/4｜白昼｜当前正式配置</x:v>
      </x:c>
      <x:c r="N31" s="71" t="str">
        <x:v>第 6 波｜第 2 日·2/4｜白昼｜当前正式配置</x:v>
      </x:c>
      <x:c r="O31" s="71" t="str">
        <x:v>第 6 波｜第 2 日·2/4｜白昼｜当前正式配置</x:v>
      </x:c>
      <x:c r="P31" s="71" t="str">
        <x:v>第 6 波｜第 2 日·2/4｜白昼｜当前正式配置</x:v>
      </x:c>
      <x:c r="Q31" s="71" t="str">
        <x:v>第 6 波｜第 2 日·2/4｜白昼｜当前正式配置</x:v>
      </x:c>
      <x:c r="R31" s="71" t="str">
        <x:v>第 6 波｜第 2 日·2/4｜白昼｜当前正式配置</x:v>
      </x:c>
      <x:c r="S31" s="71" t="str">
        <x:v>第 6 波｜第 2 日·2/4｜白昼｜当前正式配置</x:v>
      </x:c>
      <x:c r="T31" s="71" t="str">
        <x:v>第 6 波｜第 2 日·2/4｜白昼｜当前正式配置</x:v>
      </x:c>
      <x:c r="U31" s="71" t="str">
        <x:v>第 6 波｜第 2 日·2/4｜白昼｜当前正式配置</x:v>
      </x:c>
    </x:row>
    <x:row r="32" ht="22" customHeight="1">
      <x:c r="A32" s="40" t="str">
        <x:v>波次名称</x:v>
      </x:c>
      <x:c r="B32" s="41" t="str">
        <x:v>第6波 守护阵列</x:v>
      </x:c>
      <x:c r="C32" s="41" t="str">
        <x:v>第6波 守护阵列</x:v>
      </x:c>
      <x:c r="D32" s="41" t="str">
        <x:v>第6波 守护阵列</x:v>
      </x:c>
      <x:c r="E32" s="41" t="str">
        <x:v>第6波 守护阵列</x:v>
      </x:c>
      <x:c r="F32" s="41" t="str">
        <x:v>第6波 守护阵列</x:v>
      </x:c>
      <x:c r="G32" s="40" t="str">
        <x:v>出生间隔(s)</x:v>
      </x:c>
      <x:c r="H32" s="41" t="n">
        <x:v>0.4</x:v>
      </x:c>
      <x:c r="I32" s="40" t="str">
        <x:v>每Tick</x:v>
      </x:c>
      <x:c r="J32" s="41" t="n">
        <x:v>1</x:v>
      </x:c>
      <x:c r="K32" s="40" t="str">
        <x:v>存活上限</x:v>
      </x:c>
      <x:c r="L32" s="41" t="n">
        <x:v>52</x:v>
      </x:c>
      <x:c r="M32" s="40" t="str">
        <x:v>校验</x:v>
      </x:c>
      <x:c r="N32" s="19" t="str">
        <x:f>IF(COUNTA(B36:B53)=0,"待设计",IF(COUNTIF(U36:U53,"可导入")=COUNTA(B36:B53),"可导入","需修正"))</x:f>
        <x:v>可导入</x:v>
      </x:c>
      <x:c r="O32" s="19" t="str"/>
      <x:c r="P32" s="40" t="str">
        <x:v>来源</x:v>
      </x:c>
      <x:c r="Q32" s="19" t="str">
        <x:v>当前游戏 formal 资源</x:v>
      </x:c>
      <x:c r="R32" s="19" t="str">
        <x:v>当前游戏 formal 资源</x:v>
      </x:c>
      <x:c r="S32" s="19" t="str">
        <x:v>当前游戏 formal 资源</x:v>
      </x:c>
      <x:c r="T32" s="19" t="str">
        <x:v>当前游戏 formal 资源</x:v>
      </x:c>
      <x:c r="U32" s="19" t="str">
        <x:v>当前游戏 formal 资源</x:v>
      </x:c>
    </x:row>
    <x:row r="33" ht="22" customHeight="1">
      <x:c r="A33" s="40" t="str">
        <x:v>出生点</x:v>
      </x:c>
      <x:c r="B33" s="41" t="str">
        <x:v>开启</x:v>
      </x:c>
      <x:c r="C33" s="41" t="str">
        <x:v>开启</x:v>
      </x:c>
      <x:c r="D33" s="41" t="str">
        <x:v>开启</x:v>
      </x:c>
      <x:c r="E33" s="41" t="str">
        <x:v>开启</x:v>
      </x:c>
      <x:c r="F33" s="41" t="str">
        <x:v>开启</x:v>
      </x:c>
      <x:c r="G33" s="41" t="str">
        <x:v>开启</x:v>
      </x:c>
      <x:c r="H33" s="40" t="str">
        <x:v>战斗音乐</x:v>
      </x:c>
      <x:c r="I33" s="19" t="str">
        <x:v>shenmu_swamp_combat</x:v>
      </x:c>
      <x:c r="J33" s="19" t="str">
        <x:v>shenmu_swamp_combat</x:v>
      </x:c>
      <x:c r="K33" s="19" t="str">
        <x:v>shenmu_swamp_combat</x:v>
      </x:c>
      <x:c r="L33" s="19" t="str">
        <x:v>shenmu_swamp_combat</x:v>
      </x:c>
      <x:c r="M33" s="19" t="str">
        <x:v>shenmu_swamp_combat</x:v>
      </x:c>
      <x:c r="N33" s="40" t="str">
        <x:v>波后音乐</x:v>
      </x:c>
      <x:c r="O33" s="19" t="str">
        <x:v>shenmu_swamp_intermission</x:v>
      </x:c>
      <x:c r="P33" s="19" t="str">
        <x:v>shenmu_swamp_intermission</x:v>
      </x:c>
      <x:c r="Q33" s="19" t="str">
        <x:v>shenmu_swamp_intermission</x:v>
      </x:c>
      <x:c r="R33" s="19" t="str">
        <x:v>shenmu_swamp_intermission</x:v>
      </x:c>
      <x:c r="S33" s="19" t="str">
        <x:v>shenmu_swamp_intermission</x:v>
      </x:c>
      <x:c r="T33" s="19" t="str">
        <x:v>shenmu_swamp_intermission</x:v>
      </x:c>
      <x:c r="U33" s="19" t="str">
        <x:v>shenmu_swamp_intermission</x:v>
      </x:c>
    </x:row>
    <x:row r="34" ht="22" customHeight="1">
      <x:c r="A34" s="56" t="str">
        <x:v>蓝色列可编辑。每种敌人一行；若同波重复选择同一稳定 ID，请合并数量。实际数量按当前模拟玩家数逐条向上取整。</x:v>
      </x:c>
      <x:c r="B34" s="56" t="str">
        <x:v>蓝色列可编辑。每种敌人一行；若同波重复选择同一稳定 ID，请合并数量。实际数量按当前模拟玩家数逐条向上取整。</x:v>
      </x:c>
      <x:c r="C34" s="56" t="str">
        <x:v>蓝色列可编辑。每种敌人一行；若同波重复选择同一稳定 ID，请合并数量。实际数量按当前模拟玩家数逐条向上取整。</x:v>
      </x:c>
      <x:c r="D34" s="56" t="str">
        <x:v>蓝色列可编辑。每种敌人一行；若同波重复选择同一稳定 ID，请合并数量。实际数量按当前模拟玩家数逐条向上取整。</x:v>
      </x:c>
      <x:c r="E34" s="56" t="str">
        <x:v>蓝色列可编辑。每种敌人一行；若同波重复选择同一稳定 ID，请合并数量。实际数量按当前模拟玩家数逐条向上取整。</x:v>
      </x:c>
      <x:c r="F34" s="56" t="str">
        <x:v>蓝色列可编辑。每种敌人一行；若同波重复选择同一稳定 ID，请合并数量。实际数量按当前模拟玩家数逐条向上取整。</x:v>
      </x:c>
      <x:c r="G34" s="56" t="str">
        <x:v>蓝色列可编辑。每种敌人一行；若同波重复选择同一稳定 ID，请合并数量。实际数量按当前模拟玩家数逐条向上取整。</x:v>
      </x:c>
      <x:c r="H34" s="56" t="str">
        <x:v>蓝色列可编辑。每种敌人一行；若同波重复选择同一稳定 ID，请合并数量。实际数量按当前模拟玩家数逐条向上取整。</x:v>
      </x:c>
      <x:c r="I34" s="56" t="str">
        <x:v>蓝色列可编辑。每种敌人一行；若同波重复选择同一稳定 ID，请合并数量。实际数量按当前模拟玩家数逐条向上取整。</x:v>
      </x:c>
      <x:c r="J34" s="56" t="str">
        <x:v>蓝色列可编辑。每种敌人一行；若同波重复选择同一稳定 ID，请合并数量。实际数量按当前模拟玩家数逐条向上取整。</x:v>
      </x:c>
      <x:c r="K34" s="56" t="str">
        <x:v>蓝色列可编辑。每种敌人一行；若同波重复选择同一稳定 ID，请合并数量。实际数量按当前模拟玩家数逐条向上取整。</x:v>
      </x:c>
      <x:c r="L34" s="56" t="str">
        <x:v>蓝色列可编辑。每种敌人一行；若同波重复选择同一稳定 ID，请合并数量。实际数量按当前模拟玩家数逐条向上取整。</x:v>
      </x:c>
      <x:c r="M34" s="56" t="str">
        <x:v>蓝色列可编辑。每种敌人一行；若同波重复选择同一稳定 ID，请合并数量。实际数量按当前模拟玩家数逐条向上取整。</x:v>
      </x:c>
      <x:c r="N34" s="56" t="str">
        <x:v>蓝色列可编辑。每种敌人一行；若同波重复选择同一稳定 ID，请合并数量。实际数量按当前模拟玩家数逐条向上取整。</x:v>
      </x:c>
      <x:c r="O34" s="56" t="str">
        <x:v>蓝色列可编辑。每种敌人一行；若同波重复选择同一稳定 ID，请合并数量。实际数量按当前模拟玩家数逐条向上取整。</x:v>
      </x:c>
      <x:c r="P34" s="56" t="str">
        <x:v>蓝色列可编辑。每种敌人一行；若同波重复选择同一稳定 ID，请合并数量。实际数量按当前模拟玩家数逐条向上取整。</x:v>
      </x:c>
      <x:c r="Q34" s="56" t="str">
        <x:v>蓝色列可编辑。每种敌人一行；若同波重复选择同一稳定 ID，请合并数量。实际数量按当前模拟玩家数逐条向上取整。</x:v>
      </x:c>
      <x:c r="R34" s="56" t="str">
        <x:v>蓝色列可编辑。每种敌人一行；若同波重复选择同一稳定 ID，请合并数量。实际数量按当前模拟玩家数逐条向上取整。</x:v>
      </x:c>
      <x:c r="S34" s="56" t="str">
        <x:v>蓝色列可编辑。每种敌人一行；若同波重复选择同一稳定 ID，请合并数量。实际数量按当前模拟玩家数逐条向上取整。</x:v>
      </x:c>
      <x:c r="T34" s="56" t="str">
        <x:v>蓝色列可编辑。每种敌人一行；若同波重复选择同一稳定 ID，请合并数量。实际数量按当前模拟玩家数逐条向上取整。</x:v>
      </x:c>
      <x:c r="U34" s="56" t="str">
        <x:v>蓝色列可编辑。每种敌人一行；若同波重复选择同一稳定 ID，请合并数量。实际数量按当前模拟玩家数逐条向上取整。</x:v>
      </x:c>
    </x:row>
    <x:row r="35" ht="22" customHeight="1">
      <x:c r="A35" s="63" t="str">
        <x:v>槽位</x:v>
      </x:c>
      <x:c r="B35" s="63" t="str">
        <x:v>敌人（下拉选择）</x:v>
      </x:c>
      <x:c r="C35" s="63" t="str">
        <x:v>基础数量</x:v>
      </x:c>
      <x:c r="D35" s="63" t="str">
        <x:v>本波息壤覆盖</x:v>
      </x:c>
      <x:c r="E35" s="63" t="str">
        <x:v>稳定敌人ID</x:v>
      </x:c>
      <x:c r="F35" s="63" t="str">
        <x:v>实际数量</x:v>
      </x:c>
      <x:c r="G35" s="63" t="str">
        <x:v>生命</x:v>
      </x:c>
      <x:c r="H35" s="63" t="str">
        <x:v>攻击</x:v>
      </x:c>
      <x:c r="I35" s="63" t="str">
        <x:v>物理防御</x:v>
      </x:c>
      <x:c r="J35" s="63" t="str">
        <x:v>法术防御</x:v>
      </x:c>
      <x:c r="K35" s="63" t="str">
        <x:v>移速</x:v>
      </x:c>
      <x:c r="L35" s="63" t="str">
        <x:v>Home伤害</x:v>
      </x:c>
      <x:c r="M35" s="63" t="str">
        <x:v>游戏默认息壤</x:v>
      </x:c>
      <x:c r="N35" s="63" t="str">
        <x:v>有效息壤</x:v>
      </x:c>
      <x:c r="O35" s="63" t="str">
        <x:v>掉落期望/击杀</x:v>
      </x:c>
      <x:c r="P35" s="63" t="str">
        <x:v>总生命</x:v>
      </x:c>
      <x:c r="Q35" s="63" t="str">
        <x:v>全漏Home伤害</x:v>
      </x:c>
      <x:c r="R35" s="63" t="str">
        <x:v>最大息壤/玩家</x:v>
      </x:c>
      <x:c r="S35" s="63" t="str">
        <x:v>最大息壤/队伍</x:v>
      </x:c>
      <x:c r="T35" s="63" t="str">
        <x:v>掉落期望</x:v>
      </x:c>
      <x:c r="U35" s="63" t="str">
        <x:v>校验</x:v>
      </x:c>
    </x:row>
    <x:row r="36" ht="22" customHeight="1">
      <x:c r="A36" s="72" t="n">
        <x:v>1</x:v>
      </x:c>
      <x:c r="B36" s="41" t="str">
        <x:v>yuanshi_insect_basic｜普通原石虫</x:v>
      </x:c>
      <x:c r="C36" s="41" t="n">
        <x:v>28</x:v>
      </x:c>
      <x:c r="D36" s="41"/>
      <x:c r="E36" s="19" t="str">
        <x:f>IFERROR(VLOOKUP(B36,'敌人目录'!$A$6:$S$54,2,FALSE),"")</x:f>
        <x:v>yuanshi_insect_basic</x:v>
      </x:c>
      <x:c r="F36" s="19" t="n">
        <x:f>IF(OR(B36="",C36=""),"",ROUNDUP(C36*(1+('全局设置'!$B$5-1)*'全局设置'!$B$6),0))</x:f>
        <x:v>28</x:v>
      </x:c>
      <x:c r="G36" s="19" t="n">
        <x:f>IFERROR(VLOOKUP(B36,'敌人目录'!$A$6:$S$54,7,FALSE),"")</x:f>
        <x:v>40</x:v>
      </x:c>
      <x:c r="H36" s="19" t="n">
        <x:f>IFERROR(VLOOKUP(B36,'敌人目录'!$A$6:$S$54,8,FALSE),"")</x:f>
        <x:v>10</x:v>
      </x:c>
      <x:c r="I36" s="19" t="n">
        <x:f>IFERROR(VLOOKUP(B36,'敌人目录'!$A$6:$S$54,9,FALSE),"")</x:f>
        <x:v>0</x:v>
      </x:c>
      <x:c r="J36" s="19" t="n">
        <x:f>IFERROR(VLOOKUP(B36,'敌人目录'!$A$6:$S$54,10,FALSE),"")</x:f>
        <x:v>0</x:v>
      </x:c>
      <x:c r="K36" s="19" t="n">
        <x:f>IFERROR(VLOOKUP(B36,'敌人目录'!$A$6:$S$54,11,FALSE),"")</x:f>
        <x:v>20</x:v>
      </x:c>
      <x:c r="L36" s="19" t="n">
        <x:f>IFERROR(VLOOKUP(B36,'敌人目录'!$A$6:$S$54,12,FALSE),"")</x:f>
        <x:v>1</x:v>
      </x:c>
      <x:c r="M36" s="19" t="n">
        <x:f>IFERROR(VLOOKUP(B36,'敌人目录'!$A$6:$S$54,13,FALSE),"")</x:f>
        <x:v>1</x:v>
      </x:c>
      <x:c r="N36" s="19" t="n">
        <x:f>IF(B36="","",IF(ISNUMBER(D36),D36,IFERROR(VLOOKUP(B36,'敌人目录'!$A$6:$S$54,14,FALSE),"")))</x:f>
        <x:v>1</x:v>
      </x:c>
      <x:c r="O36" s="64" t="n">
        <x:f>IFERROR(VLOOKUP(B36,'敌人目录'!$A$6:$S$54,15,FALSE),"")</x:f>
        <x:v>0.05</x:v>
      </x:c>
      <x:c r="P36" s="19" t="n">
        <x:f>IF(F36="","",F36*G36)</x:f>
        <x:v>1120</x:v>
      </x:c>
      <x:c r="Q36" s="19" t="n">
        <x:f>IF(F36="","",F36*L36)</x:f>
        <x:v>28</x:v>
      </x:c>
      <x:c r="R36" s="19" t="n">
        <x:f>IF(F36="","",F36*N36)</x:f>
        <x:v>28</x:v>
      </x:c>
      <x:c r="S36" s="19" t="n">
        <x:f>IF(R36="","",R36*'全局设置'!$B$5)</x:f>
        <x:v>28</x:v>
      </x:c>
      <x:c r="T36" s="73" t="n">
        <x:f>IF(F36="","",F36*O36)</x:f>
        <x:v>1.4000000000000001</x:v>
      </x:c>
      <x:c r="U36" s="19" t="str">
        <x:f>IF(AND(B36="",C36=""),"",IF(B36="","缺少敌人",IF(C36="","缺少数量",IF(OR(C36&lt;1,C36&gt;9999,C36&lt;&gt;INT(C36)),"数量无效",IF(COUNTIF($E$36:$E$53,E36)&gt;1,"重复敌人",IF(AND(ISNUMBER(D36),OR(D36&lt;0,D36&gt;999,D36&lt;&gt;INT(D36))),"奖励无效","可导入"))))))</x:f>
        <x:v>可导入</x:v>
      </x:c>
    </x:row>
    <x:row r="37" ht="22" customHeight="1">
      <x:c r="A37" s="72" t="n">
        <x:v>2</x:v>
      </x:c>
      <x:c r="B37" s="41" t="str">
        <x:v>yuanshi_insect_fast｜迅捷原石虫</x:v>
      </x:c>
      <x:c r="C37" s="41" t="n">
        <x:v>24</x:v>
      </x:c>
      <x:c r="D37" s="41"/>
      <x:c r="E37" s="19" t="str">
        <x:f>IFERROR(VLOOKUP(B37,'敌人目录'!$A$6:$S$54,2,FALSE),"")</x:f>
        <x:v>yuanshi_insect_fast</x:v>
      </x:c>
      <x:c r="F37" s="19" t="n">
        <x:f>IF(OR(B37="",C37=""),"",ROUNDUP(C37*(1+('全局设置'!$B$5-1)*'全局设置'!$B$6),0))</x:f>
        <x:v>24</x:v>
      </x:c>
      <x:c r="G37" s="19" t="n">
        <x:f>IFERROR(VLOOKUP(B37,'敌人目录'!$A$6:$S$54,7,FALSE),"")</x:f>
        <x:v>35</x:v>
      </x:c>
      <x:c r="H37" s="19" t="n">
        <x:f>IFERROR(VLOOKUP(B37,'敌人目录'!$A$6:$S$54,8,FALSE),"")</x:f>
        <x:v>10</x:v>
      </x:c>
      <x:c r="I37" s="19" t="n">
        <x:f>IFERROR(VLOOKUP(B37,'敌人目录'!$A$6:$S$54,9,FALSE),"")</x:f>
        <x:v>0</x:v>
      </x:c>
      <x:c r="J37" s="19" t="n">
        <x:f>IFERROR(VLOOKUP(B37,'敌人目录'!$A$6:$S$54,10,FALSE),"")</x:f>
        <x:v>0</x:v>
      </x:c>
      <x:c r="K37" s="19" t="n">
        <x:f>IFERROR(VLOOKUP(B37,'敌人目录'!$A$6:$S$54,11,FALSE),"")</x:f>
        <x:v>40</x:v>
      </x:c>
      <x:c r="L37" s="19" t="n">
        <x:f>IFERROR(VLOOKUP(B37,'敌人目录'!$A$6:$S$54,12,FALSE),"")</x:f>
        <x:v>1</x:v>
      </x:c>
      <x:c r="M37" s="19" t="n">
        <x:f>IFERROR(VLOOKUP(B37,'敌人目录'!$A$6:$S$54,13,FALSE),"")</x:f>
        <x:v>1</x:v>
      </x:c>
      <x:c r="N37" s="19" t="n">
        <x:f>IF(B37="","",IF(ISNUMBER(D37),D37,IFERROR(VLOOKUP(B37,'敌人目录'!$A$6:$S$54,14,FALSE),"")))</x:f>
        <x:v>1</x:v>
      </x:c>
      <x:c r="O37" s="64" t="n">
        <x:f>IFERROR(VLOOKUP(B37,'敌人目录'!$A$6:$S$54,15,FALSE),"")</x:f>
        <x:v>0.05</x:v>
      </x:c>
      <x:c r="P37" s="19" t="n">
        <x:f>IF(F37="","",F37*G37)</x:f>
        <x:v>840</x:v>
      </x:c>
      <x:c r="Q37" s="19" t="n">
        <x:f>IF(F37="","",F37*L37)</x:f>
        <x:v>24</x:v>
      </x:c>
      <x:c r="R37" s="19" t="n">
        <x:f>IF(F37="","",F37*N37)</x:f>
        <x:v>24</x:v>
      </x:c>
      <x:c r="S37" s="19" t="n">
        <x:f>IF(R37="","",R37*'全局设置'!$B$5)</x:f>
        <x:v>24</x:v>
      </x:c>
      <x:c r="T37" s="73" t="n">
        <x:f>IF(F37="","",F37*O37)</x:f>
        <x:v>1.2000000000000002</x:v>
      </x:c>
      <x:c r="U37" s="19" t="str">
        <x:f>IF(AND(B37="",C37=""),"",IF(B37="","缺少敌人",IF(C37="","缺少数量",IF(OR(C37&lt;1,C37&gt;9999,C37&lt;&gt;INT(C37)),"数量无效",IF(COUNTIF($E$36:$E$53,E37)&gt;1,"重复敌人",IF(AND(ISNUMBER(D37),OR(D37&lt;0,D37&gt;999,D37&lt;&gt;INT(D37))),"奖励无效","可导入"))))))</x:f>
        <x:v>可导入</x:v>
      </x:c>
    </x:row>
    <x:row r="38" ht="22" customHeight="1">
      <x:c r="A38" s="72" t="n">
        <x:v>3</x:v>
      </x:c>
      <x:c r="B38" s="41" t="str">
        <x:v>yuanshi_insect_shell｜硬壳原石虫</x:v>
      </x:c>
      <x:c r="C38" s="41" t="n">
        <x:v>12</x:v>
      </x:c>
      <x:c r="D38" s="41"/>
      <x:c r="E38" s="19" t="str">
        <x:f>IFERROR(VLOOKUP(B38,'敌人目录'!$A$6:$S$54,2,FALSE),"")</x:f>
        <x:v>yuanshi_insect_shell</x:v>
      </x:c>
      <x:c r="F38" s="19" t="n">
        <x:f>IF(OR(B38="",C38=""),"",ROUNDUP(C38*(1+('全局设置'!$B$5-1)*'全局设置'!$B$6),0))</x:f>
        <x:v>12</x:v>
      </x:c>
      <x:c r="G38" s="19" t="n">
        <x:f>IFERROR(VLOOKUP(B38,'敌人目录'!$A$6:$S$54,7,FALSE),"")</x:f>
        <x:v>140</x:v>
      </x:c>
      <x:c r="H38" s="19" t="n">
        <x:f>IFERROR(VLOOKUP(B38,'敌人目录'!$A$6:$S$54,8,FALSE),"")</x:f>
        <x:v>14</x:v>
      </x:c>
      <x:c r="I38" s="19" t="n">
        <x:f>IFERROR(VLOOKUP(B38,'敌人目录'!$A$6:$S$54,9,FALSE),"")</x:f>
        <x:v>3</x:v>
      </x:c>
      <x:c r="J38" s="19" t="n">
        <x:f>IFERROR(VLOOKUP(B38,'敌人目录'!$A$6:$S$54,10,FALSE),"")</x:f>
        <x:v>0</x:v>
      </x:c>
      <x:c r="K38" s="19" t="n">
        <x:f>IFERROR(VLOOKUP(B38,'敌人目录'!$A$6:$S$54,11,FALSE),"")</x:f>
        <x:v>20</x:v>
      </x:c>
      <x:c r="L38" s="19" t="n">
        <x:f>IFERROR(VLOOKUP(B38,'敌人目录'!$A$6:$S$54,12,FALSE),"")</x:f>
        <x:v>2</x:v>
      </x:c>
      <x:c r="M38" s="19" t="n">
        <x:f>IFERROR(VLOOKUP(B38,'敌人目录'!$A$6:$S$54,13,FALSE),"")</x:f>
        <x:v>2</x:v>
      </x:c>
      <x:c r="N38" s="19" t="n">
        <x:f>IF(B38="","",IF(ISNUMBER(D38),D38,IFERROR(VLOOKUP(B38,'敌人目录'!$A$6:$S$54,14,FALSE),"")))</x:f>
        <x:v>2</x:v>
      </x:c>
      <x:c r="O38" s="64" t="n">
        <x:f>IFERROR(VLOOKUP(B38,'敌人目录'!$A$6:$S$54,15,FALSE),"")</x:f>
        <x:v>0.05</x:v>
      </x:c>
      <x:c r="P38" s="19" t="n">
        <x:f>IF(F38="","",F38*G38)</x:f>
        <x:v>1680</x:v>
      </x:c>
      <x:c r="Q38" s="19" t="n">
        <x:f>IF(F38="","",F38*L38)</x:f>
        <x:v>24</x:v>
      </x:c>
      <x:c r="R38" s="19" t="n">
        <x:f>IF(F38="","",F38*N38)</x:f>
        <x:v>24</x:v>
      </x:c>
      <x:c r="S38" s="19" t="n">
        <x:f>IF(R38="","",R38*'全局设置'!$B$5)</x:f>
        <x:v>24</x:v>
      </x:c>
      <x:c r="T38" s="73" t="n">
        <x:f>IF(F38="","",F38*O38)</x:f>
        <x:v>0.6000000000000001</x:v>
      </x:c>
      <x:c r="U38" s="19" t="str">
        <x:f>IF(AND(B38="",C38=""),"",IF(B38="","缺少敌人",IF(C38="","缺少数量",IF(OR(C38&lt;1,C38&gt;9999,C38&lt;&gt;INT(C38)),"数量无效",IF(COUNTIF($E$36:$E$53,E38)&gt;1,"重复敌人",IF(AND(ISNUMBER(D38),OR(D38&lt;0,D38&gt;999,D38&lt;&gt;INT(D38))),"奖励无效","可导入"))))))</x:f>
        <x:v>可导入</x:v>
      </x:c>
    </x:row>
    <x:row r="39" ht="22" customHeight="1">
      <x:c r="A39" s="72" t="n">
        <x:v>4</x:v>
      </x:c>
      <x:c r="B39" s="41" t="str">
        <x:v>yuanshi_insect_bomber｜自爆原石虫</x:v>
      </x:c>
      <x:c r="C39" s="41" t="n">
        <x:v>12</x:v>
      </x:c>
      <x:c r="D39" s="41"/>
      <x:c r="E39" s="19" t="str">
        <x:f>IFERROR(VLOOKUP(B39,'敌人目录'!$A$6:$S$54,2,FALSE),"")</x:f>
        <x:v>yuanshi_insect_bomber</x:v>
      </x:c>
      <x:c r="F39" s="19" t="n">
        <x:f>IF(OR(B39="",C39=""),"",ROUNDUP(C39*(1+('全局设置'!$B$5-1)*'全局设置'!$B$6),0))</x:f>
        <x:v>12</x:v>
      </x:c>
      <x:c r="G39" s="19" t="n">
        <x:f>IFERROR(VLOOKUP(B39,'敌人目录'!$A$6:$S$54,7,FALSE),"")</x:f>
        <x:v>30</x:v>
      </x:c>
      <x:c r="H39" s="19" t="n">
        <x:f>IFERROR(VLOOKUP(B39,'敌人目录'!$A$6:$S$54,8,FALSE),"")</x:f>
        <x:v>10</x:v>
      </x:c>
      <x:c r="I39" s="19" t="n">
        <x:f>IFERROR(VLOOKUP(B39,'敌人目录'!$A$6:$S$54,9,FALSE),"")</x:f>
        <x:v>0</x:v>
      </x:c>
      <x:c r="J39" s="19" t="n">
        <x:f>IFERROR(VLOOKUP(B39,'敌人目录'!$A$6:$S$54,10,FALSE),"")</x:f>
        <x:v>0</x:v>
      </x:c>
      <x:c r="K39" s="19" t="n">
        <x:f>IFERROR(VLOOKUP(B39,'敌人目录'!$A$6:$S$54,11,FALSE),"")</x:f>
        <x:v>18</x:v>
      </x:c>
      <x:c r="L39" s="19" t="n">
        <x:f>IFERROR(VLOOKUP(B39,'敌人目录'!$A$6:$S$54,12,FALSE),"")</x:f>
        <x:v>1</x:v>
      </x:c>
      <x:c r="M39" s="19" t="n">
        <x:f>IFERROR(VLOOKUP(B39,'敌人目录'!$A$6:$S$54,13,FALSE),"")</x:f>
        <x:v>1</x:v>
      </x:c>
      <x:c r="N39" s="19" t="n">
        <x:f>IF(B39="","",IF(ISNUMBER(D39),D39,IFERROR(VLOOKUP(B39,'敌人目录'!$A$6:$S$54,14,FALSE),"")))</x:f>
        <x:v>1</x:v>
      </x:c>
      <x:c r="O39" s="64" t="n">
        <x:f>IFERROR(VLOOKUP(B39,'敌人目录'!$A$6:$S$54,15,FALSE),"")</x:f>
        <x:v>0.05</x:v>
      </x:c>
      <x:c r="P39" s="19" t="n">
        <x:f>IF(F39="","",F39*G39)</x:f>
        <x:v>360</x:v>
      </x:c>
      <x:c r="Q39" s="19" t="n">
        <x:f>IF(F39="","",F39*L39)</x:f>
        <x:v>12</x:v>
      </x:c>
      <x:c r="R39" s="19" t="n">
        <x:f>IF(F39="","",F39*N39)</x:f>
        <x:v>12</x:v>
      </x:c>
      <x:c r="S39" s="19" t="n">
        <x:f>IF(R39="","",R39*'全局设置'!$B$5)</x:f>
        <x:v>12</x:v>
      </x:c>
      <x:c r="T39" s="73" t="n">
        <x:f>IF(F39="","",F39*O39)</x:f>
        <x:v>0.6000000000000001</x:v>
      </x:c>
      <x:c r="U39" s="19" t="str">
        <x:f>IF(AND(B39="",C39=""),"",IF(B39="","缺少敌人",IF(C39="","缺少数量",IF(OR(C39&lt;1,C39&gt;9999,C39&lt;&gt;INT(C39)),"数量无效",IF(COUNTIF($E$36:$E$53,E39)&gt;1,"重复敌人",IF(AND(ISNUMBER(D39),OR(D39&lt;0,D39&gt;999,D39&lt;&gt;INT(D39))),"奖励无效","可导入"))))))</x:f>
        <x:v>可导入</x:v>
      </x:c>
    </x:row>
    <x:row r="40" ht="22" customHeight="1">
      <x:c r="A40" s="72" t="n">
        <x:v>5</x:v>
      </x:c>
      <x:c r="B40" s="41" t="str">
        <x:v>yuanshi_insect_fire_ranged｜火焰弹原石虫</x:v>
      </x:c>
      <x:c r="C40" s="41" t="n">
        <x:v>12</x:v>
      </x:c>
      <x:c r="D40" s="41"/>
      <x:c r="E40" s="19" t="str">
        <x:f>IFERROR(VLOOKUP(B40,'敌人目录'!$A$6:$S$54,2,FALSE),"")</x:f>
        <x:v>yuanshi_insect_fire_ranged</x:v>
      </x:c>
      <x:c r="F40" s="19" t="n">
        <x:f>IF(OR(B40="",C40=""),"",ROUNDUP(C40*(1+('全局设置'!$B$5-1)*'全局设置'!$B$6),0))</x:f>
        <x:v>12</x:v>
      </x:c>
      <x:c r="G40" s="19" t="n">
        <x:f>IFERROR(VLOOKUP(B40,'敌人目录'!$A$6:$S$54,7,FALSE),"")</x:f>
        <x:v>40</x:v>
      </x:c>
      <x:c r="H40" s="19" t="n">
        <x:f>IFERROR(VLOOKUP(B40,'敌人目录'!$A$6:$S$54,8,FALSE),"")</x:f>
        <x:v>25</x:v>
      </x:c>
      <x:c r="I40" s="19" t="n">
        <x:f>IFERROR(VLOOKUP(B40,'敌人目录'!$A$6:$S$54,9,FALSE),"")</x:f>
        <x:v>0</x:v>
      </x:c>
      <x:c r="J40" s="19" t="n">
        <x:f>IFERROR(VLOOKUP(B40,'敌人目录'!$A$6:$S$54,10,FALSE),"")</x:f>
        <x:v>0</x:v>
      </x:c>
      <x:c r="K40" s="19" t="n">
        <x:f>IFERROR(VLOOKUP(B40,'敌人目录'!$A$6:$S$54,11,FALSE),"")</x:f>
        <x:v>22</x:v>
      </x:c>
      <x:c r="L40" s="19" t="n">
        <x:f>IFERROR(VLOOKUP(B40,'敌人目录'!$A$6:$S$54,12,FALSE),"")</x:f>
        <x:v>2</x:v>
      </x:c>
      <x:c r="M40" s="19" t="n">
        <x:f>IFERROR(VLOOKUP(B40,'敌人目录'!$A$6:$S$54,13,FALSE),"")</x:f>
        <x:v>1</x:v>
      </x:c>
      <x:c r="N40" s="19" t="n">
        <x:f>IF(B40="","",IF(ISNUMBER(D40),D40,IFERROR(VLOOKUP(B40,'敌人目录'!$A$6:$S$54,14,FALSE),"")))</x:f>
        <x:v>1</x:v>
      </x:c>
      <x:c r="O40" s="64" t="n">
        <x:f>IFERROR(VLOOKUP(B40,'敌人目录'!$A$6:$S$54,15,FALSE),"")</x:f>
        <x:v>0.05</x:v>
      </x:c>
      <x:c r="P40" s="19" t="n">
        <x:f>IF(F40="","",F40*G40)</x:f>
        <x:v>480</x:v>
      </x:c>
      <x:c r="Q40" s="19" t="n">
        <x:f>IF(F40="","",F40*L40)</x:f>
        <x:v>24</x:v>
      </x:c>
      <x:c r="R40" s="19" t="n">
        <x:f>IF(F40="","",F40*N40)</x:f>
        <x:v>12</x:v>
      </x:c>
      <x:c r="S40" s="19" t="n">
        <x:f>IF(R40="","",R40*'全局设置'!$B$5)</x:f>
        <x:v>12</x:v>
      </x:c>
      <x:c r="T40" s="73" t="n">
        <x:f>IF(F40="","",F40*O40)</x:f>
        <x:v>0.6000000000000001</x:v>
      </x:c>
      <x:c r="U40" s="19" t="str">
        <x:f>IF(AND(B40="",C40=""),"",IF(B40="","缺少敌人",IF(C40="","缺少数量",IF(OR(C40&lt;1,C40&gt;9999,C40&lt;&gt;INT(C40)),"数量无效",IF(COUNTIF($E$36:$E$53,E40)&gt;1,"重复敌人",IF(AND(ISNUMBER(D40),OR(D40&lt;0,D40&gt;999,D40&lt;&gt;INT(D40))),"奖励无效","可导入"))))))</x:f>
        <x:v>可导入</x:v>
      </x:c>
    </x:row>
    <x:row r="41" ht="22" customHeight="1">
      <x:c r="A41" s="72" t="n">
        <x:v>6</x:v>
      </x:c>
      <x:c r="B41" s="41" t="str">
        <x:v>yuanshi_insect_guardian｜守护者原石虫</x:v>
      </x:c>
      <x:c r="C41" s="41" t="n">
        <x:v>8</x:v>
      </x:c>
      <x:c r="D41" s="41"/>
      <x:c r="E41" s="19" t="str">
        <x:f>IFERROR(VLOOKUP(B41,'敌人目录'!$A$6:$S$54,2,FALSE),"")</x:f>
        <x:v>yuanshi_insect_guardian</x:v>
      </x:c>
      <x:c r="F41" s="19" t="n">
        <x:f>IF(OR(B41="",C41=""),"",ROUNDUP(C41*(1+('全局设置'!$B$5-1)*'全局设置'!$B$6),0))</x:f>
        <x:v>8</x:v>
      </x:c>
      <x:c r="G41" s="19" t="n">
        <x:f>IFERROR(VLOOKUP(B41,'敌人目录'!$A$6:$S$54,7,FALSE),"")</x:f>
        <x:v>150</x:v>
      </x:c>
      <x:c r="H41" s="19" t="n">
        <x:f>IFERROR(VLOOKUP(B41,'敌人目录'!$A$6:$S$54,8,FALSE),"")</x:f>
        <x:v>10</x:v>
      </x:c>
      <x:c r="I41" s="19" t="n">
        <x:f>IFERROR(VLOOKUP(B41,'敌人目录'!$A$6:$S$54,9,FALSE),"")</x:f>
        <x:v>5</x:v>
      </x:c>
      <x:c r="J41" s="19" t="n">
        <x:f>IFERROR(VLOOKUP(B41,'敌人目录'!$A$6:$S$54,10,FALSE),"")</x:f>
        <x:v>0</x:v>
      </x:c>
      <x:c r="K41" s="19" t="n">
        <x:f>IFERROR(VLOOKUP(B41,'敌人目录'!$A$6:$S$54,11,FALSE),"")</x:f>
        <x:v>20</x:v>
      </x:c>
      <x:c r="L41" s="19" t="n">
        <x:f>IFERROR(VLOOKUP(B41,'敌人目录'!$A$6:$S$54,12,FALSE),"")</x:f>
        <x:v>5</x:v>
      </x:c>
      <x:c r="M41" s="19" t="n">
        <x:f>IFERROR(VLOOKUP(B41,'敌人目录'!$A$6:$S$54,13,FALSE),"")</x:f>
        <x:v>2</x:v>
      </x:c>
      <x:c r="N41" s="19" t="n">
        <x:f>IF(B41="","",IF(ISNUMBER(D41),D41,IFERROR(VLOOKUP(B41,'敌人目录'!$A$6:$S$54,14,FALSE),"")))</x:f>
        <x:v>2</x:v>
      </x:c>
      <x:c r="O41" s="64" t="n">
        <x:f>IFERROR(VLOOKUP(B41,'敌人目录'!$A$6:$S$54,15,FALSE),"")</x:f>
        <x:v>0.05</x:v>
      </x:c>
      <x:c r="P41" s="19" t="n">
        <x:f>IF(F41="","",F41*G41)</x:f>
        <x:v>1200</x:v>
      </x:c>
      <x:c r="Q41" s="19" t="n">
        <x:f>IF(F41="","",F41*L41)</x:f>
        <x:v>40</x:v>
      </x:c>
      <x:c r="R41" s="19" t="n">
        <x:f>IF(F41="","",F41*N41)</x:f>
        <x:v>16</x:v>
      </x:c>
      <x:c r="S41" s="19" t="n">
        <x:f>IF(R41="","",R41*'全局设置'!$B$5)</x:f>
        <x:v>16</x:v>
      </x:c>
      <x:c r="T41" s="73" t="n">
        <x:f>IF(F41="","",F41*O41)</x:f>
        <x:v>0.4</x:v>
      </x:c>
      <x:c r="U41" s="19" t="str">
        <x:f>IF(AND(B41="",C41=""),"",IF(B41="","缺少敌人",IF(C41="","缺少数量",IF(OR(C41&lt;1,C41&gt;9999,C41&lt;&gt;INT(C41)),"数量无效",IF(COUNTIF($E$36:$E$53,E41)&gt;1,"重复敌人",IF(AND(ISNUMBER(D41),OR(D41&lt;0,D41&gt;999,D41&lt;&gt;INT(D41))),"奖励无效","可导入"))))))</x:f>
        <x:v>可导入</x:v>
      </x:c>
    </x:row>
    <x:row r="42" ht="22" customHeight="1">
      <x:c r="A42" s="72" t="n">
        <x:v>7</x:v>
      </x:c>
      <x:c r="B42" s="41"/>
      <x:c r="C42" s="41"/>
      <x:c r="D42" s="41"/>
      <x:c r="E42" s="19" t="str">
        <x:f>IFERROR(VLOOKUP(B42,'敌人目录'!$A$6:$S$54,2,FALSE),"")</x:f>
      </x:c>
      <x:c r="F42" s="19" t="str">
        <x:f>IF(OR(B42="",C42=""),"",ROUNDUP(C42*(1+('全局设置'!$B$5-1)*'全局设置'!$B$6),0))</x:f>
      </x:c>
      <x:c r="G42" s="19" t="str">
        <x:f>IFERROR(VLOOKUP(B42,'敌人目录'!$A$6:$S$54,7,FALSE),"")</x:f>
      </x:c>
      <x:c r="H42" s="19" t="str">
        <x:f>IFERROR(VLOOKUP(B42,'敌人目录'!$A$6:$S$54,8,FALSE),"")</x:f>
      </x:c>
      <x:c r="I42" s="19" t="str">
        <x:f>IFERROR(VLOOKUP(B42,'敌人目录'!$A$6:$S$54,9,FALSE),"")</x:f>
      </x:c>
      <x:c r="J42" s="19" t="str">
        <x:f>IFERROR(VLOOKUP(B42,'敌人目录'!$A$6:$S$54,10,FALSE),"")</x:f>
      </x:c>
      <x:c r="K42" s="19" t="str">
        <x:f>IFERROR(VLOOKUP(B42,'敌人目录'!$A$6:$S$54,11,FALSE),"")</x:f>
      </x:c>
      <x:c r="L42" s="19" t="str">
        <x:f>IFERROR(VLOOKUP(B42,'敌人目录'!$A$6:$S$54,12,FALSE),"")</x:f>
      </x:c>
      <x:c r="M42" s="19" t="str">
        <x:f>IFERROR(VLOOKUP(B42,'敌人目录'!$A$6:$S$54,13,FALSE),"")</x:f>
      </x:c>
      <x:c r="N42" s="19" t="str">
        <x:f>IF(B42="","",IF(ISNUMBER(D42),D42,IFERROR(VLOOKUP(B42,'敌人目录'!$A$6:$S$54,14,FALSE),"")))</x:f>
      </x:c>
      <x:c r="O42" s="64" t="str">
        <x:f>IFERROR(VLOOKUP(B42,'敌人目录'!$A$6:$S$54,15,FALSE),"")</x:f>
      </x:c>
      <x:c r="P42" s="19" t="str">
        <x:f>IF(F42="","",F42*G42)</x:f>
      </x:c>
      <x:c r="Q42" s="19" t="str">
        <x:f>IF(F42="","",F42*L42)</x:f>
      </x:c>
      <x:c r="R42" s="19" t="str">
        <x:f>IF(F42="","",F42*N42)</x:f>
      </x:c>
      <x:c r="S42" s="19" t="str">
        <x:f>IF(R42="","",R42*'全局设置'!$B$5)</x:f>
      </x:c>
      <x:c r="T42" s="73" t="str">
        <x:f>IF(F42="","",F42*O42)</x:f>
      </x:c>
      <x:c r="U42" s="19" t="str">
        <x:f>IF(AND(B42="",C42=""),"",IF(B42="","缺少敌人",IF(C42="","缺少数量",IF(OR(C42&lt;1,C42&gt;9999,C42&lt;&gt;INT(C42)),"数量无效",IF(COUNTIF($E$36:$E$53,E42)&gt;1,"重复敌人",IF(AND(ISNUMBER(D42),OR(D42&lt;0,D42&gt;999,D42&lt;&gt;INT(D42))),"奖励无效","可导入"))))))</x:f>
      </x:c>
    </x:row>
    <x:row r="43" ht="22" customHeight="1">
      <x:c r="A43" s="72" t="n">
        <x:v>8</x:v>
      </x:c>
      <x:c r="B43" s="41"/>
      <x:c r="C43" s="41"/>
      <x:c r="D43" s="41"/>
      <x:c r="E43" s="19" t="str">
        <x:f>IFERROR(VLOOKUP(B43,'敌人目录'!$A$6:$S$54,2,FALSE),"")</x:f>
      </x:c>
      <x:c r="F43" s="19" t="str">
        <x:f>IF(OR(B43="",C43=""),"",ROUNDUP(C43*(1+('全局设置'!$B$5-1)*'全局设置'!$B$6),0))</x:f>
      </x:c>
      <x:c r="G43" s="19" t="str">
        <x:f>IFERROR(VLOOKUP(B43,'敌人目录'!$A$6:$S$54,7,FALSE),"")</x:f>
      </x:c>
      <x:c r="H43" s="19" t="str">
        <x:f>IFERROR(VLOOKUP(B43,'敌人目录'!$A$6:$S$54,8,FALSE),"")</x:f>
      </x:c>
      <x:c r="I43" s="19" t="str">
        <x:f>IFERROR(VLOOKUP(B43,'敌人目录'!$A$6:$S$54,9,FALSE),"")</x:f>
      </x:c>
      <x:c r="J43" s="19" t="str">
        <x:f>IFERROR(VLOOKUP(B43,'敌人目录'!$A$6:$S$54,10,FALSE),"")</x:f>
      </x:c>
      <x:c r="K43" s="19" t="str">
        <x:f>IFERROR(VLOOKUP(B43,'敌人目录'!$A$6:$S$54,11,FALSE),"")</x:f>
      </x:c>
      <x:c r="L43" s="19" t="str">
        <x:f>IFERROR(VLOOKUP(B43,'敌人目录'!$A$6:$S$54,12,FALSE),"")</x:f>
      </x:c>
      <x:c r="M43" s="19" t="str">
        <x:f>IFERROR(VLOOKUP(B43,'敌人目录'!$A$6:$S$54,13,FALSE),"")</x:f>
      </x:c>
      <x:c r="N43" s="19" t="str">
        <x:f>IF(B43="","",IF(ISNUMBER(D43),D43,IFERROR(VLOOKUP(B43,'敌人目录'!$A$6:$S$54,14,FALSE),"")))</x:f>
      </x:c>
      <x:c r="O43" s="64" t="str">
        <x:f>IFERROR(VLOOKUP(B43,'敌人目录'!$A$6:$S$54,15,FALSE),"")</x:f>
      </x:c>
      <x:c r="P43" s="19" t="str">
        <x:f>IF(F43="","",F43*G43)</x:f>
      </x:c>
      <x:c r="Q43" s="19" t="str">
        <x:f>IF(F43="","",F43*L43)</x:f>
      </x:c>
      <x:c r="R43" s="19" t="str">
        <x:f>IF(F43="","",F43*N43)</x:f>
      </x:c>
      <x:c r="S43" s="19" t="str">
        <x:f>IF(R43="","",R43*'全局设置'!$B$5)</x:f>
      </x:c>
      <x:c r="T43" s="73" t="str">
        <x:f>IF(F43="","",F43*O43)</x:f>
      </x:c>
      <x:c r="U43" s="19" t="str">
        <x:f>IF(AND(B43="",C43=""),"",IF(B43="","缺少敌人",IF(C43="","缺少数量",IF(OR(C43&lt;1,C43&gt;9999,C43&lt;&gt;INT(C43)),"数量无效",IF(COUNTIF($E$36:$E$53,E43)&gt;1,"重复敌人",IF(AND(ISNUMBER(D43),OR(D43&lt;0,D43&gt;999,D43&lt;&gt;INT(D43))),"奖励无效","可导入"))))))</x:f>
      </x:c>
    </x:row>
    <x:row r="44" ht="22" customHeight="1">
      <x:c r="A44" s="72" t="n">
        <x:v>9</x:v>
      </x:c>
      <x:c r="B44" s="41"/>
      <x:c r="C44" s="41"/>
      <x:c r="D44" s="41"/>
      <x:c r="E44" s="19" t="str">
        <x:f>IFERROR(VLOOKUP(B44,'敌人目录'!$A$6:$S$54,2,FALSE),"")</x:f>
      </x:c>
      <x:c r="F44" s="19" t="str">
        <x:f>IF(OR(B44="",C44=""),"",ROUNDUP(C44*(1+('全局设置'!$B$5-1)*'全局设置'!$B$6),0))</x:f>
      </x:c>
      <x:c r="G44" s="19" t="str">
        <x:f>IFERROR(VLOOKUP(B44,'敌人目录'!$A$6:$S$54,7,FALSE),"")</x:f>
      </x:c>
      <x:c r="H44" s="19" t="str">
        <x:f>IFERROR(VLOOKUP(B44,'敌人目录'!$A$6:$S$54,8,FALSE),"")</x:f>
      </x:c>
      <x:c r="I44" s="19" t="str">
        <x:f>IFERROR(VLOOKUP(B44,'敌人目录'!$A$6:$S$54,9,FALSE),"")</x:f>
      </x:c>
      <x:c r="J44" s="19" t="str">
        <x:f>IFERROR(VLOOKUP(B44,'敌人目录'!$A$6:$S$54,10,FALSE),"")</x:f>
      </x:c>
      <x:c r="K44" s="19" t="str">
        <x:f>IFERROR(VLOOKUP(B44,'敌人目录'!$A$6:$S$54,11,FALSE),"")</x:f>
      </x:c>
      <x:c r="L44" s="19" t="str">
        <x:f>IFERROR(VLOOKUP(B44,'敌人目录'!$A$6:$S$54,12,FALSE),"")</x:f>
      </x:c>
      <x:c r="M44" s="19" t="str">
        <x:f>IFERROR(VLOOKUP(B44,'敌人目录'!$A$6:$S$54,13,FALSE),"")</x:f>
      </x:c>
      <x:c r="N44" s="19" t="str">
        <x:f>IF(B44="","",IF(ISNUMBER(D44),D44,IFERROR(VLOOKUP(B44,'敌人目录'!$A$6:$S$54,14,FALSE),"")))</x:f>
      </x:c>
      <x:c r="O44" s="64" t="str">
        <x:f>IFERROR(VLOOKUP(B44,'敌人目录'!$A$6:$S$54,15,FALSE),"")</x:f>
      </x:c>
      <x:c r="P44" s="19" t="str">
        <x:f>IF(F44="","",F44*G44)</x:f>
      </x:c>
      <x:c r="Q44" s="19" t="str">
        <x:f>IF(F44="","",F44*L44)</x:f>
      </x:c>
      <x:c r="R44" s="19" t="str">
        <x:f>IF(F44="","",F44*N44)</x:f>
      </x:c>
      <x:c r="S44" s="19" t="str">
        <x:f>IF(R44="","",R44*'全局设置'!$B$5)</x:f>
      </x:c>
      <x:c r="T44" s="73" t="str">
        <x:f>IF(F44="","",F44*O44)</x:f>
      </x:c>
      <x:c r="U44" s="19" t="str">
        <x:f>IF(AND(B44="",C44=""),"",IF(B44="","缺少敌人",IF(C44="","缺少数量",IF(OR(C44&lt;1,C44&gt;9999,C44&lt;&gt;INT(C44)),"数量无效",IF(COUNTIF($E$36:$E$53,E44)&gt;1,"重复敌人",IF(AND(ISNUMBER(D44),OR(D44&lt;0,D44&gt;999,D44&lt;&gt;INT(D44))),"奖励无效","可导入"))))))</x:f>
      </x:c>
    </x:row>
    <x:row r="45" ht="22" customHeight="1">
      <x:c r="A45" s="72" t="n">
        <x:v>10</x:v>
      </x:c>
      <x:c r="B45" s="41"/>
      <x:c r="C45" s="41"/>
      <x:c r="D45" s="41"/>
      <x:c r="E45" s="19" t="str">
        <x:f>IFERROR(VLOOKUP(B45,'敌人目录'!$A$6:$S$54,2,FALSE),"")</x:f>
      </x:c>
      <x:c r="F45" s="19" t="str">
        <x:f>IF(OR(B45="",C45=""),"",ROUNDUP(C45*(1+('全局设置'!$B$5-1)*'全局设置'!$B$6),0))</x:f>
      </x:c>
      <x:c r="G45" s="19" t="str">
        <x:f>IFERROR(VLOOKUP(B45,'敌人目录'!$A$6:$S$54,7,FALSE),"")</x:f>
      </x:c>
      <x:c r="H45" s="19" t="str">
        <x:f>IFERROR(VLOOKUP(B45,'敌人目录'!$A$6:$S$54,8,FALSE),"")</x:f>
      </x:c>
      <x:c r="I45" s="19" t="str">
        <x:f>IFERROR(VLOOKUP(B45,'敌人目录'!$A$6:$S$54,9,FALSE),"")</x:f>
      </x:c>
      <x:c r="J45" s="19" t="str">
        <x:f>IFERROR(VLOOKUP(B45,'敌人目录'!$A$6:$S$54,10,FALSE),"")</x:f>
      </x:c>
      <x:c r="K45" s="19" t="str">
        <x:f>IFERROR(VLOOKUP(B45,'敌人目录'!$A$6:$S$54,11,FALSE),"")</x:f>
      </x:c>
      <x:c r="L45" s="19" t="str">
        <x:f>IFERROR(VLOOKUP(B45,'敌人目录'!$A$6:$S$54,12,FALSE),"")</x:f>
      </x:c>
      <x:c r="M45" s="19" t="str">
        <x:f>IFERROR(VLOOKUP(B45,'敌人目录'!$A$6:$S$54,13,FALSE),"")</x:f>
      </x:c>
      <x:c r="N45" s="19" t="str">
        <x:f>IF(B45="","",IF(ISNUMBER(D45),D45,IFERROR(VLOOKUP(B45,'敌人目录'!$A$6:$S$54,14,FALSE),"")))</x:f>
      </x:c>
      <x:c r="O45" s="64" t="str">
        <x:f>IFERROR(VLOOKUP(B45,'敌人目录'!$A$6:$S$54,15,FALSE),"")</x:f>
      </x:c>
      <x:c r="P45" s="19" t="str">
        <x:f>IF(F45="","",F45*G45)</x:f>
      </x:c>
      <x:c r="Q45" s="19" t="str">
        <x:f>IF(F45="","",F45*L45)</x:f>
      </x:c>
      <x:c r="R45" s="19" t="str">
        <x:f>IF(F45="","",F45*N45)</x:f>
      </x:c>
      <x:c r="S45" s="19" t="str">
        <x:f>IF(R45="","",R45*'全局设置'!$B$5)</x:f>
      </x:c>
      <x:c r="T45" s="73" t="str">
        <x:f>IF(F45="","",F45*O45)</x:f>
      </x:c>
      <x:c r="U45" s="19" t="str">
        <x:f>IF(AND(B45="",C45=""),"",IF(B45="","缺少敌人",IF(C45="","缺少数量",IF(OR(C45&lt;1,C45&gt;9999,C45&lt;&gt;INT(C45)),"数量无效",IF(COUNTIF($E$36:$E$53,E45)&gt;1,"重复敌人",IF(AND(ISNUMBER(D45),OR(D45&lt;0,D45&gt;999,D45&lt;&gt;INT(D45))),"奖励无效","可导入"))))))</x:f>
      </x:c>
    </x:row>
    <x:row r="46" ht="22" customHeight="1">
      <x:c r="A46" s="72" t="n">
        <x:v>11</x:v>
      </x:c>
      <x:c r="B46" s="41"/>
      <x:c r="C46" s="41"/>
      <x:c r="D46" s="41"/>
      <x:c r="E46" s="19" t="str">
        <x:f>IFERROR(VLOOKUP(B46,'敌人目录'!$A$6:$S$54,2,FALSE),"")</x:f>
      </x:c>
      <x:c r="F46" s="19" t="str">
        <x:f>IF(OR(B46="",C46=""),"",ROUNDUP(C46*(1+('全局设置'!$B$5-1)*'全局设置'!$B$6),0))</x:f>
      </x:c>
      <x:c r="G46" s="19" t="str">
        <x:f>IFERROR(VLOOKUP(B46,'敌人目录'!$A$6:$S$54,7,FALSE),"")</x:f>
      </x:c>
      <x:c r="H46" s="19" t="str">
        <x:f>IFERROR(VLOOKUP(B46,'敌人目录'!$A$6:$S$54,8,FALSE),"")</x:f>
      </x:c>
      <x:c r="I46" s="19" t="str">
        <x:f>IFERROR(VLOOKUP(B46,'敌人目录'!$A$6:$S$54,9,FALSE),"")</x:f>
      </x:c>
      <x:c r="J46" s="19" t="str">
        <x:f>IFERROR(VLOOKUP(B46,'敌人目录'!$A$6:$S$54,10,FALSE),"")</x:f>
      </x:c>
      <x:c r="K46" s="19" t="str">
        <x:f>IFERROR(VLOOKUP(B46,'敌人目录'!$A$6:$S$54,11,FALSE),"")</x:f>
      </x:c>
      <x:c r="L46" s="19" t="str">
        <x:f>IFERROR(VLOOKUP(B46,'敌人目录'!$A$6:$S$54,12,FALSE),"")</x:f>
      </x:c>
      <x:c r="M46" s="19" t="str">
        <x:f>IFERROR(VLOOKUP(B46,'敌人目录'!$A$6:$S$54,13,FALSE),"")</x:f>
      </x:c>
      <x:c r="N46" s="19" t="str">
        <x:f>IF(B46="","",IF(ISNUMBER(D46),D46,IFERROR(VLOOKUP(B46,'敌人目录'!$A$6:$S$54,14,FALSE),"")))</x:f>
      </x:c>
      <x:c r="O46" s="64" t="str">
        <x:f>IFERROR(VLOOKUP(B46,'敌人目录'!$A$6:$S$54,15,FALSE),"")</x:f>
      </x:c>
      <x:c r="P46" s="19" t="str">
        <x:f>IF(F46="","",F46*G46)</x:f>
      </x:c>
      <x:c r="Q46" s="19" t="str">
        <x:f>IF(F46="","",F46*L46)</x:f>
      </x:c>
      <x:c r="R46" s="19" t="str">
        <x:f>IF(F46="","",F46*N46)</x:f>
      </x:c>
      <x:c r="S46" s="19" t="str">
        <x:f>IF(R46="","",R46*'全局设置'!$B$5)</x:f>
      </x:c>
      <x:c r="T46" s="73" t="str">
        <x:f>IF(F46="","",F46*O46)</x:f>
      </x:c>
      <x:c r="U46" s="19" t="str">
        <x:f>IF(AND(B46="",C46=""),"",IF(B46="","缺少敌人",IF(C46="","缺少数量",IF(OR(C46&lt;1,C46&gt;9999,C46&lt;&gt;INT(C46)),"数量无效",IF(COUNTIF($E$36:$E$53,E46)&gt;1,"重复敌人",IF(AND(ISNUMBER(D46),OR(D46&lt;0,D46&gt;999,D46&lt;&gt;INT(D46))),"奖励无效","可导入"))))))</x:f>
      </x:c>
    </x:row>
    <x:row r="47" ht="22" customHeight="1">
      <x:c r="A47" s="72" t="n">
        <x:v>12</x:v>
      </x:c>
      <x:c r="B47" s="41"/>
      <x:c r="C47" s="41"/>
      <x:c r="D47" s="41"/>
      <x:c r="E47" s="19" t="str">
        <x:f>IFERROR(VLOOKUP(B47,'敌人目录'!$A$6:$S$54,2,FALSE),"")</x:f>
      </x:c>
      <x:c r="F47" s="19" t="str">
        <x:f>IF(OR(B47="",C47=""),"",ROUNDUP(C47*(1+('全局设置'!$B$5-1)*'全局设置'!$B$6),0))</x:f>
      </x:c>
      <x:c r="G47" s="19" t="str">
        <x:f>IFERROR(VLOOKUP(B47,'敌人目录'!$A$6:$S$54,7,FALSE),"")</x:f>
      </x:c>
      <x:c r="H47" s="19" t="str">
        <x:f>IFERROR(VLOOKUP(B47,'敌人目录'!$A$6:$S$54,8,FALSE),"")</x:f>
      </x:c>
      <x:c r="I47" s="19" t="str">
        <x:f>IFERROR(VLOOKUP(B47,'敌人目录'!$A$6:$S$54,9,FALSE),"")</x:f>
      </x:c>
      <x:c r="J47" s="19" t="str">
        <x:f>IFERROR(VLOOKUP(B47,'敌人目录'!$A$6:$S$54,10,FALSE),"")</x:f>
      </x:c>
      <x:c r="K47" s="19" t="str">
        <x:f>IFERROR(VLOOKUP(B47,'敌人目录'!$A$6:$S$54,11,FALSE),"")</x:f>
      </x:c>
      <x:c r="L47" s="19" t="str">
        <x:f>IFERROR(VLOOKUP(B47,'敌人目录'!$A$6:$S$54,12,FALSE),"")</x:f>
      </x:c>
      <x:c r="M47" s="19" t="str">
        <x:f>IFERROR(VLOOKUP(B47,'敌人目录'!$A$6:$S$54,13,FALSE),"")</x:f>
      </x:c>
      <x:c r="N47" s="19" t="str">
        <x:f>IF(B47="","",IF(ISNUMBER(D47),D47,IFERROR(VLOOKUP(B47,'敌人目录'!$A$6:$S$54,14,FALSE),"")))</x:f>
      </x:c>
      <x:c r="O47" s="64" t="str">
        <x:f>IFERROR(VLOOKUP(B47,'敌人目录'!$A$6:$S$54,15,FALSE),"")</x:f>
      </x:c>
      <x:c r="P47" s="19" t="str">
        <x:f>IF(F47="","",F47*G47)</x:f>
      </x:c>
      <x:c r="Q47" s="19" t="str">
        <x:f>IF(F47="","",F47*L47)</x:f>
      </x:c>
      <x:c r="R47" s="19" t="str">
        <x:f>IF(F47="","",F47*N47)</x:f>
      </x:c>
      <x:c r="S47" s="19" t="str">
        <x:f>IF(R47="","",R47*'全局设置'!$B$5)</x:f>
      </x:c>
      <x:c r="T47" s="73" t="str">
        <x:f>IF(F47="","",F47*O47)</x:f>
      </x:c>
      <x:c r="U47" s="19" t="str">
        <x:f>IF(AND(B47="",C47=""),"",IF(B47="","缺少敌人",IF(C47="","缺少数量",IF(OR(C47&lt;1,C47&gt;9999,C47&lt;&gt;INT(C47)),"数量无效",IF(COUNTIF($E$36:$E$53,E47)&gt;1,"重复敌人",IF(AND(ISNUMBER(D47),OR(D47&lt;0,D47&gt;999,D47&lt;&gt;INT(D47))),"奖励无效","可导入"))))))</x:f>
      </x:c>
    </x:row>
    <x:row r="48" ht="22" customHeight="1">
      <x:c r="A48" s="72" t="n">
        <x:v>13</x:v>
      </x:c>
      <x:c r="B48" s="41"/>
      <x:c r="C48" s="41"/>
      <x:c r="D48" s="41"/>
      <x:c r="E48" s="19" t="str">
        <x:f>IFERROR(VLOOKUP(B48,'敌人目录'!$A$6:$S$54,2,FALSE),"")</x:f>
      </x:c>
      <x:c r="F48" s="19" t="str">
        <x:f>IF(OR(B48="",C48=""),"",ROUNDUP(C48*(1+('全局设置'!$B$5-1)*'全局设置'!$B$6),0))</x:f>
      </x:c>
      <x:c r="G48" s="19" t="str">
        <x:f>IFERROR(VLOOKUP(B48,'敌人目录'!$A$6:$S$54,7,FALSE),"")</x:f>
      </x:c>
      <x:c r="H48" s="19" t="str">
        <x:f>IFERROR(VLOOKUP(B48,'敌人目录'!$A$6:$S$54,8,FALSE),"")</x:f>
      </x:c>
      <x:c r="I48" s="19" t="str">
        <x:f>IFERROR(VLOOKUP(B48,'敌人目录'!$A$6:$S$54,9,FALSE),"")</x:f>
      </x:c>
      <x:c r="J48" s="19" t="str">
        <x:f>IFERROR(VLOOKUP(B48,'敌人目录'!$A$6:$S$54,10,FALSE),"")</x:f>
      </x:c>
      <x:c r="K48" s="19" t="str">
        <x:f>IFERROR(VLOOKUP(B48,'敌人目录'!$A$6:$S$54,11,FALSE),"")</x:f>
      </x:c>
      <x:c r="L48" s="19" t="str">
        <x:f>IFERROR(VLOOKUP(B48,'敌人目录'!$A$6:$S$54,12,FALSE),"")</x:f>
      </x:c>
      <x:c r="M48" s="19" t="str">
        <x:f>IFERROR(VLOOKUP(B48,'敌人目录'!$A$6:$S$54,13,FALSE),"")</x:f>
      </x:c>
      <x:c r="N48" s="19" t="str">
        <x:f>IF(B48="","",IF(ISNUMBER(D48),D48,IFERROR(VLOOKUP(B48,'敌人目录'!$A$6:$S$54,14,FALSE),"")))</x:f>
      </x:c>
      <x:c r="O48" s="64" t="str">
        <x:f>IFERROR(VLOOKUP(B48,'敌人目录'!$A$6:$S$54,15,FALSE),"")</x:f>
      </x:c>
      <x:c r="P48" s="19" t="str">
        <x:f>IF(F48="","",F48*G48)</x:f>
      </x:c>
      <x:c r="Q48" s="19" t="str">
        <x:f>IF(F48="","",F48*L48)</x:f>
      </x:c>
      <x:c r="R48" s="19" t="str">
        <x:f>IF(F48="","",F48*N48)</x:f>
      </x:c>
      <x:c r="S48" s="19" t="str">
        <x:f>IF(R48="","",R48*'全局设置'!$B$5)</x:f>
      </x:c>
      <x:c r="T48" s="73" t="str">
        <x:f>IF(F48="","",F48*O48)</x:f>
      </x:c>
      <x:c r="U48" s="19" t="str">
        <x:f>IF(AND(B48="",C48=""),"",IF(B48="","缺少敌人",IF(C48="","缺少数量",IF(OR(C48&lt;1,C48&gt;9999,C48&lt;&gt;INT(C48)),"数量无效",IF(COUNTIF($E$36:$E$53,E48)&gt;1,"重复敌人",IF(AND(ISNUMBER(D48),OR(D48&lt;0,D48&gt;999,D48&lt;&gt;INT(D48))),"奖励无效","可导入"))))))</x:f>
      </x:c>
    </x:row>
    <x:row r="49" ht="22" customHeight="1">
      <x:c r="A49" s="72" t="n">
        <x:v>14</x:v>
      </x:c>
      <x:c r="B49" s="41"/>
      <x:c r="C49" s="41"/>
      <x:c r="D49" s="41"/>
      <x:c r="E49" s="19" t="str">
        <x:f>IFERROR(VLOOKUP(B49,'敌人目录'!$A$6:$S$54,2,FALSE),"")</x:f>
      </x:c>
      <x:c r="F49" s="19" t="str">
        <x:f>IF(OR(B49="",C49=""),"",ROUNDUP(C49*(1+('全局设置'!$B$5-1)*'全局设置'!$B$6),0))</x:f>
      </x:c>
      <x:c r="G49" s="19" t="str">
        <x:f>IFERROR(VLOOKUP(B49,'敌人目录'!$A$6:$S$54,7,FALSE),"")</x:f>
      </x:c>
      <x:c r="H49" s="19" t="str">
        <x:f>IFERROR(VLOOKUP(B49,'敌人目录'!$A$6:$S$54,8,FALSE),"")</x:f>
      </x:c>
      <x:c r="I49" s="19" t="str">
        <x:f>IFERROR(VLOOKUP(B49,'敌人目录'!$A$6:$S$54,9,FALSE),"")</x:f>
      </x:c>
      <x:c r="J49" s="19" t="str">
        <x:f>IFERROR(VLOOKUP(B49,'敌人目录'!$A$6:$S$54,10,FALSE),"")</x:f>
      </x:c>
      <x:c r="K49" s="19" t="str">
        <x:f>IFERROR(VLOOKUP(B49,'敌人目录'!$A$6:$S$54,11,FALSE),"")</x:f>
      </x:c>
      <x:c r="L49" s="19" t="str">
        <x:f>IFERROR(VLOOKUP(B49,'敌人目录'!$A$6:$S$54,12,FALSE),"")</x:f>
      </x:c>
      <x:c r="M49" s="19" t="str">
        <x:f>IFERROR(VLOOKUP(B49,'敌人目录'!$A$6:$S$54,13,FALSE),"")</x:f>
      </x:c>
      <x:c r="N49" s="19" t="str">
        <x:f>IF(B49="","",IF(ISNUMBER(D49),D49,IFERROR(VLOOKUP(B49,'敌人目录'!$A$6:$S$54,14,FALSE),"")))</x:f>
      </x:c>
      <x:c r="O49" s="64" t="str">
        <x:f>IFERROR(VLOOKUP(B49,'敌人目录'!$A$6:$S$54,15,FALSE),"")</x:f>
      </x:c>
      <x:c r="P49" s="19" t="str">
        <x:f>IF(F49="","",F49*G49)</x:f>
      </x:c>
      <x:c r="Q49" s="19" t="str">
        <x:f>IF(F49="","",F49*L49)</x:f>
      </x:c>
      <x:c r="R49" s="19" t="str">
        <x:f>IF(F49="","",F49*N49)</x:f>
      </x:c>
      <x:c r="S49" s="19" t="str">
        <x:f>IF(R49="","",R49*'全局设置'!$B$5)</x:f>
      </x:c>
      <x:c r="T49" s="73" t="str">
        <x:f>IF(F49="","",F49*O49)</x:f>
      </x:c>
      <x:c r="U49" s="19" t="str">
        <x:f>IF(AND(B49="",C49=""),"",IF(B49="","缺少敌人",IF(C49="","缺少数量",IF(OR(C49&lt;1,C49&gt;9999,C49&lt;&gt;INT(C49)),"数量无效",IF(COUNTIF($E$36:$E$53,E49)&gt;1,"重复敌人",IF(AND(ISNUMBER(D49),OR(D49&lt;0,D49&gt;999,D49&lt;&gt;INT(D49))),"奖励无效","可导入"))))))</x:f>
      </x:c>
    </x:row>
    <x:row r="50" ht="22" customHeight="1">
      <x:c r="A50" s="72" t="n">
        <x:v>15</x:v>
      </x:c>
      <x:c r="B50" s="41"/>
      <x:c r="C50" s="41"/>
      <x:c r="D50" s="41"/>
      <x:c r="E50" s="19" t="str">
        <x:f>IFERROR(VLOOKUP(B50,'敌人目录'!$A$6:$S$54,2,FALSE),"")</x:f>
      </x:c>
      <x:c r="F50" s="19" t="str">
        <x:f>IF(OR(B50="",C50=""),"",ROUNDUP(C50*(1+('全局设置'!$B$5-1)*'全局设置'!$B$6),0))</x:f>
      </x:c>
      <x:c r="G50" s="19" t="str">
        <x:f>IFERROR(VLOOKUP(B50,'敌人目录'!$A$6:$S$54,7,FALSE),"")</x:f>
      </x:c>
      <x:c r="H50" s="19" t="str">
        <x:f>IFERROR(VLOOKUP(B50,'敌人目录'!$A$6:$S$54,8,FALSE),"")</x:f>
      </x:c>
      <x:c r="I50" s="19" t="str">
        <x:f>IFERROR(VLOOKUP(B50,'敌人目录'!$A$6:$S$54,9,FALSE),"")</x:f>
      </x:c>
      <x:c r="J50" s="19" t="str">
        <x:f>IFERROR(VLOOKUP(B50,'敌人目录'!$A$6:$S$54,10,FALSE),"")</x:f>
      </x:c>
      <x:c r="K50" s="19" t="str">
        <x:f>IFERROR(VLOOKUP(B50,'敌人目录'!$A$6:$S$54,11,FALSE),"")</x:f>
      </x:c>
      <x:c r="L50" s="19" t="str">
        <x:f>IFERROR(VLOOKUP(B50,'敌人目录'!$A$6:$S$54,12,FALSE),"")</x:f>
      </x:c>
      <x:c r="M50" s="19" t="str">
        <x:f>IFERROR(VLOOKUP(B50,'敌人目录'!$A$6:$S$54,13,FALSE),"")</x:f>
      </x:c>
      <x:c r="N50" s="19" t="str">
        <x:f>IF(B50="","",IF(ISNUMBER(D50),D50,IFERROR(VLOOKUP(B50,'敌人目录'!$A$6:$S$54,14,FALSE),"")))</x:f>
      </x:c>
      <x:c r="O50" s="64" t="str">
        <x:f>IFERROR(VLOOKUP(B50,'敌人目录'!$A$6:$S$54,15,FALSE),"")</x:f>
      </x:c>
      <x:c r="P50" s="19" t="str">
        <x:f>IF(F50="","",F50*G50)</x:f>
      </x:c>
      <x:c r="Q50" s="19" t="str">
        <x:f>IF(F50="","",F50*L50)</x:f>
      </x:c>
      <x:c r="R50" s="19" t="str">
        <x:f>IF(F50="","",F50*N50)</x:f>
      </x:c>
      <x:c r="S50" s="19" t="str">
        <x:f>IF(R50="","",R50*'全局设置'!$B$5)</x:f>
      </x:c>
      <x:c r="T50" s="73" t="str">
        <x:f>IF(F50="","",F50*O50)</x:f>
      </x:c>
      <x:c r="U50" s="19" t="str">
        <x:f>IF(AND(B50="",C50=""),"",IF(B50="","缺少敌人",IF(C50="","缺少数量",IF(OR(C50&lt;1,C50&gt;9999,C50&lt;&gt;INT(C50)),"数量无效",IF(COUNTIF($E$36:$E$53,E50)&gt;1,"重复敌人",IF(AND(ISNUMBER(D50),OR(D50&lt;0,D50&gt;999,D50&lt;&gt;INT(D50))),"奖励无效","可导入"))))))</x:f>
      </x:c>
    </x:row>
    <x:row r="51" ht="22" customHeight="1">
      <x:c r="A51" s="72" t="n">
        <x:v>16</x:v>
      </x:c>
      <x:c r="B51" s="41"/>
      <x:c r="C51" s="41"/>
      <x:c r="D51" s="41"/>
      <x:c r="E51" s="19" t="str">
        <x:f>IFERROR(VLOOKUP(B51,'敌人目录'!$A$6:$S$54,2,FALSE),"")</x:f>
      </x:c>
      <x:c r="F51" s="19" t="str">
        <x:f>IF(OR(B51="",C51=""),"",ROUNDUP(C51*(1+('全局设置'!$B$5-1)*'全局设置'!$B$6),0))</x:f>
      </x:c>
      <x:c r="G51" s="19" t="str">
        <x:f>IFERROR(VLOOKUP(B51,'敌人目录'!$A$6:$S$54,7,FALSE),"")</x:f>
      </x:c>
      <x:c r="H51" s="19" t="str">
        <x:f>IFERROR(VLOOKUP(B51,'敌人目录'!$A$6:$S$54,8,FALSE),"")</x:f>
      </x:c>
      <x:c r="I51" s="19" t="str">
        <x:f>IFERROR(VLOOKUP(B51,'敌人目录'!$A$6:$S$54,9,FALSE),"")</x:f>
      </x:c>
      <x:c r="J51" s="19" t="str">
        <x:f>IFERROR(VLOOKUP(B51,'敌人目录'!$A$6:$S$54,10,FALSE),"")</x:f>
      </x:c>
      <x:c r="K51" s="19" t="str">
        <x:f>IFERROR(VLOOKUP(B51,'敌人目录'!$A$6:$S$54,11,FALSE),"")</x:f>
      </x:c>
      <x:c r="L51" s="19" t="str">
        <x:f>IFERROR(VLOOKUP(B51,'敌人目录'!$A$6:$S$54,12,FALSE),"")</x:f>
      </x:c>
      <x:c r="M51" s="19" t="str">
        <x:f>IFERROR(VLOOKUP(B51,'敌人目录'!$A$6:$S$54,13,FALSE),"")</x:f>
      </x:c>
      <x:c r="N51" s="19" t="str">
        <x:f>IF(B51="","",IF(ISNUMBER(D51),D51,IFERROR(VLOOKUP(B51,'敌人目录'!$A$6:$S$54,14,FALSE),"")))</x:f>
      </x:c>
      <x:c r="O51" s="64" t="str">
        <x:f>IFERROR(VLOOKUP(B51,'敌人目录'!$A$6:$S$54,15,FALSE),"")</x:f>
      </x:c>
      <x:c r="P51" s="19" t="str">
        <x:f>IF(F51="","",F51*G51)</x:f>
      </x:c>
      <x:c r="Q51" s="19" t="str">
        <x:f>IF(F51="","",F51*L51)</x:f>
      </x:c>
      <x:c r="R51" s="19" t="str">
        <x:f>IF(F51="","",F51*N51)</x:f>
      </x:c>
      <x:c r="S51" s="19" t="str">
        <x:f>IF(R51="","",R51*'全局设置'!$B$5)</x:f>
      </x:c>
      <x:c r="T51" s="73" t="str">
        <x:f>IF(F51="","",F51*O51)</x:f>
      </x:c>
      <x:c r="U51" s="19" t="str">
        <x:f>IF(AND(B51="",C51=""),"",IF(B51="","缺少敌人",IF(C51="","缺少数量",IF(OR(C51&lt;1,C51&gt;9999,C51&lt;&gt;INT(C51)),"数量无效",IF(COUNTIF($E$36:$E$53,E51)&gt;1,"重复敌人",IF(AND(ISNUMBER(D51),OR(D51&lt;0,D51&gt;999,D51&lt;&gt;INT(D51))),"奖励无效","可导入"))))))</x:f>
      </x:c>
    </x:row>
    <x:row r="52" ht="22" customHeight="1">
      <x:c r="A52" s="72" t="n">
        <x:v>17</x:v>
      </x:c>
      <x:c r="B52" s="41"/>
      <x:c r="C52" s="41"/>
      <x:c r="D52" s="41"/>
      <x:c r="E52" s="19" t="str">
        <x:f>IFERROR(VLOOKUP(B52,'敌人目录'!$A$6:$S$54,2,FALSE),"")</x:f>
      </x:c>
      <x:c r="F52" s="19" t="str">
        <x:f>IF(OR(B52="",C52=""),"",ROUNDUP(C52*(1+('全局设置'!$B$5-1)*'全局设置'!$B$6),0))</x:f>
      </x:c>
      <x:c r="G52" s="19" t="str">
        <x:f>IFERROR(VLOOKUP(B52,'敌人目录'!$A$6:$S$54,7,FALSE),"")</x:f>
      </x:c>
      <x:c r="H52" s="19" t="str">
        <x:f>IFERROR(VLOOKUP(B52,'敌人目录'!$A$6:$S$54,8,FALSE),"")</x:f>
      </x:c>
      <x:c r="I52" s="19" t="str">
        <x:f>IFERROR(VLOOKUP(B52,'敌人目录'!$A$6:$S$54,9,FALSE),"")</x:f>
      </x:c>
      <x:c r="J52" s="19" t="str">
        <x:f>IFERROR(VLOOKUP(B52,'敌人目录'!$A$6:$S$54,10,FALSE),"")</x:f>
      </x:c>
      <x:c r="K52" s="19" t="str">
        <x:f>IFERROR(VLOOKUP(B52,'敌人目录'!$A$6:$S$54,11,FALSE),"")</x:f>
      </x:c>
      <x:c r="L52" s="19" t="str">
        <x:f>IFERROR(VLOOKUP(B52,'敌人目录'!$A$6:$S$54,12,FALSE),"")</x:f>
      </x:c>
      <x:c r="M52" s="19" t="str">
        <x:f>IFERROR(VLOOKUP(B52,'敌人目录'!$A$6:$S$54,13,FALSE),"")</x:f>
      </x:c>
      <x:c r="N52" s="19" t="str">
        <x:f>IF(B52="","",IF(ISNUMBER(D52),D52,IFERROR(VLOOKUP(B52,'敌人目录'!$A$6:$S$54,14,FALSE),"")))</x:f>
      </x:c>
      <x:c r="O52" s="64" t="str">
        <x:f>IFERROR(VLOOKUP(B52,'敌人目录'!$A$6:$S$54,15,FALSE),"")</x:f>
      </x:c>
      <x:c r="P52" s="19" t="str">
        <x:f>IF(F52="","",F52*G52)</x:f>
      </x:c>
      <x:c r="Q52" s="19" t="str">
        <x:f>IF(F52="","",F52*L52)</x:f>
      </x:c>
      <x:c r="R52" s="19" t="str">
        <x:f>IF(F52="","",F52*N52)</x:f>
      </x:c>
      <x:c r="S52" s="19" t="str">
        <x:f>IF(R52="","",R52*'全局设置'!$B$5)</x:f>
      </x:c>
      <x:c r="T52" s="73" t="str">
        <x:f>IF(F52="","",F52*O52)</x:f>
      </x:c>
      <x:c r="U52" s="19" t="str">
        <x:f>IF(AND(B52="",C52=""),"",IF(B52="","缺少敌人",IF(C52="","缺少数量",IF(OR(C52&lt;1,C52&gt;9999,C52&lt;&gt;INT(C52)),"数量无效",IF(COUNTIF($E$36:$E$53,E52)&gt;1,"重复敌人",IF(AND(ISNUMBER(D52),OR(D52&lt;0,D52&gt;999,D52&lt;&gt;INT(D52))),"奖励无效","可导入"))))))</x:f>
      </x:c>
    </x:row>
    <x:row r="53" ht="22" customHeight="1">
      <x:c r="A53" s="72" t="n">
        <x:v>18</x:v>
      </x:c>
      <x:c r="B53" s="41"/>
      <x:c r="C53" s="41"/>
      <x:c r="D53" s="41"/>
      <x:c r="E53" s="19" t="str">
        <x:f>IFERROR(VLOOKUP(B53,'敌人目录'!$A$6:$S$54,2,FALSE),"")</x:f>
      </x:c>
      <x:c r="F53" s="19" t="str">
        <x:f>IF(OR(B53="",C53=""),"",ROUNDUP(C53*(1+('全局设置'!$B$5-1)*'全局设置'!$B$6),0))</x:f>
      </x:c>
      <x:c r="G53" s="19" t="str">
        <x:f>IFERROR(VLOOKUP(B53,'敌人目录'!$A$6:$S$54,7,FALSE),"")</x:f>
      </x:c>
      <x:c r="H53" s="19" t="str">
        <x:f>IFERROR(VLOOKUP(B53,'敌人目录'!$A$6:$S$54,8,FALSE),"")</x:f>
      </x:c>
      <x:c r="I53" s="19" t="str">
        <x:f>IFERROR(VLOOKUP(B53,'敌人目录'!$A$6:$S$54,9,FALSE),"")</x:f>
      </x:c>
      <x:c r="J53" s="19" t="str">
        <x:f>IFERROR(VLOOKUP(B53,'敌人目录'!$A$6:$S$54,10,FALSE),"")</x:f>
      </x:c>
      <x:c r="K53" s="19" t="str">
        <x:f>IFERROR(VLOOKUP(B53,'敌人目录'!$A$6:$S$54,11,FALSE),"")</x:f>
      </x:c>
      <x:c r="L53" s="19" t="str">
        <x:f>IFERROR(VLOOKUP(B53,'敌人目录'!$A$6:$S$54,12,FALSE),"")</x:f>
      </x:c>
      <x:c r="M53" s="19" t="str">
        <x:f>IFERROR(VLOOKUP(B53,'敌人目录'!$A$6:$S$54,13,FALSE),"")</x:f>
      </x:c>
      <x:c r="N53" s="19" t="str">
        <x:f>IF(B53="","",IF(ISNUMBER(D53),D53,IFERROR(VLOOKUP(B53,'敌人目录'!$A$6:$S$54,14,FALSE),"")))</x:f>
      </x:c>
      <x:c r="O53" s="64" t="str">
        <x:f>IFERROR(VLOOKUP(B53,'敌人目录'!$A$6:$S$54,15,FALSE),"")</x:f>
      </x:c>
      <x:c r="P53" s="19" t="str">
        <x:f>IF(F53="","",F53*G53)</x:f>
      </x:c>
      <x:c r="Q53" s="19" t="str">
        <x:f>IF(F53="","",F53*L53)</x:f>
      </x:c>
      <x:c r="R53" s="19" t="str">
        <x:f>IF(F53="","",F53*N53)</x:f>
      </x:c>
      <x:c r="S53" s="19" t="str">
        <x:f>IF(R53="","",R53*'全局设置'!$B$5)</x:f>
      </x:c>
      <x:c r="T53" s="73" t="str">
        <x:f>IF(F53="","",F53*O53)</x:f>
      </x:c>
      <x:c r="U53" s="19" t="str">
        <x:f>IF(AND(B53="",C53=""),"",IF(B53="","缺少敌人",IF(C53="","缺少数量",IF(OR(C53&lt;1,C53&gt;9999,C53&lt;&gt;INT(C53)),"数量无效",IF(COUNTIF($E$36:$E$53,E53)&gt;1,"重复敌人",IF(AND(ISNUMBER(D53),OR(D53&lt;0,D53&gt;999,D53&lt;&gt;INT(D53))),"奖励无效","可导入"))))))</x:f>
      </x:c>
    </x:row>
    <x:row r="54" ht="22" customHeight="1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</x:row>
    <x:row r="55" ht="22" customHeight="1">
      <x:c r="A55" s="40" t="str">
        <x:v>基础总数</x:v>
      </x:c>
      <x:c r="B55" s="19" t="n">
        <x:f>SUM(C36:C53)</x:f>
        <x:v>96</x:v>
      </x:c>
      <x:c r="C55" s="40" t="str">
        <x:v>实际总数</x:v>
      </x:c>
      <x:c r="D55" s="19" t="n">
        <x:f>SUM(F36:F53)</x:f>
        <x:v>96</x:v>
      </x:c>
      <x:c r="E55" s="40" t="str">
        <x:v>敌人种类</x:v>
      </x:c>
      <x:c r="F55" s="19" t="n">
        <x:f>COUNTA(B36:B53)</x:f>
        <x:v>6</x:v>
      </x:c>
      <x:c r="G55" s="40" t="str">
        <x:v>生命池</x:v>
      </x:c>
      <x:c r="H55" s="19" t="n">
        <x:f>SUM(P36:P53)</x:f>
        <x:v>5680</x:v>
      </x:c>
      <x:c r="I55" s="40" t="str">
        <x:v>基础息壤/玩家</x:v>
      </x:c>
      <x:c r="J55" s="19" t="n">
        <x:f>SUM(R36:R53)</x:f>
        <x:v>116</x:v>
      </x:c>
      <x:c r="K55" s="40" t="str">
        <x:v>情景息壤/玩家</x:v>
      </x:c>
      <x:c r="L55" s="19" t="n">
        <x:f>J55*'全局设置'!$B$7*'全局设置'!$D$14</x:f>
        <x:v>116</x:v>
      </x:c>
      <x:c r="M55" s="40" t="str">
        <x:v>情景息壤/队伍</x:v>
      </x:c>
      <x:c r="N55" s="19" t="n">
        <x:f>L55*'全局设置'!$B$5</x:f>
        <x:v>116</x:v>
      </x:c>
      <x:c r="O55" s="40" t="str">
        <x:v>掉落期望</x:v>
      </x:c>
      <x:c r="P55" s="73" t="n">
        <x:f>SUM(T36:T53)</x:f>
        <x:v>4.800000000000001</x:v>
      </x:c>
      <x:c r="Q55" s="40" t="str">
        <x:v>全漏Home伤害</x:v>
      </x:c>
      <x:c r="R55" s="19" t="n">
        <x:f>SUM(Q36:Q53)</x:f>
        <x:v>152</x:v>
      </x:c>
      <x:c r="S55" s="40" t="str">
        <x:v>最短刷完(s)</x:v>
      </x:c>
      <x:c r="T55" s="73" t="n">
        <x:f>IF(D55=0,0,MAX(0,(ROUNDUP(D55/J32,0)-1)*H32))</x:f>
        <x:v>38</x:v>
      </x:c>
      <x:c r="U55" s="31"/>
    </x:row>
    <x:row r="56" ht="22" customHeight="1">
      <x:c r="A56" s="82" t="str">
        <x:v>情景收益 = 最大击杀息壤 × 全局击杀率 × 第2日倍率；最大队伍收益另按玩家人数相乘。</x:v>
      </x:c>
      <x:c r="B56" s="82" t="str">
        <x:v>情景收益 = 最大击杀息壤 × 全局击杀率 × 第2日倍率；最大队伍收益另按玩家人数相乘。</x:v>
      </x:c>
      <x:c r="C56" s="82" t="str">
        <x:v>情景收益 = 最大击杀息壤 × 全局击杀率 × 第2日倍率；最大队伍收益另按玩家人数相乘。</x:v>
      </x:c>
      <x:c r="D56" s="82" t="str">
        <x:v>情景收益 = 最大击杀息壤 × 全局击杀率 × 第2日倍率；最大队伍收益另按玩家人数相乘。</x:v>
      </x:c>
      <x:c r="E56" s="82" t="str">
        <x:v>情景收益 = 最大击杀息壤 × 全局击杀率 × 第2日倍率；最大队伍收益另按玩家人数相乘。</x:v>
      </x:c>
      <x:c r="F56" s="82" t="str">
        <x:v>情景收益 = 最大击杀息壤 × 全局击杀率 × 第2日倍率；最大队伍收益另按玩家人数相乘。</x:v>
      </x:c>
      <x:c r="G56" s="82" t="str">
        <x:v>情景收益 = 最大击杀息壤 × 全局击杀率 × 第2日倍率；最大队伍收益另按玩家人数相乘。</x:v>
      </x:c>
      <x:c r="H56" s="82" t="str">
        <x:v>情景收益 = 最大击杀息壤 × 全局击杀率 × 第2日倍率；最大队伍收益另按玩家人数相乘。</x:v>
      </x:c>
      <x:c r="I56" s="82" t="str">
        <x:v>情景收益 = 最大击杀息壤 × 全局击杀率 × 第2日倍率；最大队伍收益另按玩家人数相乘。</x:v>
      </x:c>
      <x:c r="J56" s="82" t="str">
        <x:v>情景收益 = 最大击杀息壤 × 全局击杀率 × 第2日倍率；最大队伍收益另按玩家人数相乘。</x:v>
      </x:c>
      <x:c r="K56" s="82" t="str">
        <x:v>情景收益 = 最大击杀息壤 × 全局击杀率 × 第2日倍率；最大队伍收益另按玩家人数相乘。</x:v>
      </x:c>
      <x:c r="L56" s="82" t="str">
        <x:v>情景收益 = 最大击杀息壤 × 全局击杀率 × 第2日倍率；最大队伍收益另按玩家人数相乘。</x:v>
      </x:c>
      <x:c r="M56" s="82" t="str">
        <x:v>情景收益 = 最大击杀息壤 × 全局击杀率 × 第2日倍率；最大队伍收益另按玩家人数相乘。</x:v>
      </x:c>
      <x:c r="N56" s="82" t="str">
        <x:v>情景收益 = 最大击杀息壤 × 全局击杀率 × 第2日倍率；最大队伍收益另按玩家人数相乘。</x:v>
      </x:c>
      <x:c r="O56" s="82" t="str">
        <x:v>情景收益 = 最大击杀息壤 × 全局击杀率 × 第2日倍率；最大队伍收益另按玩家人数相乘。</x:v>
      </x:c>
      <x:c r="P56" s="82" t="str">
        <x:v>情景收益 = 最大击杀息壤 × 全局击杀率 × 第2日倍率；最大队伍收益另按玩家人数相乘。</x:v>
      </x:c>
      <x:c r="Q56" s="82" t="str">
        <x:v>情景收益 = 最大击杀息壤 × 全局击杀率 × 第2日倍率；最大队伍收益另按玩家人数相乘。</x:v>
      </x:c>
      <x:c r="R56" s="82" t="str">
        <x:v>情景收益 = 最大击杀息壤 × 全局击杀率 × 第2日倍率；最大队伍收益另按玩家人数相乘。</x:v>
      </x:c>
      <x:c r="S56" s="82" t="str">
        <x:v>情景收益 = 最大击杀息壤 × 全局击杀率 × 第2日倍率；最大队伍收益另按玩家人数相乘。</x:v>
      </x:c>
      <x:c r="T56" s="82" t="str">
        <x:v>情景收益 = 最大击杀息壤 × 全局击杀率 × 第2日倍率；最大队伍收益另按玩家人数相乘。</x:v>
      </x:c>
      <x:c r="U56" s="82" t="str">
        <x:v>情景收益 = 最大击杀息壤 × 全局击杀率 × 第2日倍率；最大队伍收益另按玩家人数相乘。</x:v>
      </x:c>
    </x:row>
    <x:row r="57" ht="22" customHeight="1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</x:row>
    <x:row r="58" ht="22" customHeight="1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</x:row>
    <x:row r="59" ht="22" customHeight="1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</x:row>
    <x:row r="60" ht="22" customHeight="1">
      <x:c r="A60" s="78" t="str">
        <x:v>第 7 波｜第 2 日·3/4｜夜晚｜当前正式配置</x:v>
      </x:c>
      <x:c r="B60" s="78" t="str">
        <x:v>第 7 波｜第 2 日·3/4｜夜晚｜当前正式配置</x:v>
      </x:c>
      <x:c r="C60" s="78" t="str">
        <x:v>第 7 波｜第 2 日·3/4｜夜晚｜当前正式配置</x:v>
      </x:c>
      <x:c r="D60" s="78" t="str">
        <x:v>第 7 波｜第 2 日·3/4｜夜晚｜当前正式配置</x:v>
      </x:c>
      <x:c r="E60" s="78" t="str">
        <x:v>第 7 波｜第 2 日·3/4｜夜晚｜当前正式配置</x:v>
      </x:c>
      <x:c r="F60" s="78" t="str">
        <x:v>第 7 波｜第 2 日·3/4｜夜晚｜当前正式配置</x:v>
      </x:c>
      <x:c r="G60" s="78" t="str">
        <x:v>第 7 波｜第 2 日·3/4｜夜晚｜当前正式配置</x:v>
      </x:c>
      <x:c r="H60" s="78" t="str">
        <x:v>第 7 波｜第 2 日·3/4｜夜晚｜当前正式配置</x:v>
      </x:c>
      <x:c r="I60" s="78" t="str">
        <x:v>第 7 波｜第 2 日·3/4｜夜晚｜当前正式配置</x:v>
      </x:c>
      <x:c r="J60" s="78" t="str">
        <x:v>第 7 波｜第 2 日·3/4｜夜晚｜当前正式配置</x:v>
      </x:c>
      <x:c r="K60" s="78" t="str">
        <x:v>第 7 波｜第 2 日·3/4｜夜晚｜当前正式配置</x:v>
      </x:c>
      <x:c r="L60" s="78" t="str">
        <x:v>第 7 波｜第 2 日·3/4｜夜晚｜当前正式配置</x:v>
      </x:c>
      <x:c r="M60" s="78" t="str">
        <x:v>第 7 波｜第 2 日·3/4｜夜晚｜当前正式配置</x:v>
      </x:c>
      <x:c r="N60" s="78" t="str">
        <x:v>第 7 波｜第 2 日·3/4｜夜晚｜当前正式配置</x:v>
      </x:c>
      <x:c r="O60" s="78" t="str">
        <x:v>第 7 波｜第 2 日·3/4｜夜晚｜当前正式配置</x:v>
      </x:c>
      <x:c r="P60" s="78" t="str">
        <x:v>第 7 波｜第 2 日·3/4｜夜晚｜当前正式配置</x:v>
      </x:c>
      <x:c r="Q60" s="78" t="str">
        <x:v>第 7 波｜第 2 日·3/4｜夜晚｜当前正式配置</x:v>
      </x:c>
      <x:c r="R60" s="78" t="str">
        <x:v>第 7 波｜第 2 日·3/4｜夜晚｜当前正式配置</x:v>
      </x:c>
      <x:c r="S60" s="78" t="str">
        <x:v>第 7 波｜第 2 日·3/4｜夜晚｜当前正式配置</x:v>
      </x:c>
      <x:c r="T60" s="78" t="str">
        <x:v>第 7 波｜第 2 日·3/4｜夜晚｜当前正式配置</x:v>
      </x:c>
      <x:c r="U60" s="78" t="str">
        <x:v>第 7 波｜第 2 日·3/4｜夜晚｜当前正式配置</x:v>
      </x:c>
    </x:row>
    <x:row r="61" ht="22" customHeight="1">
      <x:c r="A61" s="48" t="str">
        <x:v>波次名称</x:v>
      </x:c>
      <x:c r="B61" s="41" t="str">
        <x:v>第7波 紫晶突袭</x:v>
      </x:c>
      <x:c r="C61" s="41" t="str">
        <x:v>第7波 紫晶突袭</x:v>
      </x:c>
      <x:c r="D61" s="41" t="str">
        <x:v>第7波 紫晶突袭</x:v>
      </x:c>
      <x:c r="E61" s="41" t="str">
        <x:v>第7波 紫晶突袭</x:v>
      </x:c>
      <x:c r="F61" s="41" t="str">
        <x:v>第7波 紫晶突袭</x:v>
      </x:c>
      <x:c r="G61" s="48" t="str">
        <x:v>出生间隔(s)</x:v>
      </x:c>
      <x:c r="H61" s="41" t="n">
        <x:v>0.35</x:v>
      </x:c>
      <x:c r="I61" s="48" t="str">
        <x:v>每Tick</x:v>
      </x:c>
      <x:c r="J61" s="41" t="n">
        <x:v>1</x:v>
      </x:c>
      <x:c r="K61" s="48" t="str">
        <x:v>存活上限</x:v>
      </x:c>
      <x:c r="L61" s="41" t="n">
        <x:v>56</x:v>
      </x:c>
      <x:c r="M61" s="48" t="str">
        <x:v>校验</x:v>
      </x:c>
      <x:c r="N61" s="19" t="str">
        <x:f>IF(COUNTA(B65:B82)=0,"待设计",IF(COUNTIF(U65:U82,"可导入")=COUNTA(B65:B82),"可导入","需修正"))</x:f>
        <x:v>可导入</x:v>
      </x:c>
      <x:c r="O61" s="19" t="str"/>
      <x:c r="P61" s="48" t="str">
        <x:v>来源</x:v>
      </x:c>
      <x:c r="Q61" s="19" t="str">
        <x:v>当前游戏 formal 资源</x:v>
      </x:c>
      <x:c r="R61" s="19" t="str">
        <x:v>当前游戏 formal 资源</x:v>
      </x:c>
      <x:c r="S61" s="19" t="str">
        <x:v>当前游戏 formal 资源</x:v>
      </x:c>
      <x:c r="T61" s="19" t="str">
        <x:v>当前游戏 formal 资源</x:v>
      </x:c>
      <x:c r="U61" s="19" t="str">
        <x:v>当前游戏 formal 资源</x:v>
      </x:c>
    </x:row>
    <x:row r="62" ht="22" customHeight="1">
      <x:c r="A62" s="48" t="str">
        <x:v>出生点</x:v>
      </x:c>
      <x:c r="B62" s="41" t="str">
        <x:v>开启</x:v>
      </x:c>
      <x:c r="C62" s="41" t="str">
        <x:v>开启</x:v>
      </x:c>
      <x:c r="D62" s="41" t="str">
        <x:v>开启</x:v>
      </x:c>
      <x:c r="E62" s="41" t="str">
        <x:v>开启</x:v>
      </x:c>
      <x:c r="F62" s="41" t="str">
        <x:v>开启</x:v>
      </x:c>
      <x:c r="G62" s="41" t="str">
        <x:v>开启</x:v>
      </x:c>
      <x:c r="H62" s="48" t="str">
        <x:v>战斗音乐</x:v>
      </x:c>
      <x:c r="I62" s="19" t="str">
        <x:v>shenmu_swamp_combat</x:v>
      </x:c>
      <x:c r="J62" s="19" t="str">
        <x:v>shenmu_swamp_combat</x:v>
      </x:c>
      <x:c r="K62" s="19" t="str">
        <x:v>shenmu_swamp_combat</x:v>
      </x:c>
      <x:c r="L62" s="19" t="str">
        <x:v>shenmu_swamp_combat</x:v>
      </x:c>
      <x:c r="M62" s="19" t="str">
        <x:v>shenmu_swamp_combat</x:v>
      </x:c>
      <x:c r="N62" s="48" t="str">
        <x:v>波后音乐</x:v>
      </x:c>
      <x:c r="O62" s="19" t="str">
        <x:v>shenmu_swamp_intermission</x:v>
      </x:c>
      <x:c r="P62" s="19" t="str">
        <x:v>shenmu_swamp_intermission</x:v>
      </x:c>
      <x:c r="Q62" s="19" t="str">
        <x:v>shenmu_swamp_intermission</x:v>
      </x:c>
      <x:c r="R62" s="19" t="str">
        <x:v>shenmu_swamp_intermission</x:v>
      </x:c>
      <x:c r="S62" s="19" t="str">
        <x:v>shenmu_swamp_intermission</x:v>
      </x:c>
      <x:c r="T62" s="19" t="str">
        <x:v>shenmu_swamp_intermission</x:v>
      </x:c>
      <x:c r="U62" s="19" t="str">
        <x:v>shenmu_swamp_intermission</x:v>
      </x:c>
    </x:row>
    <x:row r="63" ht="22" customHeight="1">
      <x:c r="A63" s="83" t="str">
        <x:v>蓝色列可编辑。每种敌人一行；若同波重复选择同一稳定 ID，请合并数量。实际数量按当前模拟玩家数逐条向上取整。</x:v>
      </x:c>
      <x:c r="B63" s="83" t="str">
        <x:v>蓝色列可编辑。每种敌人一行；若同波重复选择同一稳定 ID，请合并数量。实际数量按当前模拟玩家数逐条向上取整。</x:v>
      </x:c>
      <x:c r="C63" s="83" t="str">
        <x:v>蓝色列可编辑。每种敌人一行；若同波重复选择同一稳定 ID，请合并数量。实际数量按当前模拟玩家数逐条向上取整。</x:v>
      </x:c>
      <x:c r="D63" s="83" t="str">
        <x:v>蓝色列可编辑。每种敌人一行；若同波重复选择同一稳定 ID，请合并数量。实际数量按当前模拟玩家数逐条向上取整。</x:v>
      </x:c>
      <x:c r="E63" s="83" t="str">
        <x:v>蓝色列可编辑。每种敌人一行；若同波重复选择同一稳定 ID，请合并数量。实际数量按当前模拟玩家数逐条向上取整。</x:v>
      </x:c>
      <x:c r="F63" s="83" t="str">
        <x:v>蓝色列可编辑。每种敌人一行；若同波重复选择同一稳定 ID，请合并数量。实际数量按当前模拟玩家数逐条向上取整。</x:v>
      </x:c>
      <x:c r="G63" s="83" t="str">
        <x:v>蓝色列可编辑。每种敌人一行；若同波重复选择同一稳定 ID，请合并数量。实际数量按当前模拟玩家数逐条向上取整。</x:v>
      </x:c>
      <x:c r="H63" s="83" t="str">
        <x:v>蓝色列可编辑。每种敌人一行；若同波重复选择同一稳定 ID，请合并数量。实际数量按当前模拟玩家数逐条向上取整。</x:v>
      </x:c>
      <x:c r="I63" s="83" t="str">
        <x:v>蓝色列可编辑。每种敌人一行；若同波重复选择同一稳定 ID，请合并数量。实际数量按当前模拟玩家数逐条向上取整。</x:v>
      </x:c>
      <x:c r="J63" s="83" t="str">
        <x:v>蓝色列可编辑。每种敌人一行；若同波重复选择同一稳定 ID，请合并数量。实际数量按当前模拟玩家数逐条向上取整。</x:v>
      </x:c>
      <x:c r="K63" s="83" t="str">
        <x:v>蓝色列可编辑。每种敌人一行；若同波重复选择同一稳定 ID，请合并数量。实际数量按当前模拟玩家数逐条向上取整。</x:v>
      </x:c>
      <x:c r="L63" s="83" t="str">
        <x:v>蓝色列可编辑。每种敌人一行；若同波重复选择同一稳定 ID，请合并数量。实际数量按当前模拟玩家数逐条向上取整。</x:v>
      </x:c>
      <x:c r="M63" s="83" t="str">
        <x:v>蓝色列可编辑。每种敌人一行；若同波重复选择同一稳定 ID，请合并数量。实际数量按当前模拟玩家数逐条向上取整。</x:v>
      </x:c>
      <x:c r="N63" s="83" t="str">
        <x:v>蓝色列可编辑。每种敌人一行；若同波重复选择同一稳定 ID，请合并数量。实际数量按当前模拟玩家数逐条向上取整。</x:v>
      </x:c>
      <x:c r="O63" s="83" t="str">
        <x:v>蓝色列可编辑。每种敌人一行；若同波重复选择同一稳定 ID，请合并数量。实际数量按当前模拟玩家数逐条向上取整。</x:v>
      </x:c>
      <x:c r="P63" s="83" t="str">
        <x:v>蓝色列可编辑。每种敌人一行；若同波重复选择同一稳定 ID，请合并数量。实际数量按当前模拟玩家数逐条向上取整。</x:v>
      </x:c>
      <x:c r="Q63" s="83" t="str">
        <x:v>蓝色列可编辑。每种敌人一行；若同波重复选择同一稳定 ID，请合并数量。实际数量按当前模拟玩家数逐条向上取整。</x:v>
      </x:c>
      <x:c r="R63" s="83" t="str">
        <x:v>蓝色列可编辑。每种敌人一行；若同波重复选择同一稳定 ID，请合并数量。实际数量按当前模拟玩家数逐条向上取整。</x:v>
      </x:c>
      <x:c r="S63" s="83" t="str">
        <x:v>蓝色列可编辑。每种敌人一行；若同波重复选择同一稳定 ID，请合并数量。实际数量按当前模拟玩家数逐条向上取整。</x:v>
      </x:c>
      <x:c r="T63" s="83" t="str">
        <x:v>蓝色列可编辑。每种敌人一行；若同波重复选择同一稳定 ID，请合并数量。实际数量按当前模拟玩家数逐条向上取整。</x:v>
      </x:c>
      <x:c r="U63" s="83" t="str">
        <x:v>蓝色列可编辑。每种敌人一行；若同波重复选择同一稳定 ID，请合并数量。实际数量按当前模拟玩家数逐条向上取整。</x:v>
      </x:c>
    </x:row>
    <x:row r="64" ht="22" customHeight="1">
      <x:c r="A64" s="48" t="str">
        <x:v>槽位</x:v>
      </x:c>
      <x:c r="B64" s="48" t="str">
        <x:v>敌人（下拉选择）</x:v>
      </x:c>
      <x:c r="C64" s="48" t="str">
        <x:v>基础数量</x:v>
      </x:c>
      <x:c r="D64" s="48" t="str">
        <x:v>本波息壤覆盖</x:v>
      </x:c>
      <x:c r="E64" s="48" t="str">
        <x:v>稳定敌人ID</x:v>
      </x:c>
      <x:c r="F64" s="48" t="str">
        <x:v>实际数量</x:v>
      </x:c>
      <x:c r="G64" s="48" t="str">
        <x:v>生命</x:v>
      </x:c>
      <x:c r="H64" s="48" t="str">
        <x:v>攻击</x:v>
      </x:c>
      <x:c r="I64" s="48" t="str">
        <x:v>物理防御</x:v>
      </x:c>
      <x:c r="J64" s="48" t="str">
        <x:v>法术防御</x:v>
      </x:c>
      <x:c r="K64" s="48" t="str">
        <x:v>移速</x:v>
      </x:c>
      <x:c r="L64" s="48" t="str">
        <x:v>Home伤害</x:v>
      </x:c>
      <x:c r="M64" s="48" t="str">
        <x:v>游戏默认息壤</x:v>
      </x:c>
      <x:c r="N64" s="48" t="str">
        <x:v>有效息壤</x:v>
      </x:c>
      <x:c r="O64" s="48" t="str">
        <x:v>掉落期望/击杀</x:v>
      </x:c>
      <x:c r="P64" s="48" t="str">
        <x:v>总生命</x:v>
      </x:c>
      <x:c r="Q64" s="48" t="str">
        <x:v>全漏Home伤害</x:v>
      </x:c>
      <x:c r="R64" s="48" t="str">
        <x:v>最大息壤/玩家</x:v>
      </x:c>
      <x:c r="S64" s="48" t="str">
        <x:v>最大息壤/队伍</x:v>
      </x:c>
      <x:c r="T64" s="48" t="str">
        <x:v>掉落期望</x:v>
      </x:c>
      <x:c r="U64" s="48" t="str">
        <x:v>校验</x:v>
      </x:c>
    </x:row>
    <x:row r="65" ht="22" customHeight="1">
      <x:c r="A65" s="72" t="n">
        <x:v>1</x:v>
      </x:c>
      <x:c r="B65" s="41" t="str">
        <x:v>yuanshi_insect_basic｜普通原石虫</x:v>
      </x:c>
      <x:c r="C65" s="41" t="n">
        <x:v>24</x:v>
      </x:c>
      <x:c r="D65" s="41"/>
      <x:c r="E65" s="19" t="str">
        <x:f>IFERROR(VLOOKUP(B65,'敌人目录'!$A$6:$S$54,2,FALSE),"")</x:f>
        <x:v>yuanshi_insect_basic</x:v>
      </x:c>
      <x:c r="F65" s="19" t="n">
        <x:f>IF(OR(B65="",C65=""),"",ROUNDUP(C65*(1+('全局设置'!$B$5-1)*'全局设置'!$B$6),0))</x:f>
        <x:v>24</x:v>
      </x:c>
      <x:c r="G65" s="19" t="n">
        <x:f>IFERROR(VLOOKUP(B65,'敌人目录'!$A$6:$S$54,7,FALSE),"")</x:f>
        <x:v>40</x:v>
      </x:c>
      <x:c r="H65" s="19" t="n">
        <x:f>IFERROR(VLOOKUP(B65,'敌人目录'!$A$6:$S$54,8,FALSE),"")</x:f>
        <x:v>10</x:v>
      </x:c>
      <x:c r="I65" s="19" t="n">
        <x:f>IFERROR(VLOOKUP(B65,'敌人目录'!$A$6:$S$54,9,FALSE),"")</x:f>
        <x:v>0</x:v>
      </x:c>
      <x:c r="J65" s="19" t="n">
        <x:f>IFERROR(VLOOKUP(B65,'敌人目录'!$A$6:$S$54,10,FALSE),"")</x:f>
        <x:v>0</x:v>
      </x:c>
      <x:c r="K65" s="19" t="n">
        <x:f>IFERROR(VLOOKUP(B65,'敌人目录'!$A$6:$S$54,11,FALSE),"")</x:f>
        <x:v>20</x:v>
      </x:c>
      <x:c r="L65" s="19" t="n">
        <x:f>IFERROR(VLOOKUP(B65,'敌人目录'!$A$6:$S$54,12,FALSE),"")</x:f>
        <x:v>1</x:v>
      </x:c>
      <x:c r="M65" s="19" t="n">
        <x:f>IFERROR(VLOOKUP(B65,'敌人目录'!$A$6:$S$54,13,FALSE),"")</x:f>
        <x:v>1</x:v>
      </x:c>
      <x:c r="N65" s="19" t="n">
        <x:f>IF(B65="","",IF(ISNUMBER(D65),D65,IFERROR(VLOOKUP(B65,'敌人目录'!$A$6:$S$54,14,FALSE),"")))</x:f>
        <x:v>1</x:v>
      </x:c>
      <x:c r="O65" s="64" t="n">
        <x:f>IFERROR(VLOOKUP(B65,'敌人目录'!$A$6:$S$54,15,FALSE),"")</x:f>
        <x:v>0.05</x:v>
      </x:c>
      <x:c r="P65" s="19" t="n">
        <x:f>IF(F65="","",F65*G65)</x:f>
        <x:v>960</x:v>
      </x:c>
      <x:c r="Q65" s="19" t="n">
        <x:f>IF(F65="","",F65*L65)</x:f>
        <x:v>24</x:v>
      </x:c>
      <x:c r="R65" s="19" t="n">
        <x:f>IF(F65="","",F65*N65)</x:f>
        <x:v>24</x:v>
      </x:c>
      <x:c r="S65" s="19" t="n">
        <x:f>IF(R65="","",R65*'全局设置'!$B$5)</x:f>
        <x:v>24</x:v>
      </x:c>
      <x:c r="T65" s="73" t="n">
        <x:f>IF(F65="","",F65*O65)</x:f>
        <x:v>1.2000000000000002</x:v>
      </x:c>
      <x:c r="U65" s="19" t="str">
        <x:f>IF(AND(B65="",C65=""),"",IF(B65="","缺少敌人",IF(C65="","缺少数量",IF(OR(C65&lt;1,C65&gt;9999,C65&lt;&gt;INT(C65)),"数量无效",IF(COUNTIF($E$65:$E$82,E65)&gt;1,"重复敌人",IF(AND(ISNUMBER(D65),OR(D65&lt;0,D65&gt;999,D65&lt;&gt;INT(D65))),"奖励无效","可导入"))))))</x:f>
        <x:v>可导入</x:v>
      </x:c>
    </x:row>
    <x:row r="66" ht="22" customHeight="1">
      <x:c r="A66" s="72" t="n">
        <x:v>2</x:v>
      </x:c>
      <x:c r="B66" s="41" t="str">
        <x:v>yuanshi_insect_fast｜迅捷原石虫</x:v>
      </x:c>
      <x:c r="C66" s="41" t="n">
        <x:v>24</x:v>
      </x:c>
      <x:c r="D66" s="41"/>
      <x:c r="E66" s="19" t="str">
        <x:f>IFERROR(VLOOKUP(B66,'敌人目录'!$A$6:$S$54,2,FALSE),"")</x:f>
        <x:v>yuanshi_insect_fast</x:v>
      </x:c>
      <x:c r="F66" s="19" t="n">
        <x:f>IF(OR(B66="",C66=""),"",ROUNDUP(C66*(1+('全局设置'!$B$5-1)*'全局设置'!$B$6),0))</x:f>
        <x:v>24</x:v>
      </x:c>
      <x:c r="G66" s="19" t="n">
        <x:f>IFERROR(VLOOKUP(B66,'敌人目录'!$A$6:$S$54,7,FALSE),"")</x:f>
        <x:v>35</x:v>
      </x:c>
      <x:c r="H66" s="19" t="n">
        <x:f>IFERROR(VLOOKUP(B66,'敌人目录'!$A$6:$S$54,8,FALSE),"")</x:f>
        <x:v>10</x:v>
      </x:c>
      <x:c r="I66" s="19" t="n">
        <x:f>IFERROR(VLOOKUP(B66,'敌人目录'!$A$6:$S$54,9,FALSE),"")</x:f>
        <x:v>0</x:v>
      </x:c>
      <x:c r="J66" s="19" t="n">
        <x:f>IFERROR(VLOOKUP(B66,'敌人目录'!$A$6:$S$54,10,FALSE),"")</x:f>
        <x:v>0</x:v>
      </x:c>
      <x:c r="K66" s="19" t="n">
        <x:f>IFERROR(VLOOKUP(B66,'敌人目录'!$A$6:$S$54,11,FALSE),"")</x:f>
        <x:v>40</x:v>
      </x:c>
      <x:c r="L66" s="19" t="n">
        <x:f>IFERROR(VLOOKUP(B66,'敌人目录'!$A$6:$S$54,12,FALSE),"")</x:f>
        <x:v>1</x:v>
      </x:c>
      <x:c r="M66" s="19" t="n">
        <x:f>IFERROR(VLOOKUP(B66,'敌人目录'!$A$6:$S$54,13,FALSE),"")</x:f>
        <x:v>1</x:v>
      </x:c>
      <x:c r="N66" s="19" t="n">
        <x:f>IF(B66="","",IF(ISNUMBER(D66),D66,IFERROR(VLOOKUP(B66,'敌人目录'!$A$6:$S$54,14,FALSE),"")))</x:f>
        <x:v>1</x:v>
      </x:c>
      <x:c r="O66" s="64" t="n">
        <x:f>IFERROR(VLOOKUP(B66,'敌人目录'!$A$6:$S$54,15,FALSE),"")</x:f>
        <x:v>0.05</x:v>
      </x:c>
      <x:c r="P66" s="19" t="n">
        <x:f>IF(F66="","",F66*G66)</x:f>
        <x:v>840</x:v>
      </x:c>
      <x:c r="Q66" s="19" t="n">
        <x:f>IF(F66="","",F66*L66)</x:f>
        <x:v>24</x:v>
      </x:c>
      <x:c r="R66" s="19" t="n">
        <x:f>IF(F66="","",F66*N66)</x:f>
        <x:v>24</x:v>
      </x:c>
      <x:c r="S66" s="19" t="n">
        <x:f>IF(R66="","",R66*'全局设置'!$B$5)</x:f>
        <x:v>24</x:v>
      </x:c>
      <x:c r="T66" s="73" t="n">
        <x:f>IF(F66="","",F66*O66)</x:f>
        <x:v>1.2000000000000002</x:v>
      </x:c>
      <x:c r="U66" s="19" t="str">
        <x:f>IF(AND(B66="",C66=""),"",IF(B66="","缺少敌人",IF(C66="","缺少数量",IF(OR(C66&lt;1,C66&gt;9999,C66&lt;&gt;INT(C66)),"数量无效",IF(COUNTIF($E$65:$E$82,E66)&gt;1,"重复敌人",IF(AND(ISNUMBER(D66),OR(D66&lt;0,D66&gt;999,D66&lt;&gt;INT(D66))),"奖励无效","可导入"))))))</x:f>
        <x:v>可导入</x:v>
      </x:c>
    </x:row>
    <x:row r="67" ht="22" customHeight="1">
      <x:c r="A67" s="72" t="n">
        <x:v>3</x:v>
      </x:c>
      <x:c r="B67" s="41" t="str">
        <x:v>yuanshi_insect_shell｜硬壳原石虫</x:v>
      </x:c>
      <x:c r="C67" s="41" t="n">
        <x:v>16</x:v>
      </x:c>
      <x:c r="D67" s="41"/>
      <x:c r="E67" s="19" t="str">
        <x:f>IFERROR(VLOOKUP(B67,'敌人目录'!$A$6:$S$54,2,FALSE),"")</x:f>
        <x:v>yuanshi_insect_shell</x:v>
      </x:c>
      <x:c r="F67" s="19" t="n">
        <x:f>IF(OR(B67="",C67=""),"",ROUNDUP(C67*(1+('全局设置'!$B$5-1)*'全局设置'!$B$6),0))</x:f>
        <x:v>16</x:v>
      </x:c>
      <x:c r="G67" s="19" t="n">
        <x:f>IFERROR(VLOOKUP(B67,'敌人目录'!$A$6:$S$54,7,FALSE),"")</x:f>
        <x:v>140</x:v>
      </x:c>
      <x:c r="H67" s="19" t="n">
        <x:f>IFERROR(VLOOKUP(B67,'敌人目录'!$A$6:$S$54,8,FALSE),"")</x:f>
        <x:v>14</x:v>
      </x:c>
      <x:c r="I67" s="19" t="n">
        <x:f>IFERROR(VLOOKUP(B67,'敌人目录'!$A$6:$S$54,9,FALSE),"")</x:f>
        <x:v>3</x:v>
      </x:c>
      <x:c r="J67" s="19" t="n">
        <x:f>IFERROR(VLOOKUP(B67,'敌人目录'!$A$6:$S$54,10,FALSE),"")</x:f>
        <x:v>0</x:v>
      </x:c>
      <x:c r="K67" s="19" t="n">
        <x:f>IFERROR(VLOOKUP(B67,'敌人目录'!$A$6:$S$54,11,FALSE),"")</x:f>
        <x:v>20</x:v>
      </x:c>
      <x:c r="L67" s="19" t="n">
        <x:f>IFERROR(VLOOKUP(B67,'敌人目录'!$A$6:$S$54,12,FALSE),"")</x:f>
        <x:v>2</x:v>
      </x:c>
      <x:c r="M67" s="19" t="n">
        <x:f>IFERROR(VLOOKUP(B67,'敌人目录'!$A$6:$S$54,13,FALSE),"")</x:f>
        <x:v>2</x:v>
      </x:c>
      <x:c r="N67" s="19" t="n">
        <x:f>IF(B67="","",IF(ISNUMBER(D67),D67,IFERROR(VLOOKUP(B67,'敌人目录'!$A$6:$S$54,14,FALSE),"")))</x:f>
        <x:v>2</x:v>
      </x:c>
      <x:c r="O67" s="64" t="n">
        <x:f>IFERROR(VLOOKUP(B67,'敌人目录'!$A$6:$S$54,15,FALSE),"")</x:f>
        <x:v>0.05</x:v>
      </x:c>
      <x:c r="P67" s="19" t="n">
        <x:f>IF(F67="","",F67*G67)</x:f>
        <x:v>2240</x:v>
      </x:c>
      <x:c r="Q67" s="19" t="n">
        <x:f>IF(F67="","",F67*L67)</x:f>
        <x:v>32</x:v>
      </x:c>
      <x:c r="R67" s="19" t="n">
        <x:f>IF(F67="","",F67*N67)</x:f>
        <x:v>32</x:v>
      </x:c>
      <x:c r="S67" s="19" t="n">
        <x:f>IF(R67="","",R67*'全局设置'!$B$5)</x:f>
        <x:v>32</x:v>
      </x:c>
      <x:c r="T67" s="73" t="n">
        <x:f>IF(F67="","",F67*O67)</x:f>
        <x:v>0.8</x:v>
      </x:c>
      <x:c r="U67" s="19" t="str">
        <x:f>IF(AND(B67="",C67=""),"",IF(B67="","缺少敌人",IF(C67="","缺少数量",IF(OR(C67&lt;1,C67&gt;9999,C67&lt;&gt;INT(C67)),"数量无效",IF(COUNTIF($E$65:$E$82,E67)&gt;1,"重复敌人",IF(AND(ISNUMBER(D67),OR(D67&lt;0,D67&gt;999,D67&lt;&gt;INT(D67))),"奖励无效","可导入"))))))</x:f>
        <x:v>可导入</x:v>
      </x:c>
    </x:row>
    <x:row r="68" ht="22" customHeight="1">
      <x:c r="A68" s="72" t="n">
        <x:v>4</x:v>
      </x:c>
      <x:c r="B68" s="41" t="str">
        <x:v>yuanshi_insect_bomber｜自爆原石虫</x:v>
      </x:c>
      <x:c r="C68" s="41" t="n">
        <x:v>16</x:v>
      </x:c>
      <x:c r="D68" s="41"/>
      <x:c r="E68" s="19" t="str">
        <x:f>IFERROR(VLOOKUP(B68,'敌人目录'!$A$6:$S$54,2,FALSE),"")</x:f>
        <x:v>yuanshi_insect_bomber</x:v>
      </x:c>
      <x:c r="F68" s="19" t="n">
        <x:f>IF(OR(B68="",C68=""),"",ROUNDUP(C68*(1+('全局设置'!$B$5-1)*'全局设置'!$B$6),0))</x:f>
        <x:v>16</x:v>
      </x:c>
      <x:c r="G68" s="19" t="n">
        <x:f>IFERROR(VLOOKUP(B68,'敌人目录'!$A$6:$S$54,7,FALSE),"")</x:f>
        <x:v>30</x:v>
      </x:c>
      <x:c r="H68" s="19" t="n">
        <x:f>IFERROR(VLOOKUP(B68,'敌人目录'!$A$6:$S$54,8,FALSE),"")</x:f>
        <x:v>10</x:v>
      </x:c>
      <x:c r="I68" s="19" t="n">
        <x:f>IFERROR(VLOOKUP(B68,'敌人目录'!$A$6:$S$54,9,FALSE),"")</x:f>
        <x:v>0</x:v>
      </x:c>
      <x:c r="J68" s="19" t="n">
        <x:f>IFERROR(VLOOKUP(B68,'敌人目录'!$A$6:$S$54,10,FALSE),"")</x:f>
        <x:v>0</x:v>
      </x:c>
      <x:c r="K68" s="19" t="n">
        <x:f>IFERROR(VLOOKUP(B68,'敌人目录'!$A$6:$S$54,11,FALSE),"")</x:f>
        <x:v>18</x:v>
      </x:c>
      <x:c r="L68" s="19" t="n">
        <x:f>IFERROR(VLOOKUP(B68,'敌人目录'!$A$6:$S$54,12,FALSE),"")</x:f>
        <x:v>1</x:v>
      </x:c>
      <x:c r="M68" s="19" t="n">
        <x:f>IFERROR(VLOOKUP(B68,'敌人目录'!$A$6:$S$54,13,FALSE),"")</x:f>
        <x:v>1</x:v>
      </x:c>
      <x:c r="N68" s="19" t="n">
        <x:f>IF(B68="","",IF(ISNUMBER(D68),D68,IFERROR(VLOOKUP(B68,'敌人目录'!$A$6:$S$54,14,FALSE),"")))</x:f>
        <x:v>1</x:v>
      </x:c>
      <x:c r="O68" s="64" t="n">
        <x:f>IFERROR(VLOOKUP(B68,'敌人目录'!$A$6:$S$54,15,FALSE),"")</x:f>
        <x:v>0.05</x:v>
      </x:c>
      <x:c r="P68" s="19" t="n">
        <x:f>IF(F68="","",F68*G68)</x:f>
        <x:v>480</x:v>
      </x:c>
      <x:c r="Q68" s="19" t="n">
        <x:f>IF(F68="","",F68*L68)</x:f>
        <x:v>16</x:v>
      </x:c>
      <x:c r="R68" s="19" t="n">
        <x:f>IF(F68="","",F68*N68)</x:f>
        <x:v>16</x:v>
      </x:c>
      <x:c r="S68" s="19" t="n">
        <x:f>IF(R68="","",R68*'全局设置'!$B$5)</x:f>
        <x:v>16</x:v>
      </x:c>
      <x:c r="T68" s="73" t="n">
        <x:f>IF(F68="","",F68*O68)</x:f>
        <x:v>0.8</x:v>
      </x:c>
      <x:c r="U68" s="19" t="str">
        <x:f>IF(AND(B68="",C68=""),"",IF(B68="","缺少敌人",IF(C68="","缺少数量",IF(OR(C68&lt;1,C68&gt;9999,C68&lt;&gt;INT(C68)),"数量无效",IF(COUNTIF($E$65:$E$82,E68)&gt;1,"重复敌人",IF(AND(ISNUMBER(D68),OR(D68&lt;0,D68&gt;999,D68&lt;&gt;INT(D68))),"奖励无效","可导入"))))))</x:f>
        <x:v>可导入</x:v>
      </x:c>
    </x:row>
    <x:row r="69" ht="22" customHeight="1">
      <x:c r="A69" s="72" t="n">
        <x:v>5</x:v>
      </x:c>
      <x:c r="B69" s="41" t="str">
        <x:v>yuanshi_insect_purple_bomber｜紫晶自爆原石虫</x:v>
      </x:c>
      <x:c r="C69" s="41" t="n">
        <x:v>8</x:v>
      </x:c>
      <x:c r="D69" s="41"/>
      <x:c r="E69" s="19" t="str">
        <x:f>IFERROR(VLOOKUP(B69,'敌人目录'!$A$6:$S$54,2,FALSE),"")</x:f>
        <x:v>yuanshi_insect_purple_bomber</x:v>
      </x:c>
      <x:c r="F69" s="19" t="n">
        <x:f>IF(OR(B69="",C69=""),"",ROUNDUP(C69*(1+('全局设置'!$B$5-1)*'全局设置'!$B$6),0))</x:f>
        <x:v>8</x:v>
      </x:c>
      <x:c r="G69" s="19" t="n">
        <x:f>IFERROR(VLOOKUP(B69,'敌人目录'!$A$6:$S$54,7,FALSE),"")</x:f>
        <x:v>40</x:v>
      </x:c>
      <x:c r="H69" s="19" t="n">
        <x:f>IFERROR(VLOOKUP(B69,'敌人目录'!$A$6:$S$54,8,FALSE),"")</x:f>
        <x:v>10</x:v>
      </x:c>
      <x:c r="I69" s="19" t="n">
        <x:f>IFERROR(VLOOKUP(B69,'敌人目录'!$A$6:$S$54,9,FALSE),"")</x:f>
        <x:v>0</x:v>
      </x:c>
      <x:c r="J69" s="19" t="n">
        <x:f>IFERROR(VLOOKUP(B69,'敌人目录'!$A$6:$S$54,10,FALSE),"")</x:f>
        <x:v>0</x:v>
      </x:c>
      <x:c r="K69" s="19" t="n">
        <x:f>IFERROR(VLOOKUP(B69,'敌人目录'!$A$6:$S$54,11,FALSE),"")</x:f>
        <x:v>32</x:v>
      </x:c>
      <x:c r="L69" s="19" t="n">
        <x:f>IFERROR(VLOOKUP(B69,'敌人目录'!$A$6:$S$54,12,FALSE),"")</x:f>
        <x:v>1</x:v>
      </x:c>
      <x:c r="M69" s="19" t="n">
        <x:f>IFERROR(VLOOKUP(B69,'敌人目录'!$A$6:$S$54,13,FALSE),"")</x:f>
        <x:v>2</x:v>
      </x:c>
      <x:c r="N69" s="19" t="n">
        <x:f>IF(B69="","",IF(ISNUMBER(D69),D69,IFERROR(VLOOKUP(B69,'敌人目录'!$A$6:$S$54,14,FALSE),"")))</x:f>
        <x:v>2</x:v>
      </x:c>
      <x:c r="O69" s="64" t="n">
        <x:f>IFERROR(VLOOKUP(B69,'敌人目录'!$A$6:$S$54,15,FALSE),"")</x:f>
        <x:v>0.05</x:v>
      </x:c>
      <x:c r="P69" s="19" t="n">
        <x:f>IF(F69="","",F69*G69)</x:f>
        <x:v>320</x:v>
      </x:c>
      <x:c r="Q69" s="19" t="n">
        <x:f>IF(F69="","",F69*L69)</x:f>
        <x:v>8</x:v>
      </x:c>
      <x:c r="R69" s="19" t="n">
        <x:f>IF(F69="","",F69*N69)</x:f>
        <x:v>16</x:v>
      </x:c>
      <x:c r="S69" s="19" t="n">
        <x:f>IF(R69="","",R69*'全局设置'!$B$5)</x:f>
        <x:v>16</x:v>
      </x:c>
      <x:c r="T69" s="73" t="n">
        <x:f>IF(F69="","",F69*O69)</x:f>
        <x:v>0.4</x:v>
      </x:c>
      <x:c r="U69" s="19" t="str">
        <x:f>IF(AND(B69="",C69=""),"",IF(B69="","缺少敌人",IF(C69="","缺少数量",IF(OR(C69&lt;1,C69&gt;9999,C69&lt;&gt;INT(C69)),"数量无效",IF(COUNTIF($E$65:$E$82,E69)&gt;1,"重复敌人",IF(AND(ISNUMBER(D69),OR(D69&lt;0,D69&gt;999,D69&lt;&gt;INT(D69))),"奖励无效","可导入"))))))</x:f>
        <x:v>可导入</x:v>
      </x:c>
    </x:row>
    <x:row r="70" ht="22" customHeight="1">
      <x:c r="A70" s="72" t="n">
        <x:v>6</x:v>
      </x:c>
      <x:c r="B70" s="41" t="str">
        <x:v>yuanshi_insect_fire_ranged｜火焰弹原石虫</x:v>
      </x:c>
      <x:c r="C70" s="41" t="n">
        <x:v>16</x:v>
      </x:c>
      <x:c r="D70" s="41"/>
      <x:c r="E70" s="19" t="str">
        <x:f>IFERROR(VLOOKUP(B70,'敌人目录'!$A$6:$S$54,2,FALSE),"")</x:f>
        <x:v>yuanshi_insect_fire_ranged</x:v>
      </x:c>
      <x:c r="F70" s="19" t="n">
        <x:f>IF(OR(B70="",C70=""),"",ROUNDUP(C70*(1+('全局设置'!$B$5-1)*'全局设置'!$B$6),0))</x:f>
        <x:v>16</x:v>
      </x:c>
      <x:c r="G70" s="19" t="n">
        <x:f>IFERROR(VLOOKUP(B70,'敌人目录'!$A$6:$S$54,7,FALSE),"")</x:f>
        <x:v>40</x:v>
      </x:c>
      <x:c r="H70" s="19" t="n">
        <x:f>IFERROR(VLOOKUP(B70,'敌人目录'!$A$6:$S$54,8,FALSE),"")</x:f>
        <x:v>25</x:v>
      </x:c>
      <x:c r="I70" s="19" t="n">
        <x:f>IFERROR(VLOOKUP(B70,'敌人目录'!$A$6:$S$54,9,FALSE),"")</x:f>
        <x:v>0</x:v>
      </x:c>
      <x:c r="J70" s="19" t="n">
        <x:f>IFERROR(VLOOKUP(B70,'敌人目录'!$A$6:$S$54,10,FALSE),"")</x:f>
        <x:v>0</x:v>
      </x:c>
      <x:c r="K70" s="19" t="n">
        <x:f>IFERROR(VLOOKUP(B70,'敌人目录'!$A$6:$S$54,11,FALSE),"")</x:f>
        <x:v>22</x:v>
      </x:c>
      <x:c r="L70" s="19" t="n">
        <x:f>IFERROR(VLOOKUP(B70,'敌人目录'!$A$6:$S$54,12,FALSE),"")</x:f>
        <x:v>2</x:v>
      </x:c>
      <x:c r="M70" s="19" t="n">
        <x:f>IFERROR(VLOOKUP(B70,'敌人目录'!$A$6:$S$54,13,FALSE),"")</x:f>
        <x:v>1</x:v>
      </x:c>
      <x:c r="N70" s="19" t="n">
        <x:f>IF(B70="","",IF(ISNUMBER(D70),D70,IFERROR(VLOOKUP(B70,'敌人目录'!$A$6:$S$54,14,FALSE),"")))</x:f>
        <x:v>1</x:v>
      </x:c>
      <x:c r="O70" s="64" t="n">
        <x:f>IFERROR(VLOOKUP(B70,'敌人目录'!$A$6:$S$54,15,FALSE),"")</x:f>
        <x:v>0.05</x:v>
      </x:c>
      <x:c r="P70" s="19" t="n">
        <x:f>IF(F70="","",F70*G70)</x:f>
        <x:v>640</x:v>
      </x:c>
      <x:c r="Q70" s="19" t="n">
        <x:f>IF(F70="","",F70*L70)</x:f>
        <x:v>32</x:v>
      </x:c>
      <x:c r="R70" s="19" t="n">
        <x:f>IF(F70="","",F70*N70)</x:f>
        <x:v>16</x:v>
      </x:c>
      <x:c r="S70" s="19" t="n">
        <x:f>IF(R70="","",R70*'全局设置'!$B$5)</x:f>
        <x:v>16</x:v>
      </x:c>
      <x:c r="T70" s="73" t="n">
        <x:f>IF(F70="","",F70*O70)</x:f>
        <x:v>0.8</x:v>
      </x:c>
      <x:c r="U70" s="19" t="str">
        <x:f>IF(AND(B70="",C70=""),"",IF(B70="","缺少敌人",IF(C70="","缺少数量",IF(OR(C70&lt;1,C70&gt;9999,C70&lt;&gt;INT(C70)),"数量无效",IF(COUNTIF($E$65:$E$82,E70)&gt;1,"重复敌人",IF(AND(ISNUMBER(D70),OR(D70&lt;0,D70&gt;999,D70&lt;&gt;INT(D70))),"奖励无效","可导入"))))))</x:f>
        <x:v>可导入</x:v>
      </x:c>
    </x:row>
    <x:row r="71" ht="22" customHeight="1">
      <x:c r="A71" s="72" t="n">
        <x:v>7</x:v>
      </x:c>
      <x:c r="B71" s="41" t="str">
        <x:v>yuanshi_insect_guardian｜守护者原石虫</x:v>
      </x:c>
      <x:c r="C71" s="41" t="n">
        <x:v>8</x:v>
      </x:c>
      <x:c r="D71" s="41"/>
      <x:c r="E71" s="19" t="str">
        <x:f>IFERROR(VLOOKUP(B71,'敌人目录'!$A$6:$S$54,2,FALSE),"")</x:f>
        <x:v>yuanshi_insect_guardian</x:v>
      </x:c>
      <x:c r="F71" s="19" t="n">
        <x:f>IF(OR(B71="",C71=""),"",ROUNDUP(C71*(1+('全局设置'!$B$5-1)*'全局设置'!$B$6),0))</x:f>
        <x:v>8</x:v>
      </x:c>
      <x:c r="G71" s="19" t="n">
        <x:f>IFERROR(VLOOKUP(B71,'敌人目录'!$A$6:$S$54,7,FALSE),"")</x:f>
        <x:v>150</x:v>
      </x:c>
      <x:c r="H71" s="19" t="n">
        <x:f>IFERROR(VLOOKUP(B71,'敌人目录'!$A$6:$S$54,8,FALSE),"")</x:f>
        <x:v>10</x:v>
      </x:c>
      <x:c r="I71" s="19" t="n">
        <x:f>IFERROR(VLOOKUP(B71,'敌人目录'!$A$6:$S$54,9,FALSE),"")</x:f>
        <x:v>5</x:v>
      </x:c>
      <x:c r="J71" s="19" t="n">
        <x:f>IFERROR(VLOOKUP(B71,'敌人目录'!$A$6:$S$54,10,FALSE),"")</x:f>
        <x:v>0</x:v>
      </x:c>
      <x:c r="K71" s="19" t="n">
        <x:f>IFERROR(VLOOKUP(B71,'敌人目录'!$A$6:$S$54,11,FALSE),"")</x:f>
        <x:v>20</x:v>
      </x:c>
      <x:c r="L71" s="19" t="n">
        <x:f>IFERROR(VLOOKUP(B71,'敌人目录'!$A$6:$S$54,12,FALSE),"")</x:f>
        <x:v>5</x:v>
      </x:c>
      <x:c r="M71" s="19" t="n">
        <x:f>IFERROR(VLOOKUP(B71,'敌人目录'!$A$6:$S$54,13,FALSE),"")</x:f>
        <x:v>2</x:v>
      </x:c>
      <x:c r="N71" s="19" t="n">
        <x:f>IF(B71="","",IF(ISNUMBER(D71),D71,IFERROR(VLOOKUP(B71,'敌人目录'!$A$6:$S$54,14,FALSE),"")))</x:f>
        <x:v>2</x:v>
      </x:c>
      <x:c r="O71" s="64" t="n">
        <x:f>IFERROR(VLOOKUP(B71,'敌人目录'!$A$6:$S$54,15,FALSE),"")</x:f>
        <x:v>0.05</x:v>
      </x:c>
      <x:c r="P71" s="19" t="n">
        <x:f>IF(F71="","",F71*G71)</x:f>
        <x:v>1200</x:v>
      </x:c>
      <x:c r="Q71" s="19" t="n">
        <x:f>IF(F71="","",F71*L71)</x:f>
        <x:v>40</x:v>
      </x:c>
      <x:c r="R71" s="19" t="n">
        <x:f>IF(F71="","",F71*N71)</x:f>
        <x:v>16</x:v>
      </x:c>
      <x:c r="S71" s="19" t="n">
        <x:f>IF(R71="","",R71*'全局设置'!$B$5)</x:f>
        <x:v>16</x:v>
      </x:c>
      <x:c r="T71" s="73" t="n">
        <x:f>IF(F71="","",F71*O71)</x:f>
        <x:v>0.4</x:v>
      </x:c>
      <x:c r="U71" s="19" t="str">
        <x:f>IF(AND(B71="",C71=""),"",IF(B71="","缺少敌人",IF(C71="","缺少数量",IF(OR(C71&lt;1,C71&gt;9999,C71&lt;&gt;INT(C71)),"数量无效",IF(COUNTIF($E$65:$E$82,E71)&gt;1,"重复敌人",IF(AND(ISNUMBER(D71),OR(D71&lt;0,D71&gt;999,D71&lt;&gt;INT(D71))),"奖励无效","可导入"))))))</x:f>
        <x:v>可导入</x:v>
      </x:c>
    </x:row>
    <x:row r="72" ht="22" customHeight="1">
      <x:c r="A72" s="72" t="n">
        <x:v>8</x:v>
      </x:c>
      <x:c r="B72" s="41"/>
      <x:c r="C72" s="41"/>
      <x:c r="D72" s="41"/>
      <x:c r="E72" s="19" t="str">
        <x:f>IFERROR(VLOOKUP(B72,'敌人目录'!$A$6:$S$54,2,FALSE),"")</x:f>
      </x:c>
      <x:c r="F72" s="19" t="str">
        <x:f>IF(OR(B72="",C72=""),"",ROUNDUP(C72*(1+('全局设置'!$B$5-1)*'全局设置'!$B$6),0))</x:f>
      </x:c>
      <x:c r="G72" s="19" t="str">
        <x:f>IFERROR(VLOOKUP(B72,'敌人目录'!$A$6:$S$54,7,FALSE),"")</x:f>
      </x:c>
      <x:c r="H72" s="19" t="str">
        <x:f>IFERROR(VLOOKUP(B72,'敌人目录'!$A$6:$S$54,8,FALSE),"")</x:f>
      </x:c>
      <x:c r="I72" s="19" t="str">
        <x:f>IFERROR(VLOOKUP(B72,'敌人目录'!$A$6:$S$54,9,FALSE),"")</x:f>
      </x:c>
      <x:c r="J72" s="19" t="str">
        <x:f>IFERROR(VLOOKUP(B72,'敌人目录'!$A$6:$S$54,10,FALSE),"")</x:f>
      </x:c>
      <x:c r="K72" s="19" t="str">
        <x:f>IFERROR(VLOOKUP(B72,'敌人目录'!$A$6:$S$54,11,FALSE),"")</x:f>
      </x:c>
      <x:c r="L72" s="19" t="str">
        <x:f>IFERROR(VLOOKUP(B72,'敌人目录'!$A$6:$S$54,12,FALSE),"")</x:f>
      </x:c>
      <x:c r="M72" s="19" t="str">
        <x:f>IFERROR(VLOOKUP(B72,'敌人目录'!$A$6:$S$54,13,FALSE),"")</x:f>
      </x:c>
      <x:c r="N72" s="19" t="str">
        <x:f>IF(B72="","",IF(ISNUMBER(D72),D72,IFERROR(VLOOKUP(B72,'敌人目录'!$A$6:$S$54,14,FALSE),"")))</x:f>
      </x:c>
      <x:c r="O72" s="64" t="str">
        <x:f>IFERROR(VLOOKUP(B72,'敌人目录'!$A$6:$S$54,15,FALSE),"")</x:f>
      </x:c>
      <x:c r="P72" s="19" t="str">
        <x:f>IF(F72="","",F72*G72)</x:f>
      </x:c>
      <x:c r="Q72" s="19" t="str">
        <x:f>IF(F72="","",F72*L72)</x:f>
      </x:c>
      <x:c r="R72" s="19" t="str">
        <x:f>IF(F72="","",F72*N72)</x:f>
      </x:c>
      <x:c r="S72" s="19" t="str">
        <x:f>IF(R72="","",R72*'全局设置'!$B$5)</x:f>
      </x:c>
      <x:c r="T72" s="73" t="str">
        <x:f>IF(F72="","",F72*O72)</x:f>
      </x:c>
      <x:c r="U72" s="19" t="str">
        <x:f>IF(AND(B72="",C72=""),"",IF(B72="","缺少敌人",IF(C72="","缺少数量",IF(OR(C72&lt;1,C72&gt;9999,C72&lt;&gt;INT(C72)),"数量无效",IF(COUNTIF($E$65:$E$82,E72)&gt;1,"重复敌人",IF(AND(ISNUMBER(D72),OR(D72&lt;0,D72&gt;999,D72&lt;&gt;INT(D72))),"奖励无效","可导入"))))))</x:f>
      </x:c>
    </x:row>
    <x:row r="73" ht="22" customHeight="1">
      <x:c r="A73" s="72" t="n">
        <x:v>9</x:v>
      </x:c>
      <x:c r="B73" s="41"/>
      <x:c r="C73" s="41"/>
      <x:c r="D73" s="41"/>
      <x:c r="E73" s="19" t="str">
        <x:f>IFERROR(VLOOKUP(B73,'敌人目录'!$A$6:$S$54,2,FALSE),"")</x:f>
      </x:c>
      <x:c r="F73" s="19" t="str">
        <x:f>IF(OR(B73="",C73=""),"",ROUNDUP(C73*(1+('全局设置'!$B$5-1)*'全局设置'!$B$6),0))</x:f>
      </x:c>
      <x:c r="G73" s="19" t="str">
        <x:f>IFERROR(VLOOKUP(B73,'敌人目录'!$A$6:$S$54,7,FALSE),"")</x:f>
      </x:c>
      <x:c r="H73" s="19" t="str">
        <x:f>IFERROR(VLOOKUP(B73,'敌人目录'!$A$6:$S$54,8,FALSE),"")</x:f>
      </x:c>
      <x:c r="I73" s="19" t="str">
        <x:f>IFERROR(VLOOKUP(B73,'敌人目录'!$A$6:$S$54,9,FALSE),"")</x:f>
      </x:c>
      <x:c r="J73" s="19" t="str">
        <x:f>IFERROR(VLOOKUP(B73,'敌人目录'!$A$6:$S$54,10,FALSE),"")</x:f>
      </x:c>
      <x:c r="K73" s="19" t="str">
        <x:f>IFERROR(VLOOKUP(B73,'敌人目录'!$A$6:$S$54,11,FALSE),"")</x:f>
      </x:c>
      <x:c r="L73" s="19" t="str">
        <x:f>IFERROR(VLOOKUP(B73,'敌人目录'!$A$6:$S$54,12,FALSE),"")</x:f>
      </x:c>
      <x:c r="M73" s="19" t="str">
        <x:f>IFERROR(VLOOKUP(B73,'敌人目录'!$A$6:$S$54,13,FALSE),"")</x:f>
      </x:c>
      <x:c r="N73" s="19" t="str">
        <x:f>IF(B73="","",IF(ISNUMBER(D73),D73,IFERROR(VLOOKUP(B73,'敌人目录'!$A$6:$S$54,14,FALSE),"")))</x:f>
      </x:c>
      <x:c r="O73" s="64" t="str">
        <x:f>IFERROR(VLOOKUP(B73,'敌人目录'!$A$6:$S$54,15,FALSE),"")</x:f>
      </x:c>
      <x:c r="P73" s="19" t="str">
        <x:f>IF(F73="","",F73*G73)</x:f>
      </x:c>
      <x:c r="Q73" s="19" t="str">
        <x:f>IF(F73="","",F73*L73)</x:f>
      </x:c>
      <x:c r="R73" s="19" t="str">
        <x:f>IF(F73="","",F73*N73)</x:f>
      </x:c>
      <x:c r="S73" s="19" t="str">
        <x:f>IF(R73="","",R73*'全局设置'!$B$5)</x:f>
      </x:c>
      <x:c r="T73" s="73" t="str">
        <x:f>IF(F73="","",F73*O73)</x:f>
      </x:c>
      <x:c r="U73" s="19" t="str">
        <x:f>IF(AND(B73="",C73=""),"",IF(B73="","缺少敌人",IF(C73="","缺少数量",IF(OR(C73&lt;1,C73&gt;9999,C73&lt;&gt;INT(C73)),"数量无效",IF(COUNTIF($E$65:$E$82,E73)&gt;1,"重复敌人",IF(AND(ISNUMBER(D73),OR(D73&lt;0,D73&gt;999,D73&lt;&gt;INT(D73))),"奖励无效","可导入"))))))</x:f>
      </x:c>
    </x:row>
    <x:row r="74" ht="22" customHeight="1">
      <x:c r="A74" s="72" t="n">
        <x:v>10</x:v>
      </x:c>
      <x:c r="B74" s="41"/>
      <x:c r="C74" s="41"/>
      <x:c r="D74" s="41"/>
      <x:c r="E74" s="19" t="str">
        <x:f>IFERROR(VLOOKUP(B74,'敌人目录'!$A$6:$S$54,2,FALSE),"")</x:f>
      </x:c>
      <x:c r="F74" s="19" t="str">
        <x:f>IF(OR(B74="",C74=""),"",ROUNDUP(C74*(1+('全局设置'!$B$5-1)*'全局设置'!$B$6),0))</x:f>
      </x:c>
      <x:c r="G74" s="19" t="str">
        <x:f>IFERROR(VLOOKUP(B74,'敌人目录'!$A$6:$S$54,7,FALSE),"")</x:f>
      </x:c>
      <x:c r="H74" s="19" t="str">
        <x:f>IFERROR(VLOOKUP(B74,'敌人目录'!$A$6:$S$54,8,FALSE),"")</x:f>
      </x:c>
      <x:c r="I74" s="19" t="str">
        <x:f>IFERROR(VLOOKUP(B74,'敌人目录'!$A$6:$S$54,9,FALSE),"")</x:f>
      </x:c>
      <x:c r="J74" s="19" t="str">
        <x:f>IFERROR(VLOOKUP(B74,'敌人目录'!$A$6:$S$54,10,FALSE),"")</x:f>
      </x:c>
      <x:c r="K74" s="19" t="str">
        <x:f>IFERROR(VLOOKUP(B74,'敌人目录'!$A$6:$S$54,11,FALSE),"")</x:f>
      </x:c>
      <x:c r="L74" s="19" t="str">
        <x:f>IFERROR(VLOOKUP(B74,'敌人目录'!$A$6:$S$54,12,FALSE),"")</x:f>
      </x:c>
      <x:c r="M74" s="19" t="str">
        <x:f>IFERROR(VLOOKUP(B74,'敌人目录'!$A$6:$S$54,13,FALSE),"")</x:f>
      </x:c>
      <x:c r="N74" s="19" t="str">
        <x:f>IF(B74="","",IF(ISNUMBER(D74),D74,IFERROR(VLOOKUP(B74,'敌人目录'!$A$6:$S$54,14,FALSE),"")))</x:f>
      </x:c>
      <x:c r="O74" s="64" t="str">
        <x:f>IFERROR(VLOOKUP(B74,'敌人目录'!$A$6:$S$54,15,FALSE),"")</x:f>
      </x:c>
      <x:c r="P74" s="19" t="str">
        <x:f>IF(F74="","",F74*G74)</x:f>
      </x:c>
      <x:c r="Q74" s="19" t="str">
        <x:f>IF(F74="","",F74*L74)</x:f>
      </x:c>
      <x:c r="R74" s="19" t="str">
        <x:f>IF(F74="","",F74*N74)</x:f>
      </x:c>
      <x:c r="S74" s="19" t="str">
        <x:f>IF(R74="","",R74*'全局设置'!$B$5)</x:f>
      </x:c>
      <x:c r="T74" s="73" t="str">
        <x:f>IF(F74="","",F74*O74)</x:f>
      </x:c>
      <x:c r="U74" s="19" t="str">
        <x:f>IF(AND(B74="",C74=""),"",IF(B74="","缺少敌人",IF(C74="","缺少数量",IF(OR(C74&lt;1,C74&gt;9999,C74&lt;&gt;INT(C74)),"数量无效",IF(COUNTIF($E$65:$E$82,E74)&gt;1,"重复敌人",IF(AND(ISNUMBER(D74),OR(D74&lt;0,D74&gt;999,D74&lt;&gt;INT(D74))),"奖励无效","可导入"))))))</x:f>
      </x:c>
    </x:row>
    <x:row r="75" ht="22" customHeight="1">
      <x:c r="A75" s="72" t="n">
        <x:v>11</x:v>
      </x:c>
      <x:c r="B75" s="41"/>
      <x:c r="C75" s="41"/>
      <x:c r="D75" s="41"/>
      <x:c r="E75" s="19" t="str">
        <x:f>IFERROR(VLOOKUP(B75,'敌人目录'!$A$6:$S$54,2,FALSE),"")</x:f>
      </x:c>
      <x:c r="F75" s="19" t="str">
        <x:f>IF(OR(B75="",C75=""),"",ROUNDUP(C75*(1+('全局设置'!$B$5-1)*'全局设置'!$B$6),0))</x:f>
      </x:c>
      <x:c r="G75" s="19" t="str">
        <x:f>IFERROR(VLOOKUP(B75,'敌人目录'!$A$6:$S$54,7,FALSE),"")</x:f>
      </x:c>
      <x:c r="H75" s="19" t="str">
        <x:f>IFERROR(VLOOKUP(B75,'敌人目录'!$A$6:$S$54,8,FALSE),"")</x:f>
      </x:c>
      <x:c r="I75" s="19" t="str">
        <x:f>IFERROR(VLOOKUP(B75,'敌人目录'!$A$6:$S$54,9,FALSE),"")</x:f>
      </x:c>
      <x:c r="J75" s="19" t="str">
        <x:f>IFERROR(VLOOKUP(B75,'敌人目录'!$A$6:$S$54,10,FALSE),"")</x:f>
      </x:c>
      <x:c r="K75" s="19" t="str">
        <x:f>IFERROR(VLOOKUP(B75,'敌人目录'!$A$6:$S$54,11,FALSE),"")</x:f>
      </x:c>
      <x:c r="L75" s="19" t="str">
        <x:f>IFERROR(VLOOKUP(B75,'敌人目录'!$A$6:$S$54,12,FALSE),"")</x:f>
      </x:c>
      <x:c r="M75" s="19" t="str">
        <x:f>IFERROR(VLOOKUP(B75,'敌人目录'!$A$6:$S$54,13,FALSE),"")</x:f>
      </x:c>
      <x:c r="N75" s="19" t="str">
        <x:f>IF(B75="","",IF(ISNUMBER(D75),D75,IFERROR(VLOOKUP(B75,'敌人目录'!$A$6:$S$54,14,FALSE),"")))</x:f>
      </x:c>
      <x:c r="O75" s="64" t="str">
        <x:f>IFERROR(VLOOKUP(B75,'敌人目录'!$A$6:$S$54,15,FALSE),"")</x:f>
      </x:c>
      <x:c r="P75" s="19" t="str">
        <x:f>IF(F75="","",F75*G75)</x:f>
      </x:c>
      <x:c r="Q75" s="19" t="str">
        <x:f>IF(F75="","",F75*L75)</x:f>
      </x:c>
      <x:c r="R75" s="19" t="str">
        <x:f>IF(F75="","",F75*N75)</x:f>
      </x:c>
      <x:c r="S75" s="19" t="str">
        <x:f>IF(R75="","",R75*'全局设置'!$B$5)</x:f>
      </x:c>
      <x:c r="T75" s="73" t="str">
        <x:f>IF(F75="","",F75*O75)</x:f>
      </x:c>
      <x:c r="U75" s="19" t="str">
        <x:f>IF(AND(B75="",C75=""),"",IF(B75="","缺少敌人",IF(C75="","缺少数量",IF(OR(C75&lt;1,C75&gt;9999,C75&lt;&gt;INT(C75)),"数量无效",IF(COUNTIF($E$65:$E$82,E75)&gt;1,"重复敌人",IF(AND(ISNUMBER(D75),OR(D75&lt;0,D75&gt;999,D75&lt;&gt;INT(D75))),"奖励无效","可导入"))))))</x:f>
      </x:c>
    </x:row>
    <x:row r="76" ht="22" customHeight="1">
      <x:c r="A76" s="72" t="n">
        <x:v>12</x:v>
      </x:c>
      <x:c r="B76" s="41"/>
      <x:c r="C76" s="41"/>
      <x:c r="D76" s="41"/>
      <x:c r="E76" s="19" t="str">
        <x:f>IFERROR(VLOOKUP(B76,'敌人目录'!$A$6:$S$54,2,FALSE),"")</x:f>
      </x:c>
      <x:c r="F76" s="19" t="str">
        <x:f>IF(OR(B76="",C76=""),"",ROUNDUP(C76*(1+('全局设置'!$B$5-1)*'全局设置'!$B$6),0))</x:f>
      </x:c>
      <x:c r="G76" s="19" t="str">
        <x:f>IFERROR(VLOOKUP(B76,'敌人目录'!$A$6:$S$54,7,FALSE),"")</x:f>
      </x:c>
      <x:c r="H76" s="19" t="str">
        <x:f>IFERROR(VLOOKUP(B76,'敌人目录'!$A$6:$S$54,8,FALSE),"")</x:f>
      </x:c>
      <x:c r="I76" s="19" t="str">
        <x:f>IFERROR(VLOOKUP(B76,'敌人目录'!$A$6:$S$54,9,FALSE),"")</x:f>
      </x:c>
      <x:c r="J76" s="19" t="str">
        <x:f>IFERROR(VLOOKUP(B76,'敌人目录'!$A$6:$S$54,10,FALSE),"")</x:f>
      </x:c>
      <x:c r="K76" s="19" t="str">
        <x:f>IFERROR(VLOOKUP(B76,'敌人目录'!$A$6:$S$54,11,FALSE),"")</x:f>
      </x:c>
      <x:c r="L76" s="19" t="str">
        <x:f>IFERROR(VLOOKUP(B76,'敌人目录'!$A$6:$S$54,12,FALSE),"")</x:f>
      </x:c>
      <x:c r="M76" s="19" t="str">
        <x:f>IFERROR(VLOOKUP(B76,'敌人目录'!$A$6:$S$54,13,FALSE),"")</x:f>
      </x:c>
      <x:c r="N76" s="19" t="str">
        <x:f>IF(B76="","",IF(ISNUMBER(D76),D76,IFERROR(VLOOKUP(B76,'敌人目录'!$A$6:$S$54,14,FALSE),"")))</x:f>
      </x:c>
      <x:c r="O76" s="64" t="str">
        <x:f>IFERROR(VLOOKUP(B76,'敌人目录'!$A$6:$S$54,15,FALSE),"")</x:f>
      </x:c>
      <x:c r="P76" s="19" t="str">
        <x:f>IF(F76="","",F76*G76)</x:f>
      </x:c>
      <x:c r="Q76" s="19" t="str">
        <x:f>IF(F76="","",F76*L76)</x:f>
      </x:c>
      <x:c r="R76" s="19" t="str">
        <x:f>IF(F76="","",F76*N76)</x:f>
      </x:c>
      <x:c r="S76" s="19" t="str">
        <x:f>IF(R76="","",R76*'全局设置'!$B$5)</x:f>
      </x:c>
      <x:c r="T76" s="73" t="str">
        <x:f>IF(F76="","",F76*O76)</x:f>
      </x:c>
      <x:c r="U76" s="19" t="str">
        <x:f>IF(AND(B76="",C76=""),"",IF(B76="","缺少敌人",IF(C76="","缺少数量",IF(OR(C76&lt;1,C76&gt;9999,C76&lt;&gt;INT(C76)),"数量无效",IF(COUNTIF($E$65:$E$82,E76)&gt;1,"重复敌人",IF(AND(ISNUMBER(D76),OR(D76&lt;0,D76&gt;999,D76&lt;&gt;INT(D76))),"奖励无效","可导入"))))))</x:f>
      </x:c>
    </x:row>
    <x:row r="77" ht="22" customHeight="1">
      <x:c r="A77" s="72" t="n">
        <x:v>13</x:v>
      </x:c>
      <x:c r="B77" s="41"/>
      <x:c r="C77" s="41"/>
      <x:c r="D77" s="41"/>
      <x:c r="E77" s="19" t="str">
        <x:f>IFERROR(VLOOKUP(B77,'敌人目录'!$A$6:$S$54,2,FALSE),"")</x:f>
      </x:c>
      <x:c r="F77" s="19" t="str">
        <x:f>IF(OR(B77="",C77=""),"",ROUNDUP(C77*(1+('全局设置'!$B$5-1)*'全局设置'!$B$6),0))</x:f>
      </x:c>
      <x:c r="G77" s="19" t="str">
        <x:f>IFERROR(VLOOKUP(B77,'敌人目录'!$A$6:$S$54,7,FALSE),"")</x:f>
      </x:c>
      <x:c r="H77" s="19" t="str">
        <x:f>IFERROR(VLOOKUP(B77,'敌人目录'!$A$6:$S$54,8,FALSE),"")</x:f>
      </x:c>
      <x:c r="I77" s="19" t="str">
        <x:f>IFERROR(VLOOKUP(B77,'敌人目录'!$A$6:$S$54,9,FALSE),"")</x:f>
      </x:c>
      <x:c r="J77" s="19" t="str">
        <x:f>IFERROR(VLOOKUP(B77,'敌人目录'!$A$6:$S$54,10,FALSE),"")</x:f>
      </x:c>
      <x:c r="K77" s="19" t="str">
        <x:f>IFERROR(VLOOKUP(B77,'敌人目录'!$A$6:$S$54,11,FALSE),"")</x:f>
      </x:c>
      <x:c r="L77" s="19" t="str">
        <x:f>IFERROR(VLOOKUP(B77,'敌人目录'!$A$6:$S$54,12,FALSE),"")</x:f>
      </x:c>
      <x:c r="M77" s="19" t="str">
        <x:f>IFERROR(VLOOKUP(B77,'敌人目录'!$A$6:$S$54,13,FALSE),"")</x:f>
      </x:c>
      <x:c r="N77" s="19" t="str">
        <x:f>IF(B77="","",IF(ISNUMBER(D77),D77,IFERROR(VLOOKUP(B77,'敌人目录'!$A$6:$S$54,14,FALSE),"")))</x:f>
      </x:c>
      <x:c r="O77" s="64" t="str">
        <x:f>IFERROR(VLOOKUP(B77,'敌人目录'!$A$6:$S$54,15,FALSE),"")</x:f>
      </x:c>
      <x:c r="P77" s="19" t="str">
        <x:f>IF(F77="","",F77*G77)</x:f>
      </x:c>
      <x:c r="Q77" s="19" t="str">
        <x:f>IF(F77="","",F77*L77)</x:f>
      </x:c>
      <x:c r="R77" s="19" t="str">
        <x:f>IF(F77="","",F77*N77)</x:f>
      </x:c>
      <x:c r="S77" s="19" t="str">
        <x:f>IF(R77="","",R77*'全局设置'!$B$5)</x:f>
      </x:c>
      <x:c r="T77" s="73" t="str">
        <x:f>IF(F77="","",F77*O77)</x:f>
      </x:c>
      <x:c r="U77" s="19" t="str">
        <x:f>IF(AND(B77="",C77=""),"",IF(B77="","缺少敌人",IF(C77="","缺少数量",IF(OR(C77&lt;1,C77&gt;9999,C77&lt;&gt;INT(C77)),"数量无效",IF(COUNTIF($E$65:$E$82,E77)&gt;1,"重复敌人",IF(AND(ISNUMBER(D77),OR(D77&lt;0,D77&gt;999,D77&lt;&gt;INT(D77))),"奖励无效","可导入"))))))</x:f>
      </x:c>
    </x:row>
    <x:row r="78" ht="22" customHeight="1">
      <x:c r="A78" s="72" t="n">
        <x:v>14</x:v>
      </x:c>
      <x:c r="B78" s="41"/>
      <x:c r="C78" s="41"/>
      <x:c r="D78" s="41"/>
      <x:c r="E78" s="19" t="str">
        <x:f>IFERROR(VLOOKUP(B78,'敌人目录'!$A$6:$S$54,2,FALSE),"")</x:f>
      </x:c>
      <x:c r="F78" s="19" t="str">
        <x:f>IF(OR(B78="",C78=""),"",ROUNDUP(C78*(1+('全局设置'!$B$5-1)*'全局设置'!$B$6),0))</x:f>
      </x:c>
      <x:c r="G78" s="19" t="str">
        <x:f>IFERROR(VLOOKUP(B78,'敌人目录'!$A$6:$S$54,7,FALSE),"")</x:f>
      </x:c>
      <x:c r="H78" s="19" t="str">
        <x:f>IFERROR(VLOOKUP(B78,'敌人目录'!$A$6:$S$54,8,FALSE),"")</x:f>
      </x:c>
      <x:c r="I78" s="19" t="str">
        <x:f>IFERROR(VLOOKUP(B78,'敌人目录'!$A$6:$S$54,9,FALSE),"")</x:f>
      </x:c>
      <x:c r="J78" s="19" t="str">
        <x:f>IFERROR(VLOOKUP(B78,'敌人目录'!$A$6:$S$54,10,FALSE),"")</x:f>
      </x:c>
      <x:c r="K78" s="19" t="str">
        <x:f>IFERROR(VLOOKUP(B78,'敌人目录'!$A$6:$S$54,11,FALSE),"")</x:f>
      </x:c>
      <x:c r="L78" s="19" t="str">
        <x:f>IFERROR(VLOOKUP(B78,'敌人目录'!$A$6:$S$54,12,FALSE),"")</x:f>
      </x:c>
      <x:c r="M78" s="19" t="str">
        <x:f>IFERROR(VLOOKUP(B78,'敌人目录'!$A$6:$S$54,13,FALSE),"")</x:f>
      </x:c>
      <x:c r="N78" s="19" t="str">
        <x:f>IF(B78="","",IF(ISNUMBER(D78),D78,IFERROR(VLOOKUP(B78,'敌人目录'!$A$6:$S$54,14,FALSE),"")))</x:f>
      </x:c>
      <x:c r="O78" s="64" t="str">
        <x:f>IFERROR(VLOOKUP(B78,'敌人目录'!$A$6:$S$54,15,FALSE),"")</x:f>
      </x:c>
      <x:c r="P78" s="19" t="str">
        <x:f>IF(F78="","",F78*G78)</x:f>
      </x:c>
      <x:c r="Q78" s="19" t="str">
        <x:f>IF(F78="","",F78*L78)</x:f>
      </x:c>
      <x:c r="R78" s="19" t="str">
        <x:f>IF(F78="","",F78*N78)</x:f>
      </x:c>
      <x:c r="S78" s="19" t="str">
        <x:f>IF(R78="","",R78*'全局设置'!$B$5)</x:f>
      </x:c>
      <x:c r="T78" s="73" t="str">
        <x:f>IF(F78="","",F78*O78)</x:f>
      </x:c>
      <x:c r="U78" s="19" t="str">
        <x:f>IF(AND(B78="",C78=""),"",IF(B78="","缺少敌人",IF(C78="","缺少数量",IF(OR(C78&lt;1,C78&gt;9999,C78&lt;&gt;INT(C78)),"数量无效",IF(COUNTIF($E$65:$E$82,E78)&gt;1,"重复敌人",IF(AND(ISNUMBER(D78),OR(D78&lt;0,D78&gt;999,D78&lt;&gt;INT(D78))),"奖励无效","可导入"))))))</x:f>
      </x:c>
    </x:row>
    <x:row r="79" ht="22" customHeight="1">
      <x:c r="A79" s="72" t="n">
        <x:v>15</x:v>
      </x:c>
      <x:c r="B79" s="41"/>
      <x:c r="C79" s="41"/>
      <x:c r="D79" s="41"/>
      <x:c r="E79" s="19" t="str">
        <x:f>IFERROR(VLOOKUP(B79,'敌人目录'!$A$6:$S$54,2,FALSE),"")</x:f>
      </x:c>
      <x:c r="F79" s="19" t="str">
        <x:f>IF(OR(B79="",C79=""),"",ROUNDUP(C79*(1+('全局设置'!$B$5-1)*'全局设置'!$B$6),0))</x:f>
      </x:c>
      <x:c r="G79" s="19" t="str">
        <x:f>IFERROR(VLOOKUP(B79,'敌人目录'!$A$6:$S$54,7,FALSE),"")</x:f>
      </x:c>
      <x:c r="H79" s="19" t="str">
        <x:f>IFERROR(VLOOKUP(B79,'敌人目录'!$A$6:$S$54,8,FALSE),"")</x:f>
      </x:c>
      <x:c r="I79" s="19" t="str">
        <x:f>IFERROR(VLOOKUP(B79,'敌人目录'!$A$6:$S$54,9,FALSE),"")</x:f>
      </x:c>
      <x:c r="J79" s="19" t="str">
        <x:f>IFERROR(VLOOKUP(B79,'敌人目录'!$A$6:$S$54,10,FALSE),"")</x:f>
      </x:c>
      <x:c r="K79" s="19" t="str">
        <x:f>IFERROR(VLOOKUP(B79,'敌人目录'!$A$6:$S$54,11,FALSE),"")</x:f>
      </x:c>
      <x:c r="L79" s="19" t="str">
        <x:f>IFERROR(VLOOKUP(B79,'敌人目录'!$A$6:$S$54,12,FALSE),"")</x:f>
      </x:c>
      <x:c r="M79" s="19" t="str">
        <x:f>IFERROR(VLOOKUP(B79,'敌人目录'!$A$6:$S$54,13,FALSE),"")</x:f>
      </x:c>
      <x:c r="N79" s="19" t="str">
        <x:f>IF(B79="","",IF(ISNUMBER(D79),D79,IFERROR(VLOOKUP(B79,'敌人目录'!$A$6:$S$54,14,FALSE),"")))</x:f>
      </x:c>
      <x:c r="O79" s="64" t="str">
        <x:f>IFERROR(VLOOKUP(B79,'敌人目录'!$A$6:$S$54,15,FALSE),"")</x:f>
      </x:c>
      <x:c r="P79" s="19" t="str">
        <x:f>IF(F79="","",F79*G79)</x:f>
      </x:c>
      <x:c r="Q79" s="19" t="str">
        <x:f>IF(F79="","",F79*L79)</x:f>
      </x:c>
      <x:c r="R79" s="19" t="str">
        <x:f>IF(F79="","",F79*N79)</x:f>
      </x:c>
      <x:c r="S79" s="19" t="str">
        <x:f>IF(R79="","",R79*'全局设置'!$B$5)</x:f>
      </x:c>
      <x:c r="T79" s="73" t="str">
        <x:f>IF(F79="","",F79*O79)</x:f>
      </x:c>
      <x:c r="U79" s="19" t="str">
        <x:f>IF(AND(B79="",C79=""),"",IF(B79="","缺少敌人",IF(C79="","缺少数量",IF(OR(C79&lt;1,C79&gt;9999,C79&lt;&gt;INT(C79)),"数量无效",IF(COUNTIF($E$65:$E$82,E79)&gt;1,"重复敌人",IF(AND(ISNUMBER(D79),OR(D79&lt;0,D79&gt;999,D79&lt;&gt;INT(D79))),"奖励无效","可导入"))))))</x:f>
      </x:c>
    </x:row>
    <x:row r="80" ht="22" customHeight="1">
      <x:c r="A80" s="72" t="n">
        <x:v>16</x:v>
      </x:c>
      <x:c r="B80" s="41"/>
      <x:c r="C80" s="41"/>
      <x:c r="D80" s="41"/>
      <x:c r="E80" s="19" t="str">
        <x:f>IFERROR(VLOOKUP(B80,'敌人目录'!$A$6:$S$54,2,FALSE),"")</x:f>
      </x:c>
      <x:c r="F80" s="19" t="str">
        <x:f>IF(OR(B80="",C80=""),"",ROUNDUP(C80*(1+('全局设置'!$B$5-1)*'全局设置'!$B$6),0))</x:f>
      </x:c>
      <x:c r="G80" s="19" t="str">
        <x:f>IFERROR(VLOOKUP(B80,'敌人目录'!$A$6:$S$54,7,FALSE),"")</x:f>
      </x:c>
      <x:c r="H80" s="19" t="str">
        <x:f>IFERROR(VLOOKUP(B80,'敌人目录'!$A$6:$S$54,8,FALSE),"")</x:f>
      </x:c>
      <x:c r="I80" s="19" t="str">
        <x:f>IFERROR(VLOOKUP(B80,'敌人目录'!$A$6:$S$54,9,FALSE),"")</x:f>
      </x:c>
      <x:c r="J80" s="19" t="str">
        <x:f>IFERROR(VLOOKUP(B80,'敌人目录'!$A$6:$S$54,10,FALSE),"")</x:f>
      </x:c>
      <x:c r="K80" s="19" t="str">
        <x:f>IFERROR(VLOOKUP(B80,'敌人目录'!$A$6:$S$54,11,FALSE),"")</x:f>
      </x:c>
      <x:c r="L80" s="19" t="str">
        <x:f>IFERROR(VLOOKUP(B80,'敌人目录'!$A$6:$S$54,12,FALSE),"")</x:f>
      </x:c>
      <x:c r="M80" s="19" t="str">
        <x:f>IFERROR(VLOOKUP(B80,'敌人目录'!$A$6:$S$54,13,FALSE),"")</x:f>
      </x:c>
      <x:c r="N80" s="19" t="str">
        <x:f>IF(B80="","",IF(ISNUMBER(D80),D80,IFERROR(VLOOKUP(B80,'敌人目录'!$A$6:$S$54,14,FALSE),"")))</x:f>
      </x:c>
      <x:c r="O80" s="64" t="str">
        <x:f>IFERROR(VLOOKUP(B80,'敌人目录'!$A$6:$S$54,15,FALSE),"")</x:f>
      </x:c>
      <x:c r="P80" s="19" t="str">
        <x:f>IF(F80="","",F80*G80)</x:f>
      </x:c>
      <x:c r="Q80" s="19" t="str">
        <x:f>IF(F80="","",F80*L80)</x:f>
      </x:c>
      <x:c r="R80" s="19" t="str">
        <x:f>IF(F80="","",F80*N80)</x:f>
      </x:c>
      <x:c r="S80" s="19" t="str">
        <x:f>IF(R80="","",R80*'全局设置'!$B$5)</x:f>
      </x:c>
      <x:c r="T80" s="73" t="str">
        <x:f>IF(F80="","",F80*O80)</x:f>
      </x:c>
      <x:c r="U80" s="19" t="str">
        <x:f>IF(AND(B80="",C80=""),"",IF(B80="","缺少敌人",IF(C80="","缺少数量",IF(OR(C80&lt;1,C80&gt;9999,C80&lt;&gt;INT(C80)),"数量无效",IF(COUNTIF($E$65:$E$82,E80)&gt;1,"重复敌人",IF(AND(ISNUMBER(D80),OR(D80&lt;0,D80&gt;999,D80&lt;&gt;INT(D80))),"奖励无效","可导入"))))))</x:f>
      </x:c>
    </x:row>
    <x:row r="81" ht="22" customHeight="1">
      <x:c r="A81" s="72" t="n">
        <x:v>17</x:v>
      </x:c>
      <x:c r="B81" s="41"/>
      <x:c r="C81" s="41"/>
      <x:c r="D81" s="41"/>
      <x:c r="E81" s="19" t="str">
        <x:f>IFERROR(VLOOKUP(B81,'敌人目录'!$A$6:$S$54,2,FALSE),"")</x:f>
      </x:c>
      <x:c r="F81" s="19" t="str">
        <x:f>IF(OR(B81="",C81=""),"",ROUNDUP(C81*(1+('全局设置'!$B$5-1)*'全局设置'!$B$6),0))</x:f>
      </x:c>
      <x:c r="G81" s="19" t="str">
        <x:f>IFERROR(VLOOKUP(B81,'敌人目录'!$A$6:$S$54,7,FALSE),"")</x:f>
      </x:c>
      <x:c r="H81" s="19" t="str">
        <x:f>IFERROR(VLOOKUP(B81,'敌人目录'!$A$6:$S$54,8,FALSE),"")</x:f>
      </x:c>
      <x:c r="I81" s="19" t="str">
        <x:f>IFERROR(VLOOKUP(B81,'敌人目录'!$A$6:$S$54,9,FALSE),"")</x:f>
      </x:c>
      <x:c r="J81" s="19" t="str">
        <x:f>IFERROR(VLOOKUP(B81,'敌人目录'!$A$6:$S$54,10,FALSE),"")</x:f>
      </x:c>
      <x:c r="K81" s="19" t="str">
        <x:f>IFERROR(VLOOKUP(B81,'敌人目录'!$A$6:$S$54,11,FALSE),"")</x:f>
      </x:c>
      <x:c r="L81" s="19" t="str">
        <x:f>IFERROR(VLOOKUP(B81,'敌人目录'!$A$6:$S$54,12,FALSE),"")</x:f>
      </x:c>
      <x:c r="M81" s="19" t="str">
        <x:f>IFERROR(VLOOKUP(B81,'敌人目录'!$A$6:$S$54,13,FALSE),"")</x:f>
      </x:c>
      <x:c r="N81" s="19" t="str">
        <x:f>IF(B81="","",IF(ISNUMBER(D81),D81,IFERROR(VLOOKUP(B81,'敌人目录'!$A$6:$S$54,14,FALSE),"")))</x:f>
      </x:c>
      <x:c r="O81" s="64" t="str">
        <x:f>IFERROR(VLOOKUP(B81,'敌人目录'!$A$6:$S$54,15,FALSE),"")</x:f>
      </x:c>
      <x:c r="P81" s="19" t="str">
        <x:f>IF(F81="","",F81*G81)</x:f>
      </x:c>
      <x:c r="Q81" s="19" t="str">
        <x:f>IF(F81="","",F81*L81)</x:f>
      </x:c>
      <x:c r="R81" s="19" t="str">
        <x:f>IF(F81="","",F81*N81)</x:f>
      </x:c>
      <x:c r="S81" s="19" t="str">
        <x:f>IF(R81="","",R81*'全局设置'!$B$5)</x:f>
      </x:c>
      <x:c r="T81" s="73" t="str">
        <x:f>IF(F81="","",F81*O81)</x:f>
      </x:c>
      <x:c r="U81" s="19" t="str">
        <x:f>IF(AND(B81="",C81=""),"",IF(B81="","缺少敌人",IF(C81="","缺少数量",IF(OR(C81&lt;1,C81&gt;9999,C81&lt;&gt;INT(C81)),"数量无效",IF(COUNTIF($E$65:$E$82,E81)&gt;1,"重复敌人",IF(AND(ISNUMBER(D81),OR(D81&lt;0,D81&gt;999,D81&lt;&gt;INT(D81))),"奖励无效","可导入"))))))</x:f>
      </x:c>
    </x:row>
    <x:row r="82" ht="22" customHeight="1">
      <x:c r="A82" s="72" t="n">
        <x:v>18</x:v>
      </x:c>
      <x:c r="B82" s="41"/>
      <x:c r="C82" s="41"/>
      <x:c r="D82" s="41"/>
      <x:c r="E82" s="19" t="str">
        <x:f>IFERROR(VLOOKUP(B82,'敌人目录'!$A$6:$S$54,2,FALSE),"")</x:f>
      </x:c>
      <x:c r="F82" s="19" t="str">
        <x:f>IF(OR(B82="",C82=""),"",ROUNDUP(C82*(1+('全局设置'!$B$5-1)*'全局设置'!$B$6),0))</x:f>
      </x:c>
      <x:c r="G82" s="19" t="str">
        <x:f>IFERROR(VLOOKUP(B82,'敌人目录'!$A$6:$S$54,7,FALSE),"")</x:f>
      </x:c>
      <x:c r="H82" s="19" t="str">
        <x:f>IFERROR(VLOOKUP(B82,'敌人目录'!$A$6:$S$54,8,FALSE),"")</x:f>
      </x:c>
      <x:c r="I82" s="19" t="str">
        <x:f>IFERROR(VLOOKUP(B82,'敌人目录'!$A$6:$S$54,9,FALSE),"")</x:f>
      </x:c>
      <x:c r="J82" s="19" t="str">
        <x:f>IFERROR(VLOOKUP(B82,'敌人目录'!$A$6:$S$54,10,FALSE),"")</x:f>
      </x:c>
      <x:c r="K82" s="19" t="str">
        <x:f>IFERROR(VLOOKUP(B82,'敌人目录'!$A$6:$S$54,11,FALSE),"")</x:f>
      </x:c>
      <x:c r="L82" s="19" t="str">
        <x:f>IFERROR(VLOOKUP(B82,'敌人目录'!$A$6:$S$54,12,FALSE),"")</x:f>
      </x:c>
      <x:c r="M82" s="19" t="str">
        <x:f>IFERROR(VLOOKUP(B82,'敌人目录'!$A$6:$S$54,13,FALSE),"")</x:f>
      </x:c>
      <x:c r="N82" s="19" t="str">
        <x:f>IF(B82="","",IF(ISNUMBER(D82),D82,IFERROR(VLOOKUP(B82,'敌人目录'!$A$6:$S$54,14,FALSE),"")))</x:f>
      </x:c>
      <x:c r="O82" s="64" t="str">
        <x:f>IFERROR(VLOOKUP(B82,'敌人目录'!$A$6:$S$54,15,FALSE),"")</x:f>
      </x:c>
      <x:c r="P82" s="19" t="str">
        <x:f>IF(F82="","",F82*G82)</x:f>
      </x:c>
      <x:c r="Q82" s="19" t="str">
        <x:f>IF(F82="","",F82*L82)</x:f>
      </x:c>
      <x:c r="R82" s="19" t="str">
        <x:f>IF(F82="","",F82*N82)</x:f>
      </x:c>
      <x:c r="S82" s="19" t="str">
        <x:f>IF(R82="","",R82*'全局设置'!$B$5)</x:f>
      </x:c>
      <x:c r="T82" s="73" t="str">
        <x:f>IF(F82="","",F82*O82)</x:f>
      </x:c>
      <x:c r="U82" s="19" t="str">
        <x:f>IF(AND(B82="",C82=""),"",IF(B82="","缺少敌人",IF(C82="","缺少数量",IF(OR(C82&lt;1,C82&gt;9999,C82&lt;&gt;INT(C82)),"数量无效",IF(COUNTIF($E$65:$E$82,E82)&gt;1,"重复敌人",IF(AND(ISNUMBER(D82),OR(D82&lt;0,D82&gt;999,D82&lt;&gt;INT(D82))),"奖励无效","可导入"))))))</x:f>
      </x:c>
    </x:row>
    <x:row r="83" ht="22" customHeight="1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</x:row>
    <x:row r="84" ht="22" customHeight="1">
      <x:c r="A84" s="48" t="str">
        <x:v>基础总数</x:v>
      </x:c>
      <x:c r="B84" s="19" t="n">
        <x:f>SUM(C65:C82)</x:f>
        <x:v>112</x:v>
      </x:c>
      <x:c r="C84" s="48" t="str">
        <x:v>实际总数</x:v>
      </x:c>
      <x:c r="D84" s="19" t="n">
        <x:f>SUM(F65:F82)</x:f>
        <x:v>112</x:v>
      </x:c>
      <x:c r="E84" s="48" t="str">
        <x:v>敌人种类</x:v>
      </x:c>
      <x:c r="F84" s="19" t="n">
        <x:f>COUNTA(B65:B82)</x:f>
        <x:v>7</x:v>
      </x:c>
      <x:c r="G84" s="48" t="str">
        <x:v>生命池</x:v>
      </x:c>
      <x:c r="H84" s="19" t="n">
        <x:f>SUM(P65:P82)</x:f>
        <x:v>6680</x:v>
      </x:c>
      <x:c r="I84" s="48" t="str">
        <x:v>基础息壤/玩家</x:v>
      </x:c>
      <x:c r="J84" s="19" t="n">
        <x:f>SUM(R65:R82)</x:f>
        <x:v>144</x:v>
      </x:c>
      <x:c r="K84" s="48" t="str">
        <x:v>情景息壤/玩家</x:v>
      </x:c>
      <x:c r="L84" s="19" t="n">
        <x:f>J84*'全局设置'!$B$7*'全局设置'!$D$14</x:f>
        <x:v>144</x:v>
      </x:c>
      <x:c r="M84" s="48" t="str">
        <x:v>情景息壤/队伍</x:v>
      </x:c>
      <x:c r="N84" s="19" t="n">
        <x:f>L84*'全局设置'!$B$5</x:f>
        <x:v>144</x:v>
      </x:c>
      <x:c r="O84" s="48" t="str">
        <x:v>掉落期望</x:v>
      </x:c>
      <x:c r="P84" s="73" t="n">
        <x:f>SUM(T65:T82)</x:f>
        <x:v>5.6000000000000005</x:v>
      </x:c>
      <x:c r="Q84" s="48" t="str">
        <x:v>全漏Home伤害</x:v>
      </x:c>
      <x:c r="R84" s="19" t="n">
        <x:f>SUM(Q65:Q82)</x:f>
        <x:v>176</x:v>
      </x:c>
      <x:c r="S84" s="48" t="str">
        <x:v>最短刷完(s)</x:v>
      </x:c>
      <x:c r="T84" s="73" t="n">
        <x:f>IF(D84=0,0,MAX(0,(ROUNDUP(D84/J61,0)-1)*H61))</x:f>
        <x:v>38.849999999999994</x:v>
      </x:c>
      <x:c r="U84" s="31"/>
    </x:row>
    <x:row r="85" ht="22" customHeight="1">
      <x:c r="A85" s="82" t="str">
        <x:v>情景收益 = 最大击杀息壤 × 全局击杀率 × 第2日倍率；最大队伍收益另按玩家人数相乘。</x:v>
      </x:c>
      <x:c r="B85" s="82" t="str">
        <x:v>情景收益 = 最大击杀息壤 × 全局击杀率 × 第2日倍率；最大队伍收益另按玩家人数相乘。</x:v>
      </x:c>
      <x:c r="C85" s="82" t="str">
        <x:v>情景收益 = 最大击杀息壤 × 全局击杀率 × 第2日倍率；最大队伍收益另按玩家人数相乘。</x:v>
      </x:c>
      <x:c r="D85" s="82" t="str">
        <x:v>情景收益 = 最大击杀息壤 × 全局击杀率 × 第2日倍率；最大队伍收益另按玩家人数相乘。</x:v>
      </x:c>
      <x:c r="E85" s="82" t="str">
        <x:v>情景收益 = 最大击杀息壤 × 全局击杀率 × 第2日倍率；最大队伍收益另按玩家人数相乘。</x:v>
      </x:c>
      <x:c r="F85" s="82" t="str">
        <x:v>情景收益 = 最大击杀息壤 × 全局击杀率 × 第2日倍率；最大队伍收益另按玩家人数相乘。</x:v>
      </x:c>
      <x:c r="G85" s="82" t="str">
        <x:v>情景收益 = 最大击杀息壤 × 全局击杀率 × 第2日倍率；最大队伍收益另按玩家人数相乘。</x:v>
      </x:c>
      <x:c r="H85" s="82" t="str">
        <x:v>情景收益 = 最大击杀息壤 × 全局击杀率 × 第2日倍率；最大队伍收益另按玩家人数相乘。</x:v>
      </x:c>
      <x:c r="I85" s="82" t="str">
        <x:v>情景收益 = 最大击杀息壤 × 全局击杀率 × 第2日倍率；最大队伍收益另按玩家人数相乘。</x:v>
      </x:c>
      <x:c r="J85" s="82" t="str">
        <x:v>情景收益 = 最大击杀息壤 × 全局击杀率 × 第2日倍率；最大队伍收益另按玩家人数相乘。</x:v>
      </x:c>
      <x:c r="K85" s="82" t="str">
        <x:v>情景收益 = 最大击杀息壤 × 全局击杀率 × 第2日倍率；最大队伍收益另按玩家人数相乘。</x:v>
      </x:c>
      <x:c r="L85" s="82" t="str">
        <x:v>情景收益 = 最大击杀息壤 × 全局击杀率 × 第2日倍率；最大队伍收益另按玩家人数相乘。</x:v>
      </x:c>
      <x:c r="M85" s="82" t="str">
        <x:v>情景收益 = 最大击杀息壤 × 全局击杀率 × 第2日倍率；最大队伍收益另按玩家人数相乘。</x:v>
      </x:c>
      <x:c r="N85" s="82" t="str">
        <x:v>情景收益 = 最大击杀息壤 × 全局击杀率 × 第2日倍率；最大队伍收益另按玩家人数相乘。</x:v>
      </x:c>
      <x:c r="O85" s="82" t="str">
        <x:v>情景收益 = 最大击杀息壤 × 全局击杀率 × 第2日倍率；最大队伍收益另按玩家人数相乘。</x:v>
      </x:c>
      <x:c r="P85" s="82" t="str">
        <x:v>情景收益 = 最大击杀息壤 × 全局击杀率 × 第2日倍率；最大队伍收益另按玩家人数相乘。</x:v>
      </x:c>
      <x:c r="Q85" s="82" t="str">
        <x:v>情景收益 = 最大击杀息壤 × 全局击杀率 × 第2日倍率；最大队伍收益另按玩家人数相乘。</x:v>
      </x:c>
      <x:c r="R85" s="82" t="str">
        <x:v>情景收益 = 最大击杀息壤 × 全局击杀率 × 第2日倍率；最大队伍收益另按玩家人数相乘。</x:v>
      </x:c>
      <x:c r="S85" s="82" t="str">
        <x:v>情景收益 = 最大击杀息壤 × 全局击杀率 × 第2日倍率；最大队伍收益另按玩家人数相乘。</x:v>
      </x:c>
      <x:c r="T85" s="82" t="str">
        <x:v>情景收益 = 最大击杀息壤 × 全局击杀率 × 第2日倍率；最大队伍收益另按玩家人数相乘。</x:v>
      </x:c>
      <x:c r="U85" s="82" t="str">
        <x:v>情景收益 = 最大击杀息壤 × 全局击杀率 × 第2日倍率；最大队伍收益另按玩家人数相乘。</x:v>
      </x:c>
    </x:row>
    <x:row r="86" ht="22" customHeight="1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</x:row>
    <x:row r="87" ht="22" customHeight="1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</x:row>
    <x:row r="88" ht="22" customHeight="1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</x:row>
    <x:row r="89" ht="22" customHeight="1">
      <x:c r="A89" s="78" t="str">
        <x:v>第 8 波｜第 2 日·4/4｜夜晚｜当前正式配置</x:v>
      </x:c>
      <x:c r="B89" s="78" t="str">
        <x:v>第 8 波｜第 2 日·4/4｜夜晚｜当前正式配置</x:v>
      </x:c>
      <x:c r="C89" s="78" t="str">
        <x:v>第 8 波｜第 2 日·4/4｜夜晚｜当前正式配置</x:v>
      </x:c>
      <x:c r="D89" s="78" t="str">
        <x:v>第 8 波｜第 2 日·4/4｜夜晚｜当前正式配置</x:v>
      </x:c>
      <x:c r="E89" s="78" t="str">
        <x:v>第 8 波｜第 2 日·4/4｜夜晚｜当前正式配置</x:v>
      </x:c>
      <x:c r="F89" s="78" t="str">
        <x:v>第 8 波｜第 2 日·4/4｜夜晚｜当前正式配置</x:v>
      </x:c>
      <x:c r="G89" s="78" t="str">
        <x:v>第 8 波｜第 2 日·4/4｜夜晚｜当前正式配置</x:v>
      </x:c>
      <x:c r="H89" s="78" t="str">
        <x:v>第 8 波｜第 2 日·4/4｜夜晚｜当前正式配置</x:v>
      </x:c>
      <x:c r="I89" s="78" t="str">
        <x:v>第 8 波｜第 2 日·4/4｜夜晚｜当前正式配置</x:v>
      </x:c>
      <x:c r="J89" s="78" t="str">
        <x:v>第 8 波｜第 2 日·4/4｜夜晚｜当前正式配置</x:v>
      </x:c>
      <x:c r="K89" s="78" t="str">
        <x:v>第 8 波｜第 2 日·4/4｜夜晚｜当前正式配置</x:v>
      </x:c>
      <x:c r="L89" s="78" t="str">
        <x:v>第 8 波｜第 2 日·4/4｜夜晚｜当前正式配置</x:v>
      </x:c>
      <x:c r="M89" s="78" t="str">
        <x:v>第 8 波｜第 2 日·4/4｜夜晚｜当前正式配置</x:v>
      </x:c>
      <x:c r="N89" s="78" t="str">
        <x:v>第 8 波｜第 2 日·4/4｜夜晚｜当前正式配置</x:v>
      </x:c>
      <x:c r="O89" s="78" t="str">
        <x:v>第 8 波｜第 2 日·4/4｜夜晚｜当前正式配置</x:v>
      </x:c>
      <x:c r="P89" s="78" t="str">
        <x:v>第 8 波｜第 2 日·4/4｜夜晚｜当前正式配置</x:v>
      </x:c>
      <x:c r="Q89" s="78" t="str">
        <x:v>第 8 波｜第 2 日·4/4｜夜晚｜当前正式配置</x:v>
      </x:c>
      <x:c r="R89" s="78" t="str">
        <x:v>第 8 波｜第 2 日·4/4｜夜晚｜当前正式配置</x:v>
      </x:c>
      <x:c r="S89" s="78" t="str">
        <x:v>第 8 波｜第 2 日·4/4｜夜晚｜当前正式配置</x:v>
      </x:c>
      <x:c r="T89" s="78" t="str">
        <x:v>第 8 波｜第 2 日·4/4｜夜晚｜当前正式配置</x:v>
      </x:c>
      <x:c r="U89" s="78" t="str">
        <x:v>第 8 波｜第 2 日·4/4｜夜晚｜当前正式配置</x:v>
      </x:c>
    </x:row>
    <x:row r="90" ht="22" customHeight="1">
      <x:c r="A90" s="48" t="str">
        <x:v>波次名称</x:v>
      </x:c>
      <x:c r="B90" s="41" t="str">
        <x:v>第8波 沼泽合围</x:v>
      </x:c>
      <x:c r="C90" s="41" t="str">
        <x:v>第8波 沼泽合围</x:v>
      </x:c>
      <x:c r="D90" s="41" t="str">
        <x:v>第8波 沼泽合围</x:v>
      </x:c>
      <x:c r="E90" s="41" t="str">
        <x:v>第8波 沼泽合围</x:v>
      </x:c>
      <x:c r="F90" s="41" t="str">
        <x:v>第8波 沼泽合围</x:v>
      </x:c>
      <x:c r="G90" s="48" t="str">
        <x:v>出生间隔(s)</x:v>
      </x:c>
      <x:c r="H90" s="41" t="n">
        <x:v>0.3</x:v>
      </x:c>
      <x:c r="I90" s="48" t="str">
        <x:v>每Tick</x:v>
      </x:c>
      <x:c r="J90" s="41" t="n">
        <x:v>1</x:v>
      </x:c>
      <x:c r="K90" s="48" t="str">
        <x:v>存活上限</x:v>
      </x:c>
      <x:c r="L90" s="41" t="n">
        <x:v>64</x:v>
      </x:c>
      <x:c r="M90" s="48" t="str">
        <x:v>校验</x:v>
      </x:c>
      <x:c r="N90" s="19" t="str">
        <x:f>IF(COUNTA(B94:B111)=0,"待设计",IF(COUNTIF(U94:U111,"可导入")=COUNTA(B94:B111),"可导入","需修正"))</x:f>
        <x:v>可导入</x:v>
      </x:c>
      <x:c r="O90" s="19" t="str"/>
      <x:c r="P90" s="48" t="str">
        <x:v>来源</x:v>
      </x:c>
      <x:c r="Q90" s="19" t="str">
        <x:v>当前游戏 formal 资源</x:v>
      </x:c>
      <x:c r="R90" s="19" t="str">
        <x:v>当前游戏 formal 资源</x:v>
      </x:c>
      <x:c r="S90" s="19" t="str">
        <x:v>当前游戏 formal 资源</x:v>
      </x:c>
      <x:c r="T90" s="19" t="str">
        <x:v>当前游戏 formal 资源</x:v>
      </x:c>
      <x:c r="U90" s="19" t="str">
        <x:v>当前游戏 formal 资源</x:v>
      </x:c>
    </x:row>
    <x:row r="91" ht="22" customHeight="1">
      <x:c r="A91" s="48" t="str">
        <x:v>出生点</x:v>
      </x:c>
      <x:c r="B91" s="41" t="str">
        <x:v>开启</x:v>
      </x:c>
      <x:c r="C91" s="41" t="str">
        <x:v>开启</x:v>
      </x:c>
      <x:c r="D91" s="41" t="str">
        <x:v>开启</x:v>
      </x:c>
      <x:c r="E91" s="41" t="str">
        <x:v>开启</x:v>
      </x:c>
      <x:c r="F91" s="41" t="str">
        <x:v>开启</x:v>
      </x:c>
      <x:c r="G91" s="41" t="str">
        <x:v>开启</x:v>
      </x:c>
      <x:c r="H91" s="48" t="str">
        <x:v>战斗音乐</x:v>
      </x:c>
      <x:c r="I91" s="19" t="str">
        <x:v>shenmu_swamp_combat</x:v>
      </x:c>
      <x:c r="J91" s="19" t="str">
        <x:v>shenmu_swamp_combat</x:v>
      </x:c>
      <x:c r="K91" s="19" t="str">
        <x:v>shenmu_swamp_combat</x:v>
      </x:c>
      <x:c r="L91" s="19" t="str">
        <x:v>shenmu_swamp_combat</x:v>
      </x:c>
      <x:c r="M91" s="19" t="str">
        <x:v>shenmu_swamp_combat</x:v>
      </x:c>
      <x:c r="N91" s="48" t="str">
        <x:v>波后音乐</x:v>
      </x:c>
      <x:c r="O91" s="19" t="str">
        <x:v>shenmu_swamp_intermission</x:v>
      </x:c>
      <x:c r="P91" s="19" t="str">
        <x:v>shenmu_swamp_intermission</x:v>
      </x:c>
      <x:c r="Q91" s="19" t="str">
        <x:v>shenmu_swamp_intermission</x:v>
      </x:c>
      <x:c r="R91" s="19" t="str">
        <x:v>shenmu_swamp_intermission</x:v>
      </x:c>
      <x:c r="S91" s="19" t="str">
        <x:v>shenmu_swamp_intermission</x:v>
      </x:c>
      <x:c r="T91" s="19" t="str">
        <x:v>shenmu_swamp_intermission</x:v>
      </x:c>
      <x:c r="U91" s="19" t="str">
        <x:v>shenmu_swamp_intermission</x:v>
      </x:c>
    </x:row>
    <x:row r="92" ht="22" customHeight="1">
      <x:c r="A92" s="83" t="str">
        <x:v>蓝色列可编辑。每种敌人一行；若同波重复选择同一稳定 ID，请合并数量。实际数量按当前模拟玩家数逐条向上取整。</x:v>
      </x:c>
      <x:c r="B92" s="83" t="str">
        <x:v>蓝色列可编辑。每种敌人一行；若同波重复选择同一稳定 ID，请合并数量。实际数量按当前模拟玩家数逐条向上取整。</x:v>
      </x:c>
      <x:c r="C92" s="83" t="str">
        <x:v>蓝色列可编辑。每种敌人一行；若同波重复选择同一稳定 ID，请合并数量。实际数量按当前模拟玩家数逐条向上取整。</x:v>
      </x:c>
      <x:c r="D92" s="83" t="str">
        <x:v>蓝色列可编辑。每种敌人一行；若同波重复选择同一稳定 ID，请合并数量。实际数量按当前模拟玩家数逐条向上取整。</x:v>
      </x:c>
      <x:c r="E92" s="83" t="str">
        <x:v>蓝色列可编辑。每种敌人一行；若同波重复选择同一稳定 ID，请合并数量。实际数量按当前模拟玩家数逐条向上取整。</x:v>
      </x:c>
      <x:c r="F92" s="83" t="str">
        <x:v>蓝色列可编辑。每种敌人一行；若同波重复选择同一稳定 ID，请合并数量。实际数量按当前模拟玩家数逐条向上取整。</x:v>
      </x:c>
      <x:c r="G92" s="83" t="str">
        <x:v>蓝色列可编辑。每种敌人一行；若同波重复选择同一稳定 ID，请合并数量。实际数量按当前模拟玩家数逐条向上取整。</x:v>
      </x:c>
      <x:c r="H92" s="83" t="str">
        <x:v>蓝色列可编辑。每种敌人一行；若同波重复选择同一稳定 ID，请合并数量。实际数量按当前模拟玩家数逐条向上取整。</x:v>
      </x:c>
      <x:c r="I92" s="83" t="str">
        <x:v>蓝色列可编辑。每种敌人一行；若同波重复选择同一稳定 ID，请合并数量。实际数量按当前模拟玩家数逐条向上取整。</x:v>
      </x:c>
      <x:c r="J92" s="83" t="str">
        <x:v>蓝色列可编辑。每种敌人一行；若同波重复选择同一稳定 ID，请合并数量。实际数量按当前模拟玩家数逐条向上取整。</x:v>
      </x:c>
      <x:c r="K92" s="83" t="str">
        <x:v>蓝色列可编辑。每种敌人一行；若同波重复选择同一稳定 ID，请合并数量。实际数量按当前模拟玩家数逐条向上取整。</x:v>
      </x:c>
      <x:c r="L92" s="83" t="str">
        <x:v>蓝色列可编辑。每种敌人一行；若同波重复选择同一稳定 ID，请合并数量。实际数量按当前模拟玩家数逐条向上取整。</x:v>
      </x:c>
      <x:c r="M92" s="83" t="str">
        <x:v>蓝色列可编辑。每种敌人一行；若同波重复选择同一稳定 ID，请合并数量。实际数量按当前模拟玩家数逐条向上取整。</x:v>
      </x:c>
      <x:c r="N92" s="83" t="str">
        <x:v>蓝色列可编辑。每种敌人一行；若同波重复选择同一稳定 ID，请合并数量。实际数量按当前模拟玩家数逐条向上取整。</x:v>
      </x:c>
      <x:c r="O92" s="83" t="str">
        <x:v>蓝色列可编辑。每种敌人一行；若同波重复选择同一稳定 ID，请合并数量。实际数量按当前模拟玩家数逐条向上取整。</x:v>
      </x:c>
      <x:c r="P92" s="83" t="str">
        <x:v>蓝色列可编辑。每种敌人一行；若同波重复选择同一稳定 ID，请合并数量。实际数量按当前模拟玩家数逐条向上取整。</x:v>
      </x:c>
      <x:c r="Q92" s="83" t="str">
        <x:v>蓝色列可编辑。每种敌人一行；若同波重复选择同一稳定 ID，请合并数量。实际数量按当前模拟玩家数逐条向上取整。</x:v>
      </x:c>
      <x:c r="R92" s="83" t="str">
        <x:v>蓝色列可编辑。每种敌人一行；若同波重复选择同一稳定 ID，请合并数量。实际数量按当前模拟玩家数逐条向上取整。</x:v>
      </x:c>
      <x:c r="S92" s="83" t="str">
        <x:v>蓝色列可编辑。每种敌人一行；若同波重复选择同一稳定 ID，请合并数量。实际数量按当前模拟玩家数逐条向上取整。</x:v>
      </x:c>
      <x:c r="T92" s="83" t="str">
        <x:v>蓝色列可编辑。每种敌人一行；若同波重复选择同一稳定 ID，请合并数量。实际数量按当前模拟玩家数逐条向上取整。</x:v>
      </x:c>
      <x:c r="U92" s="83" t="str">
        <x:v>蓝色列可编辑。每种敌人一行；若同波重复选择同一稳定 ID，请合并数量。实际数量按当前模拟玩家数逐条向上取整。</x:v>
      </x:c>
    </x:row>
    <x:row r="93" ht="22" customHeight="1">
      <x:c r="A93" s="48" t="str">
        <x:v>槽位</x:v>
      </x:c>
      <x:c r="B93" s="48" t="str">
        <x:v>敌人（下拉选择）</x:v>
      </x:c>
      <x:c r="C93" s="48" t="str">
        <x:v>基础数量</x:v>
      </x:c>
      <x:c r="D93" s="48" t="str">
        <x:v>本波息壤覆盖</x:v>
      </x:c>
      <x:c r="E93" s="48" t="str">
        <x:v>稳定敌人ID</x:v>
      </x:c>
      <x:c r="F93" s="48" t="str">
        <x:v>实际数量</x:v>
      </x:c>
      <x:c r="G93" s="48" t="str">
        <x:v>生命</x:v>
      </x:c>
      <x:c r="H93" s="48" t="str">
        <x:v>攻击</x:v>
      </x:c>
      <x:c r="I93" s="48" t="str">
        <x:v>物理防御</x:v>
      </x:c>
      <x:c r="J93" s="48" t="str">
        <x:v>法术防御</x:v>
      </x:c>
      <x:c r="K93" s="48" t="str">
        <x:v>移速</x:v>
      </x:c>
      <x:c r="L93" s="48" t="str">
        <x:v>Home伤害</x:v>
      </x:c>
      <x:c r="M93" s="48" t="str">
        <x:v>游戏默认息壤</x:v>
      </x:c>
      <x:c r="N93" s="48" t="str">
        <x:v>有效息壤</x:v>
      </x:c>
      <x:c r="O93" s="48" t="str">
        <x:v>掉落期望/击杀</x:v>
      </x:c>
      <x:c r="P93" s="48" t="str">
        <x:v>总生命</x:v>
      </x:c>
      <x:c r="Q93" s="48" t="str">
        <x:v>全漏Home伤害</x:v>
      </x:c>
      <x:c r="R93" s="48" t="str">
        <x:v>最大息壤/玩家</x:v>
      </x:c>
      <x:c r="S93" s="48" t="str">
        <x:v>最大息壤/队伍</x:v>
      </x:c>
      <x:c r="T93" s="48" t="str">
        <x:v>掉落期望</x:v>
      </x:c>
      <x:c r="U93" s="48" t="str">
        <x:v>校验</x:v>
      </x:c>
    </x:row>
    <x:row r="94" ht="22" customHeight="1">
      <x:c r="A94" s="72" t="n">
        <x:v>1</x:v>
      </x:c>
      <x:c r="B94" s="41" t="str">
        <x:v>yuanshi_insect_basic｜普通原石虫</x:v>
      </x:c>
      <x:c r="C94" s="41" t="n">
        <x:v>24</x:v>
      </x:c>
      <x:c r="D94" s="41"/>
      <x:c r="E94" s="19" t="str">
        <x:f>IFERROR(VLOOKUP(B94,'敌人目录'!$A$6:$S$54,2,FALSE),"")</x:f>
        <x:v>yuanshi_insect_basic</x:v>
      </x:c>
      <x:c r="F94" s="19" t="n">
        <x:f>IF(OR(B94="",C94=""),"",ROUNDUP(C94*(1+('全局设置'!$B$5-1)*'全局设置'!$B$6),0))</x:f>
        <x:v>24</x:v>
      </x:c>
      <x:c r="G94" s="19" t="n">
        <x:f>IFERROR(VLOOKUP(B94,'敌人目录'!$A$6:$S$54,7,FALSE),"")</x:f>
        <x:v>40</x:v>
      </x:c>
      <x:c r="H94" s="19" t="n">
        <x:f>IFERROR(VLOOKUP(B94,'敌人目录'!$A$6:$S$54,8,FALSE),"")</x:f>
        <x:v>10</x:v>
      </x:c>
      <x:c r="I94" s="19" t="n">
        <x:f>IFERROR(VLOOKUP(B94,'敌人目录'!$A$6:$S$54,9,FALSE),"")</x:f>
        <x:v>0</x:v>
      </x:c>
      <x:c r="J94" s="19" t="n">
        <x:f>IFERROR(VLOOKUP(B94,'敌人目录'!$A$6:$S$54,10,FALSE),"")</x:f>
        <x:v>0</x:v>
      </x:c>
      <x:c r="K94" s="19" t="n">
        <x:f>IFERROR(VLOOKUP(B94,'敌人目录'!$A$6:$S$54,11,FALSE),"")</x:f>
        <x:v>20</x:v>
      </x:c>
      <x:c r="L94" s="19" t="n">
        <x:f>IFERROR(VLOOKUP(B94,'敌人目录'!$A$6:$S$54,12,FALSE),"")</x:f>
        <x:v>1</x:v>
      </x:c>
      <x:c r="M94" s="19" t="n">
        <x:f>IFERROR(VLOOKUP(B94,'敌人目录'!$A$6:$S$54,13,FALSE),"")</x:f>
        <x:v>1</x:v>
      </x:c>
      <x:c r="N94" s="19" t="n">
        <x:f>IF(B94="","",IF(ISNUMBER(D94),D94,IFERROR(VLOOKUP(B94,'敌人目录'!$A$6:$S$54,14,FALSE),"")))</x:f>
        <x:v>1</x:v>
      </x:c>
      <x:c r="O94" s="64" t="n">
        <x:f>IFERROR(VLOOKUP(B94,'敌人目录'!$A$6:$S$54,15,FALSE),"")</x:f>
        <x:v>0.05</x:v>
      </x:c>
      <x:c r="P94" s="19" t="n">
        <x:f>IF(F94="","",F94*G94)</x:f>
        <x:v>960</x:v>
      </x:c>
      <x:c r="Q94" s="19" t="n">
        <x:f>IF(F94="","",F94*L94)</x:f>
        <x:v>24</x:v>
      </x:c>
      <x:c r="R94" s="19" t="n">
        <x:f>IF(F94="","",F94*N94)</x:f>
        <x:v>24</x:v>
      </x:c>
      <x:c r="S94" s="19" t="n">
        <x:f>IF(R94="","",R94*'全局设置'!$B$5)</x:f>
        <x:v>24</x:v>
      </x:c>
      <x:c r="T94" s="73" t="n">
        <x:f>IF(F94="","",F94*O94)</x:f>
        <x:v>1.2000000000000002</x:v>
      </x:c>
      <x:c r="U94" s="19" t="str">
        <x:f>IF(AND(B94="",C94=""),"",IF(B94="","缺少敌人",IF(C94="","缺少数量",IF(OR(C94&lt;1,C94&gt;9999,C94&lt;&gt;INT(C94)),"数量无效",IF(COUNTIF($E$94:$E$111,E94)&gt;1,"重复敌人",IF(AND(ISNUMBER(D94),OR(D94&lt;0,D94&gt;999,D94&lt;&gt;INT(D94))),"奖励无效","可导入"))))))</x:f>
        <x:v>可导入</x:v>
      </x:c>
    </x:row>
    <x:row r="95" ht="22" customHeight="1">
      <x:c r="A95" s="72" t="n">
        <x:v>2</x:v>
      </x:c>
      <x:c r="B95" s="41" t="str">
        <x:v>yuanshi_insect_fast｜迅捷原石虫</x:v>
      </x:c>
      <x:c r="C95" s="41" t="n">
        <x:v>24</x:v>
      </x:c>
      <x:c r="D95" s="41"/>
      <x:c r="E95" s="19" t="str">
        <x:f>IFERROR(VLOOKUP(B95,'敌人目录'!$A$6:$S$54,2,FALSE),"")</x:f>
        <x:v>yuanshi_insect_fast</x:v>
      </x:c>
      <x:c r="F95" s="19" t="n">
        <x:f>IF(OR(B95="",C95=""),"",ROUNDUP(C95*(1+('全局设置'!$B$5-1)*'全局设置'!$B$6),0))</x:f>
        <x:v>24</x:v>
      </x:c>
      <x:c r="G95" s="19" t="n">
        <x:f>IFERROR(VLOOKUP(B95,'敌人目录'!$A$6:$S$54,7,FALSE),"")</x:f>
        <x:v>35</x:v>
      </x:c>
      <x:c r="H95" s="19" t="n">
        <x:f>IFERROR(VLOOKUP(B95,'敌人目录'!$A$6:$S$54,8,FALSE),"")</x:f>
        <x:v>10</x:v>
      </x:c>
      <x:c r="I95" s="19" t="n">
        <x:f>IFERROR(VLOOKUP(B95,'敌人目录'!$A$6:$S$54,9,FALSE),"")</x:f>
        <x:v>0</x:v>
      </x:c>
      <x:c r="J95" s="19" t="n">
        <x:f>IFERROR(VLOOKUP(B95,'敌人目录'!$A$6:$S$54,10,FALSE),"")</x:f>
        <x:v>0</x:v>
      </x:c>
      <x:c r="K95" s="19" t="n">
        <x:f>IFERROR(VLOOKUP(B95,'敌人目录'!$A$6:$S$54,11,FALSE),"")</x:f>
        <x:v>40</x:v>
      </x:c>
      <x:c r="L95" s="19" t="n">
        <x:f>IFERROR(VLOOKUP(B95,'敌人目录'!$A$6:$S$54,12,FALSE),"")</x:f>
        <x:v>1</x:v>
      </x:c>
      <x:c r="M95" s="19" t="n">
        <x:f>IFERROR(VLOOKUP(B95,'敌人目录'!$A$6:$S$54,13,FALSE),"")</x:f>
        <x:v>1</x:v>
      </x:c>
      <x:c r="N95" s="19" t="n">
        <x:f>IF(B95="","",IF(ISNUMBER(D95),D95,IFERROR(VLOOKUP(B95,'敌人目录'!$A$6:$S$54,14,FALSE),"")))</x:f>
        <x:v>1</x:v>
      </x:c>
      <x:c r="O95" s="64" t="n">
        <x:f>IFERROR(VLOOKUP(B95,'敌人目录'!$A$6:$S$54,15,FALSE),"")</x:f>
        <x:v>0.05</x:v>
      </x:c>
      <x:c r="P95" s="19" t="n">
        <x:f>IF(F95="","",F95*G95)</x:f>
        <x:v>840</x:v>
      </x:c>
      <x:c r="Q95" s="19" t="n">
        <x:f>IF(F95="","",F95*L95)</x:f>
        <x:v>24</x:v>
      </x:c>
      <x:c r="R95" s="19" t="n">
        <x:f>IF(F95="","",F95*N95)</x:f>
        <x:v>24</x:v>
      </x:c>
      <x:c r="S95" s="19" t="n">
        <x:f>IF(R95="","",R95*'全局设置'!$B$5)</x:f>
        <x:v>24</x:v>
      </x:c>
      <x:c r="T95" s="73" t="n">
        <x:f>IF(F95="","",F95*O95)</x:f>
        <x:v>1.2000000000000002</x:v>
      </x:c>
      <x:c r="U95" s="19" t="str">
        <x:f>IF(AND(B95="",C95=""),"",IF(B95="","缺少敌人",IF(C95="","缺少数量",IF(OR(C95&lt;1,C95&gt;9999,C95&lt;&gt;INT(C95)),"数量无效",IF(COUNTIF($E$94:$E$111,E95)&gt;1,"重复敌人",IF(AND(ISNUMBER(D95),OR(D95&lt;0,D95&gt;999,D95&lt;&gt;INT(D95))),"奖励无效","可导入"))))))</x:f>
        <x:v>可导入</x:v>
      </x:c>
    </x:row>
    <x:row r="96" ht="22" customHeight="1">
      <x:c r="A96" s="72" t="n">
        <x:v>3</x:v>
      </x:c>
      <x:c r="B96" s="41" t="str">
        <x:v>yuanshi_insect_shell｜硬壳原石虫</x:v>
      </x:c>
      <x:c r="C96" s="41" t="n">
        <x:v>20</x:v>
      </x:c>
      <x:c r="D96" s="41"/>
      <x:c r="E96" s="19" t="str">
        <x:f>IFERROR(VLOOKUP(B96,'敌人目录'!$A$6:$S$54,2,FALSE),"")</x:f>
        <x:v>yuanshi_insect_shell</x:v>
      </x:c>
      <x:c r="F96" s="19" t="n">
        <x:f>IF(OR(B96="",C96=""),"",ROUNDUP(C96*(1+('全局设置'!$B$5-1)*'全局设置'!$B$6),0))</x:f>
        <x:v>20</x:v>
      </x:c>
      <x:c r="G96" s="19" t="n">
        <x:f>IFERROR(VLOOKUP(B96,'敌人目录'!$A$6:$S$54,7,FALSE),"")</x:f>
        <x:v>140</x:v>
      </x:c>
      <x:c r="H96" s="19" t="n">
        <x:f>IFERROR(VLOOKUP(B96,'敌人目录'!$A$6:$S$54,8,FALSE),"")</x:f>
        <x:v>14</x:v>
      </x:c>
      <x:c r="I96" s="19" t="n">
        <x:f>IFERROR(VLOOKUP(B96,'敌人目录'!$A$6:$S$54,9,FALSE),"")</x:f>
        <x:v>3</x:v>
      </x:c>
      <x:c r="J96" s="19" t="n">
        <x:f>IFERROR(VLOOKUP(B96,'敌人目录'!$A$6:$S$54,10,FALSE),"")</x:f>
        <x:v>0</x:v>
      </x:c>
      <x:c r="K96" s="19" t="n">
        <x:f>IFERROR(VLOOKUP(B96,'敌人目录'!$A$6:$S$54,11,FALSE),"")</x:f>
        <x:v>20</x:v>
      </x:c>
      <x:c r="L96" s="19" t="n">
        <x:f>IFERROR(VLOOKUP(B96,'敌人目录'!$A$6:$S$54,12,FALSE),"")</x:f>
        <x:v>2</x:v>
      </x:c>
      <x:c r="M96" s="19" t="n">
        <x:f>IFERROR(VLOOKUP(B96,'敌人目录'!$A$6:$S$54,13,FALSE),"")</x:f>
        <x:v>2</x:v>
      </x:c>
      <x:c r="N96" s="19" t="n">
        <x:f>IF(B96="","",IF(ISNUMBER(D96),D96,IFERROR(VLOOKUP(B96,'敌人目录'!$A$6:$S$54,14,FALSE),"")))</x:f>
        <x:v>2</x:v>
      </x:c>
      <x:c r="O96" s="64" t="n">
        <x:f>IFERROR(VLOOKUP(B96,'敌人目录'!$A$6:$S$54,15,FALSE),"")</x:f>
        <x:v>0.05</x:v>
      </x:c>
      <x:c r="P96" s="19" t="n">
        <x:f>IF(F96="","",F96*G96)</x:f>
        <x:v>2800</x:v>
      </x:c>
      <x:c r="Q96" s="19" t="n">
        <x:f>IF(F96="","",F96*L96)</x:f>
        <x:v>40</x:v>
      </x:c>
      <x:c r="R96" s="19" t="n">
        <x:f>IF(F96="","",F96*N96)</x:f>
        <x:v>40</x:v>
      </x:c>
      <x:c r="S96" s="19" t="n">
        <x:f>IF(R96="","",R96*'全局设置'!$B$5)</x:f>
        <x:v>40</x:v>
      </x:c>
      <x:c r="T96" s="73" t="n">
        <x:f>IF(F96="","",F96*O96)</x:f>
        <x:v>1</x:v>
      </x:c>
      <x:c r="U96" s="19" t="str">
        <x:f>IF(AND(B96="",C96=""),"",IF(B96="","缺少敌人",IF(C96="","缺少数量",IF(OR(C96&lt;1,C96&gt;9999,C96&lt;&gt;INT(C96)),"数量无效",IF(COUNTIF($E$94:$E$111,E96)&gt;1,"重复敌人",IF(AND(ISNUMBER(D96),OR(D96&lt;0,D96&gt;999,D96&lt;&gt;INT(D96))),"奖励无效","可导入"))))))</x:f>
        <x:v>可导入</x:v>
      </x:c>
    </x:row>
    <x:row r="97" ht="22" customHeight="1">
      <x:c r="A97" s="72" t="n">
        <x:v>4</x:v>
      </x:c>
      <x:c r="B97" s="41" t="str">
        <x:v>yuanshi_insect_bomber｜自爆原石虫</x:v>
      </x:c>
      <x:c r="C97" s="41" t="n">
        <x:v>20</x:v>
      </x:c>
      <x:c r="D97" s="41"/>
      <x:c r="E97" s="19" t="str">
        <x:f>IFERROR(VLOOKUP(B97,'敌人目录'!$A$6:$S$54,2,FALSE),"")</x:f>
        <x:v>yuanshi_insect_bomber</x:v>
      </x:c>
      <x:c r="F97" s="19" t="n">
        <x:f>IF(OR(B97="",C97=""),"",ROUNDUP(C97*(1+('全局设置'!$B$5-1)*'全局设置'!$B$6),0))</x:f>
        <x:v>20</x:v>
      </x:c>
      <x:c r="G97" s="19" t="n">
        <x:f>IFERROR(VLOOKUP(B97,'敌人目录'!$A$6:$S$54,7,FALSE),"")</x:f>
        <x:v>30</x:v>
      </x:c>
      <x:c r="H97" s="19" t="n">
        <x:f>IFERROR(VLOOKUP(B97,'敌人目录'!$A$6:$S$54,8,FALSE),"")</x:f>
        <x:v>10</x:v>
      </x:c>
      <x:c r="I97" s="19" t="n">
        <x:f>IFERROR(VLOOKUP(B97,'敌人目录'!$A$6:$S$54,9,FALSE),"")</x:f>
        <x:v>0</x:v>
      </x:c>
      <x:c r="J97" s="19" t="n">
        <x:f>IFERROR(VLOOKUP(B97,'敌人目录'!$A$6:$S$54,10,FALSE),"")</x:f>
        <x:v>0</x:v>
      </x:c>
      <x:c r="K97" s="19" t="n">
        <x:f>IFERROR(VLOOKUP(B97,'敌人目录'!$A$6:$S$54,11,FALSE),"")</x:f>
        <x:v>18</x:v>
      </x:c>
      <x:c r="L97" s="19" t="n">
        <x:f>IFERROR(VLOOKUP(B97,'敌人目录'!$A$6:$S$54,12,FALSE),"")</x:f>
        <x:v>1</x:v>
      </x:c>
      <x:c r="M97" s="19" t="n">
        <x:f>IFERROR(VLOOKUP(B97,'敌人目录'!$A$6:$S$54,13,FALSE),"")</x:f>
        <x:v>1</x:v>
      </x:c>
      <x:c r="N97" s="19" t="n">
        <x:f>IF(B97="","",IF(ISNUMBER(D97),D97,IFERROR(VLOOKUP(B97,'敌人目录'!$A$6:$S$54,14,FALSE),"")))</x:f>
        <x:v>1</x:v>
      </x:c>
      <x:c r="O97" s="64" t="n">
        <x:f>IFERROR(VLOOKUP(B97,'敌人目录'!$A$6:$S$54,15,FALSE),"")</x:f>
        <x:v>0.05</x:v>
      </x:c>
      <x:c r="P97" s="19" t="n">
        <x:f>IF(F97="","",F97*G97)</x:f>
        <x:v>600</x:v>
      </x:c>
      <x:c r="Q97" s="19" t="n">
        <x:f>IF(F97="","",F97*L97)</x:f>
        <x:v>20</x:v>
      </x:c>
      <x:c r="R97" s="19" t="n">
        <x:f>IF(F97="","",F97*N97)</x:f>
        <x:v>20</x:v>
      </x:c>
      <x:c r="S97" s="19" t="n">
        <x:f>IF(R97="","",R97*'全局设置'!$B$5)</x:f>
        <x:v>20</x:v>
      </x:c>
      <x:c r="T97" s="73" t="n">
        <x:f>IF(F97="","",F97*O97)</x:f>
        <x:v>1</x:v>
      </x:c>
      <x:c r="U97" s="19" t="str">
        <x:f>IF(AND(B97="",C97=""),"",IF(B97="","缺少敌人",IF(C97="","缺少数量",IF(OR(C97&lt;1,C97&gt;9999,C97&lt;&gt;INT(C97)),"数量无效",IF(COUNTIF($E$94:$E$111,E97)&gt;1,"重复敌人",IF(AND(ISNUMBER(D97),OR(D97&lt;0,D97&gt;999,D97&lt;&gt;INT(D97))),"奖励无效","可导入"))))))</x:f>
        <x:v>可导入</x:v>
      </x:c>
    </x:row>
    <x:row r="98" ht="22" customHeight="1">
      <x:c r="A98" s="72" t="n">
        <x:v>5</x:v>
      </x:c>
      <x:c r="B98" s="41" t="str">
        <x:v>yuanshi_insect_purple_bomber｜紫晶自爆原石虫</x:v>
      </x:c>
      <x:c r="C98" s="41" t="n">
        <x:v>12</x:v>
      </x:c>
      <x:c r="D98" s="41"/>
      <x:c r="E98" s="19" t="str">
        <x:f>IFERROR(VLOOKUP(B98,'敌人目录'!$A$6:$S$54,2,FALSE),"")</x:f>
        <x:v>yuanshi_insect_purple_bomber</x:v>
      </x:c>
      <x:c r="F98" s="19" t="n">
        <x:f>IF(OR(B98="",C98=""),"",ROUNDUP(C98*(1+('全局设置'!$B$5-1)*'全局设置'!$B$6),0))</x:f>
        <x:v>12</x:v>
      </x:c>
      <x:c r="G98" s="19" t="n">
        <x:f>IFERROR(VLOOKUP(B98,'敌人目录'!$A$6:$S$54,7,FALSE),"")</x:f>
        <x:v>40</x:v>
      </x:c>
      <x:c r="H98" s="19" t="n">
        <x:f>IFERROR(VLOOKUP(B98,'敌人目录'!$A$6:$S$54,8,FALSE),"")</x:f>
        <x:v>10</x:v>
      </x:c>
      <x:c r="I98" s="19" t="n">
        <x:f>IFERROR(VLOOKUP(B98,'敌人目录'!$A$6:$S$54,9,FALSE),"")</x:f>
        <x:v>0</x:v>
      </x:c>
      <x:c r="J98" s="19" t="n">
        <x:f>IFERROR(VLOOKUP(B98,'敌人目录'!$A$6:$S$54,10,FALSE),"")</x:f>
        <x:v>0</x:v>
      </x:c>
      <x:c r="K98" s="19" t="n">
        <x:f>IFERROR(VLOOKUP(B98,'敌人目录'!$A$6:$S$54,11,FALSE),"")</x:f>
        <x:v>32</x:v>
      </x:c>
      <x:c r="L98" s="19" t="n">
        <x:f>IFERROR(VLOOKUP(B98,'敌人目录'!$A$6:$S$54,12,FALSE),"")</x:f>
        <x:v>1</x:v>
      </x:c>
      <x:c r="M98" s="19" t="n">
        <x:f>IFERROR(VLOOKUP(B98,'敌人目录'!$A$6:$S$54,13,FALSE),"")</x:f>
        <x:v>2</x:v>
      </x:c>
      <x:c r="N98" s="19" t="n">
        <x:f>IF(B98="","",IF(ISNUMBER(D98),D98,IFERROR(VLOOKUP(B98,'敌人目录'!$A$6:$S$54,14,FALSE),"")))</x:f>
        <x:v>2</x:v>
      </x:c>
      <x:c r="O98" s="64" t="n">
        <x:f>IFERROR(VLOOKUP(B98,'敌人目录'!$A$6:$S$54,15,FALSE),"")</x:f>
        <x:v>0.05</x:v>
      </x:c>
      <x:c r="P98" s="19" t="n">
        <x:f>IF(F98="","",F98*G98)</x:f>
        <x:v>480</x:v>
      </x:c>
      <x:c r="Q98" s="19" t="n">
        <x:f>IF(F98="","",F98*L98)</x:f>
        <x:v>12</x:v>
      </x:c>
      <x:c r="R98" s="19" t="n">
        <x:f>IF(F98="","",F98*N98)</x:f>
        <x:v>24</x:v>
      </x:c>
      <x:c r="S98" s="19" t="n">
        <x:f>IF(R98="","",R98*'全局设置'!$B$5)</x:f>
        <x:v>24</x:v>
      </x:c>
      <x:c r="T98" s="73" t="n">
        <x:f>IF(F98="","",F98*O98)</x:f>
        <x:v>0.6000000000000001</x:v>
      </x:c>
      <x:c r="U98" s="19" t="str">
        <x:f>IF(AND(B98="",C98=""),"",IF(B98="","缺少敌人",IF(C98="","缺少数量",IF(OR(C98&lt;1,C98&gt;9999,C98&lt;&gt;INT(C98)),"数量无效",IF(COUNTIF($E$94:$E$111,E98)&gt;1,"重复敌人",IF(AND(ISNUMBER(D98),OR(D98&lt;0,D98&gt;999,D98&lt;&gt;INT(D98))),"奖励无效","可导入"))))))</x:f>
        <x:v>可导入</x:v>
      </x:c>
    </x:row>
    <x:row r="99" ht="22" customHeight="1">
      <x:c r="A99" s="72" t="n">
        <x:v>6</x:v>
      </x:c>
      <x:c r="B99" s="41" t="str">
        <x:v>yuanshi_insect_fire_ranged｜火焰弹原石虫</x:v>
      </x:c>
      <x:c r="C99" s="41" t="n">
        <x:v>16</x:v>
      </x:c>
      <x:c r="D99" s="41"/>
      <x:c r="E99" s="19" t="str">
        <x:f>IFERROR(VLOOKUP(B99,'敌人目录'!$A$6:$S$54,2,FALSE),"")</x:f>
        <x:v>yuanshi_insect_fire_ranged</x:v>
      </x:c>
      <x:c r="F99" s="19" t="n">
        <x:f>IF(OR(B99="",C99=""),"",ROUNDUP(C99*(1+('全局设置'!$B$5-1)*'全局设置'!$B$6),0))</x:f>
        <x:v>16</x:v>
      </x:c>
      <x:c r="G99" s="19" t="n">
        <x:f>IFERROR(VLOOKUP(B99,'敌人目录'!$A$6:$S$54,7,FALSE),"")</x:f>
        <x:v>40</x:v>
      </x:c>
      <x:c r="H99" s="19" t="n">
        <x:f>IFERROR(VLOOKUP(B99,'敌人目录'!$A$6:$S$54,8,FALSE),"")</x:f>
        <x:v>25</x:v>
      </x:c>
      <x:c r="I99" s="19" t="n">
        <x:f>IFERROR(VLOOKUP(B99,'敌人目录'!$A$6:$S$54,9,FALSE),"")</x:f>
        <x:v>0</x:v>
      </x:c>
      <x:c r="J99" s="19" t="n">
        <x:f>IFERROR(VLOOKUP(B99,'敌人目录'!$A$6:$S$54,10,FALSE),"")</x:f>
        <x:v>0</x:v>
      </x:c>
      <x:c r="K99" s="19" t="n">
        <x:f>IFERROR(VLOOKUP(B99,'敌人目录'!$A$6:$S$54,11,FALSE),"")</x:f>
        <x:v>22</x:v>
      </x:c>
      <x:c r="L99" s="19" t="n">
        <x:f>IFERROR(VLOOKUP(B99,'敌人目录'!$A$6:$S$54,12,FALSE),"")</x:f>
        <x:v>2</x:v>
      </x:c>
      <x:c r="M99" s="19" t="n">
        <x:f>IFERROR(VLOOKUP(B99,'敌人目录'!$A$6:$S$54,13,FALSE),"")</x:f>
        <x:v>1</x:v>
      </x:c>
      <x:c r="N99" s="19" t="n">
        <x:f>IF(B99="","",IF(ISNUMBER(D99),D99,IFERROR(VLOOKUP(B99,'敌人目录'!$A$6:$S$54,14,FALSE),"")))</x:f>
        <x:v>1</x:v>
      </x:c>
      <x:c r="O99" s="64" t="n">
        <x:f>IFERROR(VLOOKUP(B99,'敌人目录'!$A$6:$S$54,15,FALSE),"")</x:f>
        <x:v>0.05</x:v>
      </x:c>
      <x:c r="P99" s="19" t="n">
        <x:f>IF(F99="","",F99*G99)</x:f>
        <x:v>640</x:v>
      </x:c>
      <x:c r="Q99" s="19" t="n">
        <x:f>IF(F99="","",F99*L99)</x:f>
        <x:v>32</x:v>
      </x:c>
      <x:c r="R99" s="19" t="n">
        <x:f>IF(F99="","",F99*N99)</x:f>
        <x:v>16</x:v>
      </x:c>
      <x:c r="S99" s="19" t="n">
        <x:f>IF(R99="","",R99*'全局设置'!$B$5)</x:f>
        <x:v>16</x:v>
      </x:c>
      <x:c r="T99" s="73" t="n">
        <x:f>IF(F99="","",F99*O99)</x:f>
        <x:v>0.8</x:v>
      </x:c>
      <x:c r="U99" s="19" t="str">
        <x:f>IF(AND(B99="",C99=""),"",IF(B99="","缺少敌人",IF(C99="","缺少数量",IF(OR(C99&lt;1,C99&gt;9999,C99&lt;&gt;INT(C99)),"数量无效",IF(COUNTIF($E$94:$E$111,E99)&gt;1,"重复敌人",IF(AND(ISNUMBER(D99),OR(D99&lt;0,D99&gt;999,D99&lt;&gt;INT(D99))),"奖励无效","可导入"))))))</x:f>
        <x:v>可导入</x:v>
      </x:c>
    </x:row>
    <x:row r="100" ht="22" customHeight="1">
      <x:c r="A100" s="72" t="n">
        <x:v>7</x:v>
      </x:c>
      <x:c r="B100" s="41" t="str">
        <x:v>yuanshi_insect_guardian｜守护者原石虫</x:v>
      </x:c>
      <x:c r="C100" s="41" t="n">
        <x:v>12</x:v>
      </x:c>
      <x:c r="D100" s="41"/>
      <x:c r="E100" s="19" t="str">
        <x:f>IFERROR(VLOOKUP(B100,'敌人目录'!$A$6:$S$54,2,FALSE),"")</x:f>
        <x:v>yuanshi_insect_guardian</x:v>
      </x:c>
      <x:c r="F100" s="19" t="n">
        <x:f>IF(OR(B100="",C100=""),"",ROUNDUP(C100*(1+('全局设置'!$B$5-1)*'全局设置'!$B$6),0))</x:f>
        <x:v>12</x:v>
      </x:c>
      <x:c r="G100" s="19" t="n">
        <x:f>IFERROR(VLOOKUP(B100,'敌人目录'!$A$6:$S$54,7,FALSE),"")</x:f>
        <x:v>150</x:v>
      </x:c>
      <x:c r="H100" s="19" t="n">
        <x:f>IFERROR(VLOOKUP(B100,'敌人目录'!$A$6:$S$54,8,FALSE),"")</x:f>
        <x:v>10</x:v>
      </x:c>
      <x:c r="I100" s="19" t="n">
        <x:f>IFERROR(VLOOKUP(B100,'敌人目录'!$A$6:$S$54,9,FALSE),"")</x:f>
        <x:v>5</x:v>
      </x:c>
      <x:c r="J100" s="19" t="n">
        <x:f>IFERROR(VLOOKUP(B100,'敌人目录'!$A$6:$S$54,10,FALSE),"")</x:f>
        <x:v>0</x:v>
      </x:c>
      <x:c r="K100" s="19" t="n">
        <x:f>IFERROR(VLOOKUP(B100,'敌人目录'!$A$6:$S$54,11,FALSE),"")</x:f>
        <x:v>20</x:v>
      </x:c>
      <x:c r="L100" s="19" t="n">
        <x:f>IFERROR(VLOOKUP(B100,'敌人目录'!$A$6:$S$54,12,FALSE),"")</x:f>
        <x:v>5</x:v>
      </x:c>
      <x:c r="M100" s="19" t="n">
        <x:f>IFERROR(VLOOKUP(B100,'敌人目录'!$A$6:$S$54,13,FALSE),"")</x:f>
        <x:v>2</x:v>
      </x:c>
      <x:c r="N100" s="19" t="n">
        <x:f>IF(B100="","",IF(ISNUMBER(D100),D100,IFERROR(VLOOKUP(B100,'敌人目录'!$A$6:$S$54,14,FALSE),"")))</x:f>
        <x:v>2</x:v>
      </x:c>
      <x:c r="O100" s="64" t="n">
        <x:f>IFERROR(VLOOKUP(B100,'敌人目录'!$A$6:$S$54,15,FALSE),"")</x:f>
        <x:v>0.05</x:v>
      </x:c>
      <x:c r="P100" s="19" t="n">
        <x:f>IF(F100="","",F100*G100)</x:f>
        <x:v>1800</x:v>
      </x:c>
      <x:c r="Q100" s="19" t="n">
        <x:f>IF(F100="","",F100*L100)</x:f>
        <x:v>60</x:v>
      </x:c>
      <x:c r="R100" s="19" t="n">
        <x:f>IF(F100="","",F100*N100)</x:f>
        <x:v>24</x:v>
      </x:c>
      <x:c r="S100" s="19" t="n">
        <x:f>IF(R100="","",R100*'全局设置'!$B$5)</x:f>
        <x:v>24</x:v>
      </x:c>
      <x:c r="T100" s="73" t="n">
        <x:f>IF(F100="","",F100*O100)</x:f>
        <x:v>0.6000000000000001</x:v>
      </x:c>
      <x:c r="U100" s="19" t="str">
        <x:f>IF(AND(B100="",C100=""),"",IF(B100="","缺少敌人",IF(C100="","缺少数量",IF(OR(C100&lt;1,C100&gt;9999,C100&lt;&gt;INT(C100)),"数量无效",IF(COUNTIF($E$94:$E$111,E100)&gt;1,"重复敌人",IF(AND(ISNUMBER(D100),OR(D100&lt;0,D100&gt;999,D100&lt;&gt;INT(D100))),"奖励无效","可导入"))))))</x:f>
        <x:v>可导入</x:v>
      </x:c>
    </x:row>
    <x:row r="101" ht="22" customHeight="1">
      <x:c r="A101" s="72" t="n">
        <x:v>8</x:v>
      </x:c>
      <x:c r="B101" s="41"/>
      <x:c r="C101" s="41"/>
      <x:c r="D101" s="41"/>
      <x:c r="E101" s="19" t="str">
        <x:f>IFERROR(VLOOKUP(B101,'敌人目录'!$A$6:$S$54,2,FALSE),"")</x:f>
      </x:c>
      <x:c r="F101" s="19" t="str">
        <x:f>IF(OR(B101="",C101=""),"",ROUNDUP(C101*(1+('全局设置'!$B$5-1)*'全局设置'!$B$6),0))</x:f>
      </x:c>
      <x:c r="G101" s="19" t="str">
        <x:f>IFERROR(VLOOKUP(B101,'敌人目录'!$A$6:$S$54,7,FALSE),"")</x:f>
      </x:c>
      <x:c r="H101" s="19" t="str">
        <x:f>IFERROR(VLOOKUP(B101,'敌人目录'!$A$6:$S$54,8,FALSE),"")</x:f>
      </x:c>
      <x:c r="I101" s="19" t="str">
        <x:f>IFERROR(VLOOKUP(B101,'敌人目录'!$A$6:$S$54,9,FALSE),"")</x:f>
      </x:c>
      <x:c r="J101" s="19" t="str">
        <x:f>IFERROR(VLOOKUP(B101,'敌人目录'!$A$6:$S$54,10,FALSE),"")</x:f>
      </x:c>
      <x:c r="K101" s="19" t="str">
        <x:f>IFERROR(VLOOKUP(B101,'敌人目录'!$A$6:$S$54,11,FALSE),"")</x:f>
      </x:c>
      <x:c r="L101" s="19" t="str">
        <x:f>IFERROR(VLOOKUP(B101,'敌人目录'!$A$6:$S$54,12,FALSE),"")</x:f>
      </x:c>
      <x:c r="M101" s="19" t="str">
        <x:f>IFERROR(VLOOKUP(B101,'敌人目录'!$A$6:$S$54,13,FALSE),"")</x:f>
      </x:c>
      <x:c r="N101" s="19" t="str">
        <x:f>IF(B101="","",IF(ISNUMBER(D101),D101,IFERROR(VLOOKUP(B101,'敌人目录'!$A$6:$S$54,14,FALSE),"")))</x:f>
      </x:c>
      <x:c r="O101" s="64" t="str">
        <x:f>IFERROR(VLOOKUP(B101,'敌人目录'!$A$6:$S$54,15,FALSE),"")</x:f>
      </x:c>
      <x:c r="P101" s="19" t="str">
        <x:f>IF(F101="","",F101*G101)</x:f>
      </x:c>
      <x:c r="Q101" s="19" t="str">
        <x:f>IF(F101="","",F101*L101)</x:f>
      </x:c>
      <x:c r="R101" s="19" t="str">
        <x:f>IF(F101="","",F101*N101)</x:f>
      </x:c>
      <x:c r="S101" s="19" t="str">
        <x:f>IF(R101="","",R101*'全局设置'!$B$5)</x:f>
      </x:c>
      <x:c r="T101" s="73" t="str">
        <x:f>IF(F101="","",F101*O101)</x:f>
      </x:c>
      <x:c r="U101" s="19" t="str">
        <x:f>IF(AND(B101="",C101=""),"",IF(B101="","缺少敌人",IF(C101="","缺少数量",IF(OR(C101&lt;1,C101&gt;9999,C101&lt;&gt;INT(C101)),"数量无效",IF(COUNTIF($E$94:$E$111,E101)&gt;1,"重复敌人",IF(AND(ISNUMBER(D101),OR(D101&lt;0,D101&gt;999,D101&lt;&gt;INT(D101))),"奖励无效","可导入"))))))</x:f>
      </x:c>
    </x:row>
    <x:row r="102" ht="22" customHeight="1">
      <x:c r="A102" s="72" t="n">
        <x:v>9</x:v>
      </x:c>
      <x:c r="B102" s="41"/>
      <x:c r="C102" s="41"/>
      <x:c r="D102" s="41"/>
      <x:c r="E102" s="19" t="str">
        <x:f>IFERROR(VLOOKUP(B102,'敌人目录'!$A$6:$S$54,2,FALSE),"")</x:f>
      </x:c>
      <x:c r="F102" s="19" t="str">
        <x:f>IF(OR(B102="",C102=""),"",ROUNDUP(C102*(1+('全局设置'!$B$5-1)*'全局设置'!$B$6),0))</x:f>
      </x:c>
      <x:c r="G102" s="19" t="str">
        <x:f>IFERROR(VLOOKUP(B102,'敌人目录'!$A$6:$S$54,7,FALSE),"")</x:f>
      </x:c>
      <x:c r="H102" s="19" t="str">
        <x:f>IFERROR(VLOOKUP(B102,'敌人目录'!$A$6:$S$54,8,FALSE),"")</x:f>
      </x:c>
      <x:c r="I102" s="19" t="str">
        <x:f>IFERROR(VLOOKUP(B102,'敌人目录'!$A$6:$S$54,9,FALSE),"")</x:f>
      </x:c>
      <x:c r="J102" s="19" t="str">
        <x:f>IFERROR(VLOOKUP(B102,'敌人目录'!$A$6:$S$54,10,FALSE),"")</x:f>
      </x:c>
      <x:c r="K102" s="19" t="str">
        <x:f>IFERROR(VLOOKUP(B102,'敌人目录'!$A$6:$S$54,11,FALSE),"")</x:f>
      </x:c>
      <x:c r="L102" s="19" t="str">
        <x:f>IFERROR(VLOOKUP(B102,'敌人目录'!$A$6:$S$54,12,FALSE),"")</x:f>
      </x:c>
      <x:c r="M102" s="19" t="str">
        <x:f>IFERROR(VLOOKUP(B102,'敌人目录'!$A$6:$S$54,13,FALSE),"")</x:f>
      </x:c>
      <x:c r="N102" s="19" t="str">
        <x:f>IF(B102="","",IF(ISNUMBER(D102),D102,IFERROR(VLOOKUP(B102,'敌人目录'!$A$6:$S$54,14,FALSE),"")))</x:f>
      </x:c>
      <x:c r="O102" s="64" t="str">
        <x:f>IFERROR(VLOOKUP(B102,'敌人目录'!$A$6:$S$54,15,FALSE),"")</x:f>
      </x:c>
      <x:c r="P102" s="19" t="str">
        <x:f>IF(F102="","",F102*G102)</x:f>
      </x:c>
      <x:c r="Q102" s="19" t="str">
        <x:f>IF(F102="","",F102*L102)</x:f>
      </x:c>
      <x:c r="R102" s="19" t="str">
        <x:f>IF(F102="","",F102*N102)</x:f>
      </x:c>
      <x:c r="S102" s="19" t="str">
        <x:f>IF(R102="","",R102*'全局设置'!$B$5)</x:f>
      </x:c>
      <x:c r="T102" s="73" t="str">
        <x:f>IF(F102="","",F102*O102)</x:f>
      </x:c>
      <x:c r="U102" s="19" t="str">
        <x:f>IF(AND(B102="",C102=""),"",IF(B102="","缺少敌人",IF(C102="","缺少数量",IF(OR(C102&lt;1,C102&gt;9999,C102&lt;&gt;INT(C102)),"数量无效",IF(COUNTIF($E$94:$E$111,E102)&gt;1,"重复敌人",IF(AND(ISNUMBER(D102),OR(D102&lt;0,D102&gt;999,D102&lt;&gt;INT(D102))),"奖励无效","可导入"))))))</x:f>
      </x:c>
    </x:row>
    <x:row r="103" ht="22" customHeight="1">
      <x:c r="A103" s="72" t="n">
        <x:v>10</x:v>
      </x:c>
      <x:c r="B103" s="41"/>
      <x:c r="C103" s="41"/>
      <x:c r="D103" s="41"/>
      <x:c r="E103" s="19" t="str">
        <x:f>IFERROR(VLOOKUP(B103,'敌人目录'!$A$6:$S$54,2,FALSE),"")</x:f>
      </x:c>
      <x:c r="F103" s="19" t="str">
        <x:f>IF(OR(B103="",C103=""),"",ROUNDUP(C103*(1+('全局设置'!$B$5-1)*'全局设置'!$B$6),0))</x:f>
      </x:c>
      <x:c r="G103" s="19" t="str">
        <x:f>IFERROR(VLOOKUP(B103,'敌人目录'!$A$6:$S$54,7,FALSE),"")</x:f>
      </x:c>
      <x:c r="H103" s="19" t="str">
        <x:f>IFERROR(VLOOKUP(B103,'敌人目录'!$A$6:$S$54,8,FALSE),"")</x:f>
      </x:c>
      <x:c r="I103" s="19" t="str">
        <x:f>IFERROR(VLOOKUP(B103,'敌人目录'!$A$6:$S$54,9,FALSE),"")</x:f>
      </x:c>
      <x:c r="J103" s="19" t="str">
        <x:f>IFERROR(VLOOKUP(B103,'敌人目录'!$A$6:$S$54,10,FALSE),"")</x:f>
      </x:c>
      <x:c r="K103" s="19" t="str">
        <x:f>IFERROR(VLOOKUP(B103,'敌人目录'!$A$6:$S$54,11,FALSE),"")</x:f>
      </x:c>
      <x:c r="L103" s="19" t="str">
        <x:f>IFERROR(VLOOKUP(B103,'敌人目录'!$A$6:$S$54,12,FALSE),"")</x:f>
      </x:c>
      <x:c r="M103" s="19" t="str">
        <x:f>IFERROR(VLOOKUP(B103,'敌人目录'!$A$6:$S$54,13,FALSE),"")</x:f>
      </x:c>
      <x:c r="N103" s="19" t="str">
        <x:f>IF(B103="","",IF(ISNUMBER(D103),D103,IFERROR(VLOOKUP(B103,'敌人目录'!$A$6:$S$54,14,FALSE),"")))</x:f>
      </x:c>
      <x:c r="O103" s="64" t="str">
        <x:f>IFERROR(VLOOKUP(B103,'敌人目录'!$A$6:$S$54,15,FALSE),"")</x:f>
      </x:c>
      <x:c r="P103" s="19" t="str">
        <x:f>IF(F103="","",F103*G103)</x:f>
      </x:c>
      <x:c r="Q103" s="19" t="str">
        <x:f>IF(F103="","",F103*L103)</x:f>
      </x:c>
      <x:c r="R103" s="19" t="str">
        <x:f>IF(F103="","",F103*N103)</x:f>
      </x:c>
      <x:c r="S103" s="19" t="str">
        <x:f>IF(R103="","",R103*'全局设置'!$B$5)</x:f>
      </x:c>
      <x:c r="T103" s="73" t="str">
        <x:f>IF(F103="","",F103*O103)</x:f>
      </x:c>
      <x:c r="U103" s="19" t="str">
        <x:f>IF(AND(B103="",C103=""),"",IF(B103="","缺少敌人",IF(C103="","缺少数量",IF(OR(C103&lt;1,C103&gt;9999,C103&lt;&gt;INT(C103)),"数量无效",IF(COUNTIF($E$94:$E$111,E103)&gt;1,"重复敌人",IF(AND(ISNUMBER(D103),OR(D103&lt;0,D103&gt;999,D103&lt;&gt;INT(D103))),"奖励无效","可导入"))))))</x:f>
      </x:c>
    </x:row>
    <x:row r="104" ht="22" customHeight="1">
      <x:c r="A104" s="72" t="n">
        <x:v>11</x:v>
      </x:c>
      <x:c r="B104" s="41"/>
      <x:c r="C104" s="41"/>
      <x:c r="D104" s="41"/>
      <x:c r="E104" s="19" t="str">
        <x:f>IFERROR(VLOOKUP(B104,'敌人目录'!$A$6:$S$54,2,FALSE),"")</x:f>
      </x:c>
      <x:c r="F104" s="19" t="str">
        <x:f>IF(OR(B104="",C104=""),"",ROUNDUP(C104*(1+('全局设置'!$B$5-1)*'全局设置'!$B$6),0))</x:f>
      </x:c>
      <x:c r="G104" s="19" t="str">
        <x:f>IFERROR(VLOOKUP(B104,'敌人目录'!$A$6:$S$54,7,FALSE),"")</x:f>
      </x:c>
      <x:c r="H104" s="19" t="str">
        <x:f>IFERROR(VLOOKUP(B104,'敌人目录'!$A$6:$S$54,8,FALSE),"")</x:f>
      </x:c>
      <x:c r="I104" s="19" t="str">
        <x:f>IFERROR(VLOOKUP(B104,'敌人目录'!$A$6:$S$54,9,FALSE),"")</x:f>
      </x:c>
      <x:c r="J104" s="19" t="str">
        <x:f>IFERROR(VLOOKUP(B104,'敌人目录'!$A$6:$S$54,10,FALSE),"")</x:f>
      </x:c>
      <x:c r="K104" s="19" t="str">
        <x:f>IFERROR(VLOOKUP(B104,'敌人目录'!$A$6:$S$54,11,FALSE),"")</x:f>
      </x:c>
      <x:c r="L104" s="19" t="str">
        <x:f>IFERROR(VLOOKUP(B104,'敌人目录'!$A$6:$S$54,12,FALSE),"")</x:f>
      </x:c>
      <x:c r="M104" s="19" t="str">
        <x:f>IFERROR(VLOOKUP(B104,'敌人目录'!$A$6:$S$54,13,FALSE),"")</x:f>
      </x:c>
      <x:c r="N104" s="19" t="str">
        <x:f>IF(B104="","",IF(ISNUMBER(D104),D104,IFERROR(VLOOKUP(B104,'敌人目录'!$A$6:$S$54,14,FALSE),"")))</x:f>
      </x:c>
      <x:c r="O104" s="64" t="str">
        <x:f>IFERROR(VLOOKUP(B104,'敌人目录'!$A$6:$S$54,15,FALSE),"")</x:f>
      </x:c>
      <x:c r="P104" s="19" t="str">
        <x:f>IF(F104="","",F104*G104)</x:f>
      </x:c>
      <x:c r="Q104" s="19" t="str">
        <x:f>IF(F104="","",F104*L104)</x:f>
      </x:c>
      <x:c r="R104" s="19" t="str">
        <x:f>IF(F104="","",F104*N104)</x:f>
      </x:c>
      <x:c r="S104" s="19" t="str">
        <x:f>IF(R104="","",R104*'全局设置'!$B$5)</x:f>
      </x:c>
      <x:c r="T104" s="73" t="str">
        <x:f>IF(F104="","",F104*O104)</x:f>
      </x:c>
      <x:c r="U104" s="19" t="str">
        <x:f>IF(AND(B104="",C104=""),"",IF(B104="","缺少敌人",IF(C104="","缺少数量",IF(OR(C104&lt;1,C104&gt;9999,C104&lt;&gt;INT(C104)),"数量无效",IF(COUNTIF($E$94:$E$111,E104)&gt;1,"重复敌人",IF(AND(ISNUMBER(D104),OR(D104&lt;0,D104&gt;999,D104&lt;&gt;INT(D104))),"奖励无效","可导入"))))))</x:f>
      </x:c>
    </x:row>
    <x:row r="105" ht="22" customHeight="1">
      <x:c r="A105" s="72" t="n">
        <x:v>12</x:v>
      </x:c>
      <x:c r="B105" s="41"/>
      <x:c r="C105" s="41"/>
      <x:c r="D105" s="41"/>
      <x:c r="E105" s="19" t="str">
        <x:f>IFERROR(VLOOKUP(B105,'敌人目录'!$A$6:$S$54,2,FALSE),"")</x:f>
      </x:c>
      <x:c r="F105" s="19" t="str">
        <x:f>IF(OR(B105="",C105=""),"",ROUNDUP(C105*(1+('全局设置'!$B$5-1)*'全局设置'!$B$6),0))</x:f>
      </x:c>
      <x:c r="G105" s="19" t="str">
        <x:f>IFERROR(VLOOKUP(B105,'敌人目录'!$A$6:$S$54,7,FALSE),"")</x:f>
      </x:c>
      <x:c r="H105" s="19" t="str">
        <x:f>IFERROR(VLOOKUP(B105,'敌人目录'!$A$6:$S$54,8,FALSE),"")</x:f>
      </x:c>
      <x:c r="I105" s="19" t="str">
        <x:f>IFERROR(VLOOKUP(B105,'敌人目录'!$A$6:$S$54,9,FALSE),"")</x:f>
      </x:c>
      <x:c r="J105" s="19" t="str">
        <x:f>IFERROR(VLOOKUP(B105,'敌人目录'!$A$6:$S$54,10,FALSE),"")</x:f>
      </x:c>
      <x:c r="K105" s="19" t="str">
        <x:f>IFERROR(VLOOKUP(B105,'敌人目录'!$A$6:$S$54,11,FALSE),"")</x:f>
      </x:c>
      <x:c r="L105" s="19" t="str">
        <x:f>IFERROR(VLOOKUP(B105,'敌人目录'!$A$6:$S$54,12,FALSE),"")</x:f>
      </x:c>
      <x:c r="M105" s="19" t="str">
        <x:f>IFERROR(VLOOKUP(B105,'敌人目录'!$A$6:$S$54,13,FALSE),"")</x:f>
      </x:c>
      <x:c r="N105" s="19" t="str">
        <x:f>IF(B105="","",IF(ISNUMBER(D105),D105,IFERROR(VLOOKUP(B105,'敌人目录'!$A$6:$S$54,14,FALSE),"")))</x:f>
      </x:c>
      <x:c r="O105" s="64" t="str">
        <x:f>IFERROR(VLOOKUP(B105,'敌人目录'!$A$6:$S$54,15,FALSE),"")</x:f>
      </x:c>
      <x:c r="P105" s="19" t="str">
        <x:f>IF(F105="","",F105*G105)</x:f>
      </x:c>
      <x:c r="Q105" s="19" t="str">
        <x:f>IF(F105="","",F105*L105)</x:f>
      </x:c>
      <x:c r="R105" s="19" t="str">
        <x:f>IF(F105="","",F105*N105)</x:f>
      </x:c>
      <x:c r="S105" s="19" t="str">
        <x:f>IF(R105="","",R105*'全局设置'!$B$5)</x:f>
      </x:c>
      <x:c r="T105" s="73" t="str">
        <x:f>IF(F105="","",F105*O105)</x:f>
      </x:c>
      <x:c r="U105" s="19" t="str">
        <x:f>IF(AND(B105="",C105=""),"",IF(B105="","缺少敌人",IF(C105="","缺少数量",IF(OR(C105&lt;1,C105&gt;9999,C105&lt;&gt;INT(C105)),"数量无效",IF(COUNTIF($E$94:$E$111,E105)&gt;1,"重复敌人",IF(AND(ISNUMBER(D105),OR(D105&lt;0,D105&gt;999,D105&lt;&gt;INT(D105))),"奖励无效","可导入"))))))</x:f>
      </x:c>
    </x:row>
    <x:row r="106" ht="22" customHeight="1">
      <x:c r="A106" s="72" t="n">
        <x:v>13</x:v>
      </x:c>
      <x:c r="B106" s="41"/>
      <x:c r="C106" s="41"/>
      <x:c r="D106" s="41"/>
      <x:c r="E106" s="19" t="str">
        <x:f>IFERROR(VLOOKUP(B106,'敌人目录'!$A$6:$S$54,2,FALSE),"")</x:f>
      </x:c>
      <x:c r="F106" s="19" t="str">
        <x:f>IF(OR(B106="",C106=""),"",ROUNDUP(C106*(1+('全局设置'!$B$5-1)*'全局设置'!$B$6),0))</x:f>
      </x:c>
      <x:c r="G106" s="19" t="str">
        <x:f>IFERROR(VLOOKUP(B106,'敌人目录'!$A$6:$S$54,7,FALSE),"")</x:f>
      </x:c>
      <x:c r="H106" s="19" t="str">
        <x:f>IFERROR(VLOOKUP(B106,'敌人目录'!$A$6:$S$54,8,FALSE),"")</x:f>
      </x:c>
      <x:c r="I106" s="19" t="str">
        <x:f>IFERROR(VLOOKUP(B106,'敌人目录'!$A$6:$S$54,9,FALSE),"")</x:f>
      </x:c>
      <x:c r="J106" s="19" t="str">
        <x:f>IFERROR(VLOOKUP(B106,'敌人目录'!$A$6:$S$54,10,FALSE),"")</x:f>
      </x:c>
      <x:c r="K106" s="19" t="str">
        <x:f>IFERROR(VLOOKUP(B106,'敌人目录'!$A$6:$S$54,11,FALSE),"")</x:f>
      </x:c>
      <x:c r="L106" s="19" t="str">
        <x:f>IFERROR(VLOOKUP(B106,'敌人目录'!$A$6:$S$54,12,FALSE),"")</x:f>
      </x:c>
      <x:c r="M106" s="19" t="str">
        <x:f>IFERROR(VLOOKUP(B106,'敌人目录'!$A$6:$S$54,13,FALSE),"")</x:f>
      </x:c>
      <x:c r="N106" s="19" t="str">
        <x:f>IF(B106="","",IF(ISNUMBER(D106),D106,IFERROR(VLOOKUP(B106,'敌人目录'!$A$6:$S$54,14,FALSE),"")))</x:f>
      </x:c>
      <x:c r="O106" s="64" t="str">
        <x:f>IFERROR(VLOOKUP(B106,'敌人目录'!$A$6:$S$54,15,FALSE),"")</x:f>
      </x:c>
      <x:c r="P106" s="19" t="str">
        <x:f>IF(F106="","",F106*G106)</x:f>
      </x:c>
      <x:c r="Q106" s="19" t="str">
        <x:f>IF(F106="","",F106*L106)</x:f>
      </x:c>
      <x:c r="R106" s="19" t="str">
        <x:f>IF(F106="","",F106*N106)</x:f>
      </x:c>
      <x:c r="S106" s="19" t="str">
        <x:f>IF(R106="","",R106*'全局设置'!$B$5)</x:f>
      </x:c>
      <x:c r="T106" s="73" t="str">
        <x:f>IF(F106="","",F106*O106)</x:f>
      </x:c>
      <x:c r="U106" s="19" t="str">
        <x:f>IF(AND(B106="",C106=""),"",IF(B106="","缺少敌人",IF(C106="","缺少数量",IF(OR(C106&lt;1,C106&gt;9999,C106&lt;&gt;INT(C106)),"数量无效",IF(COUNTIF($E$94:$E$111,E106)&gt;1,"重复敌人",IF(AND(ISNUMBER(D106),OR(D106&lt;0,D106&gt;999,D106&lt;&gt;INT(D106))),"奖励无效","可导入"))))))</x:f>
      </x:c>
    </x:row>
    <x:row r="107" ht="22" customHeight="1">
      <x:c r="A107" s="72" t="n">
        <x:v>14</x:v>
      </x:c>
      <x:c r="B107" s="41"/>
      <x:c r="C107" s="41"/>
      <x:c r="D107" s="41"/>
      <x:c r="E107" s="19" t="str">
        <x:f>IFERROR(VLOOKUP(B107,'敌人目录'!$A$6:$S$54,2,FALSE),"")</x:f>
      </x:c>
      <x:c r="F107" s="19" t="str">
        <x:f>IF(OR(B107="",C107=""),"",ROUNDUP(C107*(1+('全局设置'!$B$5-1)*'全局设置'!$B$6),0))</x:f>
      </x:c>
      <x:c r="G107" s="19" t="str">
        <x:f>IFERROR(VLOOKUP(B107,'敌人目录'!$A$6:$S$54,7,FALSE),"")</x:f>
      </x:c>
      <x:c r="H107" s="19" t="str">
        <x:f>IFERROR(VLOOKUP(B107,'敌人目录'!$A$6:$S$54,8,FALSE),"")</x:f>
      </x:c>
      <x:c r="I107" s="19" t="str">
        <x:f>IFERROR(VLOOKUP(B107,'敌人目录'!$A$6:$S$54,9,FALSE),"")</x:f>
      </x:c>
      <x:c r="J107" s="19" t="str">
        <x:f>IFERROR(VLOOKUP(B107,'敌人目录'!$A$6:$S$54,10,FALSE),"")</x:f>
      </x:c>
      <x:c r="K107" s="19" t="str">
        <x:f>IFERROR(VLOOKUP(B107,'敌人目录'!$A$6:$S$54,11,FALSE),"")</x:f>
      </x:c>
      <x:c r="L107" s="19" t="str">
        <x:f>IFERROR(VLOOKUP(B107,'敌人目录'!$A$6:$S$54,12,FALSE),"")</x:f>
      </x:c>
      <x:c r="M107" s="19" t="str">
        <x:f>IFERROR(VLOOKUP(B107,'敌人目录'!$A$6:$S$54,13,FALSE),"")</x:f>
      </x:c>
      <x:c r="N107" s="19" t="str">
        <x:f>IF(B107="","",IF(ISNUMBER(D107),D107,IFERROR(VLOOKUP(B107,'敌人目录'!$A$6:$S$54,14,FALSE),"")))</x:f>
      </x:c>
      <x:c r="O107" s="64" t="str">
        <x:f>IFERROR(VLOOKUP(B107,'敌人目录'!$A$6:$S$54,15,FALSE),"")</x:f>
      </x:c>
      <x:c r="P107" s="19" t="str">
        <x:f>IF(F107="","",F107*G107)</x:f>
      </x:c>
      <x:c r="Q107" s="19" t="str">
        <x:f>IF(F107="","",F107*L107)</x:f>
      </x:c>
      <x:c r="R107" s="19" t="str">
        <x:f>IF(F107="","",F107*N107)</x:f>
      </x:c>
      <x:c r="S107" s="19" t="str">
        <x:f>IF(R107="","",R107*'全局设置'!$B$5)</x:f>
      </x:c>
      <x:c r="T107" s="73" t="str">
        <x:f>IF(F107="","",F107*O107)</x:f>
      </x:c>
      <x:c r="U107" s="19" t="str">
        <x:f>IF(AND(B107="",C107=""),"",IF(B107="","缺少敌人",IF(C107="","缺少数量",IF(OR(C107&lt;1,C107&gt;9999,C107&lt;&gt;INT(C107)),"数量无效",IF(COUNTIF($E$94:$E$111,E107)&gt;1,"重复敌人",IF(AND(ISNUMBER(D107),OR(D107&lt;0,D107&gt;999,D107&lt;&gt;INT(D107))),"奖励无效","可导入"))))))</x:f>
      </x:c>
    </x:row>
    <x:row r="108" ht="22" customHeight="1">
      <x:c r="A108" s="72" t="n">
        <x:v>15</x:v>
      </x:c>
      <x:c r="B108" s="41"/>
      <x:c r="C108" s="41"/>
      <x:c r="D108" s="41"/>
      <x:c r="E108" s="19" t="str">
        <x:f>IFERROR(VLOOKUP(B108,'敌人目录'!$A$6:$S$54,2,FALSE),"")</x:f>
      </x:c>
      <x:c r="F108" s="19" t="str">
        <x:f>IF(OR(B108="",C108=""),"",ROUNDUP(C108*(1+('全局设置'!$B$5-1)*'全局设置'!$B$6),0))</x:f>
      </x:c>
      <x:c r="G108" s="19" t="str">
        <x:f>IFERROR(VLOOKUP(B108,'敌人目录'!$A$6:$S$54,7,FALSE),"")</x:f>
      </x:c>
      <x:c r="H108" s="19" t="str">
        <x:f>IFERROR(VLOOKUP(B108,'敌人目录'!$A$6:$S$54,8,FALSE),"")</x:f>
      </x:c>
      <x:c r="I108" s="19" t="str">
        <x:f>IFERROR(VLOOKUP(B108,'敌人目录'!$A$6:$S$54,9,FALSE),"")</x:f>
      </x:c>
      <x:c r="J108" s="19" t="str">
        <x:f>IFERROR(VLOOKUP(B108,'敌人目录'!$A$6:$S$54,10,FALSE),"")</x:f>
      </x:c>
      <x:c r="K108" s="19" t="str">
        <x:f>IFERROR(VLOOKUP(B108,'敌人目录'!$A$6:$S$54,11,FALSE),"")</x:f>
      </x:c>
      <x:c r="L108" s="19" t="str">
        <x:f>IFERROR(VLOOKUP(B108,'敌人目录'!$A$6:$S$54,12,FALSE),"")</x:f>
      </x:c>
      <x:c r="M108" s="19" t="str">
        <x:f>IFERROR(VLOOKUP(B108,'敌人目录'!$A$6:$S$54,13,FALSE),"")</x:f>
      </x:c>
      <x:c r="N108" s="19" t="str">
        <x:f>IF(B108="","",IF(ISNUMBER(D108),D108,IFERROR(VLOOKUP(B108,'敌人目录'!$A$6:$S$54,14,FALSE),"")))</x:f>
      </x:c>
      <x:c r="O108" s="64" t="str">
        <x:f>IFERROR(VLOOKUP(B108,'敌人目录'!$A$6:$S$54,15,FALSE),"")</x:f>
      </x:c>
      <x:c r="P108" s="19" t="str">
        <x:f>IF(F108="","",F108*G108)</x:f>
      </x:c>
      <x:c r="Q108" s="19" t="str">
        <x:f>IF(F108="","",F108*L108)</x:f>
      </x:c>
      <x:c r="R108" s="19" t="str">
        <x:f>IF(F108="","",F108*N108)</x:f>
      </x:c>
      <x:c r="S108" s="19" t="str">
        <x:f>IF(R108="","",R108*'全局设置'!$B$5)</x:f>
      </x:c>
      <x:c r="T108" s="73" t="str">
        <x:f>IF(F108="","",F108*O108)</x:f>
      </x:c>
      <x:c r="U108" s="19" t="str">
        <x:f>IF(AND(B108="",C108=""),"",IF(B108="","缺少敌人",IF(C108="","缺少数量",IF(OR(C108&lt;1,C108&gt;9999,C108&lt;&gt;INT(C108)),"数量无效",IF(COUNTIF($E$94:$E$111,E108)&gt;1,"重复敌人",IF(AND(ISNUMBER(D108),OR(D108&lt;0,D108&gt;999,D108&lt;&gt;INT(D108))),"奖励无效","可导入"))))))</x:f>
      </x:c>
    </x:row>
    <x:row r="109" ht="22" customHeight="1">
      <x:c r="A109" s="72" t="n">
        <x:v>16</x:v>
      </x:c>
      <x:c r="B109" s="41"/>
      <x:c r="C109" s="41"/>
      <x:c r="D109" s="41"/>
      <x:c r="E109" s="19" t="str">
        <x:f>IFERROR(VLOOKUP(B109,'敌人目录'!$A$6:$S$54,2,FALSE),"")</x:f>
      </x:c>
      <x:c r="F109" s="19" t="str">
        <x:f>IF(OR(B109="",C109=""),"",ROUNDUP(C109*(1+('全局设置'!$B$5-1)*'全局设置'!$B$6),0))</x:f>
      </x:c>
      <x:c r="G109" s="19" t="str">
        <x:f>IFERROR(VLOOKUP(B109,'敌人目录'!$A$6:$S$54,7,FALSE),"")</x:f>
      </x:c>
      <x:c r="H109" s="19" t="str">
        <x:f>IFERROR(VLOOKUP(B109,'敌人目录'!$A$6:$S$54,8,FALSE),"")</x:f>
      </x:c>
      <x:c r="I109" s="19" t="str">
        <x:f>IFERROR(VLOOKUP(B109,'敌人目录'!$A$6:$S$54,9,FALSE),"")</x:f>
      </x:c>
      <x:c r="J109" s="19" t="str">
        <x:f>IFERROR(VLOOKUP(B109,'敌人目录'!$A$6:$S$54,10,FALSE),"")</x:f>
      </x:c>
      <x:c r="K109" s="19" t="str">
        <x:f>IFERROR(VLOOKUP(B109,'敌人目录'!$A$6:$S$54,11,FALSE),"")</x:f>
      </x:c>
      <x:c r="L109" s="19" t="str">
        <x:f>IFERROR(VLOOKUP(B109,'敌人目录'!$A$6:$S$54,12,FALSE),"")</x:f>
      </x:c>
      <x:c r="M109" s="19" t="str">
        <x:f>IFERROR(VLOOKUP(B109,'敌人目录'!$A$6:$S$54,13,FALSE),"")</x:f>
      </x:c>
      <x:c r="N109" s="19" t="str">
        <x:f>IF(B109="","",IF(ISNUMBER(D109),D109,IFERROR(VLOOKUP(B109,'敌人目录'!$A$6:$S$54,14,FALSE),"")))</x:f>
      </x:c>
      <x:c r="O109" s="64" t="str">
        <x:f>IFERROR(VLOOKUP(B109,'敌人目录'!$A$6:$S$54,15,FALSE),"")</x:f>
      </x:c>
      <x:c r="P109" s="19" t="str">
        <x:f>IF(F109="","",F109*G109)</x:f>
      </x:c>
      <x:c r="Q109" s="19" t="str">
        <x:f>IF(F109="","",F109*L109)</x:f>
      </x:c>
      <x:c r="R109" s="19" t="str">
        <x:f>IF(F109="","",F109*N109)</x:f>
      </x:c>
      <x:c r="S109" s="19" t="str">
        <x:f>IF(R109="","",R109*'全局设置'!$B$5)</x:f>
      </x:c>
      <x:c r="T109" s="73" t="str">
        <x:f>IF(F109="","",F109*O109)</x:f>
      </x:c>
      <x:c r="U109" s="19" t="str">
        <x:f>IF(AND(B109="",C109=""),"",IF(B109="","缺少敌人",IF(C109="","缺少数量",IF(OR(C109&lt;1,C109&gt;9999,C109&lt;&gt;INT(C109)),"数量无效",IF(COUNTIF($E$94:$E$111,E109)&gt;1,"重复敌人",IF(AND(ISNUMBER(D109),OR(D109&lt;0,D109&gt;999,D109&lt;&gt;INT(D109))),"奖励无效","可导入"))))))</x:f>
      </x:c>
    </x:row>
    <x:row r="110" ht="22" customHeight="1">
      <x:c r="A110" s="72" t="n">
        <x:v>17</x:v>
      </x:c>
      <x:c r="B110" s="41"/>
      <x:c r="C110" s="41"/>
      <x:c r="D110" s="41"/>
      <x:c r="E110" s="19" t="str">
        <x:f>IFERROR(VLOOKUP(B110,'敌人目录'!$A$6:$S$54,2,FALSE),"")</x:f>
      </x:c>
      <x:c r="F110" s="19" t="str">
        <x:f>IF(OR(B110="",C110=""),"",ROUNDUP(C110*(1+('全局设置'!$B$5-1)*'全局设置'!$B$6),0))</x:f>
      </x:c>
      <x:c r="G110" s="19" t="str">
        <x:f>IFERROR(VLOOKUP(B110,'敌人目录'!$A$6:$S$54,7,FALSE),"")</x:f>
      </x:c>
      <x:c r="H110" s="19" t="str">
        <x:f>IFERROR(VLOOKUP(B110,'敌人目录'!$A$6:$S$54,8,FALSE),"")</x:f>
      </x:c>
      <x:c r="I110" s="19" t="str">
        <x:f>IFERROR(VLOOKUP(B110,'敌人目录'!$A$6:$S$54,9,FALSE),"")</x:f>
      </x:c>
      <x:c r="J110" s="19" t="str">
        <x:f>IFERROR(VLOOKUP(B110,'敌人目录'!$A$6:$S$54,10,FALSE),"")</x:f>
      </x:c>
      <x:c r="K110" s="19" t="str">
        <x:f>IFERROR(VLOOKUP(B110,'敌人目录'!$A$6:$S$54,11,FALSE),"")</x:f>
      </x:c>
      <x:c r="L110" s="19" t="str">
        <x:f>IFERROR(VLOOKUP(B110,'敌人目录'!$A$6:$S$54,12,FALSE),"")</x:f>
      </x:c>
      <x:c r="M110" s="19" t="str">
        <x:f>IFERROR(VLOOKUP(B110,'敌人目录'!$A$6:$S$54,13,FALSE),"")</x:f>
      </x:c>
      <x:c r="N110" s="19" t="str">
        <x:f>IF(B110="","",IF(ISNUMBER(D110),D110,IFERROR(VLOOKUP(B110,'敌人目录'!$A$6:$S$54,14,FALSE),"")))</x:f>
      </x:c>
      <x:c r="O110" s="64" t="str">
        <x:f>IFERROR(VLOOKUP(B110,'敌人目录'!$A$6:$S$54,15,FALSE),"")</x:f>
      </x:c>
      <x:c r="P110" s="19" t="str">
        <x:f>IF(F110="","",F110*G110)</x:f>
      </x:c>
      <x:c r="Q110" s="19" t="str">
        <x:f>IF(F110="","",F110*L110)</x:f>
      </x:c>
      <x:c r="R110" s="19" t="str">
        <x:f>IF(F110="","",F110*N110)</x:f>
      </x:c>
      <x:c r="S110" s="19" t="str">
        <x:f>IF(R110="","",R110*'全局设置'!$B$5)</x:f>
      </x:c>
      <x:c r="T110" s="73" t="str">
        <x:f>IF(F110="","",F110*O110)</x:f>
      </x:c>
      <x:c r="U110" s="19" t="str">
        <x:f>IF(AND(B110="",C110=""),"",IF(B110="","缺少敌人",IF(C110="","缺少数量",IF(OR(C110&lt;1,C110&gt;9999,C110&lt;&gt;INT(C110)),"数量无效",IF(COUNTIF($E$94:$E$111,E110)&gt;1,"重复敌人",IF(AND(ISNUMBER(D110),OR(D110&lt;0,D110&gt;999,D110&lt;&gt;INT(D110))),"奖励无效","可导入"))))))</x:f>
      </x:c>
    </x:row>
    <x:row r="111" ht="22" customHeight="1">
      <x:c r="A111" s="72" t="n">
        <x:v>18</x:v>
      </x:c>
      <x:c r="B111" s="41"/>
      <x:c r="C111" s="41"/>
      <x:c r="D111" s="41"/>
      <x:c r="E111" s="19" t="str">
        <x:f>IFERROR(VLOOKUP(B111,'敌人目录'!$A$6:$S$54,2,FALSE),"")</x:f>
      </x:c>
      <x:c r="F111" s="19" t="str">
        <x:f>IF(OR(B111="",C111=""),"",ROUNDUP(C111*(1+('全局设置'!$B$5-1)*'全局设置'!$B$6),0))</x:f>
      </x:c>
      <x:c r="G111" s="19" t="str">
        <x:f>IFERROR(VLOOKUP(B111,'敌人目录'!$A$6:$S$54,7,FALSE),"")</x:f>
      </x:c>
      <x:c r="H111" s="19" t="str">
        <x:f>IFERROR(VLOOKUP(B111,'敌人目录'!$A$6:$S$54,8,FALSE),"")</x:f>
      </x:c>
      <x:c r="I111" s="19" t="str">
        <x:f>IFERROR(VLOOKUP(B111,'敌人目录'!$A$6:$S$54,9,FALSE),"")</x:f>
      </x:c>
      <x:c r="J111" s="19" t="str">
        <x:f>IFERROR(VLOOKUP(B111,'敌人目录'!$A$6:$S$54,10,FALSE),"")</x:f>
      </x:c>
      <x:c r="K111" s="19" t="str">
        <x:f>IFERROR(VLOOKUP(B111,'敌人目录'!$A$6:$S$54,11,FALSE),"")</x:f>
      </x:c>
      <x:c r="L111" s="19" t="str">
        <x:f>IFERROR(VLOOKUP(B111,'敌人目录'!$A$6:$S$54,12,FALSE),"")</x:f>
      </x:c>
      <x:c r="M111" s="19" t="str">
        <x:f>IFERROR(VLOOKUP(B111,'敌人目录'!$A$6:$S$54,13,FALSE),"")</x:f>
      </x:c>
      <x:c r="N111" s="19" t="str">
        <x:f>IF(B111="","",IF(ISNUMBER(D111),D111,IFERROR(VLOOKUP(B111,'敌人目录'!$A$6:$S$54,14,FALSE),"")))</x:f>
      </x:c>
      <x:c r="O111" s="64" t="str">
        <x:f>IFERROR(VLOOKUP(B111,'敌人目录'!$A$6:$S$54,15,FALSE),"")</x:f>
      </x:c>
      <x:c r="P111" s="19" t="str">
        <x:f>IF(F111="","",F111*G111)</x:f>
      </x:c>
      <x:c r="Q111" s="19" t="str">
        <x:f>IF(F111="","",F111*L111)</x:f>
      </x:c>
      <x:c r="R111" s="19" t="str">
        <x:f>IF(F111="","",F111*N111)</x:f>
      </x:c>
      <x:c r="S111" s="19" t="str">
        <x:f>IF(R111="","",R111*'全局设置'!$B$5)</x:f>
      </x:c>
      <x:c r="T111" s="73" t="str">
        <x:f>IF(F111="","",F111*O111)</x:f>
      </x:c>
      <x:c r="U111" s="19" t="str">
        <x:f>IF(AND(B111="",C111=""),"",IF(B111="","缺少敌人",IF(C111="","缺少数量",IF(OR(C111&lt;1,C111&gt;9999,C111&lt;&gt;INT(C111)),"数量无效",IF(COUNTIF($E$94:$E$111,E111)&gt;1,"重复敌人",IF(AND(ISNUMBER(D111),OR(D111&lt;0,D111&gt;999,D111&lt;&gt;INT(D111))),"奖励无效","可导入"))))))</x:f>
      </x:c>
    </x:row>
    <x:row r="112" ht="22" customHeight="1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</x:row>
    <x:row r="113" ht="22" customHeight="1">
      <x:c r="A113" s="48" t="str">
        <x:v>基础总数</x:v>
      </x:c>
      <x:c r="B113" s="19" t="n">
        <x:f>SUM(C94:C111)</x:f>
        <x:v>128</x:v>
      </x:c>
      <x:c r="C113" s="48" t="str">
        <x:v>实际总数</x:v>
      </x:c>
      <x:c r="D113" s="19" t="n">
        <x:f>SUM(F94:F111)</x:f>
        <x:v>128</x:v>
      </x:c>
      <x:c r="E113" s="48" t="str">
        <x:v>敌人种类</x:v>
      </x:c>
      <x:c r="F113" s="19" t="n">
        <x:f>COUNTA(B94:B111)</x:f>
        <x:v>7</x:v>
      </x:c>
      <x:c r="G113" s="48" t="str">
        <x:v>生命池</x:v>
      </x:c>
      <x:c r="H113" s="19" t="n">
        <x:f>SUM(P94:P111)</x:f>
        <x:v>8120</x:v>
      </x:c>
      <x:c r="I113" s="48" t="str">
        <x:v>基础息壤/玩家</x:v>
      </x:c>
      <x:c r="J113" s="19" t="n">
        <x:f>SUM(R94:R111)</x:f>
        <x:v>172</x:v>
      </x:c>
      <x:c r="K113" s="48" t="str">
        <x:v>情景息壤/玩家</x:v>
      </x:c>
      <x:c r="L113" s="19" t="n">
        <x:f>J113*'全局设置'!$B$7*'全局设置'!$D$14</x:f>
        <x:v>172</x:v>
      </x:c>
      <x:c r="M113" s="48" t="str">
        <x:v>情景息壤/队伍</x:v>
      </x:c>
      <x:c r="N113" s="19" t="n">
        <x:f>L113*'全局设置'!$B$5</x:f>
        <x:v>172</x:v>
      </x:c>
      <x:c r="O113" s="48" t="str">
        <x:v>掉落期望</x:v>
      </x:c>
      <x:c r="P113" s="73" t="n">
        <x:f>SUM(T94:T111)</x:f>
        <x:v>6.4</x:v>
      </x:c>
      <x:c r="Q113" s="48" t="str">
        <x:v>全漏Home伤害</x:v>
      </x:c>
      <x:c r="R113" s="19" t="n">
        <x:f>SUM(Q94:Q111)</x:f>
        <x:v>212</x:v>
      </x:c>
      <x:c r="S113" s="48" t="str">
        <x:v>最短刷完(s)</x:v>
      </x:c>
      <x:c r="T113" s="73" t="n">
        <x:f>IF(D113=0,0,MAX(0,(ROUNDUP(D113/J90,0)-1)*H90))</x:f>
        <x:v>38.1</x:v>
      </x:c>
      <x:c r="U113" s="31"/>
    </x:row>
    <x:row r="114" ht="22" customHeight="1">
      <x:c r="A114" s="82" t="str">
        <x:v>情景收益 = 最大击杀息壤 × 全局击杀率 × 第2日倍率；最大队伍收益另按玩家人数相乘。</x:v>
      </x:c>
      <x:c r="B114" s="82" t="str">
        <x:v>情景收益 = 最大击杀息壤 × 全局击杀率 × 第2日倍率；最大队伍收益另按玩家人数相乘。</x:v>
      </x:c>
      <x:c r="C114" s="82" t="str">
        <x:v>情景收益 = 最大击杀息壤 × 全局击杀率 × 第2日倍率；最大队伍收益另按玩家人数相乘。</x:v>
      </x:c>
      <x:c r="D114" s="82" t="str">
        <x:v>情景收益 = 最大击杀息壤 × 全局击杀率 × 第2日倍率；最大队伍收益另按玩家人数相乘。</x:v>
      </x:c>
      <x:c r="E114" s="82" t="str">
        <x:v>情景收益 = 最大击杀息壤 × 全局击杀率 × 第2日倍率；最大队伍收益另按玩家人数相乘。</x:v>
      </x:c>
      <x:c r="F114" s="82" t="str">
        <x:v>情景收益 = 最大击杀息壤 × 全局击杀率 × 第2日倍率；最大队伍收益另按玩家人数相乘。</x:v>
      </x:c>
      <x:c r="G114" s="82" t="str">
        <x:v>情景收益 = 最大击杀息壤 × 全局击杀率 × 第2日倍率；最大队伍收益另按玩家人数相乘。</x:v>
      </x:c>
      <x:c r="H114" s="82" t="str">
        <x:v>情景收益 = 最大击杀息壤 × 全局击杀率 × 第2日倍率；最大队伍收益另按玩家人数相乘。</x:v>
      </x:c>
      <x:c r="I114" s="82" t="str">
        <x:v>情景收益 = 最大击杀息壤 × 全局击杀率 × 第2日倍率；最大队伍收益另按玩家人数相乘。</x:v>
      </x:c>
      <x:c r="J114" s="82" t="str">
        <x:v>情景收益 = 最大击杀息壤 × 全局击杀率 × 第2日倍率；最大队伍收益另按玩家人数相乘。</x:v>
      </x:c>
      <x:c r="K114" s="82" t="str">
        <x:v>情景收益 = 最大击杀息壤 × 全局击杀率 × 第2日倍率；最大队伍收益另按玩家人数相乘。</x:v>
      </x:c>
      <x:c r="L114" s="82" t="str">
        <x:v>情景收益 = 最大击杀息壤 × 全局击杀率 × 第2日倍率；最大队伍收益另按玩家人数相乘。</x:v>
      </x:c>
      <x:c r="M114" s="82" t="str">
        <x:v>情景收益 = 最大击杀息壤 × 全局击杀率 × 第2日倍率；最大队伍收益另按玩家人数相乘。</x:v>
      </x:c>
      <x:c r="N114" s="82" t="str">
        <x:v>情景收益 = 最大击杀息壤 × 全局击杀率 × 第2日倍率；最大队伍收益另按玩家人数相乘。</x:v>
      </x:c>
      <x:c r="O114" s="82" t="str">
        <x:v>情景收益 = 最大击杀息壤 × 全局击杀率 × 第2日倍率；最大队伍收益另按玩家人数相乘。</x:v>
      </x:c>
      <x:c r="P114" s="82" t="str">
        <x:v>情景收益 = 最大击杀息壤 × 全局击杀率 × 第2日倍率；最大队伍收益另按玩家人数相乘。</x:v>
      </x:c>
      <x:c r="Q114" s="82" t="str">
        <x:v>情景收益 = 最大击杀息壤 × 全局击杀率 × 第2日倍率；最大队伍收益另按玩家人数相乘。</x:v>
      </x:c>
      <x:c r="R114" s="82" t="str">
        <x:v>情景收益 = 最大击杀息壤 × 全局击杀率 × 第2日倍率；最大队伍收益另按玩家人数相乘。</x:v>
      </x:c>
      <x:c r="S114" s="82" t="str">
        <x:v>情景收益 = 最大击杀息壤 × 全局击杀率 × 第2日倍率；最大队伍收益另按玩家人数相乘。</x:v>
      </x:c>
      <x:c r="T114" s="82" t="str">
        <x:v>情景收益 = 最大击杀息壤 × 全局击杀率 × 第2日倍率；最大队伍收益另按玩家人数相乘。</x:v>
      </x:c>
      <x:c r="U114" s="82" t="str">
        <x:v>情景收益 = 最大击杀息壤 × 全局击杀率 × 第2日倍率；最大队伍收益另按玩家人数相乘。</x:v>
      </x:c>
    </x:row>
    <x:row r="115" ht="22" customHeight="1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</x:row>
    <x:row r="116" ht="22" customHeight="1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</x:row>
    <x:row r="117" ht="22" customHeight="1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</x:row>
    <x:row r="118" ht="22" customHeight="1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</x:row>
  </x:sheetData>
  <x:mergeCells>
    <x:mergeCell ref="A2:U2"/>
    <x:mergeCell ref="B3:F3"/>
    <x:mergeCell ref="N3:O3"/>
    <x:mergeCell ref="Q3:U3"/>
    <x:mergeCell ref="I4:M4"/>
    <x:mergeCell ref="O4:U4"/>
    <x:mergeCell ref="A5:U5"/>
    <x:mergeCell ref="A27:U27"/>
    <x:mergeCell ref="A31:U31"/>
    <x:mergeCell ref="B32:F32"/>
    <x:mergeCell ref="N32:O32"/>
    <x:mergeCell ref="Q32:U32"/>
    <x:mergeCell ref="I33:M33"/>
    <x:mergeCell ref="O33:U33"/>
    <x:mergeCell ref="A34:U34"/>
    <x:mergeCell ref="A56:U56"/>
    <x:mergeCell ref="A60:U60"/>
    <x:mergeCell ref="B61:F61"/>
    <x:mergeCell ref="N61:O61"/>
    <x:mergeCell ref="Q61:U61"/>
    <x:mergeCell ref="I62:M62"/>
    <x:mergeCell ref="O62:U62"/>
    <x:mergeCell ref="A63:U63"/>
    <x:mergeCell ref="A85:U85"/>
    <x:mergeCell ref="A89:U89"/>
    <x:mergeCell ref="B90:F90"/>
    <x:mergeCell ref="N90:O90"/>
    <x:mergeCell ref="Q90:U90"/>
    <x:mergeCell ref="I91:M91"/>
    <x:mergeCell ref="O91:U91"/>
    <x:mergeCell ref="A92:U92"/>
    <x:mergeCell ref="A114:U114"/>
  </x:mergeCells>
  <x:conditionalFormatting sqref="U7:U24">
    <x:cfRule type="containsText" dxfId="32" priority="1" operator="containsText" text="可导入"/>
    <x:cfRule type="containsText" dxfId="33" priority="2" operator="containsText" text="缺少"/>
    <x:cfRule type="containsText" dxfId="34" priority="3" operator="containsText" text="无效"/>
    <x:cfRule type="containsText" dxfId="35" priority="4" operator="containsText" text="重复"/>
  </x:conditionalFormatting>
  <x:conditionalFormatting sqref="N3:O3">
    <x:cfRule type="containsText" dxfId="36" priority="5" operator="containsText" text="可导入"/>
    <x:cfRule type="containsText" dxfId="37" priority="6" operator="containsText" text="待设计"/>
    <x:cfRule type="containsText" dxfId="38" priority="7" operator="containsText" text="需修正"/>
  </x:conditionalFormatting>
  <x:conditionalFormatting sqref="U36:U53">
    <x:cfRule type="containsText" dxfId="39" priority="8" operator="containsText" text="可导入"/>
    <x:cfRule type="containsText" dxfId="40" priority="9" operator="containsText" text="缺少"/>
    <x:cfRule type="containsText" dxfId="41" priority="10" operator="containsText" text="无效"/>
    <x:cfRule type="containsText" dxfId="42" priority="11" operator="containsText" text="重复"/>
  </x:conditionalFormatting>
  <x:conditionalFormatting sqref="N32:O32">
    <x:cfRule type="containsText" dxfId="43" priority="12" operator="containsText" text="可导入"/>
    <x:cfRule type="containsText" dxfId="44" priority="13" operator="containsText" text="待设计"/>
    <x:cfRule type="containsText" dxfId="45" priority="14" operator="containsText" text="需修正"/>
  </x:conditionalFormatting>
  <x:conditionalFormatting sqref="U65:U82">
    <x:cfRule type="containsText" dxfId="46" priority="15" operator="containsText" text="可导入"/>
    <x:cfRule type="containsText" dxfId="47" priority="16" operator="containsText" text="缺少"/>
    <x:cfRule type="containsText" dxfId="48" priority="17" operator="containsText" text="无效"/>
    <x:cfRule type="containsText" dxfId="49" priority="18" operator="containsText" text="重复"/>
  </x:conditionalFormatting>
  <x:conditionalFormatting sqref="N61:O61">
    <x:cfRule type="containsText" dxfId="50" priority="19" operator="containsText" text="可导入"/>
    <x:cfRule type="containsText" dxfId="51" priority="20" operator="containsText" text="待设计"/>
    <x:cfRule type="containsText" dxfId="52" priority="21" operator="containsText" text="需修正"/>
  </x:conditionalFormatting>
  <x:conditionalFormatting sqref="U94:U111">
    <x:cfRule type="containsText" dxfId="53" priority="22" operator="containsText" text="可导入"/>
    <x:cfRule type="containsText" dxfId="54" priority="23" operator="containsText" text="缺少"/>
    <x:cfRule type="containsText" dxfId="55" priority="24" operator="containsText" text="无效"/>
    <x:cfRule type="containsText" dxfId="56" priority="25" operator="containsText" text="重复"/>
  </x:conditionalFormatting>
  <x:conditionalFormatting sqref="N90:O90">
    <x:cfRule type="containsText" dxfId="57" priority="26" operator="containsText" text="可导入"/>
    <x:cfRule type="containsText" dxfId="58" priority="27" operator="containsText" text="待设计"/>
    <x:cfRule type="containsText" dxfId="59" priority="28" operator="containsText" text="需修正"/>
  </x:conditionalFormatting>
  <x:dataValidations count="28">
    <x:dataValidation type="decimal" operator="between" sqref="H3">
      <x:formula1>0.025</x:formula1>
      <x:formula2>60</x:formula2>
    </x:dataValidation>
    <x:dataValidation type="whole" operator="between" sqref="J3">
      <x:formula1>1</x:formula1>
      <x:formula2>4</x:formula2>
    </x:dataValidation>
    <x:dataValidation type="whole" operator="between" sqref="L3">
      <x:formula1>1</x:formula1>
      <x:formula2>999</x:formula2>
    </x:dataValidation>
    <x:dataValidation type="list" sqref="B4:G4">
      <x:formula1>"开启,关闭"</x:formula1>
    </x:dataValidation>
    <x:dataValidation type="list" sqref="B7:B24">
      <x:formula1>'系统数据（勿改）'!$A$4:$A$52</x:formula1>
    </x:dataValidation>
    <x:dataValidation type="whole" operator="between" sqref="C7:C24">
      <x:formula1>1</x:formula1>
      <x:formula2>9999</x:formula2>
    </x:dataValidation>
    <x:dataValidation type="whole" operator="between" sqref="D7:D24">
      <x:formula1>0</x:formula1>
      <x:formula2>999</x:formula2>
    </x:dataValidation>
    <x:dataValidation type="decimal" operator="between" sqref="H32">
      <x:formula1>0.025</x:formula1>
      <x:formula2>60</x:formula2>
    </x:dataValidation>
    <x:dataValidation type="whole" operator="between" sqref="J32">
      <x:formula1>1</x:formula1>
      <x:formula2>4</x:formula2>
    </x:dataValidation>
    <x:dataValidation type="whole" operator="between" sqref="L32">
      <x:formula1>1</x:formula1>
      <x:formula2>999</x:formula2>
    </x:dataValidation>
    <x:dataValidation type="list" sqref="B33:G33">
      <x:formula1>"开启,关闭"</x:formula1>
    </x:dataValidation>
    <x:dataValidation type="list" sqref="B36:B53">
      <x:formula1>'系统数据（勿改）'!$A$4:$A$52</x:formula1>
    </x:dataValidation>
    <x:dataValidation type="whole" operator="between" sqref="C36:C53">
      <x:formula1>1</x:formula1>
      <x:formula2>9999</x:formula2>
    </x:dataValidation>
    <x:dataValidation type="whole" operator="between" sqref="D36:D53">
      <x:formula1>0</x:formula1>
      <x:formula2>999</x:formula2>
    </x:dataValidation>
    <x:dataValidation type="decimal" operator="between" sqref="H61">
      <x:formula1>0.025</x:formula1>
      <x:formula2>60</x:formula2>
    </x:dataValidation>
    <x:dataValidation type="whole" operator="between" sqref="J61">
      <x:formula1>1</x:formula1>
      <x:formula2>4</x:formula2>
    </x:dataValidation>
    <x:dataValidation type="whole" operator="between" sqref="L61">
      <x:formula1>1</x:formula1>
      <x:formula2>999</x:formula2>
    </x:dataValidation>
    <x:dataValidation type="list" sqref="B62:G62">
      <x:formula1>"开启,关闭"</x:formula1>
    </x:dataValidation>
    <x:dataValidation type="list" sqref="B65:B82">
      <x:formula1>'系统数据（勿改）'!$A$4:$A$52</x:formula1>
    </x:dataValidation>
    <x:dataValidation type="whole" operator="between" sqref="C65:C82">
      <x:formula1>1</x:formula1>
      <x:formula2>9999</x:formula2>
    </x:dataValidation>
    <x:dataValidation type="whole" operator="between" sqref="D65:D82">
      <x:formula1>0</x:formula1>
      <x:formula2>999</x:formula2>
    </x:dataValidation>
    <x:dataValidation type="decimal" operator="between" sqref="H90">
      <x:formula1>0.025</x:formula1>
      <x:formula2>60</x:formula2>
    </x:dataValidation>
    <x:dataValidation type="whole" operator="between" sqref="J90">
      <x:formula1>1</x:formula1>
      <x:formula2>4</x:formula2>
    </x:dataValidation>
    <x:dataValidation type="whole" operator="between" sqref="L90">
      <x:formula1>1</x:formula1>
      <x:formula2>999</x:formula2>
    </x:dataValidation>
    <x:dataValidation type="list" sqref="B91:G91">
      <x:formula1>"开启,关闭"</x:formula1>
    </x:dataValidation>
    <x:dataValidation type="list" sqref="B94:B111">
      <x:formula1>'系统数据（勿改）'!$A$4:$A$52</x:formula1>
    </x:dataValidation>
    <x:dataValidation type="whole" operator="between" sqref="C94:C111">
      <x:formula1>1</x:formula1>
      <x:formula2>9999</x:formula2>
    </x:dataValidation>
    <x:dataValidation type="whole" operator="between" sqref="D94:D111">
      <x:formula1>0</x:formula1>
      <x:formula2>999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0" hidden="0" customWidth="1"/>
    <x:col min="3" max="3" width="10" hidden="0" customWidth="1"/>
    <x:col min="4" max="4" width="13" hidden="0" customWidth="1"/>
    <x:col min="5" max="5" width="3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1" hidden="0" customWidth="1"/>
    <x:col min="13" max="13" width="12" hidden="0" customWidth="1"/>
    <x:col min="14" max="14" width="12" hidden="0" customWidth="1"/>
    <x:col min="15" max="15" width="15" hidden="0" customWidth="1"/>
    <x:col min="16" max="16" width="13" hidden="0" customWidth="1"/>
    <x:col min="17" max="17" width="15" hidden="0" customWidth="1"/>
    <x:col min="18" max="18" width="15" hidden="0" customWidth="1"/>
    <x:col min="19" max="19" width="15" hidden="0" customWidth="1"/>
    <x:col min="20" max="20" width="13" hidden="0" customWidth="1"/>
    <x:col min="21" max="21" width="12" hidden="0" customWidth="1"/>
  </x:cols>
  <x:sheetData>
    <x:row r="1" ht="22" customHeight="1">
      <x:c r="A1" s="31"/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</x:row>
    <x:row r="2" ht="22" customHeight="1">
      <x:c r="A2" s="71" t="str">
        <x:v>第 9 波｜第 3 日·1/4｜白昼｜当前正式配置</x:v>
      </x:c>
      <x:c r="B2" s="71" t="str">
        <x:v>第 9 波｜第 3 日·1/4｜白昼｜当前正式配置</x:v>
      </x:c>
      <x:c r="C2" s="71" t="str">
        <x:v>第 9 波｜第 3 日·1/4｜白昼｜当前正式配置</x:v>
      </x:c>
      <x:c r="D2" s="71" t="str">
        <x:v>第 9 波｜第 3 日·1/4｜白昼｜当前正式配置</x:v>
      </x:c>
      <x:c r="E2" s="71" t="str">
        <x:v>第 9 波｜第 3 日·1/4｜白昼｜当前正式配置</x:v>
      </x:c>
      <x:c r="F2" s="71" t="str">
        <x:v>第 9 波｜第 3 日·1/4｜白昼｜当前正式配置</x:v>
      </x:c>
      <x:c r="G2" s="71" t="str">
        <x:v>第 9 波｜第 3 日·1/4｜白昼｜当前正式配置</x:v>
      </x:c>
      <x:c r="H2" s="71" t="str">
        <x:v>第 9 波｜第 3 日·1/4｜白昼｜当前正式配置</x:v>
      </x:c>
      <x:c r="I2" s="71" t="str">
        <x:v>第 9 波｜第 3 日·1/4｜白昼｜当前正式配置</x:v>
      </x:c>
      <x:c r="J2" s="71" t="str">
        <x:v>第 9 波｜第 3 日·1/4｜白昼｜当前正式配置</x:v>
      </x:c>
      <x:c r="K2" s="71" t="str">
        <x:v>第 9 波｜第 3 日·1/4｜白昼｜当前正式配置</x:v>
      </x:c>
      <x:c r="L2" s="71" t="str">
        <x:v>第 9 波｜第 3 日·1/4｜白昼｜当前正式配置</x:v>
      </x:c>
      <x:c r="M2" s="71" t="str">
        <x:v>第 9 波｜第 3 日·1/4｜白昼｜当前正式配置</x:v>
      </x:c>
      <x:c r="N2" s="71" t="str">
        <x:v>第 9 波｜第 3 日·1/4｜白昼｜当前正式配置</x:v>
      </x:c>
      <x:c r="O2" s="71" t="str">
        <x:v>第 9 波｜第 3 日·1/4｜白昼｜当前正式配置</x:v>
      </x:c>
      <x:c r="P2" s="71" t="str">
        <x:v>第 9 波｜第 3 日·1/4｜白昼｜当前正式配置</x:v>
      </x:c>
      <x:c r="Q2" s="71" t="str">
        <x:v>第 9 波｜第 3 日·1/4｜白昼｜当前正式配置</x:v>
      </x:c>
      <x:c r="R2" s="71" t="str">
        <x:v>第 9 波｜第 3 日·1/4｜白昼｜当前正式配置</x:v>
      </x:c>
      <x:c r="S2" s="71" t="str">
        <x:v>第 9 波｜第 3 日·1/4｜白昼｜当前正式配置</x:v>
      </x:c>
      <x:c r="T2" s="71" t="str">
        <x:v>第 9 波｜第 3 日·1/4｜白昼｜当前正式配置</x:v>
      </x:c>
      <x:c r="U2" s="71" t="str">
        <x:v>第 9 波｜第 3 日·1/4｜白昼｜当前正式配置</x:v>
      </x:c>
    </x:row>
    <x:row r="3" ht="22" customHeight="1">
      <x:c r="A3" s="40" t="str">
        <x:v>波次名称</x:v>
      </x:c>
      <x:c r="B3" s="41" t="str">
        <x:v>第9波 城镇前锋</x:v>
      </x:c>
      <x:c r="C3" s="41" t="str">
        <x:v>第9波 城镇前锋</x:v>
      </x:c>
      <x:c r="D3" s="41" t="str">
        <x:v>第9波 城镇前锋</x:v>
      </x:c>
      <x:c r="E3" s="41" t="str">
        <x:v>第9波 城镇前锋</x:v>
      </x:c>
      <x:c r="F3" s="41" t="str">
        <x:v>第9波 城镇前锋</x:v>
      </x:c>
      <x:c r="G3" s="40" t="str">
        <x:v>出生间隔(s)</x:v>
      </x:c>
      <x:c r="H3" s="41" t="n">
        <x:v>0.28</x:v>
      </x:c>
      <x:c r="I3" s="40" t="str">
        <x:v>每Tick</x:v>
      </x:c>
      <x:c r="J3" s="41" t="n">
        <x:v>1</x:v>
      </x:c>
      <x:c r="K3" s="40" t="str">
        <x:v>存活上限</x:v>
      </x:c>
      <x:c r="L3" s="41" t="n">
        <x:v>72</x:v>
      </x:c>
      <x:c r="M3" s="40" t="str">
        <x:v>校验</x:v>
      </x:c>
      <x:c r="N3" s="19" t="str">
        <x:f>IF(COUNTA(B7:B24)=0,"待设计",IF(COUNTIF(U7:U24,"可导入")=COUNTA(B7:B24),"可导入","需修正"))</x:f>
        <x:v>可导入</x:v>
      </x:c>
      <x:c r="O3" s="19" t="str"/>
      <x:c r="P3" s="40" t="str">
        <x:v>来源</x:v>
      </x:c>
      <x:c r="Q3" s="19" t="str">
        <x:v>当前游戏 formal 资源</x:v>
      </x:c>
      <x:c r="R3" s="19" t="str">
        <x:v>当前游戏 formal 资源</x:v>
      </x:c>
      <x:c r="S3" s="19" t="str">
        <x:v>当前游戏 formal 资源</x:v>
      </x:c>
      <x:c r="T3" s="19" t="str">
        <x:v>当前游戏 formal 资源</x:v>
      </x:c>
      <x:c r="U3" s="19" t="str">
        <x:v>当前游戏 formal 资源</x:v>
      </x:c>
    </x:row>
    <x:row r="4" ht="22" customHeight="1">
      <x:c r="A4" s="40" t="str">
        <x:v>出生点</x:v>
      </x:c>
      <x:c r="B4" s="41" t="str">
        <x:v>开启</x:v>
      </x:c>
      <x:c r="C4" s="41" t="str">
        <x:v>开启</x:v>
      </x:c>
      <x:c r="D4" s="41" t="str">
        <x:v>开启</x:v>
      </x:c>
      <x:c r="E4" s="41" t="str">
        <x:v>开启</x:v>
      </x:c>
      <x:c r="F4" s="41" t="str">
        <x:v>开启</x:v>
      </x:c>
      <x:c r="G4" s="41" t="str">
        <x:v>开启</x:v>
      </x:c>
      <x:c r="H4" s="40" t="str">
        <x:v>战斗音乐</x:v>
      </x:c>
      <x:c r="I4" s="19" t="str">
        <x:v>shenmu_town_combat</x:v>
      </x:c>
      <x:c r="J4" s="19" t="str">
        <x:v>shenmu_town_combat</x:v>
      </x:c>
      <x:c r="K4" s="19" t="str">
        <x:v>shenmu_town_combat</x:v>
      </x:c>
      <x:c r="L4" s="19" t="str">
        <x:v>shenmu_town_combat</x:v>
      </x:c>
      <x:c r="M4" s="19" t="str">
        <x:v>shenmu_town_combat</x:v>
      </x:c>
      <x:c r="N4" s="40" t="str">
        <x:v>波后音乐</x:v>
      </x:c>
      <x:c r="O4" s="19" t="str">
        <x:v>shenmu_town_intermission</x:v>
      </x:c>
      <x:c r="P4" s="19" t="str">
        <x:v>shenmu_town_intermission</x:v>
      </x:c>
      <x:c r="Q4" s="19" t="str">
        <x:v>shenmu_town_intermission</x:v>
      </x:c>
      <x:c r="R4" s="19" t="str">
        <x:v>shenmu_town_intermission</x:v>
      </x:c>
      <x:c r="S4" s="19" t="str">
        <x:v>shenmu_town_intermission</x:v>
      </x:c>
      <x:c r="T4" s="19" t="str">
        <x:v>shenmu_town_intermission</x:v>
      </x:c>
      <x:c r="U4" s="19" t="str">
        <x:v>shenmu_town_intermission</x:v>
      </x:c>
    </x:row>
    <x:row r="5" ht="22" customHeight="1">
      <x:c r="A5" s="56" t="str">
        <x:v>蓝色列可编辑。每种敌人一行；若同波重复选择同一稳定 ID，请合并数量。实际数量按当前模拟玩家数逐条向上取整。</x:v>
      </x:c>
      <x:c r="B5" s="56" t="str">
        <x:v>蓝色列可编辑。每种敌人一行；若同波重复选择同一稳定 ID，请合并数量。实际数量按当前模拟玩家数逐条向上取整。</x:v>
      </x:c>
      <x:c r="C5" s="56" t="str">
        <x:v>蓝色列可编辑。每种敌人一行；若同波重复选择同一稳定 ID，请合并数量。实际数量按当前模拟玩家数逐条向上取整。</x:v>
      </x:c>
      <x:c r="D5" s="56" t="str">
        <x:v>蓝色列可编辑。每种敌人一行；若同波重复选择同一稳定 ID，请合并数量。实际数量按当前模拟玩家数逐条向上取整。</x:v>
      </x:c>
      <x:c r="E5" s="56" t="str">
        <x:v>蓝色列可编辑。每种敌人一行；若同波重复选择同一稳定 ID，请合并数量。实际数量按当前模拟玩家数逐条向上取整。</x:v>
      </x:c>
      <x:c r="F5" s="56" t="str">
        <x:v>蓝色列可编辑。每种敌人一行；若同波重复选择同一稳定 ID，请合并数量。实际数量按当前模拟玩家数逐条向上取整。</x:v>
      </x:c>
      <x:c r="G5" s="56" t="str">
        <x:v>蓝色列可编辑。每种敌人一行；若同波重复选择同一稳定 ID，请合并数量。实际数量按当前模拟玩家数逐条向上取整。</x:v>
      </x:c>
      <x:c r="H5" s="56" t="str">
        <x:v>蓝色列可编辑。每种敌人一行；若同波重复选择同一稳定 ID，请合并数量。实际数量按当前模拟玩家数逐条向上取整。</x:v>
      </x:c>
      <x:c r="I5" s="56" t="str">
        <x:v>蓝色列可编辑。每种敌人一行；若同波重复选择同一稳定 ID，请合并数量。实际数量按当前模拟玩家数逐条向上取整。</x:v>
      </x:c>
      <x:c r="J5" s="56" t="str">
        <x:v>蓝色列可编辑。每种敌人一行；若同波重复选择同一稳定 ID，请合并数量。实际数量按当前模拟玩家数逐条向上取整。</x:v>
      </x:c>
      <x:c r="K5" s="56" t="str">
        <x:v>蓝色列可编辑。每种敌人一行；若同波重复选择同一稳定 ID，请合并数量。实际数量按当前模拟玩家数逐条向上取整。</x:v>
      </x:c>
      <x:c r="L5" s="56" t="str">
        <x:v>蓝色列可编辑。每种敌人一行；若同波重复选择同一稳定 ID，请合并数量。实际数量按当前模拟玩家数逐条向上取整。</x:v>
      </x:c>
      <x:c r="M5" s="56" t="str">
        <x:v>蓝色列可编辑。每种敌人一行；若同波重复选择同一稳定 ID，请合并数量。实际数量按当前模拟玩家数逐条向上取整。</x:v>
      </x:c>
      <x:c r="N5" s="56" t="str">
        <x:v>蓝色列可编辑。每种敌人一行；若同波重复选择同一稳定 ID，请合并数量。实际数量按当前模拟玩家数逐条向上取整。</x:v>
      </x:c>
      <x:c r="O5" s="56" t="str">
        <x:v>蓝色列可编辑。每种敌人一行；若同波重复选择同一稳定 ID，请合并数量。实际数量按当前模拟玩家数逐条向上取整。</x:v>
      </x:c>
      <x:c r="P5" s="56" t="str">
        <x:v>蓝色列可编辑。每种敌人一行；若同波重复选择同一稳定 ID，请合并数量。实际数量按当前模拟玩家数逐条向上取整。</x:v>
      </x:c>
      <x:c r="Q5" s="56" t="str">
        <x:v>蓝色列可编辑。每种敌人一行；若同波重复选择同一稳定 ID，请合并数量。实际数量按当前模拟玩家数逐条向上取整。</x:v>
      </x:c>
      <x:c r="R5" s="56" t="str">
        <x:v>蓝色列可编辑。每种敌人一行；若同波重复选择同一稳定 ID，请合并数量。实际数量按当前模拟玩家数逐条向上取整。</x:v>
      </x:c>
      <x:c r="S5" s="56" t="str">
        <x:v>蓝色列可编辑。每种敌人一行；若同波重复选择同一稳定 ID，请合并数量。实际数量按当前模拟玩家数逐条向上取整。</x:v>
      </x:c>
      <x:c r="T5" s="56" t="str">
        <x:v>蓝色列可编辑。每种敌人一行；若同波重复选择同一稳定 ID，请合并数量。实际数量按当前模拟玩家数逐条向上取整。</x:v>
      </x:c>
      <x:c r="U5" s="56" t="str">
        <x:v>蓝色列可编辑。每种敌人一行；若同波重复选择同一稳定 ID，请合并数量。实际数量按当前模拟玩家数逐条向上取整。</x:v>
      </x:c>
    </x:row>
    <x:row r="6" ht="22" customHeight="1">
      <x:c r="A6" s="63" t="str">
        <x:v>槽位</x:v>
      </x:c>
      <x:c r="B6" s="63" t="str">
        <x:v>敌人（下拉选择）</x:v>
      </x:c>
      <x:c r="C6" s="63" t="str">
        <x:v>基础数量</x:v>
      </x:c>
      <x:c r="D6" s="63" t="str">
        <x:v>本波息壤覆盖</x:v>
      </x:c>
      <x:c r="E6" s="63" t="str">
        <x:v>稳定敌人ID</x:v>
      </x:c>
      <x:c r="F6" s="63" t="str">
        <x:v>实际数量</x:v>
      </x:c>
      <x:c r="G6" s="63" t="str">
        <x:v>生命</x:v>
      </x:c>
      <x:c r="H6" s="63" t="str">
        <x:v>攻击</x:v>
      </x:c>
      <x:c r="I6" s="63" t="str">
        <x:v>物理防御</x:v>
      </x:c>
      <x:c r="J6" s="63" t="str">
        <x:v>法术防御</x:v>
      </x:c>
      <x:c r="K6" s="63" t="str">
        <x:v>移速</x:v>
      </x:c>
      <x:c r="L6" s="63" t="str">
        <x:v>Home伤害</x:v>
      </x:c>
      <x:c r="M6" s="63" t="str">
        <x:v>游戏默认息壤</x:v>
      </x:c>
      <x:c r="N6" s="63" t="str">
        <x:v>有效息壤</x:v>
      </x:c>
      <x:c r="O6" s="63" t="str">
        <x:v>掉落期望/击杀</x:v>
      </x:c>
      <x:c r="P6" s="63" t="str">
        <x:v>总生命</x:v>
      </x:c>
      <x:c r="Q6" s="63" t="str">
        <x:v>全漏Home伤害</x:v>
      </x:c>
      <x:c r="R6" s="63" t="str">
        <x:v>最大息壤/玩家</x:v>
      </x:c>
      <x:c r="S6" s="63" t="str">
        <x:v>最大息壤/队伍</x:v>
      </x:c>
      <x:c r="T6" s="63" t="str">
        <x:v>掉落期望</x:v>
      </x:c>
      <x:c r="U6" s="63" t="str">
        <x:v>校验</x:v>
      </x:c>
    </x:row>
    <x:row r="7" ht="22" customHeight="1">
      <x:c r="A7" s="72" t="n">
        <x:v>1</x:v>
      </x:c>
      <x:c r="B7" s="41" t="str">
        <x:v>yuanshi_insect_basic｜普通原石虫</x:v>
      </x:c>
      <x:c r="C7" s="41" t="n">
        <x:v>26</x:v>
      </x:c>
      <x:c r="D7" s="41"/>
      <x:c r="E7" s="19" t="str">
        <x:f>IFERROR(VLOOKUP(B7,'敌人目录'!$A$6:$S$54,2,FALSE),"")</x:f>
        <x:v>yuanshi_insect_basic</x:v>
      </x:c>
      <x:c r="F7" s="19" t="n">
        <x:f>IF(OR(B7="",C7=""),"",ROUNDUP(C7*(1+('全局设置'!$B$5-1)*'全局设置'!$B$6),0))</x:f>
        <x:v>26</x:v>
      </x:c>
      <x:c r="G7" s="19" t="n">
        <x:f>IFERROR(VLOOKUP(B7,'敌人目录'!$A$6:$S$54,7,FALSE),"")</x:f>
        <x:v>40</x:v>
      </x:c>
      <x:c r="H7" s="19" t="n">
        <x:f>IFERROR(VLOOKUP(B7,'敌人目录'!$A$6:$S$54,8,FALSE),"")</x:f>
        <x:v>10</x:v>
      </x:c>
      <x:c r="I7" s="19" t="n">
        <x:f>IFERROR(VLOOKUP(B7,'敌人目录'!$A$6:$S$54,9,FALSE),"")</x:f>
        <x:v>0</x:v>
      </x:c>
      <x:c r="J7" s="19" t="n">
        <x:f>IFERROR(VLOOKUP(B7,'敌人目录'!$A$6:$S$54,10,FALSE),"")</x:f>
        <x:v>0</x:v>
      </x:c>
      <x:c r="K7" s="19" t="n">
        <x:f>IFERROR(VLOOKUP(B7,'敌人目录'!$A$6:$S$54,11,FALSE),"")</x:f>
        <x:v>20</x:v>
      </x:c>
      <x:c r="L7" s="19" t="n">
        <x:f>IFERROR(VLOOKUP(B7,'敌人目录'!$A$6:$S$54,12,FALSE),"")</x:f>
        <x:v>1</x:v>
      </x:c>
      <x:c r="M7" s="19" t="n">
        <x:f>IFERROR(VLOOKUP(B7,'敌人目录'!$A$6:$S$54,13,FALSE),"")</x:f>
        <x:v>1</x:v>
      </x:c>
      <x:c r="N7" s="19" t="n">
        <x:f>IF(B7="","",IF(ISNUMBER(D7),D7,IFERROR(VLOOKUP(B7,'敌人目录'!$A$6:$S$54,14,FALSE),"")))</x:f>
        <x:v>1</x:v>
      </x:c>
      <x:c r="O7" s="64" t="n">
        <x:f>IFERROR(VLOOKUP(B7,'敌人目录'!$A$6:$S$54,15,FALSE),"")</x:f>
        <x:v>0.05</x:v>
      </x:c>
      <x:c r="P7" s="19" t="n">
        <x:f>IF(F7="","",F7*G7)</x:f>
        <x:v>1040</x:v>
      </x:c>
      <x:c r="Q7" s="19" t="n">
        <x:f>IF(F7="","",F7*L7)</x:f>
        <x:v>26</x:v>
      </x:c>
      <x:c r="R7" s="19" t="n">
        <x:f>IF(F7="","",F7*N7)</x:f>
        <x:v>26</x:v>
      </x:c>
      <x:c r="S7" s="19" t="n">
        <x:f>IF(R7="","",R7*'全局设置'!$B$5)</x:f>
        <x:v>26</x:v>
      </x:c>
      <x:c r="T7" s="73" t="n">
        <x:f>IF(F7="","",F7*O7)</x:f>
        <x:v>1.3</x:v>
      </x:c>
      <x:c r="U7" s="19" t="str">
        <x:f>IF(AND(B7="",C7=""),"",IF(B7="","缺少敌人",IF(C7="","缺少数量",IF(OR(C7&lt;1,C7&gt;9999,C7&lt;&gt;INT(C7)),"数量无效",IF(COUNTIF($E$7:$E$24,E7)&gt;1,"重复敌人",IF(AND(ISNUMBER(D7),OR(D7&lt;0,D7&gt;999,D7&lt;&gt;INT(D7))),"奖励无效","可导入"))))))</x:f>
        <x:v>可导入</x:v>
      </x:c>
    </x:row>
    <x:row r="8" ht="22" customHeight="1">
      <x:c r="A8" s="72" t="n">
        <x:v>2</x:v>
      </x:c>
      <x:c r="B8" s="41" t="str">
        <x:v>yuanshi_insect_fast｜迅捷原石虫</x:v>
      </x:c>
      <x:c r="C8" s="41" t="n">
        <x:v>20</x:v>
      </x:c>
      <x:c r="D8" s="41"/>
      <x:c r="E8" s="19" t="str">
        <x:f>IFERROR(VLOOKUP(B8,'敌人目录'!$A$6:$S$54,2,FALSE),"")</x:f>
        <x:v>yuanshi_insect_fast</x:v>
      </x:c>
      <x:c r="F8" s="19" t="n">
        <x:f>IF(OR(B8="",C8=""),"",ROUNDUP(C8*(1+('全局设置'!$B$5-1)*'全局设置'!$B$6),0))</x:f>
        <x:v>20</x:v>
      </x:c>
      <x:c r="G8" s="19" t="n">
        <x:f>IFERROR(VLOOKUP(B8,'敌人目录'!$A$6:$S$54,7,FALSE),"")</x:f>
        <x:v>35</x:v>
      </x:c>
      <x:c r="H8" s="19" t="n">
        <x:f>IFERROR(VLOOKUP(B8,'敌人目录'!$A$6:$S$54,8,FALSE),"")</x:f>
        <x:v>10</x:v>
      </x:c>
      <x:c r="I8" s="19" t="n">
        <x:f>IFERROR(VLOOKUP(B8,'敌人目录'!$A$6:$S$54,9,FALSE),"")</x:f>
        <x:v>0</x:v>
      </x:c>
      <x:c r="J8" s="19" t="n">
        <x:f>IFERROR(VLOOKUP(B8,'敌人目录'!$A$6:$S$54,10,FALSE),"")</x:f>
        <x:v>0</x:v>
      </x:c>
      <x:c r="K8" s="19" t="n">
        <x:f>IFERROR(VLOOKUP(B8,'敌人目录'!$A$6:$S$54,11,FALSE),"")</x:f>
        <x:v>40</x:v>
      </x:c>
      <x:c r="L8" s="19" t="n">
        <x:f>IFERROR(VLOOKUP(B8,'敌人目录'!$A$6:$S$54,12,FALSE),"")</x:f>
        <x:v>1</x:v>
      </x:c>
      <x:c r="M8" s="19" t="n">
        <x:f>IFERROR(VLOOKUP(B8,'敌人目录'!$A$6:$S$54,13,FALSE),"")</x:f>
        <x:v>1</x:v>
      </x:c>
      <x:c r="N8" s="19" t="n">
        <x:f>IF(B8="","",IF(ISNUMBER(D8),D8,IFERROR(VLOOKUP(B8,'敌人目录'!$A$6:$S$54,14,FALSE),"")))</x:f>
        <x:v>1</x:v>
      </x:c>
      <x:c r="O8" s="64" t="n">
        <x:f>IFERROR(VLOOKUP(B8,'敌人目录'!$A$6:$S$54,15,FALSE),"")</x:f>
        <x:v>0.05</x:v>
      </x:c>
      <x:c r="P8" s="19" t="n">
        <x:f>IF(F8="","",F8*G8)</x:f>
        <x:v>700</x:v>
      </x:c>
      <x:c r="Q8" s="19" t="n">
        <x:f>IF(F8="","",F8*L8)</x:f>
        <x:v>20</x:v>
      </x:c>
      <x:c r="R8" s="19" t="n">
        <x:f>IF(F8="","",F8*N8)</x:f>
        <x:v>20</x:v>
      </x:c>
      <x:c r="S8" s="19" t="n">
        <x:f>IF(R8="","",R8*'全局设置'!$B$5)</x:f>
        <x:v>20</x:v>
      </x:c>
      <x:c r="T8" s="73" t="n">
        <x:f>IF(F8="","",F8*O8)</x:f>
        <x:v>1</x:v>
      </x:c>
      <x:c r="U8" s="19" t="str">
        <x:f>IF(AND(B8="",C8=""),"",IF(B8="","缺少敌人",IF(C8="","缺少数量",IF(OR(C8&lt;1,C8&gt;9999,C8&lt;&gt;INT(C8)),"数量无效",IF(COUNTIF($E$7:$E$24,E8)&gt;1,"重复敌人",IF(AND(ISNUMBER(D8),OR(D8&lt;0,D8&gt;999,D8&lt;&gt;INT(D8))),"奖励无效","可导入"))))))</x:f>
        <x:v>可导入</x:v>
      </x:c>
    </x:row>
    <x:row r="9" ht="22" customHeight="1">
      <x:c r="A9" s="72" t="n">
        <x:v>3</x:v>
      </x:c>
      <x:c r="B9" s="41" t="str">
        <x:v>yuanshi_insect_shell｜硬壳原石虫</x:v>
      </x:c>
      <x:c r="C9" s="41" t="n">
        <x:v>20</x:v>
      </x:c>
      <x:c r="D9" s="41"/>
      <x:c r="E9" s="19" t="str">
        <x:f>IFERROR(VLOOKUP(B9,'敌人目录'!$A$6:$S$54,2,FALSE),"")</x:f>
        <x:v>yuanshi_insect_shell</x:v>
      </x:c>
      <x:c r="F9" s="19" t="n">
        <x:f>IF(OR(B9="",C9=""),"",ROUNDUP(C9*(1+('全局设置'!$B$5-1)*'全局设置'!$B$6),0))</x:f>
        <x:v>20</x:v>
      </x:c>
      <x:c r="G9" s="19" t="n">
        <x:f>IFERROR(VLOOKUP(B9,'敌人目录'!$A$6:$S$54,7,FALSE),"")</x:f>
        <x:v>140</x:v>
      </x:c>
      <x:c r="H9" s="19" t="n">
        <x:f>IFERROR(VLOOKUP(B9,'敌人目录'!$A$6:$S$54,8,FALSE),"")</x:f>
        <x:v>14</x:v>
      </x:c>
      <x:c r="I9" s="19" t="n">
        <x:f>IFERROR(VLOOKUP(B9,'敌人目录'!$A$6:$S$54,9,FALSE),"")</x:f>
        <x:v>3</x:v>
      </x:c>
      <x:c r="J9" s="19" t="n">
        <x:f>IFERROR(VLOOKUP(B9,'敌人目录'!$A$6:$S$54,10,FALSE),"")</x:f>
        <x:v>0</x:v>
      </x:c>
      <x:c r="K9" s="19" t="n">
        <x:f>IFERROR(VLOOKUP(B9,'敌人目录'!$A$6:$S$54,11,FALSE),"")</x:f>
        <x:v>20</x:v>
      </x:c>
      <x:c r="L9" s="19" t="n">
        <x:f>IFERROR(VLOOKUP(B9,'敌人目录'!$A$6:$S$54,12,FALSE),"")</x:f>
        <x:v>2</x:v>
      </x:c>
      <x:c r="M9" s="19" t="n">
        <x:f>IFERROR(VLOOKUP(B9,'敌人目录'!$A$6:$S$54,13,FALSE),"")</x:f>
        <x:v>2</x:v>
      </x:c>
      <x:c r="N9" s="19" t="n">
        <x:f>IF(B9="","",IF(ISNUMBER(D9),D9,IFERROR(VLOOKUP(B9,'敌人目录'!$A$6:$S$54,14,FALSE),"")))</x:f>
        <x:v>2</x:v>
      </x:c>
      <x:c r="O9" s="64" t="n">
        <x:f>IFERROR(VLOOKUP(B9,'敌人目录'!$A$6:$S$54,15,FALSE),"")</x:f>
        <x:v>0.05</x:v>
      </x:c>
      <x:c r="P9" s="19" t="n">
        <x:f>IF(F9="","",F9*G9)</x:f>
        <x:v>2800</x:v>
      </x:c>
      <x:c r="Q9" s="19" t="n">
        <x:f>IF(F9="","",F9*L9)</x:f>
        <x:v>40</x:v>
      </x:c>
      <x:c r="R9" s="19" t="n">
        <x:f>IF(F9="","",F9*N9)</x:f>
        <x:v>40</x:v>
      </x:c>
      <x:c r="S9" s="19" t="n">
        <x:f>IF(R9="","",R9*'全局设置'!$B$5)</x:f>
        <x:v>40</x:v>
      </x:c>
      <x:c r="T9" s="73" t="n">
        <x:f>IF(F9="","",F9*O9)</x:f>
        <x:v>1</x:v>
      </x:c>
      <x:c r="U9" s="19" t="str">
        <x:f>IF(AND(B9="",C9=""),"",IF(B9="","缺少敌人",IF(C9="","缺少数量",IF(OR(C9&lt;1,C9&gt;9999,C9&lt;&gt;INT(C9)),"数量无效",IF(COUNTIF($E$7:$E$24,E9)&gt;1,"重复敌人",IF(AND(ISNUMBER(D9),OR(D9&lt;0,D9&gt;999,D9&lt;&gt;INT(D9))),"奖励无效","可导入"))))))</x:f>
        <x:v>可导入</x:v>
      </x:c>
    </x:row>
    <x:row r="10" ht="22" customHeight="1">
      <x:c r="A10" s="72" t="n">
        <x:v>4</x:v>
      </x:c>
      <x:c r="B10" s="41" t="str">
        <x:v>yuanshi_insect_bomber｜自爆原石虫</x:v>
      </x:c>
      <x:c r="C10" s="41" t="n">
        <x:v>16</x:v>
      </x:c>
      <x:c r="D10" s="41"/>
      <x:c r="E10" s="19" t="str">
        <x:f>IFERROR(VLOOKUP(B10,'敌人目录'!$A$6:$S$54,2,FALSE),"")</x:f>
        <x:v>yuanshi_insect_bomber</x:v>
      </x:c>
      <x:c r="F10" s="19" t="n">
        <x:f>IF(OR(B10="",C10=""),"",ROUNDUP(C10*(1+('全局设置'!$B$5-1)*'全局设置'!$B$6),0))</x:f>
        <x:v>16</x:v>
      </x:c>
      <x:c r="G10" s="19" t="n">
        <x:f>IFERROR(VLOOKUP(B10,'敌人目录'!$A$6:$S$54,7,FALSE),"")</x:f>
        <x:v>30</x:v>
      </x:c>
      <x:c r="H10" s="19" t="n">
        <x:f>IFERROR(VLOOKUP(B10,'敌人目录'!$A$6:$S$54,8,FALSE),"")</x:f>
        <x:v>10</x:v>
      </x:c>
      <x:c r="I10" s="19" t="n">
        <x:f>IFERROR(VLOOKUP(B10,'敌人目录'!$A$6:$S$54,9,FALSE),"")</x:f>
        <x:v>0</x:v>
      </x:c>
      <x:c r="J10" s="19" t="n">
        <x:f>IFERROR(VLOOKUP(B10,'敌人目录'!$A$6:$S$54,10,FALSE),"")</x:f>
        <x:v>0</x:v>
      </x:c>
      <x:c r="K10" s="19" t="n">
        <x:f>IFERROR(VLOOKUP(B10,'敌人目录'!$A$6:$S$54,11,FALSE),"")</x:f>
        <x:v>18</x:v>
      </x:c>
      <x:c r="L10" s="19" t="n">
        <x:f>IFERROR(VLOOKUP(B10,'敌人目录'!$A$6:$S$54,12,FALSE),"")</x:f>
        <x:v>1</x:v>
      </x:c>
      <x:c r="M10" s="19" t="n">
        <x:f>IFERROR(VLOOKUP(B10,'敌人目录'!$A$6:$S$54,13,FALSE),"")</x:f>
        <x:v>1</x:v>
      </x:c>
      <x:c r="N10" s="19" t="n">
        <x:f>IF(B10="","",IF(ISNUMBER(D10),D10,IFERROR(VLOOKUP(B10,'敌人目录'!$A$6:$S$54,14,FALSE),"")))</x:f>
        <x:v>1</x:v>
      </x:c>
      <x:c r="O10" s="64" t="n">
        <x:f>IFERROR(VLOOKUP(B10,'敌人目录'!$A$6:$S$54,15,FALSE),"")</x:f>
        <x:v>0.05</x:v>
      </x:c>
      <x:c r="P10" s="19" t="n">
        <x:f>IF(F10="","",F10*G10)</x:f>
        <x:v>480</x:v>
      </x:c>
      <x:c r="Q10" s="19" t="n">
        <x:f>IF(F10="","",F10*L10)</x:f>
        <x:v>16</x:v>
      </x:c>
      <x:c r="R10" s="19" t="n">
        <x:f>IF(F10="","",F10*N10)</x:f>
        <x:v>16</x:v>
      </x:c>
      <x:c r="S10" s="19" t="n">
        <x:f>IF(R10="","",R10*'全局设置'!$B$5)</x:f>
        <x:v>16</x:v>
      </x:c>
      <x:c r="T10" s="73" t="n">
        <x:f>IF(F10="","",F10*O10)</x:f>
        <x:v>0.8</x:v>
      </x:c>
      <x:c r="U10" s="19" t="str">
        <x:f>IF(AND(B10="",C10=""),"",IF(B10="","缺少敌人",IF(C10="","缺少数量",IF(OR(C10&lt;1,C10&gt;9999,C10&lt;&gt;INT(C10)),"数量无效",IF(COUNTIF($E$7:$E$24,E10)&gt;1,"重复敌人",IF(AND(ISNUMBER(D10),OR(D10&lt;0,D10&gt;999,D10&lt;&gt;INT(D10))),"奖励无效","可导入"))))))</x:f>
        <x:v>可导入</x:v>
      </x:c>
    </x:row>
    <x:row r="11" ht="22" customHeight="1">
      <x:c r="A11" s="72" t="n">
        <x:v>5</x:v>
      </x:c>
      <x:c r="B11" s="41" t="str">
        <x:v>yuanshi_insect_purple_bomber｜紫晶自爆原石虫</x:v>
      </x:c>
      <x:c r="C11" s="41" t="n">
        <x:v>12</x:v>
      </x:c>
      <x:c r="D11" s="41"/>
      <x:c r="E11" s="19" t="str">
        <x:f>IFERROR(VLOOKUP(B11,'敌人目录'!$A$6:$S$54,2,FALSE),"")</x:f>
        <x:v>yuanshi_insect_purple_bomber</x:v>
      </x:c>
      <x:c r="F11" s="19" t="n">
        <x:f>IF(OR(B11="",C11=""),"",ROUNDUP(C11*(1+('全局设置'!$B$5-1)*'全局设置'!$B$6),0))</x:f>
        <x:v>12</x:v>
      </x:c>
      <x:c r="G11" s="19" t="n">
        <x:f>IFERROR(VLOOKUP(B11,'敌人目录'!$A$6:$S$54,7,FALSE),"")</x:f>
        <x:v>40</x:v>
      </x:c>
      <x:c r="H11" s="19" t="n">
        <x:f>IFERROR(VLOOKUP(B11,'敌人目录'!$A$6:$S$54,8,FALSE),"")</x:f>
        <x:v>10</x:v>
      </x:c>
      <x:c r="I11" s="19" t="n">
        <x:f>IFERROR(VLOOKUP(B11,'敌人目录'!$A$6:$S$54,9,FALSE),"")</x:f>
        <x:v>0</x:v>
      </x:c>
      <x:c r="J11" s="19" t="n">
        <x:f>IFERROR(VLOOKUP(B11,'敌人目录'!$A$6:$S$54,10,FALSE),"")</x:f>
        <x:v>0</x:v>
      </x:c>
      <x:c r="K11" s="19" t="n">
        <x:f>IFERROR(VLOOKUP(B11,'敌人目录'!$A$6:$S$54,11,FALSE),"")</x:f>
        <x:v>32</x:v>
      </x:c>
      <x:c r="L11" s="19" t="n">
        <x:f>IFERROR(VLOOKUP(B11,'敌人目录'!$A$6:$S$54,12,FALSE),"")</x:f>
        <x:v>1</x:v>
      </x:c>
      <x:c r="M11" s="19" t="n">
        <x:f>IFERROR(VLOOKUP(B11,'敌人目录'!$A$6:$S$54,13,FALSE),"")</x:f>
        <x:v>2</x:v>
      </x:c>
      <x:c r="N11" s="19" t="n">
        <x:f>IF(B11="","",IF(ISNUMBER(D11),D11,IFERROR(VLOOKUP(B11,'敌人目录'!$A$6:$S$54,14,FALSE),"")))</x:f>
        <x:v>2</x:v>
      </x:c>
      <x:c r="O11" s="64" t="n">
        <x:f>IFERROR(VLOOKUP(B11,'敌人目录'!$A$6:$S$54,15,FALSE),"")</x:f>
        <x:v>0.05</x:v>
      </x:c>
      <x:c r="P11" s="19" t="n">
        <x:f>IF(F11="","",F11*G11)</x:f>
        <x:v>480</x:v>
      </x:c>
      <x:c r="Q11" s="19" t="n">
        <x:f>IF(F11="","",F11*L11)</x:f>
        <x:v>12</x:v>
      </x:c>
      <x:c r="R11" s="19" t="n">
        <x:f>IF(F11="","",F11*N11)</x:f>
        <x:v>24</x:v>
      </x:c>
      <x:c r="S11" s="19" t="n">
        <x:f>IF(R11="","",R11*'全局设置'!$B$5)</x:f>
        <x:v>24</x:v>
      </x:c>
      <x:c r="T11" s="73" t="n">
        <x:f>IF(F11="","",F11*O11)</x:f>
        <x:v>0.6000000000000001</x:v>
      </x:c>
      <x:c r="U11" s="19" t="str">
        <x:f>IF(AND(B11="",C11=""),"",IF(B11="","缺少敌人",IF(C11="","缺少数量",IF(OR(C11&lt;1,C11&gt;9999,C11&lt;&gt;INT(C11)),"数量无效",IF(COUNTIF($E$7:$E$24,E11)&gt;1,"重复敌人",IF(AND(ISNUMBER(D11),OR(D11&lt;0,D11&gt;999,D11&lt;&gt;INT(D11))),"奖励无效","可导入"))))))</x:f>
        <x:v>可导入</x:v>
      </x:c>
    </x:row>
    <x:row r="12" ht="22" customHeight="1">
      <x:c r="A12" s="72" t="n">
        <x:v>6</x:v>
      </x:c>
      <x:c r="B12" s="41" t="str">
        <x:v>yuanshi_insect_fire_ranged｜火焰弹原石虫</x:v>
      </x:c>
      <x:c r="C12" s="41" t="n">
        <x:v>20</x:v>
      </x:c>
      <x:c r="D12" s="41"/>
      <x:c r="E12" s="19" t="str">
        <x:f>IFERROR(VLOOKUP(B12,'敌人目录'!$A$6:$S$54,2,FALSE),"")</x:f>
        <x:v>yuanshi_insect_fire_ranged</x:v>
      </x:c>
      <x:c r="F12" s="19" t="n">
        <x:f>IF(OR(B12="",C12=""),"",ROUNDUP(C12*(1+('全局设置'!$B$5-1)*'全局设置'!$B$6),0))</x:f>
        <x:v>20</x:v>
      </x:c>
      <x:c r="G12" s="19" t="n">
        <x:f>IFERROR(VLOOKUP(B12,'敌人目录'!$A$6:$S$54,7,FALSE),"")</x:f>
        <x:v>40</x:v>
      </x:c>
      <x:c r="H12" s="19" t="n">
        <x:f>IFERROR(VLOOKUP(B12,'敌人目录'!$A$6:$S$54,8,FALSE),"")</x:f>
        <x:v>25</x:v>
      </x:c>
      <x:c r="I12" s="19" t="n">
        <x:f>IFERROR(VLOOKUP(B12,'敌人目录'!$A$6:$S$54,9,FALSE),"")</x:f>
        <x:v>0</x:v>
      </x:c>
      <x:c r="J12" s="19" t="n">
        <x:f>IFERROR(VLOOKUP(B12,'敌人目录'!$A$6:$S$54,10,FALSE),"")</x:f>
        <x:v>0</x:v>
      </x:c>
      <x:c r="K12" s="19" t="n">
        <x:f>IFERROR(VLOOKUP(B12,'敌人目录'!$A$6:$S$54,11,FALSE),"")</x:f>
        <x:v>22</x:v>
      </x:c>
      <x:c r="L12" s="19" t="n">
        <x:f>IFERROR(VLOOKUP(B12,'敌人目录'!$A$6:$S$54,12,FALSE),"")</x:f>
        <x:v>2</x:v>
      </x:c>
      <x:c r="M12" s="19" t="n">
        <x:f>IFERROR(VLOOKUP(B12,'敌人目录'!$A$6:$S$54,13,FALSE),"")</x:f>
        <x:v>1</x:v>
      </x:c>
      <x:c r="N12" s="19" t="n">
        <x:f>IF(B12="","",IF(ISNUMBER(D12),D12,IFERROR(VLOOKUP(B12,'敌人目录'!$A$6:$S$54,14,FALSE),"")))</x:f>
        <x:v>1</x:v>
      </x:c>
      <x:c r="O12" s="64" t="n">
        <x:f>IFERROR(VLOOKUP(B12,'敌人目录'!$A$6:$S$54,15,FALSE),"")</x:f>
        <x:v>0.05</x:v>
      </x:c>
      <x:c r="P12" s="19" t="n">
        <x:f>IF(F12="","",F12*G12)</x:f>
        <x:v>800</x:v>
      </x:c>
      <x:c r="Q12" s="19" t="n">
        <x:f>IF(F12="","",F12*L12)</x:f>
        <x:v>40</x:v>
      </x:c>
      <x:c r="R12" s="19" t="n">
        <x:f>IF(F12="","",F12*N12)</x:f>
        <x:v>20</x:v>
      </x:c>
      <x:c r="S12" s="19" t="n">
        <x:f>IF(R12="","",R12*'全局设置'!$B$5)</x:f>
        <x:v>20</x:v>
      </x:c>
      <x:c r="T12" s="73" t="n">
        <x:f>IF(F12="","",F12*O12)</x:f>
        <x:v>1</x:v>
      </x:c>
      <x:c r="U12" s="19" t="str">
        <x:f>IF(AND(B12="",C12=""),"",IF(B12="","缺少敌人",IF(C12="","缺少数量",IF(OR(C12&lt;1,C12&gt;9999,C12&lt;&gt;INT(C12)),"数量无效",IF(COUNTIF($E$7:$E$24,E12)&gt;1,"重复敌人",IF(AND(ISNUMBER(D12),OR(D12&lt;0,D12&gt;999,D12&lt;&gt;INT(D12))),"奖励无效","可导入"))))))</x:f>
        <x:v>可导入</x:v>
      </x:c>
    </x:row>
    <x:row r="13" ht="22" customHeight="1">
      <x:c r="A13" s="72" t="n">
        <x:v>7</x:v>
      </x:c>
      <x:c r="B13" s="41" t="str">
        <x:v>yuanshi_insect_green_shell｜翠壳原石虫</x:v>
      </x:c>
      <x:c r="C13" s="41" t="n">
        <x:v>16</x:v>
      </x:c>
      <x:c r="D13" s="41"/>
      <x:c r="E13" s="19" t="str">
        <x:f>IFERROR(VLOOKUP(B13,'敌人目录'!$A$6:$S$54,2,FALSE),"")</x:f>
        <x:v>yuanshi_insect_green_shell</x:v>
      </x:c>
      <x:c r="F13" s="19" t="n">
        <x:f>IF(OR(B13="",C13=""),"",ROUNDUP(C13*(1+('全局设置'!$B$5-1)*'全局设置'!$B$6),0))</x:f>
        <x:v>16</x:v>
      </x:c>
      <x:c r="G13" s="19" t="n">
        <x:f>IFERROR(VLOOKUP(B13,'敌人目录'!$A$6:$S$54,7,FALSE),"")</x:f>
        <x:v>200</x:v>
      </x:c>
      <x:c r="H13" s="19" t="n">
        <x:f>IFERROR(VLOOKUP(B13,'敌人目录'!$A$6:$S$54,8,FALSE),"")</x:f>
        <x:v>20</x:v>
      </x:c>
      <x:c r="I13" s="19" t="n">
        <x:f>IFERROR(VLOOKUP(B13,'敌人目录'!$A$6:$S$54,9,FALSE),"")</x:f>
        <x:v>5</x:v>
      </x:c>
      <x:c r="J13" s="19" t="n">
        <x:f>IFERROR(VLOOKUP(B13,'敌人目录'!$A$6:$S$54,10,FALSE),"")</x:f>
        <x:v>0</x:v>
      </x:c>
      <x:c r="K13" s="19" t="n">
        <x:f>IFERROR(VLOOKUP(B13,'敌人目录'!$A$6:$S$54,11,FALSE),"")</x:f>
        <x:v>15</x:v>
      </x:c>
      <x:c r="L13" s="19" t="n">
        <x:f>IFERROR(VLOOKUP(B13,'敌人目录'!$A$6:$S$54,12,FALSE),"")</x:f>
        <x:v>5</x:v>
      </x:c>
      <x:c r="M13" s="19" t="n">
        <x:f>IFERROR(VLOOKUP(B13,'敌人目录'!$A$6:$S$54,13,FALSE),"")</x:f>
        <x:v>2</x:v>
      </x:c>
      <x:c r="N13" s="19" t="n">
        <x:f>IF(B13="","",IF(ISNUMBER(D13),D13,IFERROR(VLOOKUP(B13,'敌人目录'!$A$6:$S$54,14,FALSE),"")))</x:f>
        <x:v>2</x:v>
      </x:c>
      <x:c r="O13" s="64" t="n">
        <x:f>IFERROR(VLOOKUP(B13,'敌人目录'!$A$6:$S$54,15,FALSE),"")</x:f>
        <x:v>0.05</x:v>
      </x:c>
      <x:c r="P13" s="19" t="n">
        <x:f>IF(F13="","",F13*G13)</x:f>
        <x:v>3200</x:v>
      </x:c>
      <x:c r="Q13" s="19" t="n">
        <x:f>IF(F13="","",F13*L13)</x:f>
        <x:v>80</x:v>
      </x:c>
      <x:c r="R13" s="19" t="n">
        <x:f>IF(F13="","",F13*N13)</x:f>
        <x:v>32</x:v>
      </x:c>
      <x:c r="S13" s="19" t="n">
        <x:f>IF(R13="","",R13*'全局设置'!$B$5)</x:f>
        <x:v>32</x:v>
      </x:c>
      <x:c r="T13" s="73" t="n">
        <x:f>IF(F13="","",F13*O13)</x:f>
        <x:v>0.8</x:v>
      </x:c>
      <x:c r="U13" s="19" t="str">
        <x:f>IF(AND(B13="",C13=""),"",IF(B13="","缺少敌人",IF(C13="","缺少数量",IF(OR(C13&lt;1,C13&gt;9999,C13&lt;&gt;INT(C13)),"数量无效",IF(COUNTIF($E$7:$E$24,E13)&gt;1,"重复敌人",IF(AND(ISNUMBER(D13),OR(D13&lt;0,D13&gt;999,D13&lt;&gt;INT(D13))),"奖励无效","可导入"))))))</x:f>
        <x:v>可导入</x:v>
      </x:c>
    </x:row>
    <x:row r="14" ht="22" customHeight="1">
      <x:c r="A14" s="72" t="n">
        <x:v>8</x:v>
      </x:c>
      <x:c r="B14" s="41" t="str">
        <x:v>yuanshi_insect_guardian｜守护者原石虫</x:v>
      </x:c>
      <x:c r="C14" s="41" t="n">
        <x:v>12</x:v>
      </x:c>
      <x:c r="D14" s="41"/>
      <x:c r="E14" s="19" t="str">
        <x:f>IFERROR(VLOOKUP(B14,'敌人目录'!$A$6:$S$54,2,FALSE),"")</x:f>
        <x:v>yuanshi_insect_guardian</x:v>
      </x:c>
      <x:c r="F14" s="19" t="n">
        <x:f>IF(OR(B14="",C14=""),"",ROUNDUP(C14*(1+('全局设置'!$B$5-1)*'全局设置'!$B$6),0))</x:f>
        <x:v>12</x:v>
      </x:c>
      <x:c r="G14" s="19" t="n">
        <x:f>IFERROR(VLOOKUP(B14,'敌人目录'!$A$6:$S$54,7,FALSE),"")</x:f>
        <x:v>150</x:v>
      </x:c>
      <x:c r="H14" s="19" t="n">
        <x:f>IFERROR(VLOOKUP(B14,'敌人目录'!$A$6:$S$54,8,FALSE),"")</x:f>
        <x:v>10</x:v>
      </x:c>
      <x:c r="I14" s="19" t="n">
        <x:f>IFERROR(VLOOKUP(B14,'敌人目录'!$A$6:$S$54,9,FALSE),"")</x:f>
        <x:v>5</x:v>
      </x:c>
      <x:c r="J14" s="19" t="n">
        <x:f>IFERROR(VLOOKUP(B14,'敌人目录'!$A$6:$S$54,10,FALSE),"")</x:f>
        <x:v>0</x:v>
      </x:c>
      <x:c r="K14" s="19" t="n">
        <x:f>IFERROR(VLOOKUP(B14,'敌人目录'!$A$6:$S$54,11,FALSE),"")</x:f>
        <x:v>20</x:v>
      </x:c>
      <x:c r="L14" s="19" t="n">
        <x:f>IFERROR(VLOOKUP(B14,'敌人目录'!$A$6:$S$54,12,FALSE),"")</x:f>
        <x:v>5</x:v>
      </x:c>
      <x:c r="M14" s="19" t="n">
        <x:f>IFERROR(VLOOKUP(B14,'敌人目录'!$A$6:$S$54,13,FALSE),"")</x:f>
        <x:v>2</x:v>
      </x:c>
      <x:c r="N14" s="19" t="n">
        <x:f>IF(B14="","",IF(ISNUMBER(D14),D14,IFERROR(VLOOKUP(B14,'敌人目录'!$A$6:$S$54,14,FALSE),"")))</x:f>
        <x:v>2</x:v>
      </x:c>
      <x:c r="O14" s="64" t="n">
        <x:f>IFERROR(VLOOKUP(B14,'敌人目录'!$A$6:$S$54,15,FALSE),"")</x:f>
        <x:v>0.05</x:v>
      </x:c>
      <x:c r="P14" s="19" t="n">
        <x:f>IF(F14="","",F14*G14)</x:f>
        <x:v>1800</x:v>
      </x:c>
      <x:c r="Q14" s="19" t="n">
        <x:f>IF(F14="","",F14*L14)</x:f>
        <x:v>60</x:v>
      </x:c>
      <x:c r="R14" s="19" t="n">
        <x:f>IF(F14="","",F14*N14)</x:f>
        <x:v>24</x:v>
      </x:c>
      <x:c r="S14" s="19" t="n">
        <x:f>IF(R14="","",R14*'全局设置'!$B$5)</x:f>
        <x:v>24</x:v>
      </x:c>
      <x:c r="T14" s="73" t="n">
        <x:f>IF(F14="","",F14*O14)</x:f>
        <x:v>0.6000000000000001</x:v>
      </x:c>
      <x:c r="U14" s="19" t="str">
        <x:f>IF(AND(B14="",C14=""),"",IF(B14="","缺少敌人",IF(C14="","缺少数量",IF(OR(C14&lt;1,C14&gt;9999,C14&lt;&gt;INT(C14)),"数量无效",IF(COUNTIF($E$7:$E$24,E14)&gt;1,"重复敌人",IF(AND(ISNUMBER(D14),OR(D14&lt;0,D14&gt;999,D14&lt;&gt;INT(D14))),"奖励无效","可导入"))))))</x:f>
        <x:v>可导入</x:v>
      </x:c>
    </x:row>
    <x:row r="15" ht="22" customHeight="1">
      <x:c r="A15" s="72" t="n">
        <x:v>9</x:v>
      </x:c>
      <x:c r="B15" s="41" t="str">
        <x:v>capoo_knight｜骑士猫猫虫</x:v>
      </x:c>
      <x:c r="C15" s="41" t="n">
        <x:v>2</x:v>
      </x:c>
      <x:c r="D15" s="41"/>
      <x:c r="E15" s="19" t="str">
        <x:f>IFERROR(VLOOKUP(B15,'敌人目录'!$A$6:$S$54,2,FALSE),"")</x:f>
        <x:v>capoo_knight</x:v>
      </x:c>
      <x:c r="F15" s="19" t="n">
        <x:f>IF(OR(B15="",C15=""),"",ROUNDUP(C15*(1+('全局设置'!$B$5-1)*'全局设置'!$B$6),0))</x:f>
        <x:v>2</x:v>
      </x:c>
      <x:c r="G15" s="19" t="n">
        <x:f>IFERROR(VLOOKUP(B15,'敌人目录'!$A$6:$S$54,7,FALSE),"")</x:f>
        <x:v>200</x:v>
      </x:c>
      <x:c r="H15" s="19" t="n">
        <x:f>IFERROR(VLOOKUP(B15,'敌人目录'!$A$6:$S$54,8,FALSE),"")</x:f>
        <x:v>28</x:v>
      </x:c>
      <x:c r="I15" s="19" t="n">
        <x:f>IFERROR(VLOOKUP(B15,'敌人目录'!$A$6:$S$54,9,FALSE),"")</x:f>
        <x:v>10</x:v>
      </x:c>
      <x:c r="J15" s="19" t="n">
        <x:f>IFERROR(VLOOKUP(B15,'敌人目录'!$A$6:$S$54,10,FALSE),"")</x:f>
        <x:v>0</x:v>
      </x:c>
      <x:c r="K15" s="19" t="n">
        <x:f>IFERROR(VLOOKUP(B15,'敌人目录'!$A$6:$S$54,11,FALSE),"")</x:f>
        <x:v>34</x:v>
      </x:c>
      <x:c r="L15" s="19" t="n">
        <x:f>IFERROR(VLOOKUP(B15,'敌人目录'!$A$6:$S$54,12,FALSE),"")</x:f>
        <x:v>5</x:v>
      </x:c>
      <x:c r="M15" s="19" t="n">
        <x:f>IFERROR(VLOOKUP(B15,'敌人目录'!$A$6:$S$54,13,FALSE),"")</x:f>
        <x:v>20</x:v>
      </x:c>
      <x:c r="N15" s="19" t="n">
        <x:f>IF(B15="","",IF(ISNUMBER(D15),D15,IFERROR(VLOOKUP(B15,'敌人目录'!$A$6:$S$54,14,FALSE),"")))</x:f>
        <x:v>20</x:v>
      </x:c>
      <x:c r="O15" s="64" t="n">
        <x:f>IFERROR(VLOOKUP(B15,'敌人目录'!$A$6:$S$54,15,FALSE),"")</x:f>
        <x:v>0.06</x:v>
      </x:c>
      <x:c r="P15" s="19" t="n">
        <x:f>IF(F15="","",F15*G15)</x:f>
        <x:v>400</x:v>
      </x:c>
      <x:c r="Q15" s="19" t="n">
        <x:f>IF(F15="","",F15*L15)</x:f>
        <x:v>10</x:v>
      </x:c>
      <x:c r="R15" s="19" t="n">
        <x:f>IF(F15="","",F15*N15)</x:f>
        <x:v>40</x:v>
      </x:c>
      <x:c r="S15" s="19" t="n">
        <x:f>IF(R15="","",R15*'全局设置'!$B$5)</x:f>
        <x:v>40</x:v>
      </x:c>
      <x:c r="T15" s="73" t="n">
        <x:f>IF(F15="","",F15*O15)</x:f>
        <x:v>0.12</x:v>
      </x:c>
      <x:c r="U15" s="19" t="str">
        <x:f>IF(AND(B15="",C15=""),"",IF(B15="","缺少敌人",IF(C15="","缺少数量",IF(OR(C15&lt;1,C15&gt;9999,C15&lt;&gt;INT(C15)),"数量无效",IF(COUNTIF($E$7:$E$24,E15)&gt;1,"重复敌人",IF(AND(ISNUMBER(D15),OR(D15&lt;0,D15&gt;999,D15&lt;&gt;INT(D15))),"奖励无效","可导入"))))))</x:f>
        <x:v>可导入</x:v>
      </x:c>
    </x:row>
    <x:row r="16" ht="22" customHeight="1">
      <x:c r="A16" s="72" t="n">
        <x:v>10</x:v>
      </x:c>
      <x:c r="B16" s="41"/>
      <x:c r="C16" s="41"/>
      <x:c r="D16" s="41"/>
      <x:c r="E16" s="19" t="str">
        <x:f>IFERROR(VLOOKUP(B16,'敌人目录'!$A$6:$S$54,2,FALSE),"")</x:f>
      </x:c>
      <x:c r="F16" s="19" t="str">
        <x:f>IF(OR(B16="",C16=""),"",ROUNDUP(C16*(1+('全局设置'!$B$5-1)*'全局设置'!$B$6),0))</x:f>
      </x:c>
      <x:c r="G16" s="19" t="str">
        <x:f>IFERROR(VLOOKUP(B16,'敌人目录'!$A$6:$S$54,7,FALSE),"")</x:f>
      </x:c>
      <x:c r="H16" s="19" t="str">
        <x:f>IFERROR(VLOOKUP(B16,'敌人目录'!$A$6:$S$54,8,FALSE),"")</x:f>
      </x:c>
      <x:c r="I16" s="19" t="str">
        <x:f>IFERROR(VLOOKUP(B16,'敌人目录'!$A$6:$S$54,9,FALSE),"")</x:f>
      </x:c>
      <x:c r="J16" s="19" t="str">
        <x:f>IFERROR(VLOOKUP(B16,'敌人目录'!$A$6:$S$54,10,FALSE),"")</x:f>
      </x:c>
      <x:c r="K16" s="19" t="str">
        <x:f>IFERROR(VLOOKUP(B16,'敌人目录'!$A$6:$S$54,11,FALSE),"")</x:f>
      </x:c>
      <x:c r="L16" s="19" t="str">
        <x:f>IFERROR(VLOOKUP(B16,'敌人目录'!$A$6:$S$54,12,FALSE),"")</x:f>
      </x:c>
      <x:c r="M16" s="19" t="str">
        <x:f>IFERROR(VLOOKUP(B16,'敌人目录'!$A$6:$S$54,13,FALSE),"")</x:f>
      </x:c>
      <x:c r="N16" s="19" t="str">
        <x:f>IF(B16="","",IF(ISNUMBER(D16),D16,IFERROR(VLOOKUP(B16,'敌人目录'!$A$6:$S$54,14,FALSE),"")))</x:f>
      </x:c>
      <x:c r="O16" s="64" t="str">
        <x:f>IFERROR(VLOOKUP(B16,'敌人目录'!$A$6:$S$54,15,FALSE),"")</x:f>
      </x:c>
      <x:c r="P16" s="19" t="str">
        <x:f>IF(F16="","",F16*G16)</x:f>
      </x:c>
      <x:c r="Q16" s="19" t="str">
        <x:f>IF(F16="","",F16*L16)</x:f>
      </x:c>
      <x:c r="R16" s="19" t="str">
        <x:f>IF(F16="","",F16*N16)</x:f>
      </x:c>
      <x:c r="S16" s="19" t="str">
        <x:f>IF(R16="","",R16*'全局设置'!$B$5)</x:f>
      </x:c>
      <x:c r="T16" s="73" t="str">
        <x:f>IF(F16="","",F16*O16)</x:f>
      </x:c>
      <x:c r="U16" s="19" t="str">
        <x:f>IF(AND(B16="",C16=""),"",IF(B16="","缺少敌人",IF(C16="","缺少数量",IF(OR(C16&lt;1,C16&gt;9999,C16&lt;&gt;INT(C16)),"数量无效",IF(COUNTIF($E$7:$E$24,E16)&gt;1,"重复敌人",IF(AND(ISNUMBER(D16),OR(D16&lt;0,D16&gt;999,D16&lt;&gt;INT(D16))),"奖励无效","可导入"))))))</x:f>
      </x:c>
    </x:row>
    <x:row r="17" ht="22" customHeight="1">
      <x:c r="A17" s="72" t="n">
        <x:v>11</x:v>
      </x:c>
      <x:c r="B17" s="41"/>
      <x:c r="C17" s="41"/>
      <x:c r="D17" s="41"/>
      <x:c r="E17" s="19" t="str">
        <x:f>IFERROR(VLOOKUP(B17,'敌人目录'!$A$6:$S$54,2,FALSE),"")</x:f>
      </x:c>
      <x:c r="F17" s="19" t="str">
        <x:f>IF(OR(B17="",C17=""),"",ROUNDUP(C17*(1+('全局设置'!$B$5-1)*'全局设置'!$B$6),0))</x:f>
      </x:c>
      <x:c r="G17" s="19" t="str">
        <x:f>IFERROR(VLOOKUP(B17,'敌人目录'!$A$6:$S$54,7,FALSE),"")</x:f>
      </x:c>
      <x:c r="H17" s="19" t="str">
        <x:f>IFERROR(VLOOKUP(B17,'敌人目录'!$A$6:$S$54,8,FALSE),"")</x:f>
      </x:c>
      <x:c r="I17" s="19" t="str">
        <x:f>IFERROR(VLOOKUP(B17,'敌人目录'!$A$6:$S$54,9,FALSE),"")</x:f>
      </x:c>
      <x:c r="J17" s="19" t="str">
        <x:f>IFERROR(VLOOKUP(B17,'敌人目录'!$A$6:$S$54,10,FALSE),"")</x:f>
      </x:c>
      <x:c r="K17" s="19" t="str">
        <x:f>IFERROR(VLOOKUP(B17,'敌人目录'!$A$6:$S$54,11,FALSE),"")</x:f>
      </x:c>
      <x:c r="L17" s="19" t="str">
        <x:f>IFERROR(VLOOKUP(B17,'敌人目录'!$A$6:$S$54,12,FALSE),"")</x:f>
      </x:c>
      <x:c r="M17" s="19" t="str">
        <x:f>IFERROR(VLOOKUP(B17,'敌人目录'!$A$6:$S$54,13,FALSE),"")</x:f>
      </x:c>
      <x:c r="N17" s="19" t="str">
        <x:f>IF(B17="","",IF(ISNUMBER(D17),D17,IFERROR(VLOOKUP(B17,'敌人目录'!$A$6:$S$54,14,FALSE),"")))</x:f>
      </x:c>
      <x:c r="O17" s="64" t="str">
        <x:f>IFERROR(VLOOKUP(B17,'敌人目录'!$A$6:$S$54,15,FALSE),"")</x:f>
      </x:c>
      <x:c r="P17" s="19" t="str">
        <x:f>IF(F17="","",F17*G17)</x:f>
      </x:c>
      <x:c r="Q17" s="19" t="str">
        <x:f>IF(F17="","",F17*L17)</x:f>
      </x:c>
      <x:c r="R17" s="19" t="str">
        <x:f>IF(F17="","",F17*N17)</x:f>
      </x:c>
      <x:c r="S17" s="19" t="str">
        <x:f>IF(R17="","",R17*'全局设置'!$B$5)</x:f>
      </x:c>
      <x:c r="T17" s="73" t="str">
        <x:f>IF(F17="","",F17*O17)</x:f>
      </x:c>
      <x:c r="U17" s="19" t="str">
        <x:f>IF(AND(B17="",C17=""),"",IF(B17="","缺少敌人",IF(C17="","缺少数量",IF(OR(C17&lt;1,C17&gt;9999,C17&lt;&gt;INT(C17)),"数量无效",IF(COUNTIF($E$7:$E$24,E17)&gt;1,"重复敌人",IF(AND(ISNUMBER(D17),OR(D17&lt;0,D17&gt;999,D17&lt;&gt;INT(D17))),"奖励无效","可导入"))))))</x:f>
      </x:c>
    </x:row>
    <x:row r="18" ht="22" customHeight="1">
      <x:c r="A18" s="72" t="n">
        <x:v>12</x:v>
      </x:c>
      <x:c r="B18" s="41"/>
      <x:c r="C18" s="41"/>
      <x:c r="D18" s="41"/>
      <x:c r="E18" s="19" t="str">
        <x:f>IFERROR(VLOOKUP(B18,'敌人目录'!$A$6:$S$54,2,FALSE),"")</x:f>
      </x:c>
      <x:c r="F18" s="19" t="str">
        <x:f>IF(OR(B18="",C18=""),"",ROUNDUP(C18*(1+('全局设置'!$B$5-1)*'全局设置'!$B$6),0))</x:f>
      </x:c>
      <x:c r="G18" s="19" t="str">
        <x:f>IFERROR(VLOOKUP(B18,'敌人目录'!$A$6:$S$54,7,FALSE),"")</x:f>
      </x:c>
      <x:c r="H18" s="19" t="str">
        <x:f>IFERROR(VLOOKUP(B18,'敌人目录'!$A$6:$S$54,8,FALSE),"")</x:f>
      </x:c>
      <x:c r="I18" s="19" t="str">
        <x:f>IFERROR(VLOOKUP(B18,'敌人目录'!$A$6:$S$54,9,FALSE),"")</x:f>
      </x:c>
      <x:c r="J18" s="19" t="str">
        <x:f>IFERROR(VLOOKUP(B18,'敌人目录'!$A$6:$S$54,10,FALSE),"")</x:f>
      </x:c>
      <x:c r="K18" s="19" t="str">
        <x:f>IFERROR(VLOOKUP(B18,'敌人目录'!$A$6:$S$54,11,FALSE),"")</x:f>
      </x:c>
      <x:c r="L18" s="19" t="str">
        <x:f>IFERROR(VLOOKUP(B18,'敌人目录'!$A$6:$S$54,12,FALSE),"")</x:f>
      </x:c>
      <x:c r="M18" s="19" t="str">
        <x:f>IFERROR(VLOOKUP(B18,'敌人目录'!$A$6:$S$54,13,FALSE),"")</x:f>
      </x:c>
      <x:c r="N18" s="19" t="str">
        <x:f>IF(B18="","",IF(ISNUMBER(D18),D18,IFERROR(VLOOKUP(B18,'敌人目录'!$A$6:$S$54,14,FALSE),"")))</x:f>
      </x:c>
      <x:c r="O18" s="64" t="str">
        <x:f>IFERROR(VLOOKUP(B18,'敌人目录'!$A$6:$S$54,15,FALSE),"")</x:f>
      </x:c>
      <x:c r="P18" s="19" t="str">
        <x:f>IF(F18="","",F18*G18)</x:f>
      </x:c>
      <x:c r="Q18" s="19" t="str">
        <x:f>IF(F18="","",F18*L18)</x:f>
      </x:c>
      <x:c r="R18" s="19" t="str">
        <x:f>IF(F18="","",F18*N18)</x:f>
      </x:c>
      <x:c r="S18" s="19" t="str">
        <x:f>IF(R18="","",R18*'全局设置'!$B$5)</x:f>
      </x:c>
      <x:c r="T18" s="73" t="str">
        <x:f>IF(F18="","",F18*O18)</x:f>
      </x:c>
      <x:c r="U18" s="19" t="str">
        <x:f>IF(AND(B18="",C18=""),"",IF(B18="","缺少敌人",IF(C18="","缺少数量",IF(OR(C18&lt;1,C18&gt;9999,C18&lt;&gt;INT(C18)),"数量无效",IF(COUNTIF($E$7:$E$24,E18)&gt;1,"重复敌人",IF(AND(ISNUMBER(D18),OR(D18&lt;0,D18&gt;999,D18&lt;&gt;INT(D18))),"奖励无效","可导入"))))))</x:f>
      </x:c>
    </x:row>
    <x:row r="19" ht="22" customHeight="1">
      <x:c r="A19" s="72" t="n">
        <x:v>13</x:v>
      </x:c>
      <x:c r="B19" s="41"/>
      <x:c r="C19" s="41"/>
      <x:c r="D19" s="41"/>
      <x:c r="E19" s="19" t="str">
        <x:f>IFERROR(VLOOKUP(B19,'敌人目录'!$A$6:$S$54,2,FALSE),"")</x:f>
      </x:c>
      <x:c r="F19" s="19" t="str">
        <x:f>IF(OR(B19="",C19=""),"",ROUNDUP(C19*(1+('全局设置'!$B$5-1)*'全局设置'!$B$6),0))</x:f>
      </x:c>
      <x:c r="G19" s="19" t="str">
        <x:f>IFERROR(VLOOKUP(B19,'敌人目录'!$A$6:$S$54,7,FALSE),"")</x:f>
      </x:c>
      <x:c r="H19" s="19" t="str">
        <x:f>IFERROR(VLOOKUP(B19,'敌人目录'!$A$6:$S$54,8,FALSE),"")</x:f>
      </x:c>
      <x:c r="I19" s="19" t="str">
        <x:f>IFERROR(VLOOKUP(B19,'敌人目录'!$A$6:$S$54,9,FALSE),"")</x:f>
      </x:c>
      <x:c r="J19" s="19" t="str">
        <x:f>IFERROR(VLOOKUP(B19,'敌人目录'!$A$6:$S$54,10,FALSE),"")</x:f>
      </x:c>
      <x:c r="K19" s="19" t="str">
        <x:f>IFERROR(VLOOKUP(B19,'敌人目录'!$A$6:$S$54,11,FALSE),"")</x:f>
      </x:c>
      <x:c r="L19" s="19" t="str">
        <x:f>IFERROR(VLOOKUP(B19,'敌人目录'!$A$6:$S$54,12,FALSE),"")</x:f>
      </x:c>
      <x:c r="M19" s="19" t="str">
        <x:f>IFERROR(VLOOKUP(B19,'敌人目录'!$A$6:$S$54,13,FALSE),"")</x:f>
      </x:c>
      <x:c r="N19" s="19" t="str">
        <x:f>IF(B19="","",IF(ISNUMBER(D19),D19,IFERROR(VLOOKUP(B19,'敌人目录'!$A$6:$S$54,14,FALSE),"")))</x:f>
      </x:c>
      <x:c r="O19" s="64" t="str">
        <x:f>IFERROR(VLOOKUP(B19,'敌人目录'!$A$6:$S$54,15,FALSE),"")</x:f>
      </x:c>
      <x:c r="P19" s="19" t="str">
        <x:f>IF(F19="","",F19*G19)</x:f>
      </x:c>
      <x:c r="Q19" s="19" t="str">
        <x:f>IF(F19="","",F19*L19)</x:f>
      </x:c>
      <x:c r="R19" s="19" t="str">
        <x:f>IF(F19="","",F19*N19)</x:f>
      </x:c>
      <x:c r="S19" s="19" t="str">
        <x:f>IF(R19="","",R19*'全局设置'!$B$5)</x:f>
      </x:c>
      <x:c r="T19" s="73" t="str">
        <x:f>IF(F19="","",F19*O19)</x:f>
      </x:c>
      <x:c r="U19" s="19" t="str">
        <x:f>IF(AND(B19="",C19=""),"",IF(B19="","缺少敌人",IF(C19="","缺少数量",IF(OR(C19&lt;1,C19&gt;9999,C19&lt;&gt;INT(C19)),"数量无效",IF(COUNTIF($E$7:$E$24,E19)&gt;1,"重复敌人",IF(AND(ISNUMBER(D19),OR(D19&lt;0,D19&gt;999,D19&lt;&gt;INT(D19))),"奖励无效","可导入"))))))</x:f>
      </x:c>
    </x:row>
    <x:row r="20" ht="22" customHeight="1">
      <x:c r="A20" s="72" t="n">
        <x:v>14</x:v>
      </x:c>
      <x:c r="B20" s="41"/>
      <x:c r="C20" s="41"/>
      <x:c r="D20" s="41"/>
      <x:c r="E20" s="19" t="str">
        <x:f>IFERROR(VLOOKUP(B20,'敌人目录'!$A$6:$S$54,2,FALSE),"")</x:f>
      </x:c>
      <x:c r="F20" s="19" t="str">
        <x:f>IF(OR(B20="",C20=""),"",ROUNDUP(C20*(1+('全局设置'!$B$5-1)*'全局设置'!$B$6),0))</x:f>
      </x:c>
      <x:c r="G20" s="19" t="str">
        <x:f>IFERROR(VLOOKUP(B20,'敌人目录'!$A$6:$S$54,7,FALSE),"")</x:f>
      </x:c>
      <x:c r="H20" s="19" t="str">
        <x:f>IFERROR(VLOOKUP(B20,'敌人目录'!$A$6:$S$54,8,FALSE),"")</x:f>
      </x:c>
      <x:c r="I20" s="19" t="str">
        <x:f>IFERROR(VLOOKUP(B20,'敌人目录'!$A$6:$S$54,9,FALSE),"")</x:f>
      </x:c>
      <x:c r="J20" s="19" t="str">
        <x:f>IFERROR(VLOOKUP(B20,'敌人目录'!$A$6:$S$54,10,FALSE),"")</x:f>
      </x:c>
      <x:c r="K20" s="19" t="str">
        <x:f>IFERROR(VLOOKUP(B20,'敌人目录'!$A$6:$S$54,11,FALSE),"")</x:f>
      </x:c>
      <x:c r="L20" s="19" t="str">
        <x:f>IFERROR(VLOOKUP(B20,'敌人目录'!$A$6:$S$54,12,FALSE),"")</x:f>
      </x:c>
      <x:c r="M20" s="19" t="str">
        <x:f>IFERROR(VLOOKUP(B20,'敌人目录'!$A$6:$S$54,13,FALSE),"")</x:f>
      </x:c>
      <x:c r="N20" s="19" t="str">
        <x:f>IF(B20="","",IF(ISNUMBER(D20),D20,IFERROR(VLOOKUP(B20,'敌人目录'!$A$6:$S$54,14,FALSE),"")))</x:f>
      </x:c>
      <x:c r="O20" s="64" t="str">
        <x:f>IFERROR(VLOOKUP(B20,'敌人目录'!$A$6:$S$54,15,FALSE),"")</x:f>
      </x:c>
      <x:c r="P20" s="19" t="str">
        <x:f>IF(F20="","",F20*G20)</x:f>
      </x:c>
      <x:c r="Q20" s="19" t="str">
        <x:f>IF(F20="","",F20*L20)</x:f>
      </x:c>
      <x:c r="R20" s="19" t="str">
        <x:f>IF(F20="","",F20*N20)</x:f>
      </x:c>
      <x:c r="S20" s="19" t="str">
        <x:f>IF(R20="","",R20*'全局设置'!$B$5)</x:f>
      </x:c>
      <x:c r="T20" s="73" t="str">
        <x:f>IF(F20="","",F20*O20)</x:f>
      </x:c>
      <x:c r="U20" s="19" t="str">
        <x:f>IF(AND(B20="",C20=""),"",IF(B20="","缺少敌人",IF(C20="","缺少数量",IF(OR(C20&lt;1,C20&gt;9999,C20&lt;&gt;INT(C20)),"数量无效",IF(COUNTIF($E$7:$E$24,E20)&gt;1,"重复敌人",IF(AND(ISNUMBER(D20),OR(D20&lt;0,D20&gt;999,D20&lt;&gt;INT(D20))),"奖励无效","可导入"))))))</x:f>
      </x:c>
    </x:row>
    <x:row r="21" ht="22" customHeight="1">
      <x:c r="A21" s="72" t="n">
        <x:v>15</x:v>
      </x:c>
      <x:c r="B21" s="41"/>
      <x:c r="C21" s="41"/>
      <x:c r="D21" s="41"/>
      <x:c r="E21" s="19" t="str">
        <x:f>IFERROR(VLOOKUP(B21,'敌人目录'!$A$6:$S$54,2,FALSE),"")</x:f>
      </x:c>
      <x:c r="F21" s="19" t="str">
        <x:f>IF(OR(B21="",C21=""),"",ROUNDUP(C21*(1+('全局设置'!$B$5-1)*'全局设置'!$B$6),0))</x:f>
      </x:c>
      <x:c r="G21" s="19" t="str">
        <x:f>IFERROR(VLOOKUP(B21,'敌人目录'!$A$6:$S$54,7,FALSE),"")</x:f>
      </x:c>
      <x:c r="H21" s="19" t="str">
        <x:f>IFERROR(VLOOKUP(B21,'敌人目录'!$A$6:$S$54,8,FALSE),"")</x:f>
      </x:c>
      <x:c r="I21" s="19" t="str">
        <x:f>IFERROR(VLOOKUP(B21,'敌人目录'!$A$6:$S$54,9,FALSE),"")</x:f>
      </x:c>
      <x:c r="J21" s="19" t="str">
        <x:f>IFERROR(VLOOKUP(B21,'敌人目录'!$A$6:$S$54,10,FALSE),"")</x:f>
      </x:c>
      <x:c r="K21" s="19" t="str">
        <x:f>IFERROR(VLOOKUP(B21,'敌人目录'!$A$6:$S$54,11,FALSE),"")</x:f>
      </x:c>
      <x:c r="L21" s="19" t="str">
        <x:f>IFERROR(VLOOKUP(B21,'敌人目录'!$A$6:$S$54,12,FALSE),"")</x:f>
      </x:c>
      <x:c r="M21" s="19" t="str">
        <x:f>IFERROR(VLOOKUP(B21,'敌人目录'!$A$6:$S$54,13,FALSE),"")</x:f>
      </x:c>
      <x:c r="N21" s="19" t="str">
        <x:f>IF(B21="","",IF(ISNUMBER(D21),D21,IFERROR(VLOOKUP(B21,'敌人目录'!$A$6:$S$54,14,FALSE),"")))</x:f>
      </x:c>
      <x:c r="O21" s="64" t="str">
        <x:f>IFERROR(VLOOKUP(B21,'敌人目录'!$A$6:$S$54,15,FALSE),"")</x:f>
      </x:c>
      <x:c r="P21" s="19" t="str">
        <x:f>IF(F21="","",F21*G21)</x:f>
      </x:c>
      <x:c r="Q21" s="19" t="str">
        <x:f>IF(F21="","",F21*L21)</x:f>
      </x:c>
      <x:c r="R21" s="19" t="str">
        <x:f>IF(F21="","",F21*N21)</x:f>
      </x:c>
      <x:c r="S21" s="19" t="str">
        <x:f>IF(R21="","",R21*'全局设置'!$B$5)</x:f>
      </x:c>
      <x:c r="T21" s="73" t="str">
        <x:f>IF(F21="","",F21*O21)</x:f>
      </x:c>
      <x:c r="U21" s="19" t="str">
        <x:f>IF(AND(B21="",C21=""),"",IF(B21="","缺少敌人",IF(C21="","缺少数量",IF(OR(C21&lt;1,C21&gt;9999,C21&lt;&gt;INT(C21)),"数量无效",IF(COUNTIF($E$7:$E$24,E21)&gt;1,"重复敌人",IF(AND(ISNUMBER(D21),OR(D21&lt;0,D21&gt;999,D21&lt;&gt;INT(D21))),"奖励无效","可导入"))))))</x:f>
      </x:c>
    </x:row>
    <x:row r="22" ht="22" customHeight="1">
      <x:c r="A22" s="72" t="n">
        <x:v>16</x:v>
      </x:c>
      <x:c r="B22" s="41"/>
      <x:c r="C22" s="41"/>
      <x:c r="D22" s="41"/>
      <x:c r="E22" s="19" t="str">
        <x:f>IFERROR(VLOOKUP(B22,'敌人目录'!$A$6:$S$54,2,FALSE),"")</x:f>
      </x:c>
      <x:c r="F22" s="19" t="str">
        <x:f>IF(OR(B22="",C22=""),"",ROUNDUP(C22*(1+('全局设置'!$B$5-1)*'全局设置'!$B$6),0))</x:f>
      </x:c>
      <x:c r="G22" s="19" t="str">
        <x:f>IFERROR(VLOOKUP(B22,'敌人目录'!$A$6:$S$54,7,FALSE),"")</x:f>
      </x:c>
      <x:c r="H22" s="19" t="str">
        <x:f>IFERROR(VLOOKUP(B22,'敌人目录'!$A$6:$S$54,8,FALSE),"")</x:f>
      </x:c>
      <x:c r="I22" s="19" t="str">
        <x:f>IFERROR(VLOOKUP(B22,'敌人目录'!$A$6:$S$54,9,FALSE),"")</x:f>
      </x:c>
      <x:c r="J22" s="19" t="str">
        <x:f>IFERROR(VLOOKUP(B22,'敌人目录'!$A$6:$S$54,10,FALSE),"")</x:f>
      </x:c>
      <x:c r="K22" s="19" t="str">
        <x:f>IFERROR(VLOOKUP(B22,'敌人目录'!$A$6:$S$54,11,FALSE),"")</x:f>
      </x:c>
      <x:c r="L22" s="19" t="str">
        <x:f>IFERROR(VLOOKUP(B22,'敌人目录'!$A$6:$S$54,12,FALSE),"")</x:f>
      </x:c>
      <x:c r="M22" s="19" t="str">
        <x:f>IFERROR(VLOOKUP(B22,'敌人目录'!$A$6:$S$54,13,FALSE),"")</x:f>
      </x:c>
      <x:c r="N22" s="19" t="str">
        <x:f>IF(B22="","",IF(ISNUMBER(D22),D22,IFERROR(VLOOKUP(B22,'敌人目录'!$A$6:$S$54,14,FALSE),"")))</x:f>
      </x:c>
      <x:c r="O22" s="64" t="str">
        <x:f>IFERROR(VLOOKUP(B22,'敌人目录'!$A$6:$S$54,15,FALSE),"")</x:f>
      </x:c>
      <x:c r="P22" s="19" t="str">
        <x:f>IF(F22="","",F22*G22)</x:f>
      </x:c>
      <x:c r="Q22" s="19" t="str">
        <x:f>IF(F22="","",F22*L22)</x:f>
      </x:c>
      <x:c r="R22" s="19" t="str">
        <x:f>IF(F22="","",F22*N22)</x:f>
      </x:c>
      <x:c r="S22" s="19" t="str">
        <x:f>IF(R22="","",R22*'全局设置'!$B$5)</x:f>
      </x:c>
      <x:c r="T22" s="73" t="str">
        <x:f>IF(F22="","",F22*O22)</x:f>
      </x:c>
      <x:c r="U22" s="19" t="str">
        <x:f>IF(AND(B22="",C22=""),"",IF(B22="","缺少敌人",IF(C22="","缺少数量",IF(OR(C22&lt;1,C22&gt;9999,C22&lt;&gt;INT(C22)),"数量无效",IF(COUNTIF($E$7:$E$24,E22)&gt;1,"重复敌人",IF(AND(ISNUMBER(D22),OR(D22&lt;0,D22&gt;999,D22&lt;&gt;INT(D22))),"奖励无效","可导入"))))))</x:f>
      </x:c>
    </x:row>
    <x:row r="23" ht="22" customHeight="1">
      <x:c r="A23" s="72" t="n">
        <x:v>17</x:v>
      </x:c>
      <x:c r="B23" s="41"/>
      <x:c r="C23" s="41"/>
      <x:c r="D23" s="41"/>
      <x:c r="E23" s="19" t="str">
        <x:f>IFERROR(VLOOKUP(B23,'敌人目录'!$A$6:$S$54,2,FALSE),"")</x:f>
      </x:c>
      <x:c r="F23" s="19" t="str">
        <x:f>IF(OR(B23="",C23=""),"",ROUNDUP(C23*(1+('全局设置'!$B$5-1)*'全局设置'!$B$6),0))</x:f>
      </x:c>
      <x:c r="G23" s="19" t="str">
        <x:f>IFERROR(VLOOKUP(B23,'敌人目录'!$A$6:$S$54,7,FALSE),"")</x:f>
      </x:c>
      <x:c r="H23" s="19" t="str">
        <x:f>IFERROR(VLOOKUP(B23,'敌人目录'!$A$6:$S$54,8,FALSE),"")</x:f>
      </x:c>
      <x:c r="I23" s="19" t="str">
        <x:f>IFERROR(VLOOKUP(B23,'敌人目录'!$A$6:$S$54,9,FALSE),"")</x:f>
      </x:c>
      <x:c r="J23" s="19" t="str">
        <x:f>IFERROR(VLOOKUP(B23,'敌人目录'!$A$6:$S$54,10,FALSE),"")</x:f>
      </x:c>
      <x:c r="K23" s="19" t="str">
        <x:f>IFERROR(VLOOKUP(B23,'敌人目录'!$A$6:$S$54,11,FALSE),"")</x:f>
      </x:c>
      <x:c r="L23" s="19" t="str">
        <x:f>IFERROR(VLOOKUP(B23,'敌人目录'!$A$6:$S$54,12,FALSE),"")</x:f>
      </x:c>
      <x:c r="M23" s="19" t="str">
        <x:f>IFERROR(VLOOKUP(B23,'敌人目录'!$A$6:$S$54,13,FALSE),"")</x:f>
      </x:c>
      <x:c r="N23" s="19" t="str">
        <x:f>IF(B23="","",IF(ISNUMBER(D23),D23,IFERROR(VLOOKUP(B23,'敌人目录'!$A$6:$S$54,14,FALSE),"")))</x:f>
      </x:c>
      <x:c r="O23" s="64" t="str">
        <x:f>IFERROR(VLOOKUP(B23,'敌人目录'!$A$6:$S$54,15,FALSE),"")</x:f>
      </x:c>
      <x:c r="P23" s="19" t="str">
        <x:f>IF(F23="","",F23*G23)</x:f>
      </x:c>
      <x:c r="Q23" s="19" t="str">
        <x:f>IF(F23="","",F23*L23)</x:f>
      </x:c>
      <x:c r="R23" s="19" t="str">
        <x:f>IF(F23="","",F23*N23)</x:f>
      </x:c>
      <x:c r="S23" s="19" t="str">
        <x:f>IF(R23="","",R23*'全局设置'!$B$5)</x:f>
      </x:c>
      <x:c r="T23" s="73" t="str">
        <x:f>IF(F23="","",F23*O23)</x:f>
      </x:c>
      <x:c r="U23" s="19" t="str">
        <x:f>IF(AND(B23="",C23=""),"",IF(B23="","缺少敌人",IF(C23="","缺少数量",IF(OR(C23&lt;1,C23&gt;9999,C23&lt;&gt;INT(C23)),"数量无效",IF(COUNTIF($E$7:$E$24,E23)&gt;1,"重复敌人",IF(AND(ISNUMBER(D23),OR(D23&lt;0,D23&gt;999,D23&lt;&gt;INT(D23))),"奖励无效","可导入"))))))</x:f>
      </x:c>
    </x:row>
    <x:row r="24" ht="22" customHeight="1">
      <x:c r="A24" s="72" t="n">
        <x:v>18</x:v>
      </x:c>
      <x:c r="B24" s="41"/>
      <x:c r="C24" s="41"/>
      <x:c r="D24" s="41"/>
      <x:c r="E24" s="19" t="str">
        <x:f>IFERROR(VLOOKUP(B24,'敌人目录'!$A$6:$S$54,2,FALSE),"")</x:f>
      </x:c>
      <x:c r="F24" s="19" t="str">
        <x:f>IF(OR(B24="",C24=""),"",ROUNDUP(C24*(1+('全局设置'!$B$5-1)*'全局设置'!$B$6),0))</x:f>
      </x:c>
      <x:c r="G24" s="19" t="str">
        <x:f>IFERROR(VLOOKUP(B24,'敌人目录'!$A$6:$S$54,7,FALSE),"")</x:f>
      </x:c>
      <x:c r="H24" s="19" t="str">
        <x:f>IFERROR(VLOOKUP(B24,'敌人目录'!$A$6:$S$54,8,FALSE),"")</x:f>
      </x:c>
      <x:c r="I24" s="19" t="str">
        <x:f>IFERROR(VLOOKUP(B24,'敌人目录'!$A$6:$S$54,9,FALSE),"")</x:f>
      </x:c>
      <x:c r="J24" s="19" t="str">
        <x:f>IFERROR(VLOOKUP(B24,'敌人目录'!$A$6:$S$54,10,FALSE),"")</x:f>
      </x:c>
      <x:c r="K24" s="19" t="str">
        <x:f>IFERROR(VLOOKUP(B24,'敌人目录'!$A$6:$S$54,11,FALSE),"")</x:f>
      </x:c>
      <x:c r="L24" s="19" t="str">
        <x:f>IFERROR(VLOOKUP(B24,'敌人目录'!$A$6:$S$54,12,FALSE),"")</x:f>
      </x:c>
      <x:c r="M24" s="19" t="str">
        <x:f>IFERROR(VLOOKUP(B24,'敌人目录'!$A$6:$S$54,13,FALSE),"")</x:f>
      </x:c>
      <x:c r="N24" s="19" t="str">
        <x:f>IF(B24="","",IF(ISNUMBER(D24),D24,IFERROR(VLOOKUP(B24,'敌人目录'!$A$6:$S$54,14,FALSE),"")))</x:f>
      </x:c>
      <x:c r="O24" s="64" t="str">
        <x:f>IFERROR(VLOOKUP(B24,'敌人目录'!$A$6:$S$54,15,FALSE),"")</x:f>
      </x:c>
      <x:c r="P24" s="19" t="str">
        <x:f>IF(F24="","",F24*G24)</x:f>
      </x:c>
      <x:c r="Q24" s="19" t="str">
        <x:f>IF(F24="","",F24*L24)</x:f>
      </x:c>
      <x:c r="R24" s="19" t="str">
        <x:f>IF(F24="","",F24*N24)</x:f>
      </x:c>
      <x:c r="S24" s="19" t="str">
        <x:f>IF(R24="","",R24*'全局设置'!$B$5)</x:f>
      </x:c>
      <x:c r="T24" s="73" t="str">
        <x:f>IF(F24="","",F24*O24)</x:f>
      </x:c>
      <x:c r="U24" s="19" t="str">
        <x:f>IF(AND(B24="",C24=""),"",IF(B24="","缺少敌人",IF(C24="","缺少数量",IF(OR(C24&lt;1,C24&gt;9999,C24&lt;&gt;INT(C24)),"数量无效",IF(COUNTIF($E$7:$E$24,E24)&gt;1,"重复敌人",IF(AND(ISNUMBER(D24),OR(D24&lt;0,D24&gt;999,D24&lt;&gt;INT(D24))),"奖励无效","可导入"))))))</x:f>
      </x:c>
    </x:row>
    <x:row r="25" ht="22" customHeight="1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</x:row>
    <x:row r="26" ht="22" customHeight="1">
      <x:c r="A26" s="40" t="str">
        <x:v>基础总数</x:v>
      </x:c>
      <x:c r="B26" s="19" t="n">
        <x:f>SUM(C7:C24)</x:f>
        <x:v>144</x:v>
      </x:c>
      <x:c r="C26" s="40" t="str">
        <x:v>实际总数</x:v>
      </x:c>
      <x:c r="D26" s="19" t="n">
        <x:f>SUM(F7:F24)</x:f>
        <x:v>144</x:v>
      </x:c>
      <x:c r="E26" s="40" t="str">
        <x:v>敌人种类</x:v>
      </x:c>
      <x:c r="F26" s="19" t="n">
        <x:f>COUNTA(B7:B24)</x:f>
        <x:v>9</x:v>
      </x:c>
      <x:c r="G26" s="40" t="str">
        <x:v>生命池</x:v>
      </x:c>
      <x:c r="H26" s="19" t="n">
        <x:f>SUM(P7:P24)</x:f>
        <x:v>11700</x:v>
      </x:c>
      <x:c r="I26" s="40" t="str">
        <x:v>基础息壤/玩家</x:v>
      </x:c>
      <x:c r="J26" s="19" t="n">
        <x:f>SUM(R7:R24)</x:f>
        <x:v>242</x:v>
      </x:c>
      <x:c r="K26" s="40" t="str">
        <x:v>情景息壤/玩家</x:v>
      </x:c>
      <x:c r="L26" s="19" t="n">
        <x:f>J26*'全局设置'!$B$7*'全局设置'!$E$14</x:f>
        <x:v>242</x:v>
      </x:c>
      <x:c r="M26" s="40" t="str">
        <x:v>情景息壤/队伍</x:v>
      </x:c>
      <x:c r="N26" s="19" t="n">
        <x:f>L26*'全局设置'!$B$5</x:f>
        <x:v>242</x:v>
      </x:c>
      <x:c r="O26" s="40" t="str">
        <x:v>掉落期望</x:v>
      </x:c>
      <x:c r="P26" s="73" t="n">
        <x:f>SUM(T7:T24)</x:f>
        <x:v>7.22</x:v>
      </x:c>
      <x:c r="Q26" s="40" t="str">
        <x:v>全漏Home伤害</x:v>
      </x:c>
      <x:c r="R26" s="19" t="n">
        <x:f>SUM(Q7:Q24)</x:f>
        <x:v>304</x:v>
      </x:c>
      <x:c r="S26" s="40" t="str">
        <x:v>最短刷完(s)</x:v>
      </x:c>
      <x:c r="T26" s="73" t="n">
        <x:f>IF(D26=0,0,MAX(0,(ROUNDUP(D26/J3,0)-1)*H3))</x:f>
        <x:v>40.040000000000006</x:v>
      </x:c>
      <x:c r="U26" s="31"/>
    </x:row>
    <x:row r="27" ht="22" customHeight="1">
      <x:c r="A27" s="82" t="str">
        <x:v>情景收益 = 最大击杀息壤 × 全局击杀率 × 第3日倍率；最大队伍收益另按玩家人数相乘。</x:v>
      </x:c>
      <x:c r="B27" s="82" t="str">
        <x:v>情景收益 = 最大击杀息壤 × 全局击杀率 × 第3日倍率；最大队伍收益另按玩家人数相乘。</x:v>
      </x:c>
      <x:c r="C27" s="82" t="str">
        <x:v>情景收益 = 最大击杀息壤 × 全局击杀率 × 第3日倍率；最大队伍收益另按玩家人数相乘。</x:v>
      </x:c>
      <x:c r="D27" s="82" t="str">
        <x:v>情景收益 = 最大击杀息壤 × 全局击杀率 × 第3日倍率；最大队伍收益另按玩家人数相乘。</x:v>
      </x:c>
      <x:c r="E27" s="82" t="str">
        <x:v>情景收益 = 最大击杀息壤 × 全局击杀率 × 第3日倍率；最大队伍收益另按玩家人数相乘。</x:v>
      </x:c>
      <x:c r="F27" s="82" t="str">
        <x:v>情景收益 = 最大击杀息壤 × 全局击杀率 × 第3日倍率；最大队伍收益另按玩家人数相乘。</x:v>
      </x:c>
      <x:c r="G27" s="82" t="str">
        <x:v>情景收益 = 最大击杀息壤 × 全局击杀率 × 第3日倍率；最大队伍收益另按玩家人数相乘。</x:v>
      </x:c>
      <x:c r="H27" s="82" t="str">
        <x:v>情景收益 = 最大击杀息壤 × 全局击杀率 × 第3日倍率；最大队伍收益另按玩家人数相乘。</x:v>
      </x:c>
      <x:c r="I27" s="82" t="str">
        <x:v>情景收益 = 最大击杀息壤 × 全局击杀率 × 第3日倍率；最大队伍收益另按玩家人数相乘。</x:v>
      </x:c>
      <x:c r="J27" s="82" t="str">
        <x:v>情景收益 = 最大击杀息壤 × 全局击杀率 × 第3日倍率；最大队伍收益另按玩家人数相乘。</x:v>
      </x:c>
      <x:c r="K27" s="82" t="str">
        <x:v>情景收益 = 最大击杀息壤 × 全局击杀率 × 第3日倍率；最大队伍收益另按玩家人数相乘。</x:v>
      </x:c>
      <x:c r="L27" s="82" t="str">
        <x:v>情景收益 = 最大击杀息壤 × 全局击杀率 × 第3日倍率；最大队伍收益另按玩家人数相乘。</x:v>
      </x:c>
      <x:c r="M27" s="82" t="str">
        <x:v>情景收益 = 最大击杀息壤 × 全局击杀率 × 第3日倍率；最大队伍收益另按玩家人数相乘。</x:v>
      </x:c>
      <x:c r="N27" s="82" t="str">
        <x:v>情景收益 = 最大击杀息壤 × 全局击杀率 × 第3日倍率；最大队伍收益另按玩家人数相乘。</x:v>
      </x:c>
      <x:c r="O27" s="82" t="str">
        <x:v>情景收益 = 最大击杀息壤 × 全局击杀率 × 第3日倍率；最大队伍收益另按玩家人数相乘。</x:v>
      </x:c>
      <x:c r="P27" s="82" t="str">
        <x:v>情景收益 = 最大击杀息壤 × 全局击杀率 × 第3日倍率；最大队伍收益另按玩家人数相乘。</x:v>
      </x:c>
      <x:c r="Q27" s="82" t="str">
        <x:v>情景收益 = 最大击杀息壤 × 全局击杀率 × 第3日倍率；最大队伍收益另按玩家人数相乘。</x:v>
      </x:c>
      <x:c r="R27" s="82" t="str">
        <x:v>情景收益 = 最大击杀息壤 × 全局击杀率 × 第3日倍率；最大队伍收益另按玩家人数相乘。</x:v>
      </x:c>
      <x:c r="S27" s="82" t="str">
        <x:v>情景收益 = 最大击杀息壤 × 全局击杀率 × 第3日倍率；最大队伍收益另按玩家人数相乘。</x:v>
      </x:c>
      <x:c r="T27" s="82" t="str">
        <x:v>情景收益 = 最大击杀息壤 × 全局击杀率 × 第3日倍率；最大队伍收益另按玩家人数相乘。</x:v>
      </x:c>
      <x:c r="U27" s="82" t="str">
        <x:v>情景收益 = 最大击杀息壤 × 全局击杀率 × 第3日倍率；最大队伍收益另按玩家人数相乘。</x:v>
      </x:c>
    </x:row>
    <x:row r="28" ht="22" customHeight="1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</x:row>
    <x:row r="29" ht="22" customHeight="1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</x:row>
    <x:row r="30" ht="22" customHeight="1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</x:row>
    <x:row r="31" ht="22" customHeight="1">
      <x:c r="A31" s="71" t="str">
        <x:v>第 10 波｜第 3 日·2/4｜白昼｜当前正式配置</x:v>
      </x:c>
      <x:c r="B31" s="71" t="str">
        <x:v>第 10 波｜第 3 日·2/4｜白昼｜当前正式配置</x:v>
      </x:c>
      <x:c r="C31" s="71" t="str">
        <x:v>第 10 波｜第 3 日·2/4｜白昼｜当前正式配置</x:v>
      </x:c>
      <x:c r="D31" s="71" t="str">
        <x:v>第 10 波｜第 3 日·2/4｜白昼｜当前正式配置</x:v>
      </x:c>
      <x:c r="E31" s="71" t="str">
        <x:v>第 10 波｜第 3 日·2/4｜白昼｜当前正式配置</x:v>
      </x:c>
      <x:c r="F31" s="71" t="str">
        <x:v>第 10 波｜第 3 日·2/4｜白昼｜当前正式配置</x:v>
      </x:c>
      <x:c r="G31" s="71" t="str">
        <x:v>第 10 波｜第 3 日·2/4｜白昼｜当前正式配置</x:v>
      </x:c>
      <x:c r="H31" s="71" t="str">
        <x:v>第 10 波｜第 3 日·2/4｜白昼｜当前正式配置</x:v>
      </x:c>
      <x:c r="I31" s="71" t="str">
        <x:v>第 10 波｜第 3 日·2/4｜白昼｜当前正式配置</x:v>
      </x:c>
      <x:c r="J31" s="71" t="str">
        <x:v>第 10 波｜第 3 日·2/4｜白昼｜当前正式配置</x:v>
      </x:c>
      <x:c r="K31" s="71" t="str">
        <x:v>第 10 波｜第 3 日·2/4｜白昼｜当前正式配置</x:v>
      </x:c>
      <x:c r="L31" s="71" t="str">
        <x:v>第 10 波｜第 3 日·2/4｜白昼｜当前正式配置</x:v>
      </x:c>
      <x:c r="M31" s="71" t="str">
        <x:v>第 10 波｜第 3 日·2/4｜白昼｜当前正式配置</x:v>
      </x:c>
      <x:c r="N31" s="71" t="str">
        <x:v>第 10 波｜第 3 日·2/4｜白昼｜当前正式配置</x:v>
      </x:c>
      <x:c r="O31" s="71" t="str">
        <x:v>第 10 波｜第 3 日·2/4｜白昼｜当前正式配置</x:v>
      </x:c>
      <x:c r="P31" s="71" t="str">
        <x:v>第 10 波｜第 3 日·2/4｜白昼｜当前正式配置</x:v>
      </x:c>
      <x:c r="Q31" s="71" t="str">
        <x:v>第 10 波｜第 3 日·2/4｜白昼｜当前正式配置</x:v>
      </x:c>
      <x:c r="R31" s="71" t="str">
        <x:v>第 10 波｜第 3 日·2/4｜白昼｜当前正式配置</x:v>
      </x:c>
      <x:c r="S31" s="71" t="str">
        <x:v>第 10 波｜第 3 日·2/4｜白昼｜当前正式配置</x:v>
      </x:c>
      <x:c r="T31" s="71" t="str">
        <x:v>第 10 波｜第 3 日·2/4｜白昼｜当前正式配置</x:v>
      </x:c>
      <x:c r="U31" s="71" t="str">
        <x:v>第 10 波｜第 3 日·2/4｜白昼｜当前正式配置</x:v>
      </x:c>
    </x:row>
    <x:row r="32" ht="22" customHeight="1">
      <x:c r="A32" s="40" t="str">
        <x:v>波次名称</x:v>
      </x:c>
      <x:c r="B32" s="41" t="str">
        <x:v>第10波 火力交叉</x:v>
      </x:c>
      <x:c r="C32" s="41" t="str">
        <x:v>第10波 火力交叉</x:v>
      </x:c>
      <x:c r="D32" s="41" t="str">
        <x:v>第10波 火力交叉</x:v>
      </x:c>
      <x:c r="E32" s="41" t="str">
        <x:v>第10波 火力交叉</x:v>
      </x:c>
      <x:c r="F32" s="41" t="str">
        <x:v>第10波 火力交叉</x:v>
      </x:c>
      <x:c r="G32" s="40" t="str">
        <x:v>出生间隔(s)</x:v>
      </x:c>
      <x:c r="H32" s="41" t="n">
        <x:v>0.26</x:v>
      </x:c>
      <x:c r="I32" s="40" t="str">
        <x:v>每Tick</x:v>
      </x:c>
      <x:c r="J32" s="41" t="n">
        <x:v>1</x:v>
      </x:c>
      <x:c r="K32" s="40" t="str">
        <x:v>存活上限</x:v>
      </x:c>
      <x:c r="L32" s="41" t="n">
        <x:v>80</x:v>
      </x:c>
      <x:c r="M32" s="40" t="str">
        <x:v>校验</x:v>
      </x:c>
      <x:c r="N32" s="19" t="str">
        <x:f>IF(COUNTA(B36:B53)=0,"待设计",IF(COUNTIF(U36:U53,"可导入")=COUNTA(B36:B53),"可导入","需修正"))</x:f>
        <x:v>可导入</x:v>
      </x:c>
      <x:c r="O32" s="19" t="str"/>
      <x:c r="P32" s="40" t="str">
        <x:v>来源</x:v>
      </x:c>
      <x:c r="Q32" s="19" t="str">
        <x:v>当前游戏 formal 资源</x:v>
      </x:c>
      <x:c r="R32" s="19" t="str">
        <x:v>当前游戏 formal 资源</x:v>
      </x:c>
      <x:c r="S32" s="19" t="str">
        <x:v>当前游戏 formal 资源</x:v>
      </x:c>
      <x:c r="T32" s="19" t="str">
        <x:v>当前游戏 formal 资源</x:v>
      </x:c>
      <x:c r="U32" s="19" t="str">
        <x:v>当前游戏 formal 资源</x:v>
      </x:c>
    </x:row>
    <x:row r="33" ht="22" customHeight="1">
      <x:c r="A33" s="40" t="str">
        <x:v>出生点</x:v>
      </x:c>
      <x:c r="B33" s="41" t="str">
        <x:v>开启</x:v>
      </x:c>
      <x:c r="C33" s="41" t="str">
        <x:v>开启</x:v>
      </x:c>
      <x:c r="D33" s="41" t="str">
        <x:v>开启</x:v>
      </x:c>
      <x:c r="E33" s="41" t="str">
        <x:v>开启</x:v>
      </x:c>
      <x:c r="F33" s="41" t="str">
        <x:v>开启</x:v>
      </x:c>
      <x:c r="G33" s="41" t="str">
        <x:v>开启</x:v>
      </x:c>
      <x:c r="H33" s="40" t="str">
        <x:v>战斗音乐</x:v>
      </x:c>
      <x:c r="I33" s="19" t="str">
        <x:v>shenmu_town_combat</x:v>
      </x:c>
      <x:c r="J33" s="19" t="str">
        <x:v>shenmu_town_combat</x:v>
      </x:c>
      <x:c r="K33" s="19" t="str">
        <x:v>shenmu_town_combat</x:v>
      </x:c>
      <x:c r="L33" s="19" t="str">
        <x:v>shenmu_town_combat</x:v>
      </x:c>
      <x:c r="M33" s="19" t="str">
        <x:v>shenmu_town_combat</x:v>
      </x:c>
      <x:c r="N33" s="40" t="str">
        <x:v>波后音乐</x:v>
      </x:c>
      <x:c r="O33" s="19" t="str">
        <x:v>shenmu_town_intermission</x:v>
      </x:c>
      <x:c r="P33" s="19" t="str">
        <x:v>shenmu_town_intermission</x:v>
      </x:c>
      <x:c r="Q33" s="19" t="str">
        <x:v>shenmu_town_intermission</x:v>
      </x:c>
      <x:c r="R33" s="19" t="str">
        <x:v>shenmu_town_intermission</x:v>
      </x:c>
      <x:c r="S33" s="19" t="str">
        <x:v>shenmu_town_intermission</x:v>
      </x:c>
      <x:c r="T33" s="19" t="str">
        <x:v>shenmu_town_intermission</x:v>
      </x:c>
      <x:c r="U33" s="19" t="str">
        <x:v>shenmu_town_intermission</x:v>
      </x:c>
    </x:row>
    <x:row r="34" ht="22" customHeight="1">
      <x:c r="A34" s="56" t="str">
        <x:v>蓝色列可编辑。每种敌人一行；若同波重复选择同一稳定 ID，请合并数量。实际数量按当前模拟玩家数逐条向上取整。</x:v>
      </x:c>
      <x:c r="B34" s="56" t="str">
        <x:v>蓝色列可编辑。每种敌人一行；若同波重复选择同一稳定 ID，请合并数量。实际数量按当前模拟玩家数逐条向上取整。</x:v>
      </x:c>
      <x:c r="C34" s="56" t="str">
        <x:v>蓝色列可编辑。每种敌人一行；若同波重复选择同一稳定 ID，请合并数量。实际数量按当前模拟玩家数逐条向上取整。</x:v>
      </x:c>
      <x:c r="D34" s="56" t="str">
        <x:v>蓝色列可编辑。每种敌人一行；若同波重复选择同一稳定 ID，请合并数量。实际数量按当前模拟玩家数逐条向上取整。</x:v>
      </x:c>
      <x:c r="E34" s="56" t="str">
        <x:v>蓝色列可编辑。每种敌人一行；若同波重复选择同一稳定 ID，请合并数量。实际数量按当前模拟玩家数逐条向上取整。</x:v>
      </x:c>
      <x:c r="F34" s="56" t="str">
        <x:v>蓝色列可编辑。每种敌人一行；若同波重复选择同一稳定 ID，请合并数量。实际数量按当前模拟玩家数逐条向上取整。</x:v>
      </x:c>
      <x:c r="G34" s="56" t="str">
        <x:v>蓝色列可编辑。每种敌人一行；若同波重复选择同一稳定 ID，请合并数量。实际数量按当前模拟玩家数逐条向上取整。</x:v>
      </x:c>
      <x:c r="H34" s="56" t="str">
        <x:v>蓝色列可编辑。每种敌人一行；若同波重复选择同一稳定 ID，请合并数量。实际数量按当前模拟玩家数逐条向上取整。</x:v>
      </x:c>
      <x:c r="I34" s="56" t="str">
        <x:v>蓝色列可编辑。每种敌人一行；若同波重复选择同一稳定 ID，请合并数量。实际数量按当前模拟玩家数逐条向上取整。</x:v>
      </x:c>
      <x:c r="J34" s="56" t="str">
        <x:v>蓝色列可编辑。每种敌人一行；若同波重复选择同一稳定 ID，请合并数量。实际数量按当前模拟玩家数逐条向上取整。</x:v>
      </x:c>
      <x:c r="K34" s="56" t="str">
        <x:v>蓝色列可编辑。每种敌人一行；若同波重复选择同一稳定 ID，请合并数量。实际数量按当前模拟玩家数逐条向上取整。</x:v>
      </x:c>
      <x:c r="L34" s="56" t="str">
        <x:v>蓝色列可编辑。每种敌人一行；若同波重复选择同一稳定 ID，请合并数量。实际数量按当前模拟玩家数逐条向上取整。</x:v>
      </x:c>
      <x:c r="M34" s="56" t="str">
        <x:v>蓝色列可编辑。每种敌人一行；若同波重复选择同一稳定 ID，请合并数量。实际数量按当前模拟玩家数逐条向上取整。</x:v>
      </x:c>
      <x:c r="N34" s="56" t="str">
        <x:v>蓝色列可编辑。每种敌人一行；若同波重复选择同一稳定 ID，请合并数量。实际数量按当前模拟玩家数逐条向上取整。</x:v>
      </x:c>
      <x:c r="O34" s="56" t="str">
        <x:v>蓝色列可编辑。每种敌人一行；若同波重复选择同一稳定 ID，请合并数量。实际数量按当前模拟玩家数逐条向上取整。</x:v>
      </x:c>
      <x:c r="P34" s="56" t="str">
        <x:v>蓝色列可编辑。每种敌人一行；若同波重复选择同一稳定 ID，请合并数量。实际数量按当前模拟玩家数逐条向上取整。</x:v>
      </x:c>
      <x:c r="Q34" s="56" t="str">
        <x:v>蓝色列可编辑。每种敌人一行；若同波重复选择同一稳定 ID，请合并数量。实际数量按当前模拟玩家数逐条向上取整。</x:v>
      </x:c>
      <x:c r="R34" s="56" t="str">
        <x:v>蓝色列可编辑。每种敌人一行；若同波重复选择同一稳定 ID，请合并数量。实际数量按当前模拟玩家数逐条向上取整。</x:v>
      </x:c>
      <x:c r="S34" s="56" t="str">
        <x:v>蓝色列可编辑。每种敌人一行；若同波重复选择同一稳定 ID，请合并数量。实际数量按当前模拟玩家数逐条向上取整。</x:v>
      </x:c>
      <x:c r="T34" s="56" t="str">
        <x:v>蓝色列可编辑。每种敌人一行；若同波重复选择同一稳定 ID，请合并数量。实际数量按当前模拟玩家数逐条向上取整。</x:v>
      </x:c>
      <x:c r="U34" s="56" t="str">
        <x:v>蓝色列可编辑。每种敌人一行；若同波重复选择同一稳定 ID，请合并数量。实际数量按当前模拟玩家数逐条向上取整。</x:v>
      </x:c>
    </x:row>
    <x:row r="35" ht="22" customHeight="1">
      <x:c r="A35" s="63" t="str">
        <x:v>槽位</x:v>
      </x:c>
      <x:c r="B35" s="63" t="str">
        <x:v>敌人（下拉选择）</x:v>
      </x:c>
      <x:c r="C35" s="63" t="str">
        <x:v>基础数量</x:v>
      </x:c>
      <x:c r="D35" s="63" t="str">
        <x:v>本波息壤覆盖</x:v>
      </x:c>
      <x:c r="E35" s="63" t="str">
        <x:v>稳定敌人ID</x:v>
      </x:c>
      <x:c r="F35" s="63" t="str">
        <x:v>实际数量</x:v>
      </x:c>
      <x:c r="G35" s="63" t="str">
        <x:v>生命</x:v>
      </x:c>
      <x:c r="H35" s="63" t="str">
        <x:v>攻击</x:v>
      </x:c>
      <x:c r="I35" s="63" t="str">
        <x:v>物理防御</x:v>
      </x:c>
      <x:c r="J35" s="63" t="str">
        <x:v>法术防御</x:v>
      </x:c>
      <x:c r="K35" s="63" t="str">
        <x:v>移速</x:v>
      </x:c>
      <x:c r="L35" s="63" t="str">
        <x:v>Home伤害</x:v>
      </x:c>
      <x:c r="M35" s="63" t="str">
        <x:v>游戏默认息壤</x:v>
      </x:c>
      <x:c r="N35" s="63" t="str">
        <x:v>有效息壤</x:v>
      </x:c>
      <x:c r="O35" s="63" t="str">
        <x:v>掉落期望/击杀</x:v>
      </x:c>
      <x:c r="P35" s="63" t="str">
        <x:v>总生命</x:v>
      </x:c>
      <x:c r="Q35" s="63" t="str">
        <x:v>全漏Home伤害</x:v>
      </x:c>
      <x:c r="R35" s="63" t="str">
        <x:v>最大息壤/玩家</x:v>
      </x:c>
      <x:c r="S35" s="63" t="str">
        <x:v>最大息壤/队伍</x:v>
      </x:c>
      <x:c r="T35" s="63" t="str">
        <x:v>掉落期望</x:v>
      </x:c>
      <x:c r="U35" s="63" t="str">
        <x:v>校验</x:v>
      </x:c>
    </x:row>
    <x:row r="36" ht="22" customHeight="1">
      <x:c r="A36" s="72" t="n">
        <x:v>1</x:v>
      </x:c>
      <x:c r="B36" s="41" t="str">
        <x:v>yuanshi_insect_basic｜普通原石虫</x:v>
      </x:c>
      <x:c r="C36" s="41" t="n">
        <x:v>20</x:v>
      </x:c>
      <x:c r="D36" s="41"/>
      <x:c r="E36" s="19" t="str">
        <x:f>IFERROR(VLOOKUP(B36,'敌人目录'!$A$6:$S$54,2,FALSE),"")</x:f>
        <x:v>yuanshi_insect_basic</x:v>
      </x:c>
      <x:c r="F36" s="19" t="n">
        <x:f>IF(OR(B36="",C36=""),"",ROUNDUP(C36*(1+('全局设置'!$B$5-1)*'全局设置'!$B$6),0))</x:f>
        <x:v>20</x:v>
      </x:c>
      <x:c r="G36" s="19" t="n">
        <x:f>IFERROR(VLOOKUP(B36,'敌人目录'!$A$6:$S$54,7,FALSE),"")</x:f>
        <x:v>40</x:v>
      </x:c>
      <x:c r="H36" s="19" t="n">
        <x:f>IFERROR(VLOOKUP(B36,'敌人目录'!$A$6:$S$54,8,FALSE),"")</x:f>
        <x:v>10</x:v>
      </x:c>
      <x:c r="I36" s="19" t="n">
        <x:f>IFERROR(VLOOKUP(B36,'敌人目录'!$A$6:$S$54,9,FALSE),"")</x:f>
        <x:v>0</x:v>
      </x:c>
      <x:c r="J36" s="19" t="n">
        <x:f>IFERROR(VLOOKUP(B36,'敌人目录'!$A$6:$S$54,10,FALSE),"")</x:f>
        <x:v>0</x:v>
      </x:c>
      <x:c r="K36" s="19" t="n">
        <x:f>IFERROR(VLOOKUP(B36,'敌人目录'!$A$6:$S$54,11,FALSE),"")</x:f>
        <x:v>20</x:v>
      </x:c>
      <x:c r="L36" s="19" t="n">
        <x:f>IFERROR(VLOOKUP(B36,'敌人目录'!$A$6:$S$54,12,FALSE),"")</x:f>
        <x:v>1</x:v>
      </x:c>
      <x:c r="M36" s="19" t="n">
        <x:f>IFERROR(VLOOKUP(B36,'敌人目录'!$A$6:$S$54,13,FALSE),"")</x:f>
        <x:v>1</x:v>
      </x:c>
      <x:c r="N36" s="19" t="n">
        <x:f>IF(B36="","",IF(ISNUMBER(D36),D36,IFERROR(VLOOKUP(B36,'敌人目录'!$A$6:$S$54,14,FALSE),"")))</x:f>
        <x:v>1</x:v>
      </x:c>
      <x:c r="O36" s="64" t="n">
        <x:f>IFERROR(VLOOKUP(B36,'敌人目录'!$A$6:$S$54,15,FALSE),"")</x:f>
        <x:v>0.05</x:v>
      </x:c>
      <x:c r="P36" s="19" t="n">
        <x:f>IF(F36="","",F36*G36)</x:f>
        <x:v>800</x:v>
      </x:c>
      <x:c r="Q36" s="19" t="n">
        <x:f>IF(F36="","",F36*L36)</x:f>
        <x:v>20</x:v>
      </x:c>
      <x:c r="R36" s="19" t="n">
        <x:f>IF(F36="","",F36*N36)</x:f>
        <x:v>20</x:v>
      </x:c>
      <x:c r="S36" s="19" t="n">
        <x:f>IF(R36="","",R36*'全局设置'!$B$5)</x:f>
        <x:v>20</x:v>
      </x:c>
      <x:c r="T36" s="73" t="n">
        <x:f>IF(F36="","",F36*O36)</x:f>
        <x:v>1</x:v>
      </x:c>
      <x:c r="U36" s="19" t="str">
        <x:f>IF(AND(B36="",C36=""),"",IF(B36="","缺少敌人",IF(C36="","缺少数量",IF(OR(C36&lt;1,C36&gt;9999,C36&lt;&gt;INT(C36)),"数量无效",IF(COUNTIF($E$36:$E$53,E36)&gt;1,"重复敌人",IF(AND(ISNUMBER(D36),OR(D36&lt;0,D36&gt;999,D36&lt;&gt;INT(D36))),"奖励无效","可导入"))))))</x:f>
        <x:v>可导入</x:v>
      </x:c>
    </x:row>
    <x:row r="37" ht="22" customHeight="1">
      <x:c r="A37" s="72" t="n">
        <x:v>2</x:v>
      </x:c>
      <x:c r="B37" s="41" t="str">
        <x:v>yuanshi_insect_fast｜迅捷原石虫</x:v>
      </x:c>
      <x:c r="C37" s="41" t="n">
        <x:v>24</x:v>
      </x:c>
      <x:c r="D37" s="41"/>
      <x:c r="E37" s="19" t="str">
        <x:f>IFERROR(VLOOKUP(B37,'敌人目录'!$A$6:$S$54,2,FALSE),"")</x:f>
        <x:v>yuanshi_insect_fast</x:v>
      </x:c>
      <x:c r="F37" s="19" t="n">
        <x:f>IF(OR(B37="",C37=""),"",ROUNDUP(C37*(1+('全局设置'!$B$5-1)*'全局设置'!$B$6),0))</x:f>
        <x:v>24</x:v>
      </x:c>
      <x:c r="G37" s="19" t="n">
        <x:f>IFERROR(VLOOKUP(B37,'敌人目录'!$A$6:$S$54,7,FALSE),"")</x:f>
        <x:v>35</x:v>
      </x:c>
      <x:c r="H37" s="19" t="n">
        <x:f>IFERROR(VLOOKUP(B37,'敌人目录'!$A$6:$S$54,8,FALSE),"")</x:f>
        <x:v>10</x:v>
      </x:c>
      <x:c r="I37" s="19" t="n">
        <x:f>IFERROR(VLOOKUP(B37,'敌人目录'!$A$6:$S$54,9,FALSE),"")</x:f>
        <x:v>0</x:v>
      </x:c>
      <x:c r="J37" s="19" t="n">
        <x:f>IFERROR(VLOOKUP(B37,'敌人目录'!$A$6:$S$54,10,FALSE),"")</x:f>
        <x:v>0</x:v>
      </x:c>
      <x:c r="K37" s="19" t="n">
        <x:f>IFERROR(VLOOKUP(B37,'敌人目录'!$A$6:$S$54,11,FALSE),"")</x:f>
        <x:v>40</x:v>
      </x:c>
      <x:c r="L37" s="19" t="n">
        <x:f>IFERROR(VLOOKUP(B37,'敌人目录'!$A$6:$S$54,12,FALSE),"")</x:f>
        <x:v>1</x:v>
      </x:c>
      <x:c r="M37" s="19" t="n">
        <x:f>IFERROR(VLOOKUP(B37,'敌人目录'!$A$6:$S$54,13,FALSE),"")</x:f>
        <x:v>1</x:v>
      </x:c>
      <x:c r="N37" s="19" t="n">
        <x:f>IF(B37="","",IF(ISNUMBER(D37),D37,IFERROR(VLOOKUP(B37,'敌人目录'!$A$6:$S$54,14,FALSE),"")))</x:f>
        <x:v>1</x:v>
      </x:c>
      <x:c r="O37" s="64" t="n">
        <x:f>IFERROR(VLOOKUP(B37,'敌人目录'!$A$6:$S$54,15,FALSE),"")</x:f>
        <x:v>0.05</x:v>
      </x:c>
      <x:c r="P37" s="19" t="n">
        <x:f>IF(F37="","",F37*G37)</x:f>
        <x:v>840</x:v>
      </x:c>
      <x:c r="Q37" s="19" t="n">
        <x:f>IF(F37="","",F37*L37)</x:f>
        <x:v>24</x:v>
      </x:c>
      <x:c r="R37" s="19" t="n">
        <x:f>IF(F37="","",F37*N37)</x:f>
        <x:v>24</x:v>
      </x:c>
      <x:c r="S37" s="19" t="n">
        <x:f>IF(R37="","",R37*'全局设置'!$B$5)</x:f>
        <x:v>24</x:v>
      </x:c>
      <x:c r="T37" s="73" t="n">
        <x:f>IF(F37="","",F37*O37)</x:f>
        <x:v>1.2000000000000002</x:v>
      </x:c>
      <x:c r="U37" s="19" t="str">
        <x:f>IF(AND(B37="",C37=""),"",IF(B37="","缺少敌人",IF(C37="","缺少数量",IF(OR(C37&lt;1,C37&gt;9999,C37&lt;&gt;INT(C37)),"数量无效",IF(COUNTIF($E$36:$E$53,E37)&gt;1,"重复敌人",IF(AND(ISNUMBER(D37),OR(D37&lt;0,D37&gt;999,D37&lt;&gt;INT(D37))),"奖励无效","可导入"))))))</x:f>
        <x:v>可导入</x:v>
      </x:c>
    </x:row>
    <x:row r="38" ht="22" customHeight="1">
      <x:c r="A38" s="72" t="n">
        <x:v>3</x:v>
      </x:c>
      <x:c r="B38" s="41" t="str">
        <x:v>yuanshi_insect_shell｜硬壳原石虫</x:v>
      </x:c>
      <x:c r="C38" s="41" t="n">
        <x:v>24</x:v>
      </x:c>
      <x:c r="D38" s="41"/>
      <x:c r="E38" s="19" t="str">
        <x:f>IFERROR(VLOOKUP(B38,'敌人目录'!$A$6:$S$54,2,FALSE),"")</x:f>
        <x:v>yuanshi_insect_shell</x:v>
      </x:c>
      <x:c r="F38" s="19" t="n">
        <x:f>IF(OR(B38="",C38=""),"",ROUNDUP(C38*(1+('全局设置'!$B$5-1)*'全局设置'!$B$6),0))</x:f>
        <x:v>24</x:v>
      </x:c>
      <x:c r="G38" s="19" t="n">
        <x:f>IFERROR(VLOOKUP(B38,'敌人目录'!$A$6:$S$54,7,FALSE),"")</x:f>
        <x:v>140</x:v>
      </x:c>
      <x:c r="H38" s="19" t="n">
        <x:f>IFERROR(VLOOKUP(B38,'敌人目录'!$A$6:$S$54,8,FALSE),"")</x:f>
        <x:v>14</x:v>
      </x:c>
      <x:c r="I38" s="19" t="n">
        <x:f>IFERROR(VLOOKUP(B38,'敌人目录'!$A$6:$S$54,9,FALSE),"")</x:f>
        <x:v>3</x:v>
      </x:c>
      <x:c r="J38" s="19" t="n">
        <x:f>IFERROR(VLOOKUP(B38,'敌人目录'!$A$6:$S$54,10,FALSE),"")</x:f>
        <x:v>0</x:v>
      </x:c>
      <x:c r="K38" s="19" t="n">
        <x:f>IFERROR(VLOOKUP(B38,'敌人目录'!$A$6:$S$54,11,FALSE),"")</x:f>
        <x:v>20</x:v>
      </x:c>
      <x:c r="L38" s="19" t="n">
        <x:f>IFERROR(VLOOKUP(B38,'敌人目录'!$A$6:$S$54,12,FALSE),"")</x:f>
        <x:v>2</x:v>
      </x:c>
      <x:c r="M38" s="19" t="n">
        <x:f>IFERROR(VLOOKUP(B38,'敌人目录'!$A$6:$S$54,13,FALSE),"")</x:f>
        <x:v>2</x:v>
      </x:c>
      <x:c r="N38" s="19" t="n">
        <x:f>IF(B38="","",IF(ISNUMBER(D38),D38,IFERROR(VLOOKUP(B38,'敌人目录'!$A$6:$S$54,14,FALSE),"")))</x:f>
        <x:v>2</x:v>
      </x:c>
      <x:c r="O38" s="64" t="n">
        <x:f>IFERROR(VLOOKUP(B38,'敌人目录'!$A$6:$S$54,15,FALSE),"")</x:f>
        <x:v>0.05</x:v>
      </x:c>
      <x:c r="P38" s="19" t="n">
        <x:f>IF(F38="","",F38*G38)</x:f>
        <x:v>3360</x:v>
      </x:c>
      <x:c r="Q38" s="19" t="n">
        <x:f>IF(F38="","",F38*L38)</x:f>
        <x:v>48</x:v>
      </x:c>
      <x:c r="R38" s="19" t="n">
        <x:f>IF(F38="","",F38*N38)</x:f>
        <x:v>48</x:v>
      </x:c>
      <x:c r="S38" s="19" t="n">
        <x:f>IF(R38="","",R38*'全局设置'!$B$5)</x:f>
        <x:v>48</x:v>
      </x:c>
      <x:c r="T38" s="73" t="n">
        <x:f>IF(F38="","",F38*O38)</x:f>
        <x:v>1.2000000000000002</x:v>
      </x:c>
      <x:c r="U38" s="19" t="str">
        <x:f>IF(AND(B38="",C38=""),"",IF(B38="","缺少敌人",IF(C38="","缺少数量",IF(OR(C38&lt;1,C38&gt;9999,C38&lt;&gt;INT(C38)),"数量无效",IF(COUNTIF($E$36:$E$53,E38)&gt;1,"重复敌人",IF(AND(ISNUMBER(D38),OR(D38&lt;0,D38&gt;999,D38&lt;&gt;INT(D38))),"奖励无效","可导入"))))))</x:f>
        <x:v>可导入</x:v>
      </x:c>
    </x:row>
    <x:row r="39" ht="22" customHeight="1">
      <x:c r="A39" s="72" t="n">
        <x:v>4</x:v>
      </x:c>
      <x:c r="B39" s="41" t="str">
        <x:v>yuanshi_insect_bomber｜自爆原石虫</x:v>
      </x:c>
      <x:c r="C39" s="41" t="n">
        <x:v>20</x:v>
      </x:c>
      <x:c r="D39" s="41"/>
      <x:c r="E39" s="19" t="str">
        <x:f>IFERROR(VLOOKUP(B39,'敌人目录'!$A$6:$S$54,2,FALSE),"")</x:f>
        <x:v>yuanshi_insect_bomber</x:v>
      </x:c>
      <x:c r="F39" s="19" t="n">
        <x:f>IF(OR(B39="",C39=""),"",ROUNDUP(C39*(1+('全局设置'!$B$5-1)*'全局设置'!$B$6),0))</x:f>
        <x:v>20</x:v>
      </x:c>
      <x:c r="G39" s="19" t="n">
        <x:f>IFERROR(VLOOKUP(B39,'敌人目录'!$A$6:$S$54,7,FALSE),"")</x:f>
        <x:v>30</x:v>
      </x:c>
      <x:c r="H39" s="19" t="n">
        <x:f>IFERROR(VLOOKUP(B39,'敌人目录'!$A$6:$S$54,8,FALSE),"")</x:f>
        <x:v>10</x:v>
      </x:c>
      <x:c r="I39" s="19" t="n">
        <x:f>IFERROR(VLOOKUP(B39,'敌人目录'!$A$6:$S$54,9,FALSE),"")</x:f>
        <x:v>0</x:v>
      </x:c>
      <x:c r="J39" s="19" t="n">
        <x:f>IFERROR(VLOOKUP(B39,'敌人目录'!$A$6:$S$54,10,FALSE),"")</x:f>
        <x:v>0</x:v>
      </x:c>
      <x:c r="K39" s="19" t="n">
        <x:f>IFERROR(VLOOKUP(B39,'敌人目录'!$A$6:$S$54,11,FALSE),"")</x:f>
        <x:v>18</x:v>
      </x:c>
      <x:c r="L39" s="19" t="n">
        <x:f>IFERROR(VLOOKUP(B39,'敌人目录'!$A$6:$S$54,12,FALSE),"")</x:f>
        <x:v>1</x:v>
      </x:c>
      <x:c r="M39" s="19" t="n">
        <x:f>IFERROR(VLOOKUP(B39,'敌人目录'!$A$6:$S$54,13,FALSE),"")</x:f>
        <x:v>1</x:v>
      </x:c>
      <x:c r="N39" s="19" t="n">
        <x:f>IF(B39="","",IF(ISNUMBER(D39),D39,IFERROR(VLOOKUP(B39,'敌人目录'!$A$6:$S$54,14,FALSE),"")))</x:f>
        <x:v>1</x:v>
      </x:c>
      <x:c r="O39" s="64" t="n">
        <x:f>IFERROR(VLOOKUP(B39,'敌人目录'!$A$6:$S$54,15,FALSE),"")</x:f>
        <x:v>0.05</x:v>
      </x:c>
      <x:c r="P39" s="19" t="n">
        <x:f>IF(F39="","",F39*G39)</x:f>
        <x:v>600</x:v>
      </x:c>
      <x:c r="Q39" s="19" t="n">
        <x:f>IF(F39="","",F39*L39)</x:f>
        <x:v>20</x:v>
      </x:c>
      <x:c r="R39" s="19" t="n">
        <x:f>IF(F39="","",F39*N39)</x:f>
        <x:v>20</x:v>
      </x:c>
      <x:c r="S39" s="19" t="n">
        <x:f>IF(R39="","",R39*'全局设置'!$B$5)</x:f>
        <x:v>20</x:v>
      </x:c>
      <x:c r="T39" s="73" t="n">
        <x:f>IF(F39="","",F39*O39)</x:f>
        <x:v>1</x:v>
      </x:c>
      <x:c r="U39" s="19" t="str">
        <x:f>IF(AND(B39="",C39=""),"",IF(B39="","缺少敌人",IF(C39="","缺少数量",IF(OR(C39&lt;1,C39&gt;9999,C39&lt;&gt;INT(C39)),"数量无效",IF(COUNTIF($E$36:$E$53,E39)&gt;1,"重复敌人",IF(AND(ISNUMBER(D39),OR(D39&lt;0,D39&gt;999,D39&lt;&gt;INT(D39))),"奖励无效","可导入"))))))</x:f>
        <x:v>可导入</x:v>
      </x:c>
    </x:row>
    <x:row r="40" ht="22" customHeight="1">
      <x:c r="A40" s="72" t="n">
        <x:v>5</x:v>
      </x:c>
      <x:c r="B40" s="41" t="str">
        <x:v>yuanshi_insect_purple_bomber｜紫晶自爆原石虫</x:v>
      </x:c>
      <x:c r="C40" s="41" t="n">
        <x:v>16</x:v>
      </x:c>
      <x:c r="D40" s="41"/>
      <x:c r="E40" s="19" t="str">
        <x:f>IFERROR(VLOOKUP(B40,'敌人目录'!$A$6:$S$54,2,FALSE),"")</x:f>
        <x:v>yuanshi_insect_purple_bomber</x:v>
      </x:c>
      <x:c r="F40" s="19" t="n">
        <x:f>IF(OR(B40="",C40=""),"",ROUNDUP(C40*(1+('全局设置'!$B$5-1)*'全局设置'!$B$6),0))</x:f>
        <x:v>16</x:v>
      </x:c>
      <x:c r="G40" s="19" t="n">
        <x:f>IFERROR(VLOOKUP(B40,'敌人目录'!$A$6:$S$54,7,FALSE),"")</x:f>
        <x:v>40</x:v>
      </x:c>
      <x:c r="H40" s="19" t="n">
        <x:f>IFERROR(VLOOKUP(B40,'敌人目录'!$A$6:$S$54,8,FALSE),"")</x:f>
        <x:v>10</x:v>
      </x:c>
      <x:c r="I40" s="19" t="n">
        <x:f>IFERROR(VLOOKUP(B40,'敌人目录'!$A$6:$S$54,9,FALSE),"")</x:f>
        <x:v>0</x:v>
      </x:c>
      <x:c r="J40" s="19" t="n">
        <x:f>IFERROR(VLOOKUP(B40,'敌人目录'!$A$6:$S$54,10,FALSE),"")</x:f>
        <x:v>0</x:v>
      </x:c>
      <x:c r="K40" s="19" t="n">
        <x:f>IFERROR(VLOOKUP(B40,'敌人目录'!$A$6:$S$54,11,FALSE),"")</x:f>
        <x:v>32</x:v>
      </x:c>
      <x:c r="L40" s="19" t="n">
        <x:f>IFERROR(VLOOKUP(B40,'敌人目录'!$A$6:$S$54,12,FALSE),"")</x:f>
        <x:v>1</x:v>
      </x:c>
      <x:c r="M40" s="19" t="n">
        <x:f>IFERROR(VLOOKUP(B40,'敌人目录'!$A$6:$S$54,13,FALSE),"")</x:f>
        <x:v>2</x:v>
      </x:c>
      <x:c r="N40" s="19" t="n">
        <x:f>IF(B40="","",IF(ISNUMBER(D40),D40,IFERROR(VLOOKUP(B40,'敌人目录'!$A$6:$S$54,14,FALSE),"")))</x:f>
        <x:v>2</x:v>
      </x:c>
      <x:c r="O40" s="64" t="n">
        <x:f>IFERROR(VLOOKUP(B40,'敌人目录'!$A$6:$S$54,15,FALSE),"")</x:f>
        <x:v>0.05</x:v>
      </x:c>
      <x:c r="P40" s="19" t="n">
        <x:f>IF(F40="","",F40*G40)</x:f>
        <x:v>640</x:v>
      </x:c>
      <x:c r="Q40" s="19" t="n">
        <x:f>IF(F40="","",F40*L40)</x:f>
        <x:v>16</x:v>
      </x:c>
      <x:c r="R40" s="19" t="n">
        <x:f>IF(F40="","",F40*N40)</x:f>
        <x:v>32</x:v>
      </x:c>
      <x:c r="S40" s="19" t="n">
        <x:f>IF(R40="","",R40*'全局设置'!$B$5)</x:f>
        <x:v>32</x:v>
      </x:c>
      <x:c r="T40" s="73" t="n">
        <x:f>IF(F40="","",F40*O40)</x:f>
        <x:v>0.8</x:v>
      </x:c>
      <x:c r="U40" s="19" t="str">
        <x:f>IF(AND(B40="",C40=""),"",IF(B40="","缺少敌人",IF(C40="","缺少数量",IF(OR(C40&lt;1,C40&gt;9999,C40&lt;&gt;INT(C40)),"数量无效",IF(COUNTIF($E$36:$E$53,E40)&gt;1,"重复敌人",IF(AND(ISNUMBER(D40),OR(D40&lt;0,D40&gt;999,D40&lt;&gt;INT(D40))),"奖励无效","可导入"))))))</x:f>
        <x:v>可导入</x:v>
      </x:c>
    </x:row>
    <x:row r="41" ht="22" customHeight="1">
      <x:c r="A41" s="72" t="n">
        <x:v>6</x:v>
      </x:c>
      <x:c r="B41" s="41" t="str">
        <x:v>yuanshi_insect_fire_ranged｜火焰弹原石虫</x:v>
      </x:c>
      <x:c r="C41" s="41" t="n">
        <x:v>20</x:v>
      </x:c>
      <x:c r="D41" s="41"/>
      <x:c r="E41" s="19" t="str">
        <x:f>IFERROR(VLOOKUP(B41,'敌人目录'!$A$6:$S$54,2,FALSE),"")</x:f>
        <x:v>yuanshi_insect_fire_ranged</x:v>
      </x:c>
      <x:c r="F41" s="19" t="n">
        <x:f>IF(OR(B41="",C41=""),"",ROUNDUP(C41*(1+('全局设置'!$B$5-1)*'全局设置'!$B$6),0))</x:f>
        <x:v>20</x:v>
      </x:c>
      <x:c r="G41" s="19" t="n">
        <x:f>IFERROR(VLOOKUP(B41,'敌人目录'!$A$6:$S$54,7,FALSE),"")</x:f>
        <x:v>40</x:v>
      </x:c>
      <x:c r="H41" s="19" t="n">
        <x:f>IFERROR(VLOOKUP(B41,'敌人目录'!$A$6:$S$54,8,FALSE),"")</x:f>
        <x:v>25</x:v>
      </x:c>
      <x:c r="I41" s="19" t="n">
        <x:f>IFERROR(VLOOKUP(B41,'敌人目录'!$A$6:$S$54,9,FALSE),"")</x:f>
        <x:v>0</x:v>
      </x:c>
      <x:c r="J41" s="19" t="n">
        <x:f>IFERROR(VLOOKUP(B41,'敌人目录'!$A$6:$S$54,10,FALSE),"")</x:f>
        <x:v>0</x:v>
      </x:c>
      <x:c r="K41" s="19" t="n">
        <x:f>IFERROR(VLOOKUP(B41,'敌人目录'!$A$6:$S$54,11,FALSE),"")</x:f>
        <x:v>22</x:v>
      </x:c>
      <x:c r="L41" s="19" t="n">
        <x:f>IFERROR(VLOOKUP(B41,'敌人目录'!$A$6:$S$54,12,FALSE),"")</x:f>
        <x:v>2</x:v>
      </x:c>
      <x:c r="M41" s="19" t="n">
        <x:f>IFERROR(VLOOKUP(B41,'敌人目录'!$A$6:$S$54,13,FALSE),"")</x:f>
        <x:v>1</x:v>
      </x:c>
      <x:c r="N41" s="19" t="n">
        <x:f>IF(B41="","",IF(ISNUMBER(D41),D41,IFERROR(VLOOKUP(B41,'敌人目录'!$A$6:$S$54,14,FALSE),"")))</x:f>
        <x:v>1</x:v>
      </x:c>
      <x:c r="O41" s="64" t="n">
        <x:f>IFERROR(VLOOKUP(B41,'敌人目录'!$A$6:$S$54,15,FALSE),"")</x:f>
        <x:v>0.05</x:v>
      </x:c>
      <x:c r="P41" s="19" t="n">
        <x:f>IF(F41="","",F41*G41)</x:f>
        <x:v>800</x:v>
      </x:c>
      <x:c r="Q41" s="19" t="n">
        <x:f>IF(F41="","",F41*L41)</x:f>
        <x:v>40</x:v>
      </x:c>
      <x:c r="R41" s="19" t="n">
        <x:f>IF(F41="","",F41*N41)</x:f>
        <x:v>20</x:v>
      </x:c>
      <x:c r="S41" s="19" t="n">
        <x:f>IF(R41="","",R41*'全局设置'!$B$5)</x:f>
        <x:v>20</x:v>
      </x:c>
      <x:c r="T41" s="73" t="n">
        <x:f>IF(F41="","",F41*O41)</x:f>
        <x:v>1</x:v>
      </x:c>
      <x:c r="U41" s="19" t="str">
        <x:f>IF(AND(B41="",C41=""),"",IF(B41="","缺少敌人",IF(C41="","缺少数量",IF(OR(C41&lt;1,C41&gt;9999,C41&lt;&gt;INT(C41)),"数量无效",IF(COUNTIF($E$36:$E$53,E41)&gt;1,"重复敌人",IF(AND(ISNUMBER(D41),OR(D41&lt;0,D41&gt;999,D41&lt;&gt;INT(D41))),"奖励无效","可导入"))))))</x:f>
        <x:v>可导入</x:v>
      </x:c>
    </x:row>
    <x:row r="42" ht="22" customHeight="1">
      <x:c r="A42" s="72" t="n">
        <x:v>7</x:v>
      </x:c>
      <x:c r="B42" s="41" t="str">
        <x:v>yuanshi_insect_green_shell｜翠壳原石虫</x:v>
      </x:c>
      <x:c r="C42" s="41" t="n">
        <x:v>16</x:v>
      </x:c>
      <x:c r="D42" s="41"/>
      <x:c r="E42" s="19" t="str">
        <x:f>IFERROR(VLOOKUP(B42,'敌人目录'!$A$6:$S$54,2,FALSE),"")</x:f>
        <x:v>yuanshi_insect_green_shell</x:v>
      </x:c>
      <x:c r="F42" s="19" t="n">
        <x:f>IF(OR(B42="",C42=""),"",ROUNDUP(C42*(1+('全局设置'!$B$5-1)*'全局设置'!$B$6),0))</x:f>
        <x:v>16</x:v>
      </x:c>
      <x:c r="G42" s="19" t="n">
        <x:f>IFERROR(VLOOKUP(B42,'敌人目录'!$A$6:$S$54,7,FALSE),"")</x:f>
        <x:v>200</x:v>
      </x:c>
      <x:c r="H42" s="19" t="n">
        <x:f>IFERROR(VLOOKUP(B42,'敌人目录'!$A$6:$S$54,8,FALSE),"")</x:f>
        <x:v>20</x:v>
      </x:c>
      <x:c r="I42" s="19" t="n">
        <x:f>IFERROR(VLOOKUP(B42,'敌人目录'!$A$6:$S$54,9,FALSE),"")</x:f>
        <x:v>5</x:v>
      </x:c>
      <x:c r="J42" s="19" t="n">
        <x:f>IFERROR(VLOOKUP(B42,'敌人目录'!$A$6:$S$54,10,FALSE),"")</x:f>
        <x:v>0</x:v>
      </x:c>
      <x:c r="K42" s="19" t="n">
        <x:f>IFERROR(VLOOKUP(B42,'敌人目录'!$A$6:$S$54,11,FALSE),"")</x:f>
        <x:v>15</x:v>
      </x:c>
      <x:c r="L42" s="19" t="n">
        <x:f>IFERROR(VLOOKUP(B42,'敌人目录'!$A$6:$S$54,12,FALSE),"")</x:f>
        <x:v>5</x:v>
      </x:c>
      <x:c r="M42" s="19" t="n">
        <x:f>IFERROR(VLOOKUP(B42,'敌人目录'!$A$6:$S$54,13,FALSE),"")</x:f>
        <x:v>2</x:v>
      </x:c>
      <x:c r="N42" s="19" t="n">
        <x:f>IF(B42="","",IF(ISNUMBER(D42),D42,IFERROR(VLOOKUP(B42,'敌人目录'!$A$6:$S$54,14,FALSE),"")))</x:f>
        <x:v>2</x:v>
      </x:c>
      <x:c r="O42" s="64" t="n">
        <x:f>IFERROR(VLOOKUP(B42,'敌人目录'!$A$6:$S$54,15,FALSE),"")</x:f>
        <x:v>0.05</x:v>
      </x:c>
      <x:c r="P42" s="19" t="n">
        <x:f>IF(F42="","",F42*G42)</x:f>
        <x:v>3200</x:v>
      </x:c>
      <x:c r="Q42" s="19" t="n">
        <x:f>IF(F42="","",F42*L42)</x:f>
        <x:v>80</x:v>
      </x:c>
      <x:c r="R42" s="19" t="n">
        <x:f>IF(F42="","",F42*N42)</x:f>
        <x:v>32</x:v>
      </x:c>
      <x:c r="S42" s="19" t="n">
        <x:f>IF(R42="","",R42*'全局设置'!$B$5)</x:f>
        <x:v>32</x:v>
      </x:c>
      <x:c r="T42" s="73" t="n">
        <x:f>IF(F42="","",F42*O42)</x:f>
        <x:v>0.8</x:v>
      </x:c>
      <x:c r="U42" s="19" t="str">
        <x:f>IF(AND(B42="",C42=""),"",IF(B42="","缺少敌人",IF(C42="","缺少数量",IF(OR(C42&lt;1,C42&gt;9999,C42&lt;&gt;INT(C42)),"数量无效",IF(COUNTIF($E$36:$E$53,E42)&gt;1,"重复敌人",IF(AND(ISNUMBER(D42),OR(D42&lt;0,D42&gt;999,D42&lt;&gt;INT(D42))),"奖励无效","可导入"))))))</x:f>
        <x:v>可导入</x:v>
      </x:c>
    </x:row>
    <x:row r="43" ht="22" customHeight="1">
      <x:c r="A43" s="72" t="n">
        <x:v>8</x:v>
      </x:c>
      <x:c r="B43" s="41" t="str">
        <x:v>yuanshi_insect_guardian｜守护者原石虫</x:v>
      </x:c>
      <x:c r="C43" s="41" t="n">
        <x:v>16</x:v>
      </x:c>
      <x:c r="D43" s="41"/>
      <x:c r="E43" s="19" t="str">
        <x:f>IFERROR(VLOOKUP(B43,'敌人目录'!$A$6:$S$54,2,FALSE),"")</x:f>
        <x:v>yuanshi_insect_guardian</x:v>
      </x:c>
      <x:c r="F43" s="19" t="n">
        <x:f>IF(OR(B43="",C43=""),"",ROUNDUP(C43*(1+('全局设置'!$B$5-1)*'全局设置'!$B$6),0))</x:f>
        <x:v>16</x:v>
      </x:c>
      <x:c r="G43" s="19" t="n">
        <x:f>IFERROR(VLOOKUP(B43,'敌人目录'!$A$6:$S$54,7,FALSE),"")</x:f>
        <x:v>150</x:v>
      </x:c>
      <x:c r="H43" s="19" t="n">
        <x:f>IFERROR(VLOOKUP(B43,'敌人目录'!$A$6:$S$54,8,FALSE),"")</x:f>
        <x:v>10</x:v>
      </x:c>
      <x:c r="I43" s="19" t="n">
        <x:f>IFERROR(VLOOKUP(B43,'敌人目录'!$A$6:$S$54,9,FALSE),"")</x:f>
        <x:v>5</x:v>
      </x:c>
      <x:c r="J43" s="19" t="n">
        <x:f>IFERROR(VLOOKUP(B43,'敌人目录'!$A$6:$S$54,10,FALSE),"")</x:f>
        <x:v>0</x:v>
      </x:c>
      <x:c r="K43" s="19" t="n">
        <x:f>IFERROR(VLOOKUP(B43,'敌人目录'!$A$6:$S$54,11,FALSE),"")</x:f>
        <x:v>20</x:v>
      </x:c>
      <x:c r="L43" s="19" t="n">
        <x:f>IFERROR(VLOOKUP(B43,'敌人目录'!$A$6:$S$54,12,FALSE),"")</x:f>
        <x:v>5</x:v>
      </x:c>
      <x:c r="M43" s="19" t="n">
        <x:f>IFERROR(VLOOKUP(B43,'敌人目录'!$A$6:$S$54,13,FALSE),"")</x:f>
        <x:v>2</x:v>
      </x:c>
      <x:c r="N43" s="19" t="n">
        <x:f>IF(B43="","",IF(ISNUMBER(D43),D43,IFERROR(VLOOKUP(B43,'敌人目录'!$A$6:$S$54,14,FALSE),"")))</x:f>
        <x:v>2</x:v>
      </x:c>
      <x:c r="O43" s="64" t="n">
        <x:f>IFERROR(VLOOKUP(B43,'敌人目录'!$A$6:$S$54,15,FALSE),"")</x:f>
        <x:v>0.05</x:v>
      </x:c>
      <x:c r="P43" s="19" t="n">
        <x:f>IF(F43="","",F43*G43)</x:f>
        <x:v>2400</x:v>
      </x:c>
      <x:c r="Q43" s="19" t="n">
        <x:f>IF(F43="","",F43*L43)</x:f>
        <x:v>80</x:v>
      </x:c>
      <x:c r="R43" s="19" t="n">
        <x:f>IF(F43="","",F43*N43)</x:f>
        <x:v>32</x:v>
      </x:c>
      <x:c r="S43" s="19" t="n">
        <x:f>IF(R43="","",R43*'全局设置'!$B$5)</x:f>
        <x:v>32</x:v>
      </x:c>
      <x:c r="T43" s="73" t="n">
        <x:f>IF(F43="","",F43*O43)</x:f>
        <x:v>0.8</x:v>
      </x:c>
      <x:c r="U43" s="19" t="str">
        <x:f>IF(AND(B43="",C43=""),"",IF(B43="","缺少敌人",IF(C43="","缺少数量",IF(OR(C43&lt;1,C43&gt;9999,C43&lt;&gt;INT(C43)),"数量无效",IF(COUNTIF($E$36:$E$53,E43)&gt;1,"重复敌人",IF(AND(ISNUMBER(D43),OR(D43&lt;0,D43&gt;999,D43&lt;&gt;INT(D43))),"奖励无效","可导入"))))))</x:f>
        <x:v>可导入</x:v>
      </x:c>
    </x:row>
    <x:row r="44" ht="22" customHeight="1">
      <x:c r="A44" s="72" t="n">
        <x:v>9</x:v>
      </x:c>
      <x:c r="B44" s="41" t="str">
        <x:v>capoo_ak47｜AK猫猫虫</x:v>
      </x:c>
      <x:c r="C44" s="41" t="n">
        <x:v>2</x:v>
      </x:c>
      <x:c r="D44" s="41"/>
      <x:c r="E44" s="19" t="str">
        <x:f>IFERROR(VLOOKUP(B44,'敌人目录'!$A$6:$S$54,2,FALSE),"")</x:f>
        <x:v>capoo_ak47</x:v>
      </x:c>
      <x:c r="F44" s="19" t="n">
        <x:f>IF(OR(B44="",C44=""),"",ROUNDUP(C44*(1+('全局设置'!$B$5-1)*'全局设置'!$B$6),0))</x:f>
        <x:v>2</x:v>
      </x:c>
      <x:c r="G44" s="19" t="n">
        <x:f>IFERROR(VLOOKUP(B44,'敌人目录'!$A$6:$S$54,7,FALSE),"")</x:f>
        <x:v>150</x:v>
      </x:c>
      <x:c r="H44" s="19" t="n">
        <x:f>IFERROR(VLOOKUP(B44,'敌人目录'!$A$6:$S$54,8,FALSE),"")</x:f>
        <x:v>20</x:v>
      </x:c>
      <x:c r="I44" s="19" t="n">
        <x:f>IFERROR(VLOOKUP(B44,'敌人目录'!$A$6:$S$54,9,FALSE),"")</x:f>
        <x:v>0</x:v>
      </x:c>
      <x:c r="J44" s="19" t="n">
        <x:f>IFERROR(VLOOKUP(B44,'敌人目录'!$A$6:$S$54,10,FALSE),"")</x:f>
        <x:v>0</x:v>
      </x:c>
      <x:c r="K44" s="19" t="n">
        <x:f>IFERROR(VLOOKUP(B44,'敌人目录'!$A$6:$S$54,11,FALSE),"")</x:f>
        <x:v>18</x:v>
      </x:c>
      <x:c r="L44" s="19" t="n">
        <x:f>IFERROR(VLOOKUP(B44,'敌人目录'!$A$6:$S$54,12,FALSE),"")</x:f>
        <x:v>2</x:v>
      </x:c>
      <x:c r="M44" s="19" t="n">
        <x:f>IFERROR(VLOOKUP(B44,'敌人目录'!$A$6:$S$54,13,FALSE),"")</x:f>
        <x:v>20</x:v>
      </x:c>
      <x:c r="N44" s="19" t="n">
        <x:f>IF(B44="","",IF(ISNUMBER(D44),D44,IFERROR(VLOOKUP(B44,'敌人目录'!$A$6:$S$54,14,FALSE),"")))</x:f>
        <x:v>20</x:v>
      </x:c>
      <x:c r="O44" s="64" t="n">
        <x:f>IFERROR(VLOOKUP(B44,'敌人目录'!$A$6:$S$54,15,FALSE),"")</x:f>
        <x:v>0.06</x:v>
      </x:c>
      <x:c r="P44" s="19" t="n">
        <x:f>IF(F44="","",F44*G44)</x:f>
        <x:v>300</x:v>
      </x:c>
      <x:c r="Q44" s="19" t="n">
        <x:f>IF(F44="","",F44*L44)</x:f>
        <x:v>4</x:v>
      </x:c>
      <x:c r="R44" s="19" t="n">
        <x:f>IF(F44="","",F44*N44)</x:f>
        <x:v>40</x:v>
      </x:c>
      <x:c r="S44" s="19" t="n">
        <x:f>IF(R44="","",R44*'全局设置'!$B$5)</x:f>
        <x:v>40</x:v>
      </x:c>
      <x:c r="T44" s="73" t="n">
        <x:f>IF(F44="","",F44*O44)</x:f>
        <x:v>0.12</x:v>
      </x:c>
      <x:c r="U44" s="19" t="str">
        <x:f>IF(AND(B44="",C44=""),"",IF(B44="","缺少敌人",IF(C44="","缺少数量",IF(OR(C44&lt;1,C44&gt;9999,C44&lt;&gt;INT(C44)),"数量无效",IF(COUNTIF($E$36:$E$53,E44)&gt;1,"重复敌人",IF(AND(ISNUMBER(D44),OR(D44&lt;0,D44&gt;999,D44&lt;&gt;INT(D44))),"奖励无效","可导入"))))))</x:f>
        <x:v>可导入</x:v>
      </x:c>
    </x:row>
    <x:row r="45" ht="22" customHeight="1">
      <x:c r="A45" s="72" t="n">
        <x:v>10</x:v>
      </x:c>
      <x:c r="B45" s="41" t="str">
        <x:v>capoo_knight｜骑士猫猫虫</x:v>
      </x:c>
      <x:c r="C45" s="41" t="n">
        <x:v>2</x:v>
      </x:c>
      <x:c r="D45" s="41"/>
      <x:c r="E45" s="19" t="str">
        <x:f>IFERROR(VLOOKUP(B45,'敌人目录'!$A$6:$S$54,2,FALSE),"")</x:f>
        <x:v>capoo_knight</x:v>
      </x:c>
      <x:c r="F45" s="19" t="n">
        <x:f>IF(OR(B45="",C45=""),"",ROUNDUP(C45*(1+('全局设置'!$B$5-1)*'全局设置'!$B$6),0))</x:f>
        <x:v>2</x:v>
      </x:c>
      <x:c r="G45" s="19" t="n">
        <x:f>IFERROR(VLOOKUP(B45,'敌人目录'!$A$6:$S$54,7,FALSE),"")</x:f>
        <x:v>200</x:v>
      </x:c>
      <x:c r="H45" s="19" t="n">
        <x:f>IFERROR(VLOOKUP(B45,'敌人目录'!$A$6:$S$54,8,FALSE),"")</x:f>
        <x:v>28</x:v>
      </x:c>
      <x:c r="I45" s="19" t="n">
        <x:f>IFERROR(VLOOKUP(B45,'敌人目录'!$A$6:$S$54,9,FALSE),"")</x:f>
        <x:v>10</x:v>
      </x:c>
      <x:c r="J45" s="19" t="n">
        <x:f>IFERROR(VLOOKUP(B45,'敌人目录'!$A$6:$S$54,10,FALSE),"")</x:f>
        <x:v>0</x:v>
      </x:c>
      <x:c r="K45" s="19" t="n">
        <x:f>IFERROR(VLOOKUP(B45,'敌人目录'!$A$6:$S$54,11,FALSE),"")</x:f>
        <x:v>34</x:v>
      </x:c>
      <x:c r="L45" s="19" t="n">
        <x:f>IFERROR(VLOOKUP(B45,'敌人目录'!$A$6:$S$54,12,FALSE),"")</x:f>
        <x:v>5</x:v>
      </x:c>
      <x:c r="M45" s="19" t="n">
        <x:f>IFERROR(VLOOKUP(B45,'敌人目录'!$A$6:$S$54,13,FALSE),"")</x:f>
        <x:v>20</x:v>
      </x:c>
      <x:c r="N45" s="19" t="n">
        <x:f>IF(B45="","",IF(ISNUMBER(D45),D45,IFERROR(VLOOKUP(B45,'敌人目录'!$A$6:$S$54,14,FALSE),"")))</x:f>
        <x:v>20</x:v>
      </x:c>
      <x:c r="O45" s="64" t="n">
        <x:f>IFERROR(VLOOKUP(B45,'敌人目录'!$A$6:$S$54,15,FALSE),"")</x:f>
        <x:v>0.06</x:v>
      </x:c>
      <x:c r="P45" s="19" t="n">
        <x:f>IF(F45="","",F45*G45)</x:f>
        <x:v>400</x:v>
      </x:c>
      <x:c r="Q45" s="19" t="n">
        <x:f>IF(F45="","",F45*L45)</x:f>
        <x:v>10</x:v>
      </x:c>
      <x:c r="R45" s="19" t="n">
        <x:f>IF(F45="","",F45*N45)</x:f>
        <x:v>40</x:v>
      </x:c>
      <x:c r="S45" s="19" t="n">
        <x:f>IF(R45="","",R45*'全局设置'!$B$5)</x:f>
        <x:v>40</x:v>
      </x:c>
      <x:c r="T45" s="73" t="n">
        <x:f>IF(F45="","",F45*O45)</x:f>
        <x:v>0.12</x:v>
      </x:c>
      <x:c r="U45" s="19" t="str">
        <x:f>IF(AND(B45="",C45=""),"",IF(B45="","缺少敌人",IF(C45="","缺少数量",IF(OR(C45&lt;1,C45&gt;9999,C45&lt;&gt;INT(C45)),"数量无效",IF(COUNTIF($E$36:$E$53,E45)&gt;1,"重复敌人",IF(AND(ISNUMBER(D45),OR(D45&lt;0,D45&gt;999,D45&lt;&gt;INT(D45))),"奖励无效","可导入"))))))</x:f>
        <x:v>可导入</x:v>
      </x:c>
    </x:row>
    <x:row r="46" ht="22" customHeight="1">
      <x:c r="A46" s="72" t="n">
        <x:v>11</x:v>
      </x:c>
      <x:c r="B46" s="41"/>
      <x:c r="C46" s="41"/>
      <x:c r="D46" s="41"/>
      <x:c r="E46" s="19" t="str">
        <x:f>IFERROR(VLOOKUP(B46,'敌人目录'!$A$6:$S$54,2,FALSE),"")</x:f>
      </x:c>
      <x:c r="F46" s="19" t="str">
        <x:f>IF(OR(B46="",C46=""),"",ROUNDUP(C46*(1+('全局设置'!$B$5-1)*'全局设置'!$B$6),0))</x:f>
      </x:c>
      <x:c r="G46" s="19" t="str">
        <x:f>IFERROR(VLOOKUP(B46,'敌人目录'!$A$6:$S$54,7,FALSE),"")</x:f>
      </x:c>
      <x:c r="H46" s="19" t="str">
        <x:f>IFERROR(VLOOKUP(B46,'敌人目录'!$A$6:$S$54,8,FALSE),"")</x:f>
      </x:c>
      <x:c r="I46" s="19" t="str">
        <x:f>IFERROR(VLOOKUP(B46,'敌人目录'!$A$6:$S$54,9,FALSE),"")</x:f>
      </x:c>
      <x:c r="J46" s="19" t="str">
        <x:f>IFERROR(VLOOKUP(B46,'敌人目录'!$A$6:$S$54,10,FALSE),"")</x:f>
      </x:c>
      <x:c r="K46" s="19" t="str">
        <x:f>IFERROR(VLOOKUP(B46,'敌人目录'!$A$6:$S$54,11,FALSE),"")</x:f>
      </x:c>
      <x:c r="L46" s="19" t="str">
        <x:f>IFERROR(VLOOKUP(B46,'敌人目录'!$A$6:$S$54,12,FALSE),"")</x:f>
      </x:c>
      <x:c r="M46" s="19" t="str">
        <x:f>IFERROR(VLOOKUP(B46,'敌人目录'!$A$6:$S$54,13,FALSE),"")</x:f>
      </x:c>
      <x:c r="N46" s="19" t="str">
        <x:f>IF(B46="","",IF(ISNUMBER(D46),D46,IFERROR(VLOOKUP(B46,'敌人目录'!$A$6:$S$54,14,FALSE),"")))</x:f>
      </x:c>
      <x:c r="O46" s="64" t="str">
        <x:f>IFERROR(VLOOKUP(B46,'敌人目录'!$A$6:$S$54,15,FALSE),"")</x:f>
      </x:c>
      <x:c r="P46" s="19" t="str">
        <x:f>IF(F46="","",F46*G46)</x:f>
      </x:c>
      <x:c r="Q46" s="19" t="str">
        <x:f>IF(F46="","",F46*L46)</x:f>
      </x:c>
      <x:c r="R46" s="19" t="str">
        <x:f>IF(F46="","",F46*N46)</x:f>
      </x:c>
      <x:c r="S46" s="19" t="str">
        <x:f>IF(R46="","",R46*'全局设置'!$B$5)</x:f>
      </x:c>
      <x:c r="T46" s="73" t="str">
        <x:f>IF(F46="","",F46*O46)</x:f>
      </x:c>
      <x:c r="U46" s="19" t="str">
        <x:f>IF(AND(B46="",C46=""),"",IF(B46="","缺少敌人",IF(C46="","缺少数量",IF(OR(C46&lt;1,C46&gt;9999,C46&lt;&gt;INT(C46)),"数量无效",IF(COUNTIF($E$36:$E$53,E46)&gt;1,"重复敌人",IF(AND(ISNUMBER(D46),OR(D46&lt;0,D46&gt;999,D46&lt;&gt;INT(D46))),"奖励无效","可导入"))))))</x:f>
      </x:c>
    </x:row>
    <x:row r="47" ht="22" customHeight="1">
      <x:c r="A47" s="72" t="n">
        <x:v>12</x:v>
      </x:c>
      <x:c r="B47" s="41"/>
      <x:c r="C47" s="41"/>
      <x:c r="D47" s="41"/>
      <x:c r="E47" s="19" t="str">
        <x:f>IFERROR(VLOOKUP(B47,'敌人目录'!$A$6:$S$54,2,FALSE),"")</x:f>
      </x:c>
      <x:c r="F47" s="19" t="str">
        <x:f>IF(OR(B47="",C47=""),"",ROUNDUP(C47*(1+('全局设置'!$B$5-1)*'全局设置'!$B$6),0))</x:f>
      </x:c>
      <x:c r="G47" s="19" t="str">
        <x:f>IFERROR(VLOOKUP(B47,'敌人目录'!$A$6:$S$54,7,FALSE),"")</x:f>
      </x:c>
      <x:c r="H47" s="19" t="str">
        <x:f>IFERROR(VLOOKUP(B47,'敌人目录'!$A$6:$S$54,8,FALSE),"")</x:f>
      </x:c>
      <x:c r="I47" s="19" t="str">
        <x:f>IFERROR(VLOOKUP(B47,'敌人目录'!$A$6:$S$54,9,FALSE),"")</x:f>
      </x:c>
      <x:c r="J47" s="19" t="str">
        <x:f>IFERROR(VLOOKUP(B47,'敌人目录'!$A$6:$S$54,10,FALSE),"")</x:f>
      </x:c>
      <x:c r="K47" s="19" t="str">
        <x:f>IFERROR(VLOOKUP(B47,'敌人目录'!$A$6:$S$54,11,FALSE),"")</x:f>
      </x:c>
      <x:c r="L47" s="19" t="str">
        <x:f>IFERROR(VLOOKUP(B47,'敌人目录'!$A$6:$S$54,12,FALSE),"")</x:f>
      </x:c>
      <x:c r="M47" s="19" t="str">
        <x:f>IFERROR(VLOOKUP(B47,'敌人目录'!$A$6:$S$54,13,FALSE),"")</x:f>
      </x:c>
      <x:c r="N47" s="19" t="str">
        <x:f>IF(B47="","",IF(ISNUMBER(D47),D47,IFERROR(VLOOKUP(B47,'敌人目录'!$A$6:$S$54,14,FALSE),"")))</x:f>
      </x:c>
      <x:c r="O47" s="64" t="str">
        <x:f>IFERROR(VLOOKUP(B47,'敌人目录'!$A$6:$S$54,15,FALSE),"")</x:f>
      </x:c>
      <x:c r="P47" s="19" t="str">
        <x:f>IF(F47="","",F47*G47)</x:f>
      </x:c>
      <x:c r="Q47" s="19" t="str">
        <x:f>IF(F47="","",F47*L47)</x:f>
      </x:c>
      <x:c r="R47" s="19" t="str">
        <x:f>IF(F47="","",F47*N47)</x:f>
      </x:c>
      <x:c r="S47" s="19" t="str">
        <x:f>IF(R47="","",R47*'全局设置'!$B$5)</x:f>
      </x:c>
      <x:c r="T47" s="73" t="str">
        <x:f>IF(F47="","",F47*O47)</x:f>
      </x:c>
      <x:c r="U47" s="19" t="str">
        <x:f>IF(AND(B47="",C47=""),"",IF(B47="","缺少敌人",IF(C47="","缺少数量",IF(OR(C47&lt;1,C47&gt;9999,C47&lt;&gt;INT(C47)),"数量无效",IF(COUNTIF($E$36:$E$53,E47)&gt;1,"重复敌人",IF(AND(ISNUMBER(D47),OR(D47&lt;0,D47&gt;999,D47&lt;&gt;INT(D47))),"奖励无效","可导入"))))))</x:f>
      </x:c>
    </x:row>
    <x:row r="48" ht="22" customHeight="1">
      <x:c r="A48" s="72" t="n">
        <x:v>13</x:v>
      </x:c>
      <x:c r="B48" s="41"/>
      <x:c r="C48" s="41"/>
      <x:c r="D48" s="41"/>
      <x:c r="E48" s="19" t="str">
        <x:f>IFERROR(VLOOKUP(B48,'敌人目录'!$A$6:$S$54,2,FALSE),"")</x:f>
      </x:c>
      <x:c r="F48" s="19" t="str">
        <x:f>IF(OR(B48="",C48=""),"",ROUNDUP(C48*(1+('全局设置'!$B$5-1)*'全局设置'!$B$6),0))</x:f>
      </x:c>
      <x:c r="G48" s="19" t="str">
        <x:f>IFERROR(VLOOKUP(B48,'敌人目录'!$A$6:$S$54,7,FALSE),"")</x:f>
      </x:c>
      <x:c r="H48" s="19" t="str">
        <x:f>IFERROR(VLOOKUP(B48,'敌人目录'!$A$6:$S$54,8,FALSE),"")</x:f>
      </x:c>
      <x:c r="I48" s="19" t="str">
        <x:f>IFERROR(VLOOKUP(B48,'敌人目录'!$A$6:$S$54,9,FALSE),"")</x:f>
      </x:c>
      <x:c r="J48" s="19" t="str">
        <x:f>IFERROR(VLOOKUP(B48,'敌人目录'!$A$6:$S$54,10,FALSE),"")</x:f>
      </x:c>
      <x:c r="K48" s="19" t="str">
        <x:f>IFERROR(VLOOKUP(B48,'敌人目录'!$A$6:$S$54,11,FALSE),"")</x:f>
      </x:c>
      <x:c r="L48" s="19" t="str">
        <x:f>IFERROR(VLOOKUP(B48,'敌人目录'!$A$6:$S$54,12,FALSE),"")</x:f>
      </x:c>
      <x:c r="M48" s="19" t="str">
        <x:f>IFERROR(VLOOKUP(B48,'敌人目录'!$A$6:$S$54,13,FALSE),"")</x:f>
      </x:c>
      <x:c r="N48" s="19" t="str">
        <x:f>IF(B48="","",IF(ISNUMBER(D48),D48,IFERROR(VLOOKUP(B48,'敌人目录'!$A$6:$S$54,14,FALSE),"")))</x:f>
      </x:c>
      <x:c r="O48" s="64" t="str">
        <x:f>IFERROR(VLOOKUP(B48,'敌人目录'!$A$6:$S$54,15,FALSE),"")</x:f>
      </x:c>
      <x:c r="P48" s="19" t="str">
        <x:f>IF(F48="","",F48*G48)</x:f>
      </x:c>
      <x:c r="Q48" s="19" t="str">
        <x:f>IF(F48="","",F48*L48)</x:f>
      </x:c>
      <x:c r="R48" s="19" t="str">
        <x:f>IF(F48="","",F48*N48)</x:f>
      </x:c>
      <x:c r="S48" s="19" t="str">
        <x:f>IF(R48="","",R48*'全局设置'!$B$5)</x:f>
      </x:c>
      <x:c r="T48" s="73" t="str">
        <x:f>IF(F48="","",F48*O48)</x:f>
      </x:c>
      <x:c r="U48" s="19" t="str">
        <x:f>IF(AND(B48="",C48=""),"",IF(B48="","缺少敌人",IF(C48="","缺少数量",IF(OR(C48&lt;1,C48&gt;9999,C48&lt;&gt;INT(C48)),"数量无效",IF(COUNTIF($E$36:$E$53,E48)&gt;1,"重复敌人",IF(AND(ISNUMBER(D48),OR(D48&lt;0,D48&gt;999,D48&lt;&gt;INT(D48))),"奖励无效","可导入"))))))</x:f>
      </x:c>
    </x:row>
    <x:row r="49" ht="22" customHeight="1">
      <x:c r="A49" s="72" t="n">
        <x:v>14</x:v>
      </x:c>
      <x:c r="B49" s="41"/>
      <x:c r="C49" s="41"/>
      <x:c r="D49" s="41"/>
      <x:c r="E49" s="19" t="str">
        <x:f>IFERROR(VLOOKUP(B49,'敌人目录'!$A$6:$S$54,2,FALSE),"")</x:f>
      </x:c>
      <x:c r="F49" s="19" t="str">
        <x:f>IF(OR(B49="",C49=""),"",ROUNDUP(C49*(1+('全局设置'!$B$5-1)*'全局设置'!$B$6),0))</x:f>
      </x:c>
      <x:c r="G49" s="19" t="str">
        <x:f>IFERROR(VLOOKUP(B49,'敌人目录'!$A$6:$S$54,7,FALSE),"")</x:f>
      </x:c>
      <x:c r="H49" s="19" t="str">
        <x:f>IFERROR(VLOOKUP(B49,'敌人目录'!$A$6:$S$54,8,FALSE),"")</x:f>
      </x:c>
      <x:c r="I49" s="19" t="str">
        <x:f>IFERROR(VLOOKUP(B49,'敌人目录'!$A$6:$S$54,9,FALSE),"")</x:f>
      </x:c>
      <x:c r="J49" s="19" t="str">
        <x:f>IFERROR(VLOOKUP(B49,'敌人目录'!$A$6:$S$54,10,FALSE),"")</x:f>
      </x:c>
      <x:c r="K49" s="19" t="str">
        <x:f>IFERROR(VLOOKUP(B49,'敌人目录'!$A$6:$S$54,11,FALSE),"")</x:f>
      </x:c>
      <x:c r="L49" s="19" t="str">
        <x:f>IFERROR(VLOOKUP(B49,'敌人目录'!$A$6:$S$54,12,FALSE),"")</x:f>
      </x:c>
      <x:c r="M49" s="19" t="str">
        <x:f>IFERROR(VLOOKUP(B49,'敌人目录'!$A$6:$S$54,13,FALSE),"")</x:f>
      </x:c>
      <x:c r="N49" s="19" t="str">
        <x:f>IF(B49="","",IF(ISNUMBER(D49),D49,IFERROR(VLOOKUP(B49,'敌人目录'!$A$6:$S$54,14,FALSE),"")))</x:f>
      </x:c>
      <x:c r="O49" s="64" t="str">
        <x:f>IFERROR(VLOOKUP(B49,'敌人目录'!$A$6:$S$54,15,FALSE),"")</x:f>
      </x:c>
      <x:c r="P49" s="19" t="str">
        <x:f>IF(F49="","",F49*G49)</x:f>
      </x:c>
      <x:c r="Q49" s="19" t="str">
        <x:f>IF(F49="","",F49*L49)</x:f>
      </x:c>
      <x:c r="R49" s="19" t="str">
        <x:f>IF(F49="","",F49*N49)</x:f>
      </x:c>
      <x:c r="S49" s="19" t="str">
        <x:f>IF(R49="","",R49*'全局设置'!$B$5)</x:f>
      </x:c>
      <x:c r="T49" s="73" t="str">
        <x:f>IF(F49="","",F49*O49)</x:f>
      </x:c>
      <x:c r="U49" s="19" t="str">
        <x:f>IF(AND(B49="",C49=""),"",IF(B49="","缺少敌人",IF(C49="","缺少数量",IF(OR(C49&lt;1,C49&gt;9999,C49&lt;&gt;INT(C49)),"数量无效",IF(COUNTIF($E$36:$E$53,E49)&gt;1,"重复敌人",IF(AND(ISNUMBER(D49),OR(D49&lt;0,D49&gt;999,D49&lt;&gt;INT(D49))),"奖励无效","可导入"))))))</x:f>
      </x:c>
    </x:row>
    <x:row r="50" ht="22" customHeight="1">
      <x:c r="A50" s="72" t="n">
        <x:v>15</x:v>
      </x:c>
      <x:c r="B50" s="41"/>
      <x:c r="C50" s="41"/>
      <x:c r="D50" s="41"/>
      <x:c r="E50" s="19" t="str">
        <x:f>IFERROR(VLOOKUP(B50,'敌人目录'!$A$6:$S$54,2,FALSE),"")</x:f>
      </x:c>
      <x:c r="F50" s="19" t="str">
        <x:f>IF(OR(B50="",C50=""),"",ROUNDUP(C50*(1+('全局设置'!$B$5-1)*'全局设置'!$B$6),0))</x:f>
      </x:c>
      <x:c r="G50" s="19" t="str">
        <x:f>IFERROR(VLOOKUP(B50,'敌人目录'!$A$6:$S$54,7,FALSE),"")</x:f>
      </x:c>
      <x:c r="H50" s="19" t="str">
        <x:f>IFERROR(VLOOKUP(B50,'敌人目录'!$A$6:$S$54,8,FALSE),"")</x:f>
      </x:c>
      <x:c r="I50" s="19" t="str">
        <x:f>IFERROR(VLOOKUP(B50,'敌人目录'!$A$6:$S$54,9,FALSE),"")</x:f>
      </x:c>
      <x:c r="J50" s="19" t="str">
        <x:f>IFERROR(VLOOKUP(B50,'敌人目录'!$A$6:$S$54,10,FALSE),"")</x:f>
      </x:c>
      <x:c r="K50" s="19" t="str">
        <x:f>IFERROR(VLOOKUP(B50,'敌人目录'!$A$6:$S$54,11,FALSE),"")</x:f>
      </x:c>
      <x:c r="L50" s="19" t="str">
        <x:f>IFERROR(VLOOKUP(B50,'敌人目录'!$A$6:$S$54,12,FALSE),"")</x:f>
      </x:c>
      <x:c r="M50" s="19" t="str">
        <x:f>IFERROR(VLOOKUP(B50,'敌人目录'!$A$6:$S$54,13,FALSE),"")</x:f>
      </x:c>
      <x:c r="N50" s="19" t="str">
        <x:f>IF(B50="","",IF(ISNUMBER(D50),D50,IFERROR(VLOOKUP(B50,'敌人目录'!$A$6:$S$54,14,FALSE),"")))</x:f>
      </x:c>
      <x:c r="O50" s="64" t="str">
        <x:f>IFERROR(VLOOKUP(B50,'敌人目录'!$A$6:$S$54,15,FALSE),"")</x:f>
      </x:c>
      <x:c r="P50" s="19" t="str">
        <x:f>IF(F50="","",F50*G50)</x:f>
      </x:c>
      <x:c r="Q50" s="19" t="str">
        <x:f>IF(F50="","",F50*L50)</x:f>
      </x:c>
      <x:c r="R50" s="19" t="str">
        <x:f>IF(F50="","",F50*N50)</x:f>
      </x:c>
      <x:c r="S50" s="19" t="str">
        <x:f>IF(R50="","",R50*'全局设置'!$B$5)</x:f>
      </x:c>
      <x:c r="T50" s="73" t="str">
        <x:f>IF(F50="","",F50*O50)</x:f>
      </x:c>
      <x:c r="U50" s="19" t="str">
        <x:f>IF(AND(B50="",C50=""),"",IF(B50="","缺少敌人",IF(C50="","缺少数量",IF(OR(C50&lt;1,C50&gt;9999,C50&lt;&gt;INT(C50)),"数量无效",IF(COUNTIF($E$36:$E$53,E50)&gt;1,"重复敌人",IF(AND(ISNUMBER(D50),OR(D50&lt;0,D50&gt;999,D50&lt;&gt;INT(D50))),"奖励无效","可导入"))))))</x:f>
      </x:c>
    </x:row>
    <x:row r="51" ht="22" customHeight="1">
      <x:c r="A51" s="72" t="n">
        <x:v>16</x:v>
      </x:c>
      <x:c r="B51" s="41"/>
      <x:c r="C51" s="41"/>
      <x:c r="D51" s="41"/>
      <x:c r="E51" s="19" t="str">
        <x:f>IFERROR(VLOOKUP(B51,'敌人目录'!$A$6:$S$54,2,FALSE),"")</x:f>
      </x:c>
      <x:c r="F51" s="19" t="str">
        <x:f>IF(OR(B51="",C51=""),"",ROUNDUP(C51*(1+('全局设置'!$B$5-1)*'全局设置'!$B$6),0))</x:f>
      </x:c>
      <x:c r="G51" s="19" t="str">
        <x:f>IFERROR(VLOOKUP(B51,'敌人目录'!$A$6:$S$54,7,FALSE),"")</x:f>
      </x:c>
      <x:c r="H51" s="19" t="str">
        <x:f>IFERROR(VLOOKUP(B51,'敌人目录'!$A$6:$S$54,8,FALSE),"")</x:f>
      </x:c>
      <x:c r="I51" s="19" t="str">
        <x:f>IFERROR(VLOOKUP(B51,'敌人目录'!$A$6:$S$54,9,FALSE),"")</x:f>
      </x:c>
      <x:c r="J51" s="19" t="str">
        <x:f>IFERROR(VLOOKUP(B51,'敌人目录'!$A$6:$S$54,10,FALSE),"")</x:f>
      </x:c>
      <x:c r="K51" s="19" t="str">
        <x:f>IFERROR(VLOOKUP(B51,'敌人目录'!$A$6:$S$54,11,FALSE),"")</x:f>
      </x:c>
      <x:c r="L51" s="19" t="str">
        <x:f>IFERROR(VLOOKUP(B51,'敌人目录'!$A$6:$S$54,12,FALSE),"")</x:f>
      </x:c>
      <x:c r="M51" s="19" t="str">
        <x:f>IFERROR(VLOOKUP(B51,'敌人目录'!$A$6:$S$54,13,FALSE),"")</x:f>
      </x:c>
      <x:c r="N51" s="19" t="str">
        <x:f>IF(B51="","",IF(ISNUMBER(D51),D51,IFERROR(VLOOKUP(B51,'敌人目录'!$A$6:$S$54,14,FALSE),"")))</x:f>
      </x:c>
      <x:c r="O51" s="64" t="str">
        <x:f>IFERROR(VLOOKUP(B51,'敌人目录'!$A$6:$S$54,15,FALSE),"")</x:f>
      </x:c>
      <x:c r="P51" s="19" t="str">
        <x:f>IF(F51="","",F51*G51)</x:f>
      </x:c>
      <x:c r="Q51" s="19" t="str">
        <x:f>IF(F51="","",F51*L51)</x:f>
      </x:c>
      <x:c r="R51" s="19" t="str">
        <x:f>IF(F51="","",F51*N51)</x:f>
      </x:c>
      <x:c r="S51" s="19" t="str">
        <x:f>IF(R51="","",R51*'全局设置'!$B$5)</x:f>
      </x:c>
      <x:c r="T51" s="73" t="str">
        <x:f>IF(F51="","",F51*O51)</x:f>
      </x:c>
      <x:c r="U51" s="19" t="str">
        <x:f>IF(AND(B51="",C51=""),"",IF(B51="","缺少敌人",IF(C51="","缺少数量",IF(OR(C51&lt;1,C51&gt;9999,C51&lt;&gt;INT(C51)),"数量无效",IF(COUNTIF($E$36:$E$53,E51)&gt;1,"重复敌人",IF(AND(ISNUMBER(D51),OR(D51&lt;0,D51&gt;999,D51&lt;&gt;INT(D51))),"奖励无效","可导入"))))))</x:f>
      </x:c>
    </x:row>
    <x:row r="52" ht="22" customHeight="1">
      <x:c r="A52" s="72" t="n">
        <x:v>17</x:v>
      </x:c>
      <x:c r="B52" s="41"/>
      <x:c r="C52" s="41"/>
      <x:c r="D52" s="41"/>
      <x:c r="E52" s="19" t="str">
        <x:f>IFERROR(VLOOKUP(B52,'敌人目录'!$A$6:$S$54,2,FALSE),"")</x:f>
      </x:c>
      <x:c r="F52" s="19" t="str">
        <x:f>IF(OR(B52="",C52=""),"",ROUNDUP(C52*(1+('全局设置'!$B$5-1)*'全局设置'!$B$6),0))</x:f>
      </x:c>
      <x:c r="G52" s="19" t="str">
        <x:f>IFERROR(VLOOKUP(B52,'敌人目录'!$A$6:$S$54,7,FALSE),"")</x:f>
      </x:c>
      <x:c r="H52" s="19" t="str">
        <x:f>IFERROR(VLOOKUP(B52,'敌人目录'!$A$6:$S$54,8,FALSE),"")</x:f>
      </x:c>
      <x:c r="I52" s="19" t="str">
        <x:f>IFERROR(VLOOKUP(B52,'敌人目录'!$A$6:$S$54,9,FALSE),"")</x:f>
      </x:c>
      <x:c r="J52" s="19" t="str">
        <x:f>IFERROR(VLOOKUP(B52,'敌人目录'!$A$6:$S$54,10,FALSE),"")</x:f>
      </x:c>
      <x:c r="K52" s="19" t="str">
        <x:f>IFERROR(VLOOKUP(B52,'敌人目录'!$A$6:$S$54,11,FALSE),"")</x:f>
      </x:c>
      <x:c r="L52" s="19" t="str">
        <x:f>IFERROR(VLOOKUP(B52,'敌人目录'!$A$6:$S$54,12,FALSE),"")</x:f>
      </x:c>
      <x:c r="M52" s="19" t="str">
        <x:f>IFERROR(VLOOKUP(B52,'敌人目录'!$A$6:$S$54,13,FALSE),"")</x:f>
      </x:c>
      <x:c r="N52" s="19" t="str">
        <x:f>IF(B52="","",IF(ISNUMBER(D52),D52,IFERROR(VLOOKUP(B52,'敌人目录'!$A$6:$S$54,14,FALSE),"")))</x:f>
      </x:c>
      <x:c r="O52" s="64" t="str">
        <x:f>IFERROR(VLOOKUP(B52,'敌人目录'!$A$6:$S$54,15,FALSE),"")</x:f>
      </x:c>
      <x:c r="P52" s="19" t="str">
        <x:f>IF(F52="","",F52*G52)</x:f>
      </x:c>
      <x:c r="Q52" s="19" t="str">
        <x:f>IF(F52="","",F52*L52)</x:f>
      </x:c>
      <x:c r="R52" s="19" t="str">
        <x:f>IF(F52="","",F52*N52)</x:f>
      </x:c>
      <x:c r="S52" s="19" t="str">
        <x:f>IF(R52="","",R52*'全局设置'!$B$5)</x:f>
      </x:c>
      <x:c r="T52" s="73" t="str">
        <x:f>IF(F52="","",F52*O52)</x:f>
      </x:c>
      <x:c r="U52" s="19" t="str">
        <x:f>IF(AND(B52="",C52=""),"",IF(B52="","缺少敌人",IF(C52="","缺少数量",IF(OR(C52&lt;1,C52&gt;9999,C52&lt;&gt;INT(C52)),"数量无效",IF(COUNTIF($E$36:$E$53,E52)&gt;1,"重复敌人",IF(AND(ISNUMBER(D52),OR(D52&lt;0,D52&gt;999,D52&lt;&gt;INT(D52))),"奖励无效","可导入"))))))</x:f>
      </x:c>
    </x:row>
    <x:row r="53" ht="22" customHeight="1">
      <x:c r="A53" s="72" t="n">
        <x:v>18</x:v>
      </x:c>
      <x:c r="B53" s="41"/>
      <x:c r="C53" s="41"/>
      <x:c r="D53" s="41"/>
      <x:c r="E53" s="19" t="str">
        <x:f>IFERROR(VLOOKUP(B53,'敌人目录'!$A$6:$S$54,2,FALSE),"")</x:f>
      </x:c>
      <x:c r="F53" s="19" t="str">
        <x:f>IF(OR(B53="",C53=""),"",ROUNDUP(C53*(1+('全局设置'!$B$5-1)*'全局设置'!$B$6),0))</x:f>
      </x:c>
      <x:c r="G53" s="19" t="str">
        <x:f>IFERROR(VLOOKUP(B53,'敌人目录'!$A$6:$S$54,7,FALSE),"")</x:f>
      </x:c>
      <x:c r="H53" s="19" t="str">
        <x:f>IFERROR(VLOOKUP(B53,'敌人目录'!$A$6:$S$54,8,FALSE),"")</x:f>
      </x:c>
      <x:c r="I53" s="19" t="str">
        <x:f>IFERROR(VLOOKUP(B53,'敌人目录'!$A$6:$S$54,9,FALSE),"")</x:f>
      </x:c>
      <x:c r="J53" s="19" t="str">
        <x:f>IFERROR(VLOOKUP(B53,'敌人目录'!$A$6:$S$54,10,FALSE),"")</x:f>
      </x:c>
      <x:c r="K53" s="19" t="str">
        <x:f>IFERROR(VLOOKUP(B53,'敌人目录'!$A$6:$S$54,11,FALSE),"")</x:f>
      </x:c>
      <x:c r="L53" s="19" t="str">
        <x:f>IFERROR(VLOOKUP(B53,'敌人目录'!$A$6:$S$54,12,FALSE),"")</x:f>
      </x:c>
      <x:c r="M53" s="19" t="str">
        <x:f>IFERROR(VLOOKUP(B53,'敌人目录'!$A$6:$S$54,13,FALSE),"")</x:f>
      </x:c>
      <x:c r="N53" s="19" t="str">
        <x:f>IF(B53="","",IF(ISNUMBER(D53),D53,IFERROR(VLOOKUP(B53,'敌人目录'!$A$6:$S$54,14,FALSE),"")))</x:f>
      </x:c>
      <x:c r="O53" s="64" t="str">
        <x:f>IFERROR(VLOOKUP(B53,'敌人目录'!$A$6:$S$54,15,FALSE),"")</x:f>
      </x:c>
      <x:c r="P53" s="19" t="str">
        <x:f>IF(F53="","",F53*G53)</x:f>
      </x:c>
      <x:c r="Q53" s="19" t="str">
        <x:f>IF(F53="","",F53*L53)</x:f>
      </x:c>
      <x:c r="R53" s="19" t="str">
        <x:f>IF(F53="","",F53*N53)</x:f>
      </x:c>
      <x:c r="S53" s="19" t="str">
        <x:f>IF(R53="","",R53*'全局设置'!$B$5)</x:f>
      </x:c>
      <x:c r="T53" s="73" t="str">
        <x:f>IF(F53="","",F53*O53)</x:f>
      </x:c>
      <x:c r="U53" s="19" t="str">
        <x:f>IF(AND(B53="",C53=""),"",IF(B53="","缺少敌人",IF(C53="","缺少数量",IF(OR(C53&lt;1,C53&gt;9999,C53&lt;&gt;INT(C53)),"数量无效",IF(COUNTIF($E$36:$E$53,E53)&gt;1,"重复敌人",IF(AND(ISNUMBER(D53),OR(D53&lt;0,D53&gt;999,D53&lt;&gt;INT(D53))),"奖励无效","可导入"))))))</x:f>
      </x:c>
    </x:row>
    <x:row r="54" ht="22" customHeight="1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</x:row>
    <x:row r="55" ht="22" customHeight="1">
      <x:c r="A55" s="40" t="str">
        <x:v>基础总数</x:v>
      </x:c>
      <x:c r="B55" s="19" t="n">
        <x:f>SUM(C36:C53)</x:f>
        <x:v>160</x:v>
      </x:c>
      <x:c r="C55" s="40" t="str">
        <x:v>实际总数</x:v>
      </x:c>
      <x:c r="D55" s="19" t="n">
        <x:f>SUM(F36:F53)</x:f>
        <x:v>160</x:v>
      </x:c>
      <x:c r="E55" s="40" t="str">
        <x:v>敌人种类</x:v>
      </x:c>
      <x:c r="F55" s="19" t="n">
        <x:f>COUNTA(B36:B53)</x:f>
        <x:v>10</x:v>
      </x:c>
      <x:c r="G55" s="40" t="str">
        <x:v>生命池</x:v>
      </x:c>
      <x:c r="H55" s="19" t="n">
        <x:f>SUM(P36:P53)</x:f>
        <x:v>13340</x:v>
      </x:c>
      <x:c r="I55" s="40" t="str">
        <x:v>基础息壤/玩家</x:v>
      </x:c>
      <x:c r="J55" s="19" t="n">
        <x:f>SUM(R36:R53)</x:f>
        <x:v>308</x:v>
      </x:c>
      <x:c r="K55" s="40" t="str">
        <x:v>情景息壤/玩家</x:v>
      </x:c>
      <x:c r="L55" s="19" t="n">
        <x:f>J55*'全局设置'!$B$7*'全局设置'!$E$14</x:f>
        <x:v>308</x:v>
      </x:c>
      <x:c r="M55" s="40" t="str">
        <x:v>情景息壤/队伍</x:v>
      </x:c>
      <x:c r="N55" s="19" t="n">
        <x:f>L55*'全局设置'!$B$5</x:f>
        <x:v>308</x:v>
      </x:c>
      <x:c r="O55" s="40" t="str">
        <x:v>掉落期望</x:v>
      </x:c>
      <x:c r="P55" s="73" t="n">
        <x:f>SUM(T36:T53)</x:f>
        <x:v>8.04</x:v>
      </x:c>
      <x:c r="Q55" s="40" t="str">
        <x:v>全漏Home伤害</x:v>
      </x:c>
      <x:c r="R55" s="19" t="n">
        <x:f>SUM(Q36:Q53)</x:f>
        <x:v>342</x:v>
      </x:c>
      <x:c r="S55" s="40" t="str">
        <x:v>最短刷完(s)</x:v>
      </x:c>
      <x:c r="T55" s="73" t="n">
        <x:f>IF(D55=0,0,MAX(0,(ROUNDUP(D55/J32,0)-1)*H32))</x:f>
        <x:v>41.34</x:v>
      </x:c>
      <x:c r="U55" s="31"/>
    </x:row>
    <x:row r="56" ht="22" customHeight="1">
      <x:c r="A56" s="82" t="str">
        <x:v>情景收益 = 最大击杀息壤 × 全局击杀率 × 第3日倍率；最大队伍收益另按玩家人数相乘。</x:v>
      </x:c>
      <x:c r="B56" s="82" t="str">
        <x:v>情景收益 = 最大击杀息壤 × 全局击杀率 × 第3日倍率；最大队伍收益另按玩家人数相乘。</x:v>
      </x:c>
      <x:c r="C56" s="82" t="str">
        <x:v>情景收益 = 最大击杀息壤 × 全局击杀率 × 第3日倍率；最大队伍收益另按玩家人数相乘。</x:v>
      </x:c>
      <x:c r="D56" s="82" t="str">
        <x:v>情景收益 = 最大击杀息壤 × 全局击杀率 × 第3日倍率；最大队伍收益另按玩家人数相乘。</x:v>
      </x:c>
      <x:c r="E56" s="82" t="str">
        <x:v>情景收益 = 最大击杀息壤 × 全局击杀率 × 第3日倍率；最大队伍收益另按玩家人数相乘。</x:v>
      </x:c>
      <x:c r="F56" s="82" t="str">
        <x:v>情景收益 = 最大击杀息壤 × 全局击杀率 × 第3日倍率；最大队伍收益另按玩家人数相乘。</x:v>
      </x:c>
      <x:c r="G56" s="82" t="str">
        <x:v>情景收益 = 最大击杀息壤 × 全局击杀率 × 第3日倍率；最大队伍收益另按玩家人数相乘。</x:v>
      </x:c>
      <x:c r="H56" s="82" t="str">
        <x:v>情景收益 = 最大击杀息壤 × 全局击杀率 × 第3日倍率；最大队伍收益另按玩家人数相乘。</x:v>
      </x:c>
      <x:c r="I56" s="82" t="str">
        <x:v>情景收益 = 最大击杀息壤 × 全局击杀率 × 第3日倍率；最大队伍收益另按玩家人数相乘。</x:v>
      </x:c>
      <x:c r="J56" s="82" t="str">
        <x:v>情景收益 = 最大击杀息壤 × 全局击杀率 × 第3日倍率；最大队伍收益另按玩家人数相乘。</x:v>
      </x:c>
      <x:c r="K56" s="82" t="str">
        <x:v>情景收益 = 最大击杀息壤 × 全局击杀率 × 第3日倍率；最大队伍收益另按玩家人数相乘。</x:v>
      </x:c>
      <x:c r="L56" s="82" t="str">
        <x:v>情景收益 = 最大击杀息壤 × 全局击杀率 × 第3日倍率；最大队伍收益另按玩家人数相乘。</x:v>
      </x:c>
      <x:c r="M56" s="82" t="str">
        <x:v>情景收益 = 最大击杀息壤 × 全局击杀率 × 第3日倍率；最大队伍收益另按玩家人数相乘。</x:v>
      </x:c>
      <x:c r="N56" s="82" t="str">
        <x:v>情景收益 = 最大击杀息壤 × 全局击杀率 × 第3日倍率；最大队伍收益另按玩家人数相乘。</x:v>
      </x:c>
      <x:c r="O56" s="82" t="str">
        <x:v>情景收益 = 最大击杀息壤 × 全局击杀率 × 第3日倍率；最大队伍收益另按玩家人数相乘。</x:v>
      </x:c>
      <x:c r="P56" s="82" t="str">
        <x:v>情景收益 = 最大击杀息壤 × 全局击杀率 × 第3日倍率；最大队伍收益另按玩家人数相乘。</x:v>
      </x:c>
      <x:c r="Q56" s="82" t="str">
        <x:v>情景收益 = 最大击杀息壤 × 全局击杀率 × 第3日倍率；最大队伍收益另按玩家人数相乘。</x:v>
      </x:c>
      <x:c r="R56" s="82" t="str">
        <x:v>情景收益 = 最大击杀息壤 × 全局击杀率 × 第3日倍率；最大队伍收益另按玩家人数相乘。</x:v>
      </x:c>
      <x:c r="S56" s="82" t="str">
        <x:v>情景收益 = 最大击杀息壤 × 全局击杀率 × 第3日倍率；最大队伍收益另按玩家人数相乘。</x:v>
      </x:c>
      <x:c r="T56" s="82" t="str">
        <x:v>情景收益 = 最大击杀息壤 × 全局击杀率 × 第3日倍率；最大队伍收益另按玩家人数相乘。</x:v>
      </x:c>
      <x:c r="U56" s="82" t="str">
        <x:v>情景收益 = 最大击杀息壤 × 全局击杀率 × 第3日倍率；最大队伍收益另按玩家人数相乘。</x:v>
      </x:c>
    </x:row>
    <x:row r="57" ht="22" customHeight="1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</x:row>
    <x:row r="58" ht="22" customHeight="1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</x:row>
    <x:row r="59" ht="22" customHeight="1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</x:row>
    <x:row r="60" ht="22" customHeight="1">
      <x:c r="A60" s="78" t="str">
        <x:v>第 11 波｜第 3 日·3/4｜夜晚｜当前正式配置</x:v>
      </x:c>
      <x:c r="B60" s="78" t="str">
        <x:v>第 11 波｜第 3 日·3/4｜夜晚｜当前正式配置</x:v>
      </x:c>
      <x:c r="C60" s="78" t="str">
        <x:v>第 11 波｜第 3 日·3/4｜夜晚｜当前正式配置</x:v>
      </x:c>
      <x:c r="D60" s="78" t="str">
        <x:v>第 11 波｜第 3 日·3/4｜夜晚｜当前正式配置</x:v>
      </x:c>
      <x:c r="E60" s="78" t="str">
        <x:v>第 11 波｜第 3 日·3/4｜夜晚｜当前正式配置</x:v>
      </x:c>
      <x:c r="F60" s="78" t="str">
        <x:v>第 11 波｜第 3 日·3/4｜夜晚｜当前正式配置</x:v>
      </x:c>
      <x:c r="G60" s="78" t="str">
        <x:v>第 11 波｜第 3 日·3/4｜夜晚｜当前正式配置</x:v>
      </x:c>
      <x:c r="H60" s="78" t="str">
        <x:v>第 11 波｜第 3 日·3/4｜夜晚｜当前正式配置</x:v>
      </x:c>
      <x:c r="I60" s="78" t="str">
        <x:v>第 11 波｜第 3 日·3/4｜夜晚｜当前正式配置</x:v>
      </x:c>
      <x:c r="J60" s="78" t="str">
        <x:v>第 11 波｜第 3 日·3/4｜夜晚｜当前正式配置</x:v>
      </x:c>
      <x:c r="K60" s="78" t="str">
        <x:v>第 11 波｜第 3 日·3/4｜夜晚｜当前正式配置</x:v>
      </x:c>
      <x:c r="L60" s="78" t="str">
        <x:v>第 11 波｜第 3 日·3/4｜夜晚｜当前正式配置</x:v>
      </x:c>
      <x:c r="M60" s="78" t="str">
        <x:v>第 11 波｜第 3 日·3/4｜夜晚｜当前正式配置</x:v>
      </x:c>
      <x:c r="N60" s="78" t="str">
        <x:v>第 11 波｜第 3 日·3/4｜夜晚｜当前正式配置</x:v>
      </x:c>
      <x:c r="O60" s="78" t="str">
        <x:v>第 11 波｜第 3 日·3/4｜夜晚｜当前正式配置</x:v>
      </x:c>
      <x:c r="P60" s="78" t="str">
        <x:v>第 11 波｜第 3 日·3/4｜夜晚｜当前正式配置</x:v>
      </x:c>
      <x:c r="Q60" s="78" t="str">
        <x:v>第 11 波｜第 3 日·3/4｜夜晚｜当前正式配置</x:v>
      </x:c>
      <x:c r="R60" s="78" t="str">
        <x:v>第 11 波｜第 3 日·3/4｜夜晚｜当前正式配置</x:v>
      </x:c>
      <x:c r="S60" s="78" t="str">
        <x:v>第 11 波｜第 3 日·3/4｜夜晚｜当前正式配置</x:v>
      </x:c>
      <x:c r="T60" s="78" t="str">
        <x:v>第 11 波｜第 3 日·3/4｜夜晚｜当前正式配置</x:v>
      </x:c>
      <x:c r="U60" s="78" t="str">
        <x:v>第 11 波｜第 3 日·3/4｜夜晚｜当前正式配置</x:v>
      </x:c>
    </x:row>
    <x:row r="61" ht="22" customHeight="1">
      <x:c r="A61" s="48" t="str">
        <x:v>波次名称</x:v>
      </x:c>
      <x:c r="B61" s="41" t="str">
        <x:v>第11波 奥术重装</x:v>
      </x:c>
      <x:c r="C61" s="41" t="str">
        <x:v>第11波 奥术重装</x:v>
      </x:c>
      <x:c r="D61" s="41" t="str">
        <x:v>第11波 奥术重装</x:v>
      </x:c>
      <x:c r="E61" s="41" t="str">
        <x:v>第11波 奥术重装</x:v>
      </x:c>
      <x:c r="F61" s="41" t="str">
        <x:v>第11波 奥术重装</x:v>
      </x:c>
      <x:c r="G61" s="48" t="str">
        <x:v>出生间隔(s)</x:v>
      </x:c>
      <x:c r="H61" s="41" t="n">
        <x:v>0.24</x:v>
      </x:c>
      <x:c r="I61" s="48" t="str">
        <x:v>每Tick</x:v>
      </x:c>
      <x:c r="J61" s="41" t="n">
        <x:v>1</x:v>
      </x:c>
      <x:c r="K61" s="48" t="str">
        <x:v>存活上限</x:v>
      </x:c>
      <x:c r="L61" s="41" t="n">
        <x:v>88</x:v>
      </x:c>
      <x:c r="M61" s="48" t="str">
        <x:v>校验</x:v>
      </x:c>
      <x:c r="N61" s="19" t="str">
        <x:f>IF(COUNTA(B65:B82)=0,"待设计",IF(COUNTIF(U65:U82,"可导入")=COUNTA(B65:B82),"可导入","需修正"))</x:f>
        <x:v>可导入</x:v>
      </x:c>
      <x:c r="O61" s="19" t="str"/>
      <x:c r="P61" s="48" t="str">
        <x:v>来源</x:v>
      </x:c>
      <x:c r="Q61" s="19" t="str">
        <x:v>当前游戏 formal 资源</x:v>
      </x:c>
      <x:c r="R61" s="19" t="str">
        <x:v>当前游戏 formal 资源</x:v>
      </x:c>
      <x:c r="S61" s="19" t="str">
        <x:v>当前游戏 formal 资源</x:v>
      </x:c>
      <x:c r="T61" s="19" t="str">
        <x:v>当前游戏 formal 资源</x:v>
      </x:c>
      <x:c r="U61" s="19" t="str">
        <x:v>当前游戏 formal 资源</x:v>
      </x:c>
    </x:row>
    <x:row r="62" ht="22" customHeight="1">
      <x:c r="A62" s="48" t="str">
        <x:v>出生点</x:v>
      </x:c>
      <x:c r="B62" s="41" t="str">
        <x:v>开启</x:v>
      </x:c>
      <x:c r="C62" s="41" t="str">
        <x:v>开启</x:v>
      </x:c>
      <x:c r="D62" s="41" t="str">
        <x:v>开启</x:v>
      </x:c>
      <x:c r="E62" s="41" t="str">
        <x:v>开启</x:v>
      </x:c>
      <x:c r="F62" s="41" t="str">
        <x:v>开启</x:v>
      </x:c>
      <x:c r="G62" s="41" t="str">
        <x:v>开启</x:v>
      </x:c>
      <x:c r="H62" s="48" t="str">
        <x:v>战斗音乐</x:v>
      </x:c>
      <x:c r="I62" s="19" t="str">
        <x:v>shenmu_town_combat</x:v>
      </x:c>
      <x:c r="J62" s="19" t="str">
        <x:v>shenmu_town_combat</x:v>
      </x:c>
      <x:c r="K62" s="19" t="str">
        <x:v>shenmu_town_combat</x:v>
      </x:c>
      <x:c r="L62" s="19" t="str">
        <x:v>shenmu_town_combat</x:v>
      </x:c>
      <x:c r="M62" s="19" t="str">
        <x:v>shenmu_town_combat</x:v>
      </x:c>
      <x:c r="N62" s="48" t="str">
        <x:v>波后音乐</x:v>
      </x:c>
      <x:c r="O62" s="19" t="str">
        <x:v>shenmu_town_intermission</x:v>
      </x:c>
      <x:c r="P62" s="19" t="str">
        <x:v>shenmu_town_intermission</x:v>
      </x:c>
      <x:c r="Q62" s="19" t="str">
        <x:v>shenmu_town_intermission</x:v>
      </x:c>
      <x:c r="R62" s="19" t="str">
        <x:v>shenmu_town_intermission</x:v>
      </x:c>
      <x:c r="S62" s="19" t="str">
        <x:v>shenmu_town_intermission</x:v>
      </x:c>
      <x:c r="T62" s="19" t="str">
        <x:v>shenmu_town_intermission</x:v>
      </x:c>
      <x:c r="U62" s="19" t="str">
        <x:v>shenmu_town_intermission</x:v>
      </x:c>
    </x:row>
    <x:row r="63" ht="22" customHeight="1">
      <x:c r="A63" s="83" t="str">
        <x:v>蓝色列可编辑。每种敌人一行；若同波重复选择同一稳定 ID，请合并数量。实际数量按当前模拟玩家数逐条向上取整。</x:v>
      </x:c>
      <x:c r="B63" s="83" t="str">
        <x:v>蓝色列可编辑。每种敌人一行；若同波重复选择同一稳定 ID，请合并数量。实际数量按当前模拟玩家数逐条向上取整。</x:v>
      </x:c>
      <x:c r="C63" s="83" t="str">
        <x:v>蓝色列可编辑。每种敌人一行；若同波重复选择同一稳定 ID，请合并数量。实际数量按当前模拟玩家数逐条向上取整。</x:v>
      </x:c>
      <x:c r="D63" s="83" t="str">
        <x:v>蓝色列可编辑。每种敌人一行；若同波重复选择同一稳定 ID，请合并数量。实际数量按当前模拟玩家数逐条向上取整。</x:v>
      </x:c>
      <x:c r="E63" s="83" t="str">
        <x:v>蓝色列可编辑。每种敌人一行；若同波重复选择同一稳定 ID，请合并数量。实际数量按当前模拟玩家数逐条向上取整。</x:v>
      </x:c>
      <x:c r="F63" s="83" t="str">
        <x:v>蓝色列可编辑。每种敌人一行；若同波重复选择同一稳定 ID，请合并数量。实际数量按当前模拟玩家数逐条向上取整。</x:v>
      </x:c>
      <x:c r="G63" s="83" t="str">
        <x:v>蓝色列可编辑。每种敌人一行；若同波重复选择同一稳定 ID，请合并数量。实际数量按当前模拟玩家数逐条向上取整。</x:v>
      </x:c>
      <x:c r="H63" s="83" t="str">
        <x:v>蓝色列可编辑。每种敌人一行；若同波重复选择同一稳定 ID，请合并数量。实际数量按当前模拟玩家数逐条向上取整。</x:v>
      </x:c>
      <x:c r="I63" s="83" t="str">
        <x:v>蓝色列可编辑。每种敌人一行；若同波重复选择同一稳定 ID，请合并数量。实际数量按当前模拟玩家数逐条向上取整。</x:v>
      </x:c>
      <x:c r="J63" s="83" t="str">
        <x:v>蓝色列可编辑。每种敌人一行；若同波重复选择同一稳定 ID，请合并数量。实际数量按当前模拟玩家数逐条向上取整。</x:v>
      </x:c>
      <x:c r="K63" s="83" t="str">
        <x:v>蓝色列可编辑。每种敌人一行；若同波重复选择同一稳定 ID，请合并数量。实际数量按当前模拟玩家数逐条向上取整。</x:v>
      </x:c>
      <x:c r="L63" s="83" t="str">
        <x:v>蓝色列可编辑。每种敌人一行；若同波重复选择同一稳定 ID，请合并数量。实际数量按当前模拟玩家数逐条向上取整。</x:v>
      </x:c>
      <x:c r="M63" s="83" t="str">
        <x:v>蓝色列可编辑。每种敌人一行；若同波重复选择同一稳定 ID，请合并数量。实际数量按当前模拟玩家数逐条向上取整。</x:v>
      </x:c>
      <x:c r="N63" s="83" t="str">
        <x:v>蓝色列可编辑。每种敌人一行；若同波重复选择同一稳定 ID，请合并数量。实际数量按当前模拟玩家数逐条向上取整。</x:v>
      </x:c>
      <x:c r="O63" s="83" t="str">
        <x:v>蓝色列可编辑。每种敌人一行；若同波重复选择同一稳定 ID，请合并数量。实际数量按当前模拟玩家数逐条向上取整。</x:v>
      </x:c>
      <x:c r="P63" s="83" t="str">
        <x:v>蓝色列可编辑。每种敌人一行；若同波重复选择同一稳定 ID，请合并数量。实际数量按当前模拟玩家数逐条向上取整。</x:v>
      </x:c>
      <x:c r="Q63" s="83" t="str">
        <x:v>蓝色列可编辑。每种敌人一行；若同波重复选择同一稳定 ID，请合并数量。实际数量按当前模拟玩家数逐条向上取整。</x:v>
      </x:c>
      <x:c r="R63" s="83" t="str">
        <x:v>蓝色列可编辑。每种敌人一行；若同波重复选择同一稳定 ID，请合并数量。实际数量按当前模拟玩家数逐条向上取整。</x:v>
      </x:c>
      <x:c r="S63" s="83" t="str">
        <x:v>蓝色列可编辑。每种敌人一行；若同波重复选择同一稳定 ID，请合并数量。实际数量按当前模拟玩家数逐条向上取整。</x:v>
      </x:c>
      <x:c r="T63" s="83" t="str">
        <x:v>蓝色列可编辑。每种敌人一行；若同波重复选择同一稳定 ID，请合并数量。实际数量按当前模拟玩家数逐条向上取整。</x:v>
      </x:c>
      <x:c r="U63" s="83" t="str">
        <x:v>蓝色列可编辑。每种敌人一行；若同波重复选择同一稳定 ID，请合并数量。实际数量按当前模拟玩家数逐条向上取整。</x:v>
      </x:c>
    </x:row>
    <x:row r="64" ht="22" customHeight="1">
      <x:c r="A64" s="48" t="str">
        <x:v>槽位</x:v>
      </x:c>
      <x:c r="B64" s="48" t="str">
        <x:v>敌人（下拉选择）</x:v>
      </x:c>
      <x:c r="C64" s="48" t="str">
        <x:v>基础数量</x:v>
      </x:c>
      <x:c r="D64" s="48" t="str">
        <x:v>本波息壤覆盖</x:v>
      </x:c>
      <x:c r="E64" s="48" t="str">
        <x:v>稳定敌人ID</x:v>
      </x:c>
      <x:c r="F64" s="48" t="str">
        <x:v>实际数量</x:v>
      </x:c>
      <x:c r="G64" s="48" t="str">
        <x:v>生命</x:v>
      </x:c>
      <x:c r="H64" s="48" t="str">
        <x:v>攻击</x:v>
      </x:c>
      <x:c r="I64" s="48" t="str">
        <x:v>物理防御</x:v>
      </x:c>
      <x:c r="J64" s="48" t="str">
        <x:v>法术防御</x:v>
      </x:c>
      <x:c r="K64" s="48" t="str">
        <x:v>移速</x:v>
      </x:c>
      <x:c r="L64" s="48" t="str">
        <x:v>Home伤害</x:v>
      </x:c>
      <x:c r="M64" s="48" t="str">
        <x:v>游戏默认息壤</x:v>
      </x:c>
      <x:c r="N64" s="48" t="str">
        <x:v>有效息壤</x:v>
      </x:c>
      <x:c r="O64" s="48" t="str">
        <x:v>掉落期望/击杀</x:v>
      </x:c>
      <x:c r="P64" s="48" t="str">
        <x:v>总生命</x:v>
      </x:c>
      <x:c r="Q64" s="48" t="str">
        <x:v>全漏Home伤害</x:v>
      </x:c>
      <x:c r="R64" s="48" t="str">
        <x:v>最大息壤/玩家</x:v>
      </x:c>
      <x:c r="S64" s="48" t="str">
        <x:v>最大息壤/队伍</x:v>
      </x:c>
      <x:c r="T64" s="48" t="str">
        <x:v>掉落期望</x:v>
      </x:c>
      <x:c r="U64" s="48" t="str">
        <x:v>校验</x:v>
      </x:c>
    </x:row>
    <x:row r="65" ht="22" customHeight="1">
      <x:c r="A65" s="72" t="n">
        <x:v>1</x:v>
      </x:c>
      <x:c r="B65" s="41" t="str">
        <x:v>yuanshi_insect_basic｜普通原石虫</x:v>
      </x:c>
      <x:c r="C65" s="41" t="n">
        <x:v>46</x:v>
      </x:c>
      <x:c r="D65" s="41"/>
      <x:c r="E65" s="19" t="str">
        <x:f>IFERROR(VLOOKUP(B65,'敌人目录'!$A$6:$S$54,2,FALSE),"")</x:f>
        <x:v>yuanshi_insect_basic</x:v>
      </x:c>
      <x:c r="F65" s="19" t="n">
        <x:f>IF(OR(B65="",C65=""),"",ROUNDUP(C65*(1+('全局设置'!$B$5-1)*'全局设置'!$B$6),0))</x:f>
        <x:v>46</x:v>
      </x:c>
      <x:c r="G65" s="19" t="n">
        <x:f>IFERROR(VLOOKUP(B65,'敌人目录'!$A$6:$S$54,7,FALSE),"")</x:f>
        <x:v>40</x:v>
      </x:c>
      <x:c r="H65" s="19" t="n">
        <x:f>IFERROR(VLOOKUP(B65,'敌人目录'!$A$6:$S$54,8,FALSE),"")</x:f>
        <x:v>10</x:v>
      </x:c>
      <x:c r="I65" s="19" t="n">
        <x:f>IFERROR(VLOOKUP(B65,'敌人目录'!$A$6:$S$54,9,FALSE),"")</x:f>
        <x:v>0</x:v>
      </x:c>
      <x:c r="J65" s="19" t="n">
        <x:f>IFERROR(VLOOKUP(B65,'敌人目录'!$A$6:$S$54,10,FALSE),"")</x:f>
        <x:v>0</x:v>
      </x:c>
      <x:c r="K65" s="19" t="n">
        <x:f>IFERROR(VLOOKUP(B65,'敌人目录'!$A$6:$S$54,11,FALSE),"")</x:f>
        <x:v>20</x:v>
      </x:c>
      <x:c r="L65" s="19" t="n">
        <x:f>IFERROR(VLOOKUP(B65,'敌人目录'!$A$6:$S$54,12,FALSE),"")</x:f>
        <x:v>1</x:v>
      </x:c>
      <x:c r="M65" s="19" t="n">
        <x:f>IFERROR(VLOOKUP(B65,'敌人目录'!$A$6:$S$54,13,FALSE),"")</x:f>
        <x:v>1</x:v>
      </x:c>
      <x:c r="N65" s="19" t="n">
        <x:f>IF(B65="","",IF(ISNUMBER(D65),D65,IFERROR(VLOOKUP(B65,'敌人目录'!$A$6:$S$54,14,FALSE),"")))</x:f>
        <x:v>1</x:v>
      </x:c>
      <x:c r="O65" s="64" t="n">
        <x:f>IFERROR(VLOOKUP(B65,'敌人目录'!$A$6:$S$54,15,FALSE),"")</x:f>
        <x:v>0.05</x:v>
      </x:c>
      <x:c r="P65" s="19" t="n">
        <x:f>IF(F65="","",F65*G65)</x:f>
        <x:v>1840</x:v>
      </x:c>
      <x:c r="Q65" s="19" t="n">
        <x:f>IF(F65="","",F65*L65)</x:f>
        <x:v>46</x:v>
      </x:c>
      <x:c r="R65" s="19" t="n">
        <x:f>IF(F65="","",F65*N65)</x:f>
        <x:v>46</x:v>
      </x:c>
      <x:c r="S65" s="19" t="n">
        <x:f>IF(R65="","",R65*'全局设置'!$B$5)</x:f>
        <x:v>46</x:v>
      </x:c>
      <x:c r="T65" s="73" t="n">
        <x:f>IF(F65="","",F65*O65)</x:f>
        <x:v>2.3000000000000003</x:v>
      </x:c>
      <x:c r="U65" s="19" t="str">
        <x:f>IF(AND(B65="",C65=""),"",IF(B65="","缺少敌人",IF(C65="","缺少数量",IF(OR(C65&lt;1,C65&gt;9999,C65&lt;&gt;INT(C65)),"数量无效",IF(COUNTIF($E$65:$E$82,E65)&gt;1,"重复敌人",IF(AND(ISNUMBER(D65),OR(D65&lt;0,D65&gt;999,D65&lt;&gt;INT(D65))),"奖励无效","可导入"))))))</x:f>
        <x:v>可导入</x:v>
      </x:c>
    </x:row>
    <x:row r="66" ht="22" customHeight="1">
      <x:c r="A66" s="72" t="n">
        <x:v>2</x:v>
      </x:c>
      <x:c r="B66" s="41" t="str">
        <x:v>yuanshi_insect_fast｜迅捷原石虫</x:v>
      </x:c>
      <x:c r="C66" s="41" t="n">
        <x:v>20</x:v>
      </x:c>
      <x:c r="D66" s="41"/>
      <x:c r="E66" s="19" t="str">
        <x:f>IFERROR(VLOOKUP(B66,'敌人目录'!$A$6:$S$54,2,FALSE),"")</x:f>
        <x:v>yuanshi_insect_fast</x:v>
      </x:c>
      <x:c r="F66" s="19" t="n">
        <x:f>IF(OR(B66="",C66=""),"",ROUNDUP(C66*(1+('全局设置'!$B$5-1)*'全局设置'!$B$6),0))</x:f>
        <x:v>20</x:v>
      </x:c>
      <x:c r="G66" s="19" t="n">
        <x:f>IFERROR(VLOOKUP(B66,'敌人目录'!$A$6:$S$54,7,FALSE),"")</x:f>
        <x:v>35</x:v>
      </x:c>
      <x:c r="H66" s="19" t="n">
        <x:f>IFERROR(VLOOKUP(B66,'敌人目录'!$A$6:$S$54,8,FALSE),"")</x:f>
        <x:v>10</x:v>
      </x:c>
      <x:c r="I66" s="19" t="n">
        <x:f>IFERROR(VLOOKUP(B66,'敌人目录'!$A$6:$S$54,9,FALSE),"")</x:f>
        <x:v>0</x:v>
      </x:c>
      <x:c r="J66" s="19" t="n">
        <x:f>IFERROR(VLOOKUP(B66,'敌人目录'!$A$6:$S$54,10,FALSE),"")</x:f>
        <x:v>0</x:v>
      </x:c>
      <x:c r="K66" s="19" t="n">
        <x:f>IFERROR(VLOOKUP(B66,'敌人目录'!$A$6:$S$54,11,FALSE),"")</x:f>
        <x:v>40</x:v>
      </x:c>
      <x:c r="L66" s="19" t="n">
        <x:f>IFERROR(VLOOKUP(B66,'敌人目录'!$A$6:$S$54,12,FALSE),"")</x:f>
        <x:v>1</x:v>
      </x:c>
      <x:c r="M66" s="19" t="n">
        <x:f>IFERROR(VLOOKUP(B66,'敌人目录'!$A$6:$S$54,13,FALSE),"")</x:f>
        <x:v>1</x:v>
      </x:c>
      <x:c r="N66" s="19" t="n">
        <x:f>IF(B66="","",IF(ISNUMBER(D66),D66,IFERROR(VLOOKUP(B66,'敌人目录'!$A$6:$S$54,14,FALSE),"")))</x:f>
        <x:v>1</x:v>
      </x:c>
      <x:c r="O66" s="64" t="n">
        <x:f>IFERROR(VLOOKUP(B66,'敌人目录'!$A$6:$S$54,15,FALSE),"")</x:f>
        <x:v>0.05</x:v>
      </x:c>
      <x:c r="P66" s="19" t="n">
        <x:f>IF(F66="","",F66*G66)</x:f>
        <x:v>700</x:v>
      </x:c>
      <x:c r="Q66" s="19" t="n">
        <x:f>IF(F66="","",F66*L66)</x:f>
        <x:v>20</x:v>
      </x:c>
      <x:c r="R66" s="19" t="n">
        <x:f>IF(F66="","",F66*N66)</x:f>
        <x:v>20</x:v>
      </x:c>
      <x:c r="S66" s="19" t="n">
        <x:f>IF(R66="","",R66*'全局设置'!$B$5)</x:f>
        <x:v>20</x:v>
      </x:c>
      <x:c r="T66" s="73" t="n">
        <x:f>IF(F66="","",F66*O66)</x:f>
        <x:v>1</x:v>
      </x:c>
      <x:c r="U66" s="19" t="str">
        <x:f>IF(AND(B66="",C66=""),"",IF(B66="","缺少敌人",IF(C66="","缺少数量",IF(OR(C66&lt;1,C66&gt;9999,C66&lt;&gt;INT(C66)),"数量无效",IF(COUNTIF($E$65:$E$82,E66)&gt;1,"重复敌人",IF(AND(ISNUMBER(D66),OR(D66&lt;0,D66&gt;999,D66&lt;&gt;INT(D66))),"奖励无效","可导入"))))))</x:f>
        <x:v>可导入</x:v>
      </x:c>
    </x:row>
    <x:row r="67" ht="22" customHeight="1">
      <x:c r="A67" s="72" t="n">
        <x:v>3</x:v>
      </x:c>
      <x:c r="B67" s="41" t="str">
        <x:v>yuanshi_insect_shell｜硬壳原石虫</x:v>
      </x:c>
      <x:c r="C67" s="41" t="n">
        <x:v>20</x:v>
      </x:c>
      <x:c r="D67" s="41"/>
      <x:c r="E67" s="19" t="str">
        <x:f>IFERROR(VLOOKUP(B67,'敌人目录'!$A$6:$S$54,2,FALSE),"")</x:f>
        <x:v>yuanshi_insect_shell</x:v>
      </x:c>
      <x:c r="F67" s="19" t="n">
        <x:f>IF(OR(B67="",C67=""),"",ROUNDUP(C67*(1+('全局设置'!$B$5-1)*'全局设置'!$B$6),0))</x:f>
        <x:v>20</x:v>
      </x:c>
      <x:c r="G67" s="19" t="n">
        <x:f>IFERROR(VLOOKUP(B67,'敌人目录'!$A$6:$S$54,7,FALSE),"")</x:f>
        <x:v>140</x:v>
      </x:c>
      <x:c r="H67" s="19" t="n">
        <x:f>IFERROR(VLOOKUP(B67,'敌人目录'!$A$6:$S$54,8,FALSE),"")</x:f>
        <x:v>14</x:v>
      </x:c>
      <x:c r="I67" s="19" t="n">
        <x:f>IFERROR(VLOOKUP(B67,'敌人目录'!$A$6:$S$54,9,FALSE),"")</x:f>
        <x:v>3</x:v>
      </x:c>
      <x:c r="J67" s="19" t="n">
        <x:f>IFERROR(VLOOKUP(B67,'敌人目录'!$A$6:$S$54,10,FALSE),"")</x:f>
        <x:v>0</x:v>
      </x:c>
      <x:c r="K67" s="19" t="n">
        <x:f>IFERROR(VLOOKUP(B67,'敌人目录'!$A$6:$S$54,11,FALSE),"")</x:f>
        <x:v>20</x:v>
      </x:c>
      <x:c r="L67" s="19" t="n">
        <x:f>IFERROR(VLOOKUP(B67,'敌人目录'!$A$6:$S$54,12,FALSE),"")</x:f>
        <x:v>2</x:v>
      </x:c>
      <x:c r="M67" s="19" t="n">
        <x:f>IFERROR(VLOOKUP(B67,'敌人目录'!$A$6:$S$54,13,FALSE),"")</x:f>
        <x:v>2</x:v>
      </x:c>
      <x:c r="N67" s="19" t="n">
        <x:f>IF(B67="","",IF(ISNUMBER(D67),D67,IFERROR(VLOOKUP(B67,'敌人目录'!$A$6:$S$54,14,FALSE),"")))</x:f>
        <x:v>2</x:v>
      </x:c>
      <x:c r="O67" s="64" t="n">
        <x:f>IFERROR(VLOOKUP(B67,'敌人目录'!$A$6:$S$54,15,FALSE),"")</x:f>
        <x:v>0.05</x:v>
      </x:c>
      <x:c r="P67" s="19" t="n">
        <x:f>IF(F67="","",F67*G67)</x:f>
        <x:v>2800</x:v>
      </x:c>
      <x:c r="Q67" s="19" t="n">
        <x:f>IF(F67="","",F67*L67)</x:f>
        <x:v>40</x:v>
      </x:c>
      <x:c r="R67" s="19" t="n">
        <x:f>IF(F67="","",F67*N67)</x:f>
        <x:v>40</x:v>
      </x:c>
      <x:c r="S67" s="19" t="n">
        <x:f>IF(R67="","",R67*'全局设置'!$B$5)</x:f>
        <x:v>40</x:v>
      </x:c>
      <x:c r="T67" s="73" t="n">
        <x:f>IF(F67="","",F67*O67)</x:f>
        <x:v>1</x:v>
      </x:c>
      <x:c r="U67" s="19" t="str">
        <x:f>IF(AND(B67="",C67=""),"",IF(B67="","缺少敌人",IF(C67="","缺少数量",IF(OR(C67&lt;1,C67&gt;9999,C67&lt;&gt;INT(C67)),"数量无效",IF(COUNTIF($E$65:$E$82,E67)&gt;1,"重复敌人",IF(AND(ISNUMBER(D67),OR(D67&lt;0,D67&gt;999,D67&lt;&gt;INT(D67))),"奖励无效","可导入"))))))</x:f>
        <x:v>可导入</x:v>
      </x:c>
    </x:row>
    <x:row r="68" ht="22" customHeight="1">
      <x:c r="A68" s="72" t="n">
        <x:v>4</x:v>
      </x:c>
      <x:c r="B68" s="41" t="str">
        <x:v>yuanshi_insect_bomber｜自爆原石虫</x:v>
      </x:c>
      <x:c r="C68" s="41" t="n">
        <x:v>16</x:v>
      </x:c>
      <x:c r="D68" s="41"/>
      <x:c r="E68" s="19" t="str">
        <x:f>IFERROR(VLOOKUP(B68,'敌人目录'!$A$6:$S$54,2,FALSE),"")</x:f>
        <x:v>yuanshi_insect_bomber</x:v>
      </x:c>
      <x:c r="F68" s="19" t="n">
        <x:f>IF(OR(B68="",C68=""),"",ROUNDUP(C68*(1+('全局设置'!$B$5-1)*'全局设置'!$B$6),0))</x:f>
        <x:v>16</x:v>
      </x:c>
      <x:c r="G68" s="19" t="n">
        <x:f>IFERROR(VLOOKUP(B68,'敌人目录'!$A$6:$S$54,7,FALSE),"")</x:f>
        <x:v>30</x:v>
      </x:c>
      <x:c r="H68" s="19" t="n">
        <x:f>IFERROR(VLOOKUP(B68,'敌人目录'!$A$6:$S$54,8,FALSE),"")</x:f>
        <x:v>10</x:v>
      </x:c>
      <x:c r="I68" s="19" t="n">
        <x:f>IFERROR(VLOOKUP(B68,'敌人目录'!$A$6:$S$54,9,FALSE),"")</x:f>
        <x:v>0</x:v>
      </x:c>
      <x:c r="J68" s="19" t="n">
        <x:f>IFERROR(VLOOKUP(B68,'敌人目录'!$A$6:$S$54,10,FALSE),"")</x:f>
        <x:v>0</x:v>
      </x:c>
      <x:c r="K68" s="19" t="n">
        <x:f>IFERROR(VLOOKUP(B68,'敌人目录'!$A$6:$S$54,11,FALSE),"")</x:f>
        <x:v>18</x:v>
      </x:c>
      <x:c r="L68" s="19" t="n">
        <x:f>IFERROR(VLOOKUP(B68,'敌人目录'!$A$6:$S$54,12,FALSE),"")</x:f>
        <x:v>1</x:v>
      </x:c>
      <x:c r="M68" s="19" t="n">
        <x:f>IFERROR(VLOOKUP(B68,'敌人目录'!$A$6:$S$54,13,FALSE),"")</x:f>
        <x:v>1</x:v>
      </x:c>
      <x:c r="N68" s="19" t="n">
        <x:f>IF(B68="","",IF(ISNUMBER(D68),D68,IFERROR(VLOOKUP(B68,'敌人目录'!$A$6:$S$54,14,FALSE),"")))</x:f>
        <x:v>1</x:v>
      </x:c>
      <x:c r="O68" s="64" t="n">
        <x:f>IFERROR(VLOOKUP(B68,'敌人目录'!$A$6:$S$54,15,FALSE),"")</x:f>
        <x:v>0.05</x:v>
      </x:c>
      <x:c r="P68" s="19" t="n">
        <x:f>IF(F68="","",F68*G68)</x:f>
        <x:v>480</x:v>
      </x:c>
      <x:c r="Q68" s="19" t="n">
        <x:f>IF(F68="","",F68*L68)</x:f>
        <x:v>16</x:v>
      </x:c>
      <x:c r="R68" s="19" t="n">
        <x:f>IF(F68="","",F68*N68)</x:f>
        <x:v>16</x:v>
      </x:c>
      <x:c r="S68" s="19" t="n">
        <x:f>IF(R68="","",R68*'全局设置'!$B$5)</x:f>
        <x:v>16</x:v>
      </x:c>
      <x:c r="T68" s="73" t="n">
        <x:f>IF(F68="","",F68*O68)</x:f>
        <x:v>0.8</x:v>
      </x:c>
      <x:c r="U68" s="19" t="str">
        <x:f>IF(AND(B68="",C68=""),"",IF(B68="","缺少敌人",IF(C68="","缺少数量",IF(OR(C68&lt;1,C68&gt;9999,C68&lt;&gt;INT(C68)),"数量无效",IF(COUNTIF($E$65:$E$82,E68)&gt;1,"重复敌人",IF(AND(ISNUMBER(D68),OR(D68&lt;0,D68&gt;999,D68&lt;&gt;INT(D68))),"奖励无效","可导入"))))))</x:f>
        <x:v>可导入</x:v>
      </x:c>
    </x:row>
    <x:row r="69" ht="22" customHeight="1">
      <x:c r="A69" s="72" t="n">
        <x:v>5</x:v>
      </x:c>
      <x:c r="B69" s="41" t="str">
        <x:v>yuanshi_insect_purple_bomber｜紫晶自爆原石虫</x:v>
      </x:c>
      <x:c r="C69" s="41" t="n">
        <x:v>16</x:v>
      </x:c>
      <x:c r="D69" s="41"/>
      <x:c r="E69" s="19" t="str">
        <x:f>IFERROR(VLOOKUP(B69,'敌人目录'!$A$6:$S$54,2,FALSE),"")</x:f>
        <x:v>yuanshi_insect_purple_bomber</x:v>
      </x:c>
      <x:c r="F69" s="19" t="n">
        <x:f>IF(OR(B69="",C69=""),"",ROUNDUP(C69*(1+('全局设置'!$B$5-1)*'全局设置'!$B$6),0))</x:f>
        <x:v>16</x:v>
      </x:c>
      <x:c r="G69" s="19" t="n">
        <x:f>IFERROR(VLOOKUP(B69,'敌人目录'!$A$6:$S$54,7,FALSE),"")</x:f>
        <x:v>40</x:v>
      </x:c>
      <x:c r="H69" s="19" t="n">
        <x:f>IFERROR(VLOOKUP(B69,'敌人目录'!$A$6:$S$54,8,FALSE),"")</x:f>
        <x:v>10</x:v>
      </x:c>
      <x:c r="I69" s="19" t="n">
        <x:f>IFERROR(VLOOKUP(B69,'敌人目录'!$A$6:$S$54,9,FALSE),"")</x:f>
        <x:v>0</x:v>
      </x:c>
      <x:c r="J69" s="19" t="n">
        <x:f>IFERROR(VLOOKUP(B69,'敌人目录'!$A$6:$S$54,10,FALSE),"")</x:f>
        <x:v>0</x:v>
      </x:c>
      <x:c r="K69" s="19" t="n">
        <x:f>IFERROR(VLOOKUP(B69,'敌人目录'!$A$6:$S$54,11,FALSE),"")</x:f>
        <x:v>32</x:v>
      </x:c>
      <x:c r="L69" s="19" t="n">
        <x:f>IFERROR(VLOOKUP(B69,'敌人目录'!$A$6:$S$54,12,FALSE),"")</x:f>
        <x:v>1</x:v>
      </x:c>
      <x:c r="M69" s="19" t="n">
        <x:f>IFERROR(VLOOKUP(B69,'敌人目录'!$A$6:$S$54,13,FALSE),"")</x:f>
        <x:v>2</x:v>
      </x:c>
      <x:c r="N69" s="19" t="n">
        <x:f>IF(B69="","",IF(ISNUMBER(D69),D69,IFERROR(VLOOKUP(B69,'敌人目录'!$A$6:$S$54,14,FALSE),"")))</x:f>
        <x:v>2</x:v>
      </x:c>
      <x:c r="O69" s="64" t="n">
        <x:f>IFERROR(VLOOKUP(B69,'敌人目录'!$A$6:$S$54,15,FALSE),"")</x:f>
        <x:v>0.05</x:v>
      </x:c>
      <x:c r="P69" s="19" t="n">
        <x:f>IF(F69="","",F69*G69)</x:f>
        <x:v>640</x:v>
      </x:c>
      <x:c r="Q69" s="19" t="n">
        <x:f>IF(F69="","",F69*L69)</x:f>
        <x:v>16</x:v>
      </x:c>
      <x:c r="R69" s="19" t="n">
        <x:f>IF(F69="","",F69*N69)</x:f>
        <x:v>32</x:v>
      </x:c>
      <x:c r="S69" s="19" t="n">
        <x:f>IF(R69="","",R69*'全局设置'!$B$5)</x:f>
        <x:v>32</x:v>
      </x:c>
      <x:c r="T69" s="73" t="n">
        <x:f>IF(F69="","",F69*O69)</x:f>
        <x:v>0.8</x:v>
      </x:c>
      <x:c r="U69" s="19" t="str">
        <x:f>IF(AND(B69="",C69=""),"",IF(B69="","缺少敌人",IF(C69="","缺少数量",IF(OR(C69&lt;1,C69&gt;9999,C69&lt;&gt;INT(C69)),"数量无效",IF(COUNTIF($E$65:$E$82,E69)&gt;1,"重复敌人",IF(AND(ISNUMBER(D69),OR(D69&lt;0,D69&gt;999,D69&lt;&gt;INT(D69))),"奖励无效","可导入"))))))</x:f>
        <x:v>可导入</x:v>
      </x:c>
    </x:row>
    <x:row r="70" ht="22" customHeight="1">
      <x:c r="A70" s="72" t="n">
        <x:v>6</x:v>
      </x:c>
      <x:c r="B70" s="41" t="str">
        <x:v>yuanshi_insect_fire_ranged｜火焰弹原石虫</x:v>
      </x:c>
      <x:c r="C70" s="41" t="n">
        <x:v>20</x:v>
      </x:c>
      <x:c r="D70" s="41"/>
      <x:c r="E70" s="19" t="str">
        <x:f>IFERROR(VLOOKUP(B70,'敌人目录'!$A$6:$S$54,2,FALSE),"")</x:f>
        <x:v>yuanshi_insect_fire_ranged</x:v>
      </x:c>
      <x:c r="F70" s="19" t="n">
        <x:f>IF(OR(B70="",C70=""),"",ROUNDUP(C70*(1+('全局设置'!$B$5-1)*'全局设置'!$B$6),0))</x:f>
        <x:v>20</x:v>
      </x:c>
      <x:c r="G70" s="19" t="n">
        <x:f>IFERROR(VLOOKUP(B70,'敌人目录'!$A$6:$S$54,7,FALSE),"")</x:f>
        <x:v>40</x:v>
      </x:c>
      <x:c r="H70" s="19" t="n">
        <x:f>IFERROR(VLOOKUP(B70,'敌人目录'!$A$6:$S$54,8,FALSE),"")</x:f>
        <x:v>25</x:v>
      </x:c>
      <x:c r="I70" s="19" t="n">
        <x:f>IFERROR(VLOOKUP(B70,'敌人目录'!$A$6:$S$54,9,FALSE),"")</x:f>
        <x:v>0</x:v>
      </x:c>
      <x:c r="J70" s="19" t="n">
        <x:f>IFERROR(VLOOKUP(B70,'敌人目录'!$A$6:$S$54,10,FALSE),"")</x:f>
        <x:v>0</x:v>
      </x:c>
      <x:c r="K70" s="19" t="n">
        <x:f>IFERROR(VLOOKUP(B70,'敌人目录'!$A$6:$S$54,11,FALSE),"")</x:f>
        <x:v>22</x:v>
      </x:c>
      <x:c r="L70" s="19" t="n">
        <x:f>IFERROR(VLOOKUP(B70,'敌人目录'!$A$6:$S$54,12,FALSE),"")</x:f>
        <x:v>2</x:v>
      </x:c>
      <x:c r="M70" s="19" t="n">
        <x:f>IFERROR(VLOOKUP(B70,'敌人目录'!$A$6:$S$54,13,FALSE),"")</x:f>
        <x:v>1</x:v>
      </x:c>
      <x:c r="N70" s="19" t="n">
        <x:f>IF(B70="","",IF(ISNUMBER(D70),D70,IFERROR(VLOOKUP(B70,'敌人目录'!$A$6:$S$54,14,FALSE),"")))</x:f>
        <x:v>1</x:v>
      </x:c>
      <x:c r="O70" s="64" t="n">
        <x:f>IFERROR(VLOOKUP(B70,'敌人目录'!$A$6:$S$54,15,FALSE),"")</x:f>
        <x:v>0.05</x:v>
      </x:c>
      <x:c r="P70" s="19" t="n">
        <x:f>IF(F70="","",F70*G70)</x:f>
        <x:v>800</x:v>
      </x:c>
      <x:c r="Q70" s="19" t="n">
        <x:f>IF(F70="","",F70*L70)</x:f>
        <x:v>40</x:v>
      </x:c>
      <x:c r="R70" s="19" t="n">
        <x:f>IF(F70="","",F70*N70)</x:f>
        <x:v>20</x:v>
      </x:c>
      <x:c r="S70" s="19" t="n">
        <x:f>IF(R70="","",R70*'全局设置'!$B$5)</x:f>
        <x:v>20</x:v>
      </x:c>
      <x:c r="T70" s="73" t="n">
        <x:f>IF(F70="","",F70*O70)</x:f>
        <x:v>1</x:v>
      </x:c>
      <x:c r="U70" s="19" t="str">
        <x:f>IF(AND(B70="",C70=""),"",IF(B70="","缺少敌人",IF(C70="","缺少数量",IF(OR(C70&lt;1,C70&gt;9999,C70&lt;&gt;INT(C70)),"数量无效",IF(COUNTIF($E$65:$E$82,E70)&gt;1,"重复敌人",IF(AND(ISNUMBER(D70),OR(D70&lt;0,D70&gt;999,D70&lt;&gt;INT(D70))),"奖励无效","可导入"))))))</x:f>
        <x:v>可导入</x:v>
      </x:c>
    </x:row>
    <x:row r="71" ht="22" customHeight="1">
      <x:c r="A71" s="72" t="n">
        <x:v>7</x:v>
      </x:c>
      <x:c r="B71" s="41" t="str">
        <x:v>yuanshi_insect_green_shell｜翠壳原石虫</x:v>
      </x:c>
      <x:c r="C71" s="41" t="n">
        <x:v>16</x:v>
      </x:c>
      <x:c r="D71" s="41"/>
      <x:c r="E71" s="19" t="str">
        <x:f>IFERROR(VLOOKUP(B71,'敌人目录'!$A$6:$S$54,2,FALSE),"")</x:f>
        <x:v>yuanshi_insect_green_shell</x:v>
      </x:c>
      <x:c r="F71" s="19" t="n">
        <x:f>IF(OR(B71="",C71=""),"",ROUNDUP(C71*(1+('全局设置'!$B$5-1)*'全局设置'!$B$6),0))</x:f>
        <x:v>16</x:v>
      </x:c>
      <x:c r="G71" s="19" t="n">
        <x:f>IFERROR(VLOOKUP(B71,'敌人目录'!$A$6:$S$54,7,FALSE),"")</x:f>
        <x:v>200</x:v>
      </x:c>
      <x:c r="H71" s="19" t="n">
        <x:f>IFERROR(VLOOKUP(B71,'敌人目录'!$A$6:$S$54,8,FALSE),"")</x:f>
        <x:v>20</x:v>
      </x:c>
      <x:c r="I71" s="19" t="n">
        <x:f>IFERROR(VLOOKUP(B71,'敌人目录'!$A$6:$S$54,9,FALSE),"")</x:f>
        <x:v>5</x:v>
      </x:c>
      <x:c r="J71" s="19" t="n">
        <x:f>IFERROR(VLOOKUP(B71,'敌人目录'!$A$6:$S$54,10,FALSE),"")</x:f>
        <x:v>0</x:v>
      </x:c>
      <x:c r="K71" s="19" t="n">
        <x:f>IFERROR(VLOOKUP(B71,'敌人目录'!$A$6:$S$54,11,FALSE),"")</x:f>
        <x:v>15</x:v>
      </x:c>
      <x:c r="L71" s="19" t="n">
        <x:f>IFERROR(VLOOKUP(B71,'敌人目录'!$A$6:$S$54,12,FALSE),"")</x:f>
        <x:v>5</x:v>
      </x:c>
      <x:c r="M71" s="19" t="n">
        <x:f>IFERROR(VLOOKUP(B71,'敌人目录'!$A$6:$S$54,13,FALSE),"")</x:f>
        <x:v>2</x:v>
      </x:c>
      <x:c r="N71" s="19" t="n">
        <x:f>IF(B71="","",IF(ISNUMBER(D71),D71,IFERROR(VLOOKUP(B71,'敌人目录'!$A$6:$S$54,14,FALSE),"")))</x:f>
        <x:v>2</x:v>
      </x:c>
      <x:c r="O71" s="64" t="n">
        <x:f>IFERROR(VLOOKUP(B71,'敌人目录'!$A$6:$S$54,15,FALSE),"")</x:f>
        <x:v>0.05</x:v>
      </x:c>
      <x:c r="P71" s="19" t="n">
        <x:f>IF(F71="","",F71*G71)</x:f>
        <x:v>3200</x:v>
      </x:c>
      <x:c r="Q71" s="19" t="n">
        <x:f>IF(F71="","",F71*L71)</x:f>
        <x:v>80</x:v>
      </x:c>
      <x:c r="R71" s="19" t="n">
        <x:f>IF(F71="","",F71*N71)</x:f>
        <x:v>32</x:v>
      </x:c>
      <x:c r="S71" s="19" t="n">
        <x:f>IF(R71="","",R71*'全局设置'!$B$5)</x:f>
        <x:v>32</x:v>
      </x:c>
      <x:c r="T71" s="73" t="n">
        <x:f>IF(F71="","",F71*O71)</x:f>
        <x:v>0.8</x:v>
      </x:c>
      <x:c r="U71" s="19" t="str">
        <x:f>IF(AND(B71="",C71=""),"",IF(B71="","缺少敌人",IF(C71="","缺少数量",IF(OR(C71&lt;1,C71&gt;9999,C71&lt;&gt;INT(C71)),"数量无效",IF(COUNTIF($E$65:$E$82,E71)&gt;1,"重复敌人",IF(AND(ISNUMBER(D71),OR(D71&lt;0,D71&gt;999,D71&lt;&gt;INT(D71))),"奖励无效","可导入"))))))</x:f>
        <x:v>可导入</x:v>
      </x:c>
    </x:row>
    <x:row r="72" ht="22" customHeight="1">
      <x:c r="A72" s="72" t="n">
        <x:v>8</x:v>
      </x:c>
      <x:c r="B72" s="41" t="str">
        <x:v>yuanshi_insect_guardian｜守护者原石虫</x:v>
      </x:c>
      <x:c r="C72" s="41" t="n">
        <x:v>16</x:v>
      </x:c>
      <x:c r="D72" s="41"/>
      <x:c r="E72" s="19" t="str">
        <x:f>IFERROR(VLOOKUP(B72,'敌人目录'!$A$6:$S$54,2,FALSE),"")</x:f>
        <x:v>yuanshi_insect_guardian</x:v>
      </x:c>
      <x:c r="F72" s="19" t="n">
        <x:f>IF(OR(B72="",C72=""),"",ROUNDUP(C72*(1+('全局设置'!$B$5-1)*'全局设置'!$B$6),0))</x:f>
        <x:v>16</x:v>
      </x:c>
      <x:c r="G72" s="19" t="n">
        <x:f>IFERROR(VLOOKUP(B72,'敌人目录'!$A$6:$S$54,7,FALSE),"")</x:f>
        <x:v>150</x:v>
      </x:c>
      <x:c r="H72" s="19" t="n">
        <x:f>IFERROR(VLOOKUP(B72,'敌人目录'!$A$6:$S$54,8,FALSE),"")</x:f>
        <x:v>10</x:v>
      </x:c>
      <x:c r="I72" s="19" t="n">
        <x:f>IFERROR(VLOOKUP(B72,'敌人目录'!$A$6:$S$54,9,FALSE),"")</x:f>
        <x:v>5</x:v>
      </x:c>
      <x:c r="J72" s="19" t="n">
        <x:f>IFERROR(VLOOKUP(B72,'敌人目录'!$A$6:$S$54,10,FALSE),"")</x:f>
        <x:v>0</x:v>
      </x:c>
      <x:c r="K72" s="19" t="n">
        <x:f>IFERROR(VLOOKUP(B72,'敌人目录'!$A$6:$S$54,11,FALSE),"")</x:f>
        <x:v>20</x:v>
      </x:c>
      <x:c r="L72" s="19" t="n">
        <x:f>IFERROR(VLOOKUP(B72,'敌人目录'!$A$6:$S$54,12,FALSE),"")</x:f>
        <x:v>5</x:v>
      </x:c>
      <x:c r="M72" s="19" t="n">
        <x:f>IFERROR(VLOOKUP(B72,'敌人目录'!$A$6:$S$54,13,FALSE),"")</x:f>
        <x:v>2</x:v>
      </x:c>
      <x:c r="N72" s="19" t="n">
        <x:f>IF(B72="","",IF(ISNUMBER(D72),D72,IFERROR(VLOOKUP(B72,'敌人目录'!$A$6:$S$54,14,FALSE),"")))</x:f>
        <x:v>2</x:v>
      </x:c>
      <x:c r="O72" s="64" t="n">
        <x:f>IFERROR(VLOOKUP(B72,'敌人目录'!$A$6:$S$54,15,FALSE),"")</x:f>
        <x:v>0.05</x:v>
      </x:c>
      <x:c r="P72" s="19" t="n">
        <x:f>IF(F72="","",F72*G72)</x:f>
        <x:v>2400</x:v>
      </x:c>
      <x:c r="Q72" s="19" t="n">
        <x:f>IF(F72="","",F72*L72)</x:f>
        <x:v>80</x:v>
      </x:c>
      <x:c r="R72" s="19" t="n">
        <x:f>IF(F72="","",F72*N72)</x:f>
        <x:v>32</x:v>
      </x:c>
      <x:c r="S72" s="19" t="n">
        <x:f>IF(R72="","",R72*'全局设置'!$B$5)</x:f>
        <x:v>32</x:v>
      </x:c>
      <x:c r="T72" s="73" t="n">
        <x:f>IF(F72="","",F72*O72)</x:f>
        <x:v>0.8</x:v>
      </x:c>
      <x:c r="U72" s="19" t="str">
        <x:f>IF(AND(B72="",C72=""),"",IF(B72="","缺少敌人",IF(C72="","缺少数量",IF(OR(C72&lt;1,C72&gt;9999,C72&lt;&gt;INT(C72)),"数量无效",IF(COUNTIF($E$65:$E$82,E72)&gt;1,"重复敌人",IF(AND(ISNUMBER(D72),OR(D72&lt;0,D72&gt;999,D72&lt;&gt;INT(D72))),"奖励无效","可导入"))))))</x:f>
        <x:v>可导入</x:v>
      </x:c>
    </x:row>
    <x:row r="73" ht="22" customHeight="1">
      <x:c r="A73" s="72" t="n">
        <x:v>9</x:v>
      </x:c>
      <x:c r="B73" s="41" t="str">
        <x:v>capoo_ak47｜AK猫猫虫</x:v>
      </x:c>
      <x:c r="C73" s="41" t="n">
        <x:v>2</x:v>
      </x:c>
      <x:c r="D73" s="41"/>
      <x:c r="E73" s="19" t="str">
        <x:f>IFERROR(VLOOKUP(B73,'敌人目录'!$A$6:$S$54,2,FALSE),"")</x:f>
        <x:v>capoo_ak47</x:v>
      </x:c>
      <x:c r="F73" s="19" t="n">
        <x:f>IF(OR(B73="",C73=""),"",ROUNDUP(C73*(1+('全局设置'!$B$5-1)*'全局设置'!$B$6),0))</x:f>
        <x:v>2</x:v>
      </x:c>
      <x:c r="G73" s="19" t="n">
        <x:f>IFERROR(VLOOKUP(B73,'敌人目录'!$A$6:$S$54,7,FALSE),"")</x:f>
        <x:v>150</x:v>
      </x:c>
      <x:c r="H73" s="19" t="n">
        <x:f>IFERROR(VLOOKUP(B73,'敌人目录'!$A$6:$S$54,8,FALSE),"")</x:f>
        <x:v>20</x:v>
      </x:c>
      <x:c r="I73" s="19" t="n">
        <x:f>IFERROR(VLOOKUP(B73,'敌人目录'!$A$6:$S$54,9,FALSE),"")</x:f>
        <x:v>0</x:v>
      </x:c>
      <x:c r="J73" s="19" t="n">
        <x:f>IFERROR(VLOOKUP(B73,'敌人目录'!$A$6:$S$54,10,FALSE),"")</x:f>
        <x:v>0</x:v>
      </x:c>
      <x:c r="K73" s="19" t="n">
        <x:f>IFERROR(VLOOKUP(B73,'敌人目录'!$A$6:$S$54,11,FALSE),"")</x:f>
        <x:v>18</x:v>
      </x:c>
      <x:c r="L73" s="19" t="n">
        <x:f>IFERROR(VLOOKUP(B73,'敌人目录'!$A$6:$S$54,12,FALSE),"")</x:f>
        <x:v>2</x:v>
      </x:c>
      <x:c r="M73" s="19" t="n">
        <x:f>IFERROR(VLOOKUP(B73,'敌人目录'!$A$6:$S$54,13,FALSE),"")</x:f>
        <x:v>20</x:v>
      </x:c>
      <x:c r="N73" s="19" t="n">
        <x:f>IF(B73="","",IF(ISNUMBER(D73),D73,IFERROR(VLOOKUP(B73,'敌人目录'!$A$6:$S$54,14,FALSE),"")))</x:f>
        <x:v>20</x:v>
      </x:c>
      <x:c r="O73" s="64" t="n">
        <x:f>IFERROR(VLOOKUP(B73,'敌人目录'!$A$6:$S$54,15,FALSE),"")</x:f>
        <x:v>0.06</x:v>
      </x:c>
      <x:c r="P73" s="19" t="n">
        <x:f>IF(F73="","",F73*G73)</x:f>
        <x:v>300</x:v>
      </x:c>
      <x:c r="Q73" s="19" t="n">
        <x:f>IF(F73="","",F73*L73)</x:f>
        <x:v>4</x:v>
      </x:c>
      <x:c r="R73" s="19" t="n">
        <x:f>IF(F73="","",F73*N73)</x:f>
        <x:v>40</x:v>
      </x:c>
      <x:c r="S73" s="19" t="n">
        <x:f>IF(R73="","",R73*'全局设置'!$B$5)</x:f>
        <x:v>40</x:v>
      </x:c>
      <x:c r="T73" s="73" t="n">
        <x:f>IF(F73="","",F73*O73)</x:f>
        <x:v>0.12</x:v>
      </x:c>
      <x:c r="U73" s="19" t="str">
        <x:f>IF(AND(B73="",C73=""),"",IF(B73="","缺少敌人",IF(C73="","缺少数量",IF(OR(C73&lt;1,C73&gt;9999,C73&lt;&gt;INT(C73)),"数量无效",IF(COUNTIF($E$65:$E$82,E73)&gt;1,"重复敌人",IF(AND(ISNUMBER(D73),OR(D73&lt;0,D73&gt;999,D73&lt;&gt;INT(D73))),"奖励无效","可导入"))))))</x:f>
        <x:v>可导入</x:v>
      </x:c>
    </x:row>
    <x:row r="74" ht="22" customHeight="1">
      <x:c r="A74" s="72" t="n">
        <x:v>10</x:v>
      </x:c>
      <x:c r="B74" s="41" t="str">
        <x:v>capoo_knight｜骑士猫猫虫</x:v>
      </x:c>
      <x:c r="C74" s="41" t="n">
        <x:v>2</x:v>
      </x:c>
      <x:c r="D74" s="41"/>
      <x:c r="E74" s="19" t="str">
        <x:f>IFERROR(VLOOKUP(B74,'敌人目录'!$A$6:$S$54,2,FALSE),"")</x:f>
        <x:v>capoo_knight</x:v>
      </x:c>
      <x:c r="F74" s="19" t="n">
        <x:f>IF(OR(B74="",C74=""),"",ROUNDUP(C74*(1+('全局设置'!$B$5-1)*'全局设置'!$B$6),0))</x:f>
        <x:v>2</x:v>
      </x:c>
      <x:c r="G74" s="19" t="n">
        <x:f>IFERROR(VLOOKUP(B74,'敌人目录'!$A$6:$S$54,7,FALSE),"")</x:f>
        <x:v>200</x:v>
      </x:c>
      <x:c r="H74" s="19" t="n">
        <x:f>IFERROR(VLOOKUP(B74,'敌人目录'!$A$6:$S$54,8,FALSE),"")</x:f>
        <x:v>28</x:v>
      </x:c>
      <x:c r="I74" s="19" t="n">
        <x:f>IFERROR(VLOOKUP(B74,'敌人目录'!$A$6:$S$54,9,FALSE),"")</x:f>
        <x:v>10</x:v>
      </x:c>
      <x:c r="J74" s="19" t="n">
        <x:f>IFERROR(VLOOKUP(B74,'敌人目录'!$A$6:$S$54,10,FALSE),"")</x:f>
        <x:v>0</x:v>
      </x:c>
      <x:c r="K74" s="19" t="n">
        <x:f>IFERROR(VLOOKUP(B74,'敌人目录'!$A$6:$S$54,11,FALSE),"")</x:f>
        <x:v>34</x:v>
      </x:c>
      <x:c r="L74" s="19" t="n">
        <x:f>IFERROR(VLOOKUP(B74,'敌人目录'!$A$6:$S$54,12,FALSE),"")</x:f>
        <x:v>5</x:v>
      </x:c>
      <x:c r="M74" s="19" t="n">
        <x:f>IFERROR(VLOOKUP(B74,'敌人目录'!$A$6:$S$54,13,FALSE),"")</x:f>
        <x:v>20</x:v>
      </x:c>
      <x:c r="N74" s="19" t="n">
        <x:f>IF(B74="","",IF(ISNUMBER(D74),D74,IFERROR(VLOOKUP(B74,'敌人目录'!$A$6:$S$54,14,FALSE),"")))</x:f>
        <x:v>20</x:v>
      </x:c>
      <x:c r="O74" s="64" t="n">
        <x:f>IFERROR(VLOOKUP(B74,'敌人目录'!$A$6:$S$54,15,FALSE),"")</x:f>
        <x:v>0.06</x:v>
      </x:c>
      <x:c r="P74" s="19" t="n">
        <x:f>IF(F74="","",F74*G74)</x:f>
        <x:v>400</x:v>
      </x:c>
      <x:c r="Q74" s="19" t="n">
        <x:f>IF(F74="","",F74*L74)</x:f>
        <x:v>10</x:v>
      </x:c>
      <x:c r="R74" s="19" t="n">
        <x:f>IF(F74="","",F74*N74)</x:f>
        <x:v>40</x:v>
      </x:c>
      <x:c r="S74" s="19" t="n">
        <x:f>IF(R74="","",R74*'全局设置'!$B$5)</x:f>
        <x:v>40</x:v>
      </x:c>
      <x:c r="T74" s="73" t="n">
        <x:f>IF(F74="","",F74*O74)</x:f>
        <x:v>0.12</x:v>
      </x:c>
      <x:c r="U74" s="19" t="str">
        <x:f>IF(AND(B74="",C74=""),"",IF(B74="","缺少敌人",IF(C74="","缺少数量",IF(OR(C74&lt;1,C74&gt;9999,C74&lt;&gt;INT(C74)),"数量无效",IF(COUNTIF($E$65:$E$82,E74)&gt;1,"重复敌人",IF(AND(ISNUMBER(D74),OR(D74&lt;0,D74&gt;999,D74&lt;&gt;INT(D74))),"奖励无效","可导入"))))))</x:f>
        <x:v>可导入</x:v>
      </x:c>
    </x:row>
    <x:row r="75" ht="22" customHeight="1">
      <x:c r="A75" s="72" t="n">
        <x:v>11</x:v>
      </x:c>
      <x:c r="B75" s="41" t="str">
        <x:v>capoo_mage｜法师 Capoo</x:v>
      </x:c>
      <x:c r="C75" s="41" t="n">
        <x:v>1</x:v>
      </x:c>
      <x:c r="D75" s="41"/>
      <x:c r="E75" s="19" t="str">
        <x:f>IFERROR(VLOOKUP(B75,'敌人目录'!$A$6:$S$54,2,FALSE),"")</x:f>
        <x:v>capoo_mage</x:v>
      </x:c>
      <x:c r="F75" s="19" t="n">
        <x:f>IF(OR(B75="",C75=""),"",ROUNDUP(C75*(1+('全局设置'!$B$5-1)*'全局设置'!$B$6),0))</x:f>
        <x:v>1</x:v>
      </x:c>
      <x:c r="G75" s="19" t="n">
        <x:f>IFERROR(VLOOKUP(B75,'敌人目录'!$A$6:$S$54,7,FALSE),"")</x:f>
        <x:v>200</x:v>
      </x:c>
      <x:c r="H75" s="19" t="n">
        <x:f>IFERROR(VLOOKUP(B75,'敌人目录'!$A$6:$S$54,8,FALSE),"")</x:f>
        <x:v>35</x:v>
      </x:c>
      <x:c r="I75" s="19" t="n">
        <x:f>IFERROR(VLOOKUP(B75,'敌人目录'!$A$6:$S$54,9,FALSE),"")</x:f>
        <x:v>0</x:v>
      </x:c>
      <x:c r="J75" s="19" t="n">
        <x:f>IFERROR(VLOOKUP(B75,'敌人目录'!$A$6:$S$54,10,FALSE),"")</x:f>
        <x:v>0</x:v>
      </x:c>
      <x:c r="K75" s="19" t="n">
        <x:f>IFERROR(VLOOKUP(B75,'敌人目录'!$A$6:$S$54,11,FALSE),"")</x:f>
        <x:v>24</x:v>
      </x:c>
      <x:c r="L75" s="19" t="n">
        <x:f>IFERROR(VLOOKUP(B75,'敌人目录'!$A$6:$S$54,12,FALSE),"")</x:f>
        <x:v>5</x:v>
      </x:c>
      <x:c r="M75" s="19" t="n">
        <x:f>IFERROR(VLOOKUP(B75,'敌人目录'!$A$6:$S$54,13,FALSE),"")</x:f>
        <x:v>30</x:v>
      </x:c>
      <x:c r="N75" s="19" t="n">
        <x:f>IF(B75="","",IF(ISNUMBER(D75),D75,IFERROR(VLOOKUP(B75,'敌人目录'!$A$6:$S$54,14,FALSE),"")))</x:f>
        <x:v>30</x:v>
      </x:c>
      <x:c r="O75" s="64" t="n">
        <x:f>IFERROR(VLOOKUP(B75,'敌人目录'!$A$6:$S$54,15,FALSE),"")</x:f>
        <x:v>0.06</x:v>
      </x:c>
      <x:c r="P75" s="19" t="n">
        <x:f>IF(F75="","",F75*G75)</x:f>
        <x:v>200</x:v>
      </x:c>
      <x:c r="Q75" s="19" t="n">
        <x:f>IF(F75="","",F75*L75)</x:f>
        <x:v>5</x:v>
      </x:c>
      <x:c r="R75" s="19" t="n">
        <x:f>IF(F75="","",F75*N75)</x:f>
        <x:v>30</x:v>
      </x:c>
      <x:c r="S75" s="19" t="n">
        <x:f>IF(R75="","",R75*'全局设置'!$B$5)</x:f>
        <x:v>30</x:v>
      </x:c>
      <x:c r="T75" s="73" t="n">
        <x:f>IF(F75="","",F75*O75)</x:f>
        <x:v>0.06</x:v>
      </x:c>
      <x:c r="U75" s="19" t="str">
        <x:f>IF(AND(B75="",C75=""),"",IF(B75="","缺少敌人",IF(C75="","缺少数量",IF(OR(C75&lt;1,C75&gt;9999,C75&lt;&gt;INT(C75)),"数量无效",IF(COUNTIF($E$65:$E$82,E75)&gt;1,"重复敌人",IF(AND(ISNUMBER(D75),OR(D75&lt;0,D75&gt;999,D75&lt;&gt;INT(D75))),"奖励无效","可导入"))))))</x:f>
        <x:v>可导入</x:v>
      </x:c>
    </x:row>
    <x:row r="76" ht="22" customHeight="1">
      <x:c r="A76" s="72" t="n">
        <x:v>12</x:v>
      </x:c>
      <x:c r="B76" s="41" t="str">
        <x:v>stone_golem｜石头人</x:v>
      </x:c>
      <x:c r="C76" s="41" t="n">
        <x:v>1</x:v>
      </x:c>
      <x:c r="D76" s="41"/>
      <x:c r="E76" s="19" t="str">
        <x:f>IFERROR(VLOOKUP(B76,'敌人目录'!$A$6:$S$54,2,FALSE),"")</x:f>
        <x:v>stone_golem</x:v>
      </x:c>
      <x:c r="F76" s="19" t="n">
        <x:f>IF(OR(B76="",C76=""),"",ROUNDUP(C76*(1+('全局设置'!$B$5-1)*'全局设置'!$B$6),0))</x:f>
        <x:v>1</x:v>
      </x:c>
      <x:c r="G76" s="19" t="n">
        <x:f>IFERROR(VLOOKUP(B76,'敌人目录'!$A$6:$S$54,7,FALSE),"")</x:f>
        <x:v>1000</x:v>
      </x:c>
      <x:c r="H76" s="19" t="n">
        <x:f>IFERROR(VLOOKUP(B76,'敌人目录'!$A$6:$S$54,8,FALSE),"")</x:f>
        <x:v>100</x:v>
      </x:c>
      <x:c r="I76" s="19" t="n">
        <x:f>IFERROR(VLOOKUP(B76,'敌人目录'!$A$6:$S$54,9,FALSE),"")</x:f>
        <x:v>50</x:v>
      </x:c>
      <x:c r="J76" s="19" t="n">
        <x:f>IFERROR(VLOOKUP(B76,'敌人目录'!$A$6:$S$54,10,FALSE),"")</x:f>
        <x:v>0</x:v>
      </x:c>
      <x:c r="K76" s="19" t="n">
        <x:f>IFERROR(VLOOKUP(B76,'敌人目录'!$A$6:$S$54,11,FALSE),"")</x:f>
        <x:v>15</x:v>
      </x:c>
      <x:c r="L76" s="19" t="n">
        <x:f>IFERROR(VLOOKUP(B76,'敌人目录'!$A$6:$S$54,12,FALSE),"")</x:f>
        <x:v>25</x:v>
      </x:c>
      <x:c r="M76" s="19" t="n">
        <x:f>IFERROR(VLOOKUP(B76,'敌人目录'!$A$6:$S$54,13,FALSE),"")</x:f>
        <x:v>50</x:v>
      </x:c>
      <x:c r="N76" s="19" t="n">
        <x:f>IF(B76="","",IF(ISNUMBER(D76),D76,IFERROR(VLOOKUP(B76,'敌人目录'!$A$6:$S$54,14,FALSE),"")))</x:f>
        <x:v>50</x:v>
      </x:c>
      <x:c r="O76" s="64" t="n">
        <x:f>IFERROR(VLOOKUP(B76,'敌人目录'!$A$6:$S$54,15,FALSE),"")</x:f>
        <x:v>0.55</x:v>
      </x:c>
      <x:c r="P76" s="19" t="n">
        <x:f>IF(F76="","",F76*G76)</x:f>
        <x:v>1000</x:v>
      </x:c>
      <x:c r="Q76" s="19" t="n">
        <x:f>IF(F76="","",F76*L76)</x:f>
        <x:v>25</x:v>
      </x:c>
      <x:c r="R76" s="19" t="n">
        <x:f>IF(F76="","",F76*N76)</x:f>
        <x:v>50</x:v>
      </x:c>
      <x:c r="S76" s="19" t="n">
        <x:f>IF(R76="","",R76*'全局设置'!$B$5)</x:f>
        <x:v>50</x:v>
      </x:c>
      <x:c r="T76" s="73" t="n">
        <x:f>IF(F76="","",F76*O76)</x:f>
        <x:v>0.55</x:v>
      </x:c>
      <x:c r="U76" s="19" t="str">
        <x:f>IF(AND(B76="",C76=""),"",IF(B76="","缺少敌人",IF(C76="","缺少数量",IF(OR(C76&lt;1,C76&gt;9999,C76&lt;&gt;INT(C76)),"数量无效",IF(COUNTIF($E$65:$E$82,E76)&gt;1,"重复敌人",IF(AND(ISNUMBER(D76),OR(D76&lt;0,D76&gt;999,D76&lt;&gt;INT(D76))),"奖励无效","可导入"))))))</x:f>
        <x:v>可导入</x:v>
      </x:c>
    </x:row>
    <x:row r="77" ht="22" customHeight="1">
      <x:c r="A77" s="72" t="n">
        <x:v>13</x:v>
      </x:c>
      <x:c r="B77" s="41"/>
      <x:c r="C77" s="41"/>
      <x:c r="D77" s="41"/>
      <x:c r="E77" s="19" t="str">
        <x:f>IFERROR(VLOOKUP(B77,'敌人目录'!$A$6:$S$54,2,FALSE),"")</x:f>
      </x:c>
      <x:c r="F77" s="19" t="str">
        <x:f>IF(OR(B77="",C77=""),"",ROUNDUP(C77*(1+('全局设置'!$B$5-1)*'全局设置'!$B$6),0))</x:f>
      </x:c>
      <x:c r="G77" s="19" t="str">
        <x:f>IFERROR(VLOOKUP(B77,'敌人目录'!$A$6:$S$54,7,FALSE),"")</x:f>
      </x:c>
      <x:c r="H77" s="19" t="str">
        <x:f>IFERROR(VLOOKUP(B77,'敌人目录'!$A$6:$S$54,8,FALSE),"")</x:f>
      </x:c>
      <x:c r="I77" s="19" t="str">
        <x:f>IFERROR(VLOOKUP(B77,'敌人目录'!$A$6:$S$54,9,FALSE),"")</x:f>
      </x:c>
      <x:c r="J77" s="19" t="str">
        <x:f>IFERROR(VLOOKUP(B77,'敌人目录'!$A$6:$S$54,10,FALSE),"")</x:f>
      </x:c>
      <x:c r="K77" s="19" t="str">
        <x:f>IFERROR(VLOOKUP(B77,'敌人目录'!$A$6:$S$54,11,FALSE),"")</x:f>
      </x:c>
      <x:c r="L77" s="19" t="str">
        <x:f>IFERROR(VLOOKUP(B77,'敌人目录'!$A$6:$S$54,12,FALSE),"")</x:f>
      </x:c>
      <x:c r="M77" s="19" t="str">
        <x:f>IFERROR(VLOOKUP(B77,'敌人目录'!$A$6:$S$54,13,FALSE),"")</x:f>
      </x:c>
      <x:c r="N77" s="19" t="str">
        <x:f>IF(B77="","",IF(ISNUMBER(D77),D77,IFERROR(VLOOKUP(B77,'敌人目录'!$A$6:$S$54,14,FALSE),"")))</x:f>
      </x:c>
      <x:c r="O77" s="64" t="str">
        <x:f>IFERROR(VLOOKUP(B77,'敌人目录'!$A$6:$S$54,15,FALSE),"")</x:f>
      </x:c>
      <x:c r="P77" s="19" t="str">
        <x:f>IF(F77="","",F77*G77)</x:f>
      </x:c>
      <x:c r="Q77" s="19" t="str">
        <x:f>IF(F77="","",F77*L77)</x:f>
      </x:c>
      <x:c r="R77" s="19" t="str">
        <x:f>IF(F77="","",F77*N77)</x:f>
      </x:c>
      <x:c r="S77" s="19" t="str">
        <x:f>IF(R77="","",R77*'全局设置'!$B$5)</x:f>
      </x:c>
      <x:c r="T77" s="73" t="str">
        <x:f>IF(F77="","",F77*O77)</x:f>
      </x:c>
      <x:c r="U77" s="19" t="str">
        <x:f>IF(AND(B77="",C77=""),"",IF(B77="","缺少敌人",IF(C77="","缺少数量",IF(OR(C77&lt;1,C77&gt;9999,C77&lt;&gt;INT(C77)),"数量无效",IF(COUNTIF($E$65:$E$82,E77)&gt;1,"重复敌人",IF(AND(ISNUMBER(D77),OR(D77&lt;0,D77&gt;999,D77&lt;&gt;INT(D77))),"奖励无效","可导入"))))))</x:f>
      </x:c>
    </x:row>
    <x:row r="78" ht="22" customHeight="1">
      <x:c r="A78" s="72" t="n">
        <x:v>14</x:v>
      </x:c>
      <x:c r="B78" s="41"/>
      <x:c r="C78" s="41"/>
      <x:c r="D78" s="41"/>
      <x:c r="E78" s="19" t="str">
        <x:f>IFERROR(VLOOKUP(B78,'敌人目录'!$A$6:$S$54,2,FALSE),"")</x:f>
      </x:c>
      <x:c r="F78" s="19" t="str">
        <x:f>IF(OR(B78="",C78=""),"",ROUNDUP(C78*(1+('全局设置'!$B$5-1)*'全局设置'!$B$6),0))</x:f>
      </x:c>
      <x:c r="G78" s="19" t="str">
        <x:f>IFERROR(VLOOKUP(B78,'敌人目录'!$A$6:$S$54,7,FALSE),"")</x:f>
      </x:c>
      <x:c r="H78" s="19" t="str">
        <x:f>IFERROR(VLOOKUP(B78,'敌人目录'!$A$6:$S$54,8,FALSE),"")</x:f>
      </x:c>
      <x:c r="I78" s="19" t="str">
        <x:f>IFERROR(VLOOKUP(B78,'敌人目录'!$A$6:$S$54,9,FALSE),"")</x:f>
      </x:c>
      <x:c r="J78" s="19" t="str">
        <x:f>IFERROR(VLOOKUP(B78,'敌人目录'!$A$6:$S$54,10,FALSE),"")</x:f>
      </x:c>
      <x:c r="K78" s="19" t="str">
        <x:f>IFERROR(VLOOKUP(B78,'敌人目录'!$A$6:$S$54,11,FALSE),"")</x:f>
      </x:c>
      <x:c r="L78" s="19" t="str">
        <x:f>IFERROR(VLOOKUP(B78,'敌人目录'!$A$6:$S$54,12,FALSE),"")</x:f>
      </x:c>
      <x:c r="M78" s="19" t="str">
        <x:f>IFERROR(VLOOKUP(B78,'敌人目录'!$A$6:$S$54,13,FALSE),"")</x:f>
      </x:c>
      <x:c r="N78" s="19" t="str">
        <x:f>IF(B78="","",IF(ISNUMBER(D78),D78,IFERROR(VLOOKUP(B78,'敌人目录'!$A$6:$S$54,14,FALSE),"")))</x:f>
      </x:c>
      <x:c r="O78" s="64" t="str">
        <x:f>IFERROR(VLOOKUP(B78,'敌人目录'!$A$6:$S$54,15,FALSE),"")</x:f>
      </x:c>
      <x:c r="P78" s="19" t="str">
        <x:f>IF(F78="","",F78*G78)</x:f>
      </x:c>
      <x:c r="Q78" s="19" t="str">
        <x:f>IF(F78="","",F78*L78)</x:f>
      </x:c>
      <x:c r="R78" s="19" t="str">
        <x:f>IF(F78="","",F78*N78)</x:f>
      </x:c>
      <x:c r="S78" s="19" t="str">
        <x:f>IF(R78="","",R78*'全局设置'!$B$5)</x:f>
      </x:c>
      <x:c r="T78" s="73" t="str">
        <x:f>IF(F78="","",F78*O78)</x:f>
      </x:c>
      <x:c r="U78" s="19" t="str">
        <x:f>IF(AND(B78="",C78=""),"",IF(B78="","缺少敌人",IF(C78="","缺少数量",IF(OR(C78&lt;1,C78&gt;9999,C78&lt;&gt;INT(C78)),"数量无效",IF(COUNTIF($E$65:$E$82,E78)&gt;1,"重复敌人",IF(AND(ISNUMBER(D78),OR(D78&lt;0,D78&gt;999,D78&lt;&gt;INT(D78))),"奖励无效","可导入"))))))</x:f>
      </x:c>
    </x:row>
    <x:row r="79" ht="22" customHeight="1">
      <x:c r="A79" s="72" t="n">
        <x:v>15</x:v>
      </x:c>
      <x:c r="B79" s="41"/>
      <x:c r="C79" s="41"/>
      <x:c r="D79" s="41"/>
      <x:c r="E79" s="19" t="str">
        <x:f>IFERROR(VLOOKUP(B79,'敌人目录'!$A$6:$S$54,2,FALSE),"")</x:f>
      </x:c>
      <x:c r="F79" s="19" t="str">
        <x:f>IF(OR(B79="",C79=""),"",ROUNDUP(C79*(1+('全局设置'!$B$5-1)*'全局设置'!$B$6),0))</x:f>
      </x:c>
      <x:c r="G79" s="19" t="str">
        <x:f>IFERROR(VLOOKUP(B79,'敌人目录'!$A$6:$S$54,7,FALSE),"")</x:f>
      </x:c>
      <x:c r="H79" s="19" t="str">
        <x:f>IFERROR(VLOOKUP(B79,'敌人目录'!$A$6:$S$54,8,FALSE),"")</x:f>
      </x:c>
      <x:c r="I79" s="19" t="str">
        <x:f>IFERROR(VLOOKUP(B79,'敌人目录'!$A$6:$S$54,9,FALSE),"")</x:f>
      </x:c>
      <x:c r="J79" s="19" t="str">
        <x:f>IFERROR(VLOOKUP(B79,'敌人目录'!$A$6:$S$54,10,FALSE),"")</x:f>
      </x:c>
      <x:c r="K79" s="19" t="str">
        <x:f>IFERROR(VLOOKUP(B79,'敌人目录'!$A$6:$S$54,11,FALSE),"")</x:f>
      </x:c>
      <x:c r="L79" s="19" t="str">
        <x:f>IFERROR(VLOOKUP(B79,'敌人目录'!$A$6:$S$54,12,FALSE),"")</x:f>
      </x:c>
      <x:c r="M79" s="19" t="str">
        <x:f>IFERROR(VLOOKUP(B79,'敌人目录'!$A$6:$S$54,13,FALSE),"")</x:f>
      </x:c>
      <x:c r="N79" s="19" t="str">
        <x:f>IF(B79="","",IF(ISNUMBER(D79),D79,IFERROR(VLOOKUP(B79,'敌人目录'!$A$6:$S$54,14,FALSE),"")))</x:f>
      </x:c>
      <x:c r="O79" s="64" t="str">
        <x:f>IFERROR(VLOOKUP(B79,'敌人目录'!$A$6:$S$54,15,FALSE),"")</x:f>
      </x:c>
      <x:c r="P79" s="19" t="str">
        <x:f>IF(F79="","",F79*G79)</x:f>
      </x:c>
      <x:c r="Q79" s="19" t="str">
        <x:f>IF(F79="","",F79*L79)</x:f>
      </x:c>
      <x:c r="R79" s="19" t="str">
        <x:f>IF(F79="","",F79*N79)</x:f>
      </x:c>
      <x:c r="S79" s="19" t="str">
        <x:f>IF(R79="","",R79*'全局设置'!$B$5)</x:f>
      </x:c>
      <x:c r="T79" s="73" t="str">
        <x:f>IF(F79="","",F79*O79)</x:f>
      </x:c>
      <x:c r="U79" s="19" t="str">
        <x:f>IF(AND(B79="",C79=""),"",IF(B79="","缺少敌人",IF(C79="","缺少数量",IF(OR(C79&lt;1,C79&gt;9999,C79&lt;&gt;INT(C79)),"数量无效",IF(COUNTIF($E$65:$E$82,E79)&gt;1,"重复敌人",IF(AND(ISNUMBER(D79),OR(D79&lt;0,D79&gt;999,D79&lt;&gt;INT(D79))),"奖励无效","可导入"))))))</x:f>
      </x:c>
    </x:row>
    <x:row r="80" ht="22" customHeight="1">
      <x:c r="A80" s="72" t="n">
        <x:v>16</x:v>
      </x:c>
      <x:c r="B80" s="41"/>
      <x:c r="C80" s="41"/>
      <x:c r="D80" s="41"/>
      <x:c r="E80" s="19" t="str">
        <x:f>IFERROR(VLOOKUP(B80,'敌人目录'!$A$6:$S$54,2,FALSE),"")</x:f>
      </x:c>
      <x:c r="F80" s="19" t="str">
        <x:f>IF(OR(B80="",C80=""),"",ROUNDUP(C80*(1+('全局设置'!$B$5-1)*'全局设置'!$B$6),0))</x:f>
      </x:c>
      <x:c r="G80" s="19" t="str">
        <x:f>IFERROR(VLOOKUP(B80,'敌人目录'!$A$6:$S$54,7,FALSE),"")</x:f>
      </x:c>
      <x:c r="H80" s="19" t="str">
        <x:f>IFERROR(VLOOKUP(B80,'敌人目录'!$A$6:$S$54,8,FALSE),"")</x:f>
      </x:c>
      <x:c r="I80" s="19" t="str">
        <x:f>IFERROR(VLOOKUP(B80,'敌人目录'!$A$6:$S$54,9,FALSE),"")</x:f>
      </x:c>
      <x:c r="J80" s="19" t="str">
        <x:f>IFERROR(VLOOKUP(B80,'敌人目录'!$A$6:$S$54,10,FALSE),"")</x:f>
      </x:c>
      <x:c r="K80" s="19" t="str">
        <x:f>IFERROR(VLOOKUP(B80,'敌人目录'!$A$6:$S$54,11,FALSE),"")</x:f>
      </x:c>
      <x:c r="L80" s="19" t="str">
        <x:f>IFERROR(VLOOKUP(B80,'敌人目录'!$A$6:$S$54,12,FALSE),"")</x:f>
      </x:c>
      <x:c r="M80" s="19" t="str">
        <x:f>IFERROR(VLOOKUP(B80,'敌人目录'!$A$6:$S$54,13,FALSE),"")</x:f>
      </x:c>
      <x:c r="N80" s="19" t="str">
        <x:f>IF(B80="","",IF(ISNUMBER(D80),D80,IFERROR(VLOOKUP(B80,'敌人目录'!$A$6:$S$54,14,FALSE),"")))</x:f>
      </x:c>
      <x:c r="O80" s="64" t="str">
        <x:f>IFERROR(VLOOKUP(B80,'敌人目录'!$A$6:$S$54,15,FALSE),"")</x:f>
      </x:c>
      <x:c r="P80" s="19" t="str">
        <x:f>IF(F80="","",F80*G80)</x:f>
      </x:c>
      <x:c r="Q80" s="19" t="str">
        <x:f>IF(F80="","",F80*L80)</x:f>
      </x:c>
      <x:c r="R80" s="19" t="str">
        <x:f>IF(F80="","",F80*N80)</x:f>
      </x:c>
      <x:c r="S80" s="19" t="str">
        <x:f>IF(R80="","",R80*'全局设置'!$B$5)</x:f>
      </x:c>
      <x:c r="T80" s="73" t="str">
        <x:f>IF(F80="","",F80*O80)</x:f>
      </x:c>
      <x:c r="U80" s="19" t="str">
        <x:f>IF(AND(B80="",C80=""),"",IF(B80="","缺少敌人",IF(C80="","缺少数量",IF(OR(C80&lt;1,C80&gt;9999,C80&lt;&gt;INT(C80)),"数量无效",IF(COUNTIF($E$65:$E$82,E80)&gt;1,"重复敌人",IF(AND(ISNUMBER(D80),OR(D80&lt;0,D80&gt;999,D80&lt;&gt;INT(D80))),"奖励无效","可导入"))))))</x:f>
      </x:c>
    </x:row>
    <x:row r="81" ht="22" customHeight="1">
      <x:c r="A81" s="72" t="n">
        <x:v>17</x:v>
      </x:c>
      <x:c r="B81" s="41"/>
      <x:c r="C81" s="41"/>
      <x:c r="D81" s="41"/>
      <x:c r="E81" s="19" t="str">
        <x:f>IFERROR(VLOOKUP(B81,'敌人目录'!$A$6:$S$54,2,FALSE),"")</x:f>
      </x:c>
      <x:c r="F81" s="19" t="str">
        <x:f>IF(OR(B81="",C81=""),"",ROUNDUP(C81*(1+('全局设置'!$B$5-1)*'全局设置'!$B$6),0))</x:f>
      </x:c>
      <x:c r="G81" s="19" t="str">
        <x:f>IFERROR(VLOOKUP(B81,'敌人目录'!$A$6:$S$54,7,FALSE),"")</x:f>
      </x:c>
      <x:c r="H81" s="19" t="str">
        <x:f>IFERROR(VLOOKUP(B81,'敌人目录'!$A$6:$S$54,8,FALSE),"")</x:f>
      </x:c>
      <x:c r="I81" s="19" t="str">
        <x:f>IFERROR(VLOOKUP(B81,'敌人目录'!$A$6:$S$54,9,FALSE),"")</x:f>
      </x:c>
      <x:c r="J81" s="19" t="str">
        <x:f>IFERROR(VLOOKUP(B81,'敌人目录'!$A$6:$S$54,10,FALSE),"")</x:f>
      </x:c>
      <x:c r="K81" s="19" t="str">
        <x:f>IFERROR(VLOOKUP(B81,'敌人目录'!$A$6:$S$54,11,FALSE),"")</x:f>
      </x:c>
      <x:c r="L81" s="19" t="str">
        <x:f>IFERROR(VLOOKUP(B81,'敌人目录'!$A$6:$S$54,12,FALSE),"")</x:f>
      </x:c>
      <x:c r="M81" s="19" t="str">
        <x:f>IFERROR(VLOOKUP(B81,'敌人目录'!$A$6:$S$54,13,FALSE),"")</x:f>
      </x:c>
      <x:c r="N81" s="19" t="str">
        <x:f>IF(B81="","",IF(ISNUMBER(D81),D81,IFERROR(VLOOKUP(B81,'敌人目录'!$A$6:$S$54,14,FALSE),"")))</x:f>
      </x:c>
      <x:c r="O81" s="64" t="str">
        <x:f>IFERROR(VLOOKUP(B81,'敌人目录'!$A$6:$S$54,15,FALSE),"")</x:f>
      </x:c>
      <x:c r="P81" s="19" t="str">
        <x:f>IF(F81="","",F81*G81)</x:f>
      </x:c>
      <x:c r="Q81" s="19" t="str">
        <x:f>IF(F81="","",F81*L81)</x:f>
      </x:c>
      <x:c r="R81" s="19" t="str">
        <x:f>IF(F81="","",F81*N81)</x:f>
      </x:c>
      <x:c r="S81" s="19" t="str">
        <x:f>IF(R81="","",R81*'全局设置'!$B$5)</x:f>
      </x:c>
      <x:c r="T81" s="73" t="str">
        <x:f>IF(F81="","",F81*O81)</x:f>
      </x:c>
      <x:c r="U81" s="19" t="str">
        <x:f>IF(AND(B81="",C81=""),"",IF(B81="","缺少敌人",IF(C81="","缺少数量",IF(OR(C81&lt;1,C81&gt;9999,C81&lt;&gt;INT(C81)),"数量无效",IF(COUNTIF($E$65:$E$82,E81)&gt;1,"重复敌人",IF(AND(ISNUMBER(D81),OR(D81&lt;0,D81&gt;999,D81&lt;&gt;INT(D81))),"奖励无效","可导入"))))))</x:f>
      </x:c>
    </x:row>
    <x:row r="82" ht="22" customHeight="1">
      <x:c r="A82" s="72" t="n">
        <x:v>18</x:v>
      </x:c>
      <x:c r="B82" s="41"/>
      <x:c r="C82" s="41"/>
      <x:c r="D82" s="41"/>
      <x:c r="E82" s="19" t="str">
        <x:f>IFERROR(VLOOKUP(B82,'敌人目录'!$A$6:$S$54,2,FALSE),"")</x:f>
      </x:c>
      <x:c r="F82" s="19" t="str">
        <x:f>IF(OR(B82="",C82=""),"",ROUNDUP(C82*(1+('全局设置'!$B$5-1)*'全局设置'!$B$6),0))</x:f>
      </x:c>
      <x:c r="G82" s="19" t="str">
        <x:f>IFERROR(VLOOKUP(B82,'敌人目录'!$A$6:$S$54,7,FALSE),"")</x:f>
      </x:c>
      <x:c r="H82" s="19" t="str">
        <x:f>IFERROR(VLOOKUP(B82,'敌人目录'!$A$6:$S$54,8,FALSE),"")</x:f>
      </x:c>
      <x:c r="I82" s="19" t="str">
        <x:f>IFERROR(VLOOKUP(B82,'敌人目录'!$A$6:$S$54,9,FALSE),"")</x:f>
      </x:c>
      <x:c r="J82" s="19" t="str">
        <x:f>IFERROR(VLOOKUP(B82,'敌人目录'!$A$6:$S$54,10,FALSE),"")</x:f>
      </x:c>
      <x:c r="K82" s="19" t="str">
        <x:f>IFERROR(VLOOKUP(B82,'敌人目录'!$A$6:$S$54,11,FALSE),"")</x:f>
      </x:c>
      <x:c r="L82" s="19" t="str">
        <x:f>IFERROR(VLOOKUP(B82,'敌人目录'!$A$6:$S$54,12,FALSE),"")</x:f>
      </x:c>
      <x:c r="M82" s="19" t="str">
        <x:f>IFERROR(VLOOKUP(B82,'敌人目录'!$A$6:$S$54,13,FALSE),"")</x:f>
      </x:c>
      <x:c r="N82" s="19" t="str">
        <x:f>IF(B82="","",IF(ISNUMBER(D82),D82,IFERROR(VLOOKUP(B82,'敌人目录'!$A$6:$S$54,14,FALSE),"")))</x:f>
      </x:c>
      <x:c r="O82" s="64" t="str">
        <x:f>IFERROR(VLOOKUP(B82,'敌人目录'!$A$6:$S$54,15,FALSE),"")</x:f>
      </x:c>
      <x:c r="P82" s="19" t="str">
        <x:f>IF(F82="","",F82*G82)</x:f>
      </x:c>
      <x:c r="Q82" s="19" t="str">
        <x:f>IF(F82="","",F82*L82)</x:f>
      </x:c>
      <x:c r="R82" s="19" t="str">
        <x:f>IF(F82="","",F82*N82)</x:f>
      </x:c>
      <x:c r="S82" s="19" t="str">
        <x:f>IF(R82="","",R82*'全局设置'!$B$5)</x:f>
      </x:c>
      <x:c r="T82" s="73" t="str">
        <x:f>IF(F82="","",F82*O82)</x:f>
      </x:c>
      <x:c r="U82" s="19" t="str">
        <x:f>IF(AND(B82="",C82=""),"",IF(B82="","缺少敌人",IF(C82="","缺少数量",IF(OR(C82&lt;1,C82&gt;9999,C82&lt;&gt;INT(C82)),"数量无效",IF(COUNTIF($E$65:$E$82,E82)&gt;1,"重复敌人",IF(AND(ISNUMBER(D82),OR(D82&lt;0,D82&gt;999,D82&lt;&gt;INT(D82))),"奖励无效","可导入"))))))</x:f>
      </x:c>
    </x:row>
    <x:row r="83" ht="22" customHeight="1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</x:row>
    <x:row r="84" ht="22" customHeight="1">
      <x:c r="A84" s="48" t="str">
        <x:v>基础总数</x:v>
      </x:c>
      <x:c r="B84" s="19" t="n">
        <x:f>SUM(C65:C82)</x:f>
        <x:v>176</x:v>
      </x:c>
      <x:c r="C84" s="48" t="str">
        <x:v>实际总数</x:v>
      </x:c>
      <x:c r="D84" s="19" t="n">
        <x:f>SUM(F65:F82)</x:f>
        <x:v>176</x:v>
      </x:c>
      <x:c r="E84" s="48" t="str">
        <x:v>敌人种类</x:v>
      </x:c>
      <x:c r="F84" s="19" t="n">
        <x:f>COUNTA(B65:B82)</x:f>
        <x:v>12</x:v>
      </x:c>
      <x:c r="G84" s="48" t="str">
        <x:v>生命池</x:v>
      </x:c>
      <x:c r="H84" s="19" t="n">
        <x:f>SUM(P65:P82)</x:f>
        <x:v>14760</x:v>
      </x:c>
      <x:c r="I84" s="48" t="str">
        <x:v>基础息壤/玩家</x:v>
      </x:c>
      <x:c r="J84" s="19" t="n">
        <x:f>SUM(R65:R82)</x:f>
        <x:v>398</x:v>
      </x:c>
      <x:c r="K84" s="48" t="str">
        <x:v>情景息壤/玩家</x:v>
      </x:c>
      <x:c r="L84" s="19" t="n">
        <x:f>J84*'全局设置'!$B$7*'全局设置'!$E$14</x:f>
        <x:v>398</x:v>
      </x:c>
      <x:c r="M84" s="48" t="str">
        <x:v>情景息壤/队伍</x:v>
      </x:c>
      <x:c r="N84" s="19" t="n">
        <x:f>L84*'全局设置'!$B$5</x:f>
        <x:v>398</x:v>
      </x:c>
      <x:c r="O84" s="48" t="str">
        <x:v>掉落期望</x:v>
      </x:c>
      <x:c r="P84" s="73" t="n">
        <x:f>SUM(T65:T82)</x:f>
        <x:v>9.35</x:v>
      </x:c>
      <x:c r="Q84" s="48" t="str">
        <x:v>全漏Home伤害</x:v>
      </x:c>
      <x:c r="R84" s="19" t="n">
        <x:f>SUM(Q65:Q82)</x:f>
        <x:v>382</x:v>
      </x:c>
      <x:c r="S84" s="48" t="str">
        <x:v>最短刷完(s)</x:v>
      </x:c>
      <x:c r="T84" s="73" t="n">
        <x:f>IF(D84=0,0,MAX(0,(ROUNDUP(D84/J61,0)-1)*H61))</x:f>
        <x:v>42</x:v>
      </x:c>
      <x:c r="U84" s="31"/>
    </x:row>
    <x:row r="85" ht="22" customHeight="1">
      <x:c r="A85" s="82" t="str">
        <x:v>情景收益 = 最大击杀息壤 × 全局击杀率 × 第3日倍率；最大队伍收益另按玩家人数相乘。</x:v>
      </x:c>
      <x:c r="B85" s="82" t="str">
        <x:v>情景收益 = 最大击杀息壤 × 全局击杀率 × 第3日倍率；最大队伍收益另按玩家人数相乘。</x:v>
      </x:c>
      <x:c r="C85" s="82" t="str">
        <x:v>情景收益 = 最大击杀息壤 × 全局击杀率 × 第3日倍率；最大队伍收益另按玩家人数相乘。</x:v>
      </x:c>
      <x:c r="D85" s="82" t="str">
        <x:v>情景收益 = 最大击杀息壤 × 全局击杀率 × 第3日倍率；最大队伍收益另按玩家人数相乘。</x:v>
      </x:c>
      <x:c r="E85" s="82" t="str">
        <x:v>情景收益 = 最大击杀息壤 × 全局击杀率 × 第3日倍率；最大队伍收益另按玩家人数相乘。</x:v>
      </x:c>
      <x:c r="F85" s="82" t="str">
        <x:v>情景收益 = 最大击杀息壤 × 全局击杀率 × 第3日倍率；最大队伍收益另按玩家人数相乘。</x:v>
      </x:c>
      <x:c r="G85" s="82" t="str">
        <x:v>情景收益 = 最大击杀息壤 × 全局击杀率 × 第3日倍率；最大队伍收益另按玩家人数相乘。</x:v>
      </x:c>
      <x:c r="H85" s="82" t="str">
        <x:v>情景收益 = 最大击杀息壤 × 全局击杀率 × 第3日倍率；最大队伍收益另按玩家人数相乘。</x:v>
      </x:c>
      <x:c r="I85" s="82" t="str">
        <x:v>情景收益 = 最大击杀息壤 × 全局击杀率 × 第3日倍率；最大队伍收益另按玩家人数相乘。</x:v>
      </x:c>
      <x:c r="J85" s="82" t="str">
        <x:v>情景收益 = 最大击杀息壤 × 全局击杀率 × 第3日倍率；最大队伍收益另按玩家人数相乘。</x:v>
      </x:c>
      <x:c r="K85" s="82" t="str">
        <x:v>情景收益 = 最大击杀息壤 × 全局击杀率 × 第3日倍率；最大队伍收益另按玩家人数相乘。</x:v>
      </x:c>
      <x:c r="L85" s="82" t="str">
        <x:v>情景收益 = 最大击杀息壤 × 全局击杀率 × 第3日倍率；最大队伍收益另按玩家人数相乘。</x:v>
      </x:c>
      <x:c r="M85" s="82" t="str">
        <x:v>情景收益 = 最大击杀息壤 × 全局击杀率 × 第3日倍率；最大队伍收益另按玩家人数相乘。</x:v>
      </x:c>
      <x:c r="N85" s="82" t="str">
        <x:v>情景收益 = 最大击杀息壤 × 全局击杀率 × 第3日倍率；最大队伍收益另按玩家人数相乘。</x:v>
      </x:c>
      <x:c r="O85" s="82" t="str">
        <x:v>情景收益 = 最大击杀息壤 × 全局击杀率 × 第3日倍率；最大队伍收益另按玩家人数相乘。</x:v>
      </x:c>
      <x:c r="P85" s="82" t="str">
        <x:v>情景收益 = 最大击杀息壤 × 全局击杀率 × 第3日倍率；最大队伍收益另按玩家人数相乘。</x:v>
      </x:c>
      <x:c r="Q85" s="82" t="str">
        <x:v>情景收益 = 最大击杀息壤 × 全局击杀率 × 第3日倍率；最大队伍收益另按玩家人数相乘。</x:v>
      </x:c>
      <x:c r="R85" s="82" t="str">
        <x:v>情景收益 = 最大击杀息壤 × 全局击杀率 × 第3日倍率；最大队伍收益另按玩家人数相乘。</x:v>
      </x:c>
      <x:c r="S85" s="82" t="str">
        <x:v>情景收益 = 最大击杀息壤 × 全局击杀率 × 第3日倍率；最大队伍收益另按玩家人数相乘。</x:v>
      </x:c>
      <x:c r="T85" s="82" t="str">
        <x:v>情景收益 = 最大击杀息壤 × 全局击杀率 × 第3日倍率；最大队伍收益另按玩家人数相乘。</x:v>
      </x:c>
      <x:c r="U85" s="82" t="str">
        <x:v>情景收益 = 最大击杀息壤 × 全局击杀率 × 第3日倍率；最大队伍收益另按玩家人数相乘。</x:v>
      </x:c>
    </x:row>
    <x:row r="86" ht="22" customHeight="1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</x:row>
    <x:row r="87" ht="22" customHeight="1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</x:row>
    <x:row r="88" ht="22" customHeight="1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</x:row>
    <x:row r="89" ht="22" customHeight="1">
      <x:c r="A89" s="78" t="str">
        <x:v>第 12 波｜第 3 日·4/4｜夜晚｜当前正式配置</x:v>
      </x:c>
      <x:c r="B89" s="78" t="str">
        <x:v>第 12 波｜第 3 日·4/4｜夜晚｜当前正式配置</x:v>
      </x:c>
      <x:c r="C89" s="78" t="str">
        <x:v>第 12 波｜第 3 日·4/4｜夜晚｜当前正式配置</x:v>
      </x:c>
      <x:c r="D89" s="78" t="str">
        <x:v>第 12 波｜第 3 日·4/4｜夜晚｜当前正式配置</x:v>
      </x:c>
      <x:c r="E89" s="78" t="str">
        <x:v>第 12 波｜第 3 日·4/4｜夜晚｜当前正式配置</x:v>
      </x:c>
      <x:c r="F89" s="78" t="str">
        <x:v>第 12 波｜第 3 日·4/4｜夜晚｜当前正式配置</x:v>
      </x:c>
      <x:c r="G89" s="78" t="str">
        <x:v>第 12 波｜第 3 日·4/4｜夜晚｜当前正式配置</x:v>
      </x:c>
      <x:c r="H89" s="78" t="str">
        <x:v>第 12 波｜第 3 日·4/4｜夜晚｜当前正式配置</x:v>
      </x:c>
      <x:c r="I89" s="78" t="str">
        <x:v>第 12 波｜第 3 日·4/4｜夜晚｜当前正式配置</x:v>
      </x:c>
      <x:c r="J89" s="78" t="str">
        <x:v>第 12 波｜第 3 日·4/4｜夜晚｜当前正式配置</x:v>
      </x:c>
      <x:c r="K89" s="78" t="str">
        <x:v>第 12 波｜第 3 日·4/4｜夜晚｜当前正式配置</x:v>
      </x:c>
      <x:c r="L89" s="78" t="str">
        <x:v>第 12 波｜第 3 日·4/4｜夜晚｜当前正式配置</x:v>
      </x:c>
      <x:c r="M89" s="78" t="str">
        <x:v>第 12 波｜第 3 日·4/4｜夜晚｜当前正式配置</x:v>
      </x:c>
      <x:c r="N89" s="78" t="str">
        <x:v>第 12 波｜第 3 日·4/4｜夜晚｜当前正式配置</x:v>
      </x:c>
      <x:c r="O89" s="78" t="str">
        <x:v>第 12 波｜第 3 日·4/4｜夜晚｜当前正式配置</x:v>
      </x:c>
      <x:c r="P89" s="78" t="str">
        <x:v>第 12 波｜第 3 日·4/4｜夜晚｜当前正式配置</x:v>
      </x:c>
      <x:c r="Q89" s="78" t="str">
        <x:v>第 12 波｜第 3 日·4/4｜夜晚｜当前正式配置</x:v>
      </x:c>
      <x:c r="R89" s="78" t="str">
        <x:v>第 12 波｜第 3 日·4/4｜夜晚｜当前正式配置</x:v>
      </x:c>
      <x:c r="S89" s="78" t="str">
        <x:v>第 12 波｜第 3 日·4/4｜夜晚｜当前正式配置</x:v>
      </x:c>
      <x:c r="T89" s="78" t="str">
        <x:v>第 12 波｜第 3 日·4/4｜夜晚｜当前正式配置</x:v>
      </x:c>
      <x:c r="U89" s="78" t="str">
        <x:v>第 12 波｜第 3 日·4/4｜夜晚｜当前正式配置</x:v>
      </x:c>
    </x:row>
    <x:row r="90" ht="22" customHeight="1">
      <x:c r="A90" s="48" t="str">
        <x:v>波次名称</x:v>
      </x:c>
      <x:c r="B90" s="41" t="str">
        <x:v>第12波 城镇决战</x:v>
      </x:c>
      <x:c r="C90" s="41" t="str">
        <x:v>第12波 城镇决战</x:v>
      </x:c>
      <x:c r="D90" s="41" t="str">
        <x:v>第12波 城镇决战</x:v>
      </x:c>
      <x:c r="E90" s="41" t="str">
        <x:v>第12波 城镇决战</x:v>
      </x:c>
      <x:c r="F90" s="41" t="str">
        <x:v>第12波 城镇决战</x:v>
      </x:c>
      <x:c r="G90" s="48" t="str">
        <x:v>出生间隔(s)</x:v>
      </x:c>
      <x:c r="H90" s="41" t="n">
        <x:v>0.22</x:v>
      </x:c>
      <x:c r="I90" s="48" t="str">
        <x:v>每Tick</x:v>
      </x:c>
      <x:c r="J90" s="41" t="n">
        <x:v>1</x:v>
      </x:c>
      <x:c r="K90" s="48" t="str">
        <x:v>存活上限</x:v>
      </x:c>
      <x:c r="L90" s="41" t="n">
        <x:v>96</x:v>
      </x:c>
      <x:c r="M90" s="48" t="str">
        <x:v>校验</x:v>
      </x:c>
      <x:c r="N90" s="19" t="str">
        <x:f>IF(COUNTA(B94:B111)=0,"待设计",IF(COUNTIF(U94:U111,"可导入")=COUNTA(B94:B111),"可导入","需修正"))</x:f>
        <x:v>可导入</x:v>
      </x:c>
      <x:c r="O90" s="19" t="str"/>
      <x:c r="P90" s="48" t="str">
        <x:v>来源</x:v>
      </x:c>
      <x:c r="Q90" s="19" t="str">
        <x:v>当前游戏 formal 资源</x:v>
      </x:c>
      <x:c r="R90" s="19" t="str">
        <x:v>当前游戏 formal 资源</x:v>
      </x:c>
      <x:c r="S90" s="19" t="str">
        <x:v>当前游戏 formal 资源</x:v>
      </x:c>
      <x:c r="T90" s="19" t="str">
        <x:v>当前游戏 formal 资源</x:v>
      </x:c>
      <x:c r="U90" s="19" t="str">
        <x:v>当前游戏 formal 资源</x:v>
      </x:c>
    </x:row>
    <x:row r="91" ht="22" customHeight="1">
      <x:c r="A91" s="48" t="str">
        <x:v>出生点</x:v>
      </x:c>
      <x:c r="B91" s="41" t="str">
        <x:v>开启</x:v>
      </x:c>
      <x:c r="C91" s="41" t="str">
        <x:v>开启</x:v>
      </x:c>
      <x:c r="D91" s="41" t="str">
        <x:v>开启</x:v>
      </x:c>
      <x:c r="E91" s="41" t="str">
        <x:v>开启</x:v>
      </x:c>
      <x:c r="F91" s="41" t="str">
        <x:v>开启</x:v>
      </x:c>
      <x:c r="G91" s="41" t="str">
        <x:v>开启</x:v>
      </x:c>
      <x:c r="H91" s="48" t="str">
        <x:v>战斗音乐</x:v>
      </x:c>
      <x:c r="I91" s="19" t="str">
        <x:v>shenmu_town_combat</x:v>
      </x:c>
      <x:c r="J91" s="19" t="str">
        <x:v>shenmu_town_combat</x:v>
      </x:c>
      <x:c r="K91" s="19" t="str">
        <x:v>shenmu_town_combat</x:v>
      </x:c>
      <x:c r="L91" s="19" t="str">
        <x:v>shenmu_town_combat</x:v>
      </x:c>
      <x:c r="M91" s="19" t="str">
        <x:v>shenmu_town_combat</x:v>
      </x:c>
      <x:c r="N91" s="48" t="str">
        <x:v>波后音乐</x:v>
      </x:c>
      <x:c r="O91" s="19" t="str">
        <x:v>shenmu_town_intermission</x:v>
      </x:c>
      <x:c r="P91" s="19" t="str">
        <x:v>shenmu_town_intermission</x:v>
      </x:c>
      <x:c r="Q91" s="19" t="str">
        <x:v>shenmu_town_intermission</x:v>
      </x:c>
      <x:c r="R91" s="19" t="str">
        <x:v>shenmu_town_intermission</x:v>
      </x:c>
      <x:c r="S91" s="19" t="str">
        <x:v>shenmu_town_intermission</x:v>
      </x:c>
      <x:c r="T91" s="19" t="str">
        <x:v>shenmu_town_intermission</x:v>
      </x:c>
      <x:c r="U91" s="19" t="str">
        <x:v>shenmu_town_intermission</x:v>
      </x:c>
    </x:row>
    <x:row r="92" ht="22" customHeight="1">
      <x:c r="A92" s="83" t="str">
        <x:v>蓝色列可编辑。每种敌人一行；若同波重复选择同一稳定 ID，请合并数量。实际数量按当前模拟玩家数逐条向上取整。</x:v>
      </x:c>
      <x:c r="B92" s="83" t="str">
        <x:v>蓝色列可编辑。每种敌人一行；若同波重复选择同一稳定 ID，请合并数量。实际数量按当前模拟玩家数逐条向上取整。</x:v>
      </x:c>
      <x:c r="C92" s="83" t="str">
        <x:v>蓝色列可编辑。每种敌人一行；若同波重复选择同一稳定 ID，请合并数量。实际数量按当前模拟玩家数逐条向上取整。</x:v>
      </x:c>
      <x:c r="D92" s="83" t="str">
        <x:v>蓝色列可编辑。每种敌人一行；若同波重复选择同一稳定 ID，请合并数量。实际数量按当前模拟玩家数逐条向上取整。</x:v>
      </x:c>
      <x:c r="E92" s="83" t="str">
        <x:v>蓝色列可编辑。每种敌人一行；若同波重复选择同一稳定 ID，请合并数量。实际数量按当前模拟玩家数逐条向上取整。</x:v>
      </x:c>
      <x:c r="F92" s="83" t="str">
        <x:v>蓝色列可编辑。每种敌人一行；若同波重复选择同一稳定 ID，请合并数量。实际数量按当前模拟玩家数逐条向上取整。</x:v>
      </x:c>
      <x:c r="G92" s="83" t="str">
        <x:v>蓝色列可编辑。每种敌人一行；若同波重复选择同一稳定 ID，请合并数量。实际数量按当前模拟玩家数逐条向上取整。</x:v>
      </x:c>
      <x:c r="H92" s="83" t="str">
        <x:v>蓝色列可编辑。每种敌人一行；若同波重复选择同一稳定 ID，请合并数量。实际数量按当前模拟玩家数逐条向上取整。</x:v>
      </x:c>
      <x:c r="I92" s="83" t="str">
        <x:v>蓝色列可编辑。每种敌人一行；若同波重复选择同一稳定 ID，请合并数量。实际数量按当前模拟玩家数逐条向上取整。</x:v>
      </x:c>
      <x:c r="J92" s="83" t="str">
        <x:v>蓝色列可编辑。每种敌人一行；若同波重复选择同一稳定 ID，请合并数量。实际数量按当前模拟玩家数逐条向上取整。</x:v>
      </x:c>
      <x:c r="K92" s="83" t="str">
        <x:v>蓝色列可编辑。每种敌人一行；若同波重复选择同一稳定 ID，请合并数量。实际数量按当前模拟玩家数逐条向上取整。</x:v>
      </x:c>
      <x:c r="L92" s="83" t="str">
        <x:v>蓝色列可编辑。每种敌人一行；若同波重复选择同一稳定 ID，请合并数量。实际数量按当前模拟玩家数逐条向上取整。</x:v>
      </x:c>
      <x:c r="M92" s="83" t="str">
        <x:v>蓝色列可编辑。每种敌人一行；若同波重复选择同一稳定 ID，请合并数量。实际数量按当前模拟玩家数逐条向上取整。</x:v>
      </x:c>
      <x:c r="N92" s="83" t="str">
        <x:v>蓝色列可编辑。每种敌人一行；若同波重复选择同一稳定 ID，请合并数量。实际数量按当前模拟玩家数逐条向上取整。</x:v>
      </x:c>
      <x:c r="O92" s="83" t="str">
        <x:v>蓝色列可编辑。每种敌人一行；若同波重复选择同一稳定 ID，请合并数量。实际数量按当前模拟玩家数逐条向上取整。</x:v>
      </x:c>
      <x:c r="P92" s="83" t="str">
        <x:v>蓝色列可编辑。每种敌人一行；若同波重复选择同一稳定 ID，请合并数量。实际数量按当前模拟玩家数逐条向上取整。</x:v>
      </x:c>
      <x:c r="Q92" s="83" t="str">
        <x:v>蓝色列可编辑。每种敌人一行；若同波重复选择同一稳定 ID，请合并数量。实际数量按当前模拟玩家数逐条向上取整。</x:v>
      </x:c>
      <x:c r="R92" s="83" t="str">
        <x:v>蓝色列可编辑。每种敌人一行；若同波重复选择同一稳定 ID，请合并数量。实际数量按当前模拟玩家数逐条向上取整。</x:v>
      </x:c>
      <x:c r="S92" s="83" t="str">
        <x:v>蓝色列可编辑。每种敌人一行；若同波重复选择同一稳定 ID，请合并数量。实际数量按当前模拟玩家数逐条向上取整。</x:v>
      </x:c>
      <x:c r="T92" s="83" t="str">
        <x:v>蓝色列可编辑。每种敌人一行；若同波重复选择同一稳定 ID，请合并数量。实际数量按当前模拟玩家数逐条向上取整。</x:v>
      </x:c>
      <x:c r="U92" s="83" t="str">
        <x:v>蓝色列可编辑。每种敌人一行；若同波重复选择同一稳定 ID，请合并数量。实际数量按当前模拟玩家数逐条向上取整。</x:v>
      </x:c>
    </x:row>
    <x:row r="93" ht="22" customHeight="1">
      <x:c r="A93" s="48" t="str">
        <x:v>槽位</x:v>
      </x:c>
      <x:c r="B93" s="48" t="str">
        <x:v>敌人（下拉选择）</x:v>
      </x:c>
      <x:c r="C93" s="48" t="str">
        <x:v>基础数量</x:v>
      </x:c>
      <x:c r="D93" s="48" t="str">
        <x:v>本波息壤覆盖</x:v>
      </x:c>
      <x:c r="E93" s="48" t="str">
        <x:v>稳定敌人ID</x:v>
      </x:c>
      <x:c r="F93" s="48" t="str">
        <x:v>实际数量</x:v>
      </x:c>
      <x:c r="G93" s="48" t="str">
        <x:v>生命</x:v>
      </x:c>
      <x:c r="H93" s="48" t="str">
        <x:v>攻击</x:v>
      </x:c>
      <x:c r="I93" s="48" t="str">
        <x:v>物理防御</x:v>
      </x:c>
      <x:c r="J93" s="48" t="str">
        <x:v>法术防御</x:v>
      </x:c>
      <x:c r="K93" s="48" t="str">
        <x:v>移速</x:v>
      </x:c>
      <x:c r="L93" s="48" t="str">
        <x:v>Home伤害</x:v>
      </x:c>
      <x:c r="M93" s="48" t="str">
        <x:v>游戏默认息壤</x:v>
      </x:c>
      <x:c r="N93" s="48" t="str">
        <x:v>有效息壤</x:v>
      </x:c>
      <x:c r="O93" s="48" t="str">
        <x:v>掉落期望/击杀</x:v>
      </x:c>
      <x:c r="P93" s="48" t="str">
        <x:v>总生命</x:v>
      </x:c>
      <x:c r="Q93" s="48" t="str">
        <x:v>全漏Home伤害</x:v>
      </x:c>
      <x:c r="R93" s="48" t="str">
        <x:v>最大息壤/玩家</x:v>
      </x:c>
      <x:c r="S93" s="48" t="str">
        <x:v>最大息壤/队伍</x:v>
      </x:c>
      <x:c r="T93" s="48" t="str">
        <x:v>掉落期望</x:v>
      </x:c>
      <x:c r="U93" s="48" t="str">
        <x:v>校验</x:v>
      </x:c>
    </x:row>
    <x:row r="94" ht="22" customHeight="1">
      <x:c r="A94" s="72" t="n">
        <x:v>1</x:v>
      </x:c>
      <x:c r="B94" s="41" t="str">
        <x:v>yuanshi_insect_basic｜普通原石虫</x:v>
      </x:c>
      <x:c r="C94" s="41" t="n">
        <x:v>53</x:v>
      </x:c>
      <x:c r="D94" s="41"/>
      <x:c r="E94" s="19" t="str">
        <x:f>IFERROR(VLOOKUP(B94,'敌人目录'!$A$6:$S$54,2,FALSE),"")</x:f>
        <x:v>yuanshi_insect_basic</x:v>
      </x:c>
      <x:c r="F94" s="19" t="n">
        <x:f>IF(OR(B94="",C94=""),"",ROUNDUP(C94*(1+('全局设置'!$B$5-1)*'全局设置'!$B$6),0))</x:f>
        <x:v>53</x:v>
      </x:c>
      <x:c r="G94" s="19" t="n">
        <x:f>IFERROR(VLOOKUP(B94,'敌人目录'!$A$6:$S$54,7,FALSE),"")</x:f>
        <x:v>40</x:v>
      </x:c>
      <x:c r="H94" s="19" t="n">
        <x:f>IFERROR(VLOOKUP(B94,'敌人目录'!$A$6:$S$54,8,FALSE),"")</x:f>
        <x:v>10</x:v>
      </x:c>
      <x:c r="I94" s="19" t="n">
        <x:f>IFERROR(VLOOKUP(B94,'敌人目录'!$A$6:$S$54,9,FALSE),"")</x:f>
        <x:v>0</x:v>
      </x:c>
      <x:c r="J94" s="19" t="n">
        <x:f>IFERROR(VLOOKUP(B94,'敌人目录'!$A$6:$S$54,10,FALSE),"")</x:f>
        <x:v>0</x:v>
      </x:c>
      <x:c r="K94" s="19" t="n">
        <x:f>IFERROR(VLOOKUP(B94,'敌人目录'!$A$6:$S$54,11,FALSE),"")</x:f>
        <x:v>20</x:v>
      </x:c>
      <x:c r="L94" s="19" t="n">
        <x:f>IFERROR(VLOOKUP(B94,'敌人目录'!$A$6:$S$54,12,FALSE),"")</x:f>
        <x:v>1</x:v>
      </x:c>
      <x:c r="M94" s="19" t="n">
        <x:f>IFERROR(VLOOKUP(B94,'敌人目录'!$A$6:$S$54,13,FALSE),"")</x:f>
        <x:v>1</x:v>
      </x:c>
      <x:c r="N94" s="19" t="n">
        <x:f>IF(B94="","",IF(ISNUMBER(D94),D94,IFERROR(VLOOKUP(B94,'敌人目录'!$A$6:$S$54,14,FALSE),"")))</x:f>
        <x:v>1</x:v>
      </x:c>
      <x:c r="O94" s="64" t="n">
        <x:f>IFERROR(VLOOKUP(B94,'敌人目录'!$A$6:$S$54,15,FALSE),"")</x:f>
        <x:v>0.05</x:v>
      </x:c>
      <x:c r="P94" s="19" t="n">
        <x:f>IF(F94="","",F94*G94)</x:f>
        <x:v>2120</x:v>
      </x:c>
      <x:c r="Q94" s="19" t="n">
        <x:f>IF(F94="","",F94*L94)</x:f>
        <x:v>53</x:v>
      </x:c>
      <x:c r="R94" s="19" t="n">
        <x:f>IF(F94="","",F94*N94)</x:f>
        <x:v>53</x:v>
      </x:c>
      <x:c r="S94" s="19" t="n">
        <x:f>IF(R94="","",R94*'全局设置'!$B$5)</x:f>
        <x:v>53</x:v>
      </x:c>
      <x:c r="T94" s="73" t="n">
        <x:f>IF(F94="","",F94*O94)</x:f>
        <x:v>2.6500000000000004</x:v>
      </x:c>
      <x:c r="U94" s="19" t="str">
        <x:f>IF(AND(B94="",C94=""),"",IF(B94="","缺少敌人",IF(C94="","缺少数量",IF(OR(C94&lt;1,C94&gt;9999,C94&lt;&gt;INT(C94)),"数量无效",IF(COUNTIF($E$94:$E$111,E94)&gt;1,"重复敌人",IF(AND(ISNUMBER(D94),OR(D94&lt;0,D94&gt;999,D94&lt;&gt;INT(D94))),"奖励无效","可导入"))))))</x:f>
        <x:v>可导入</x:v>
      </x:c>
    </x:row>
    <x:row r="95" ht="22" customHeight="1">
      <x:c r="A95" s="72" t="n">
        <x:v>2</x:v>
      </x:c>
      <x:c r="B95" s="41" t="str">
        <x:v>yuanshi_insect_fast｜迅捷原石虫</x:v>
      </x:c>
      <x:c r="C95" s="41" t="n">
        <x:v>24</x:v>
      </x:c>
      <x:c r="D95" s="41"/>
      <x:c r="E95" s="19" t="str">
        <x:f>IFERROR(VLOOKUP(B95,'敌人目录'!$A$6:$S$54,2,FALSE),"")</x:f>
        <x:v>yuanshi_insect_fast</x:v>
      </x:c>
      <x:c r="F95" s="19" t="n">
        <x:f>IF(OR(B95="",C95=""),"",ROUNDUP(C95*(1+('全局设置'!$B$5-1)*'全局设置'!$B$6),0))</x:f>
        <x:v>24</x:v>
      </x:c>
      <x:c r="G95" s="19" t="n">
        <x:f>IFERROR(VLOOKUP(B95,'敌人目录'!$A$6:$S$54,7,FALSE),"")</x:f>
        <x:v>35</x:v>
      </x:c>
      <x:c r="H95" s="19" t="n">
        <x:f>IFERROR(VLOOKUP(B95,'敌人目录'!$A$6:$S$54,8,FALSE),"")</x:f>
        <x:v>10</x:v>
      </x:c>
      <x:c r="I95" s="19" t="n">
        <x:f>IFERROR(VLOOKUP(B95,'敌人目录'!$A$6:$S$54,9,FALSE),"")</x:f>
        <x:v>0</x:v>
      </x:c>
      <x:c r="J95" s="19" t="n">
        <x:f>IFERROR(VLOOKUP(B95,'敌人目录'!$A$6:$S$54,10,FALSE),"")</x:f>
        <x:v>0</x:v>
      </x:c>
      <x:c r="K95" s="19" t="n">
        <x:f>IFERROR(VLOOKUP(B95,'敌人目录'!$A$6:$S$54,11,FALSE),"")</x:f>
        <x:v>40</x:v>
      </x:c>
      <x:c r="L95" s="19" t="n">
        <x:f>IFERROR(VLOOKUP(B95,'敌人目录'!$A$6:$S$54,12,FALSE),"")</x:f>
        <x:v>1</x:v>
      </x:c>
      <x:c r="M95" s="19" t="n">
        <x:f>IFERROR(VLOOKUP(B95,'敌人目录'!$A$6:$S$54,13,FALSE),"")</x:f>
        <x:v>1</x:v>
      </x:c>
      <x:c r="N95" s="19" t="n">
        <x:f>IF(B95="","",IF(ISNUMBER(D95),D95,IFERROR(VLOOKUP(B95,'敌人目录'!$A$6:$S$54,14,FALSE),"")))</x:f>
        <x:v>1</x:v>
      </x:c>
      <x:c r="O95" s="64" t="n">
        <x:f>IFERROR(VLOOKUP(B95,'敌人目录'!$A$6:$S$54,15,FALSE),"")</x:f>
        <x:v>0.05</x:v>
      </x:c>
      <x:c r="P95" s="19" t="n">
        <x:f>IF(F95="","",F95*G95)</x:f>
        <x:v>840</x:v>
      </x:c>
      <x:c r="Q95" s="19" t="n">
        <x:f>IF(F95="","",F95*L95)</x:f>
        <x:v>24</x:v>
      </x:c>
      <x:c r="R95" s="19" t="n">
        <x:f>IF(F95="","",F95*N95)</x:f>
        <x:v>24</x:v>
      </x:c>
      <x:c r="S95" s="19" t="n">
        <x:f>IF(R95="","",R95*'全局设置'!$B$5)</x:f>
        <x:v>24</x:v>
      </x:c>
      <x:c r="T95" s="73" t="n">
        <x:f>IF(F95="","",F95*O95)</x:f>
        <x:v>1.2000000000000002</x:v>
      </x:c>
      <x:c r="U95" s="19" t="str">
        <x:f>IF(AND(B95="",C95=""),"",IF(B95="","缺少敌人",IF(C95="","缺少数量",IF(OR(C95&lt;1,C95&gt;9999,C95&lt;&gt;INT(C95)),"数量无效",IF(COUNTIF($E$94:$E$111,E95)&gt;1,"重复敌人",IF(AND(ISNUMBER(D95),OR(D95&lt;0,D95&gt;999,D95&lt;&gt;INT(D95))),"奖励无效","可导入"))))))</x:f>
        <x:v>可导入</x:v>
      </x:c>
    </x:row>
    <x:row r="96" ht="22" customHeight="1">
      <x:c r="A96" s="72" t="n">
        <x:v>3</x:v>
      </x:c>
      <x:c r="B96" s="41" t="str">
        <x:v>yuanshi_insect_shell｜硬壳原石虫</x:v>
      </x:c>
      <x:c r="C96" s="41" t="n">
        <x:v>24</x:v>
      </x:c>
      <x:c r="D96" s="41"/>
      <x:c r="E96" s="19" t="str">
        <x:f>IFERROR(VLOOKUP(B96,'敌人目录'!$A$6:$S$54,2,FALSE),"")</x:f>
        <x:v>yuanshi_insect_shell</x:v>
      </x:c>
      <x:c r="F96" s="19" t="n">
        <x:f>IF(OR(B96="",C96=""),"",ROUNDUP(C96*(1+('全局设置'!$B$5-1)*'全局设置'!$B$6),0))</x:f>
        <x:v>24</x:v>
      </x:c>
      <x:c r="G96" s="19" t="n">
        <x:f>IFERROR(VLOOKUP(B96,'敌人目录'!$A$6:$S$54,7,FALSE),"")</x:f>
        <x:v>140</x:v>
      </x:c>
      <x:c r="H96" s="19" t="n">
        <x:f>IFERROR(VLOOKUP(B96,'敌人目录'!$A$6:$S$54,8,FALSE),"")</x:f>
        <x:v>14</x:v>
      </x:c>
      <x:c r="I96" s="19" t="n">
        <x:f>IFERROR(VLOOKUP(B96,'敌人目录'!$A$6:$S$54,9,FALSE),"")</x:f>
        <x:v>3</x:v>
      </x:c>
      <x:c r="J96" s="19" t="n">
        <x:f>IFERROR(VLOOKUP(B96,'敌人目录'!$A$6:$S$54,10,FALSE),"")</x:f>
        <x:v>0</x:v>
      </x:c>
      <x:c r="K96" s="19" t="n">
        <x:f>IFERROR(VLOOKUP(B96,'敌人目录'!$A$6:$S$54,11,FALSE),"")</x:f>
        <x:v>20</x:v>
      </x:c>
      <x:c r="L96" s="19" t="n">
        <x:f>IFERROR(VLOOKUP(B96,'敌人目录'!$A$6:$S$54,12,FALSE),"")</x:f>
        <x:v>2</x:v>
      </x:c>
      <x:c r="M96" s="19" t="n">
        <x:f>IFERROR(VLOOKUP(B96,'敌人目录'!$A$6:$S$54,13,FALSE),"")</x:f>
        <x:v>2</x:v>
      </x:c>
      <x:c r="N96" s="19" t="n">
        <x:f>IF(B96="","",IF(ISNUMBER(D96),D96,IFERROR(VLOOKUP(B96,'敌人目录'!$A$6:$S$54,14,FALSE),"")))</x:f>
        <x:v>2</x:v>
      </x:c>
      <x:c r="O96" s="64" t="n">
        <x:f>IFERROR(VLOOKUP(B96,'敌人目录'!$A$6:$S$54,15,FALSE),"")</x:f>
        <x:v>0.05</x:v>
      </x:c>
      <x:c r="P96" s="19" t="n">
        <x:f>IF(F96="","",F96*G96)</x:f>
        <x:v>3360</x:v>
      </x:c>
      <x:c r="Q96" s="19" t="n">
        <x:f>IF(F96="","",F96*L96)</x:f>
        <x:v>48</x:v>
      </x:c>
      <x:c r="R96" s="19" t="n">
        <x:f>IF(F96="","",F96*N96)</x:f>
        <x:v>48</x:v>
      </x:c>
      <x:c r="S96" s="19" t="n">
        <x:f>IF(R96="","",R96*'全局设置'!$B$5)</x:f>
        <x:v>48</x:v>
      </x:c>
      <x:c r="T96" s="73" t="n">
        <x:f>IF(F96="","",F96*O96)</x:f>
        <x:v>1.2000000000000002</x:v>
      </x:c>
      <x:c r="U96" s="19" t="str">
        <x:f>IF(AND(B96="",C96=""),"",IF(B96="","缺少敌人",IF(C96="","缺少数量",IF(OR(C96&lt;1,C96&gt;9999,C96&lt;&gt;INT(C96)),"数量无效",IF(COUNTIF($E$94:$E$111,E96)&gt;1,"重复敌人",IF(AND(ISNUMBER(D96),OR(D96&lt;0,D96&gt;999,D96&lt;&gt;INT(D96))),"奖励无效","可导入"))))))</x:f>
        <x:v>可导入</x:v>
      </x:c>
    </x:row>
    <x:row r="97" ht="22" customHeight="1">
      <x:c r="A97" s="72" t="n">
        <x:v>4</x:v>
      </x:c>
      <x:c r="B97" s="41" t="str">
        <x:v>yuanshi_insect_bomber｜自爆原石虫</x:v>
      </x:c>
      <x:c r="C97" s="41" t="n">
        <x:v>20</x:v>
      </x:c>
      <x:c r="D97" s="41"/>
      <x:c r="E97" s="19" t="str">
        <x:f>IFERROR(VLOOKUP(B97,'敌人目录'!$A$6:$S$54,2,FALSE),"")</x:f>
        <x:v>yuanshi_insect_bomber</x:v>
      </x:c>
      <x:c r="F97" s="19" t="n">
        <x:f>IF(OR(B97="",C97=""),"",ROUNDUP(C97*(1+('全局设置'!$B$5-1)*'全局设置'!$B$6),0))</x:f>
        <x:v>20</x:v>
      </x:c>
      <x:c r="G97" s="19" t="n">
        <x:f>IFERROR(VLOOKUP(B97,'敌人目录'!$A$6:$S$54,7,FALSE),"")</x:f>
        <x:v>30</x:v>
      </x:c>
      <x:c r="H97" s="19" t="n">
        <x:f>IFERROR(VLOOKUP(B97,'敌人目录'!$A$6:$S$54,8,FALSE),"")</x:f>
        <x:v>10</x:v>
      </x:c>
      <x:c r="I97" s="19" t="n">
        <x:f>IFERROR(VLOOKUP(B97,'敌人目录'!$A$6:$S$54,9,FALSE),"")</x:f>
        <x:v>0</x:v>
      </x:c>
      <x:c r="J97" s="19" t="n">
        <x:f>IFERROR(VLOOKUP(B97,'敌人目录'!$A$6:$S$54,10,FALSE),"")</x:f>
        <x:v>0</x:v>
      </x:c>
      <x:c r="K97" s="19" t="n">
        <x:f>IFERROR(VLOOKUP(B97,'敌人目录'!$A$6:$S$54,11,FALSE),"")</x:f>
        <x:v>18</x:v>
      </x:c>
      <x:c r="L97" s="19" t="n">
        <x:f>IFERROR(VLOOKUP(B97,'敌人目录'!$A$6:$S$54,12,FALSE),"")</x:f>
        <x:v>1</x:v>
      </x:c>
      <x:c r="M97" s="19" t="n">
        <x:f>IFERROR(VLOOKUP(B97,'敌人目录'!$A$6:$S$54,13,FALSE),"")</x:f>
        <x:v>1</x:v>
      </x:c>
      <x:c r="N97" s="19" t="n">
        <x:f>IF(B97="","",IF(ISNUMBER(D97),D97,IFERROR(VLOOKUP(B97,'敌人目录'!$A$6:$S$54,14,FALSE),"")))</x:f>
        <x:v>1</x:v>
      </x:c>
      <x:c r="O97" s="64" t="n">
        <x:f>IFERROR(VLOOKUP(B97,'敌人目录'!$A$6:$S$54,15,FALSE),"")</x:f>
        <x:v>0.05</x:v>
      </x:c>
      <x:c r="P97" s="19" t="n">
        <x:f>IF(F97="","",F97*G97)</x:f>
        <x:v>600</x:v>
      </x:c>
      <x:c r="Q97" s="19" t="n">
        <x:f>IF(F97="","",F97*L97)</x:f>
        <x:v>20</x:v>
      </x:c>
      <x:c r="R97" s="19" t="n">
        <x:f>IF(F97="","",F97*N97)</x:f>
        <x:v>20</x:v>
      </x:c>
      <x:c r="S97" s="19" t="n">
        <x:f>IF(R97="","",R97*'全局设置'!$B$5)</x:f>
        <x:v>20</x:v>
      </x:c>
      <x:c r="T97" s="73" t="n">
        <x:f>IF(F97="","",F97*O97)</x:f>
        <x:v>1</x:v>
      </x:c>
      <x:c r="U97" s="19" t="str">
        <x:f>IF(AND(B97="",C97=""),"",IF(B97="","缺少敌人",IF(C97="","缺少数量",IF(OR(C97&lt;1,C97&gt;9999,C97&lt;&gt;INT(C97)),"数量无效",IF(COUNTIF($E$94:$E$111,E97)&gt;1,"重复敌人",IF(AND(ISNUMBER(D97),OR(D97&lt;0,D97&gt;999,D97&lt;&gt;INT(D97))),"奖励无效","可导入"))))))</x:f>
        <x:v>可导入</x:v>
      </x:c>
    </x:row>
    <x:row r="98" ht="22" customHeight="1">
      <x:c r="A98" s="72" t="n">
        <x:v>5</x:v>
      </x:c>
      <x:c r="B98" s="41" t="str">
        <x:v>yuanshi_insect_purple_bomber｜紫晶自爆原石虫</x:v>
      </x:c>
      <x:c r="C98" s="41" t="n">
        <x:v>16</x:v>
      </x:c>
      <x:c r="D98" s="41"/>
      <x:c r="E98" s="19" t="str">
        <x:f>IFERROR(VLOOKUP(B98,'敌人目录'!$A$6:$S$54,2,FALSE),"")</x:f>
        <x:v>yuanshi_insect_purple_bomber</x:v>
      </x:c>
      <x:c r="F98" s="19" t="n">
        <x:f>IF(OR(B98="",C98=""),"",ROUNDUP(C98*(1+('全局设置'!$B$5-1)*'全局设置'!$B$6),0))</x:f>
        <x:v>16</x:v>
      </x:c>
      <x:c r="G98" s="19" t="n">
        <x:f>IFERROR(VLOOKUP(B98,'敌人目录'!$A$6:$S$54,7,FALSE),"")</x:f>
        <x:v>40</x:v>
      </x:c>
      <x:c r="H98" s="19" t="n">
        <x:f>IFERROR(VLOOKUP(B98,'敌人目录'!$A$6:$S$54,8,FALSE),"")</x:f>
        <x:v>10</x:v>
      </x:c>
      <x:c r="I98" s="19" t="n">
        <x:f>IFERROR(VLOOKUP(B98,'敌人目录'!$A$6:$S$54,9,FALSE),"")</x:f>
        <x:v>0</x:v>
      </x:c>
      <x:c r="J98" s="19" t="n">
        <x:f>IFERROR(VLOOKUP(B98,'敌人目录'!$A$6:$S$54,10,FALSE),"")</x:f>
        <x:v>0</x:v>
      </x:c>
      <x:c r="K98" s="19" t="n">
        <x:f>IFERROR(VLOOKUP(B98,'敌人目录'!$A$6:$S$54,11,FALSE),"")</x:f>
        <x:v>32</x:v>
      </x:c>
      <x:c r="L98" s="19" t="n">
        <x:f>IFERROR(VLOOKUP(B98,'敌人目录'!$A$6:$S$54,12,FALSE),"")</x:f>
        <x:v>1</x:v>
      </x:c>
      <x:c r="M98" s="19" t="n">
        <x:f>IFERROR(VLOOKUP(B98,'敌人目录'!$A$6:$S$54,13,FALSE),"")</x:f>
        <x:v>2</x:v>
      </x:c>
      <x:c r="N98" s="19" t="n">
        <x:f>IF(B98="","",IF(ISNUMBER(D98),D98,IFERROR(VLOOKUP(B98,'敌人目录'!$A$6:$S$54,14,FALSE),"")))</x:f>
        <x:v>2</x:v>
      </x:c>
      <x:c r="O98" s="64" t="n">
        <x:f>IFERROR(VLOOKUP(B98,'敌人目录'!$A$6:$S$54,15,FALSE),"")</x:f>
        <x:v>0.05</x:v>
      </x:c>
      <x:c r="P98" s="19" t="n">
        <x:f>IF(F98="","",F98*G98)</x:f>
        <x:v>640</x:v>
      </x:c>
      <x:c r="Q98" s="19" t="n">
        <x:f>IF(F98="","",F98*L98)</x:f>
        <x:v>16</x:v>
      </x:c>
      <x:c r="R98" s="19" t="n">
        <x:f>IF(F98="","",F98*N98)</x:f>
        <x:v>32</x:v>
      </x:c>
      <x:c r="S98" s="19" t="n">
        <x:f>IF(R98="","",R98*'全局设置'!$B$5)</x:f>
        <x:v>32</x:v>
      </x:c>
      <x:c r="T98" s="73" t="n">
        <x:f>IF(F98="","",F98*O98)</x:f>
        <x:v>0.8</x:v>
      </x:c>
      <x:c r="U98" s="19" t="str">
        <x:f>IF(AND(B98="",C98=""),"",IF(B98="","缺少敌人",IF(C98="","缺少数量",IF(OR(C98&lt;1,C98&gt;9999,C98&lt;&gt;INT(C98)),"数量无效",IF(COUNTIF($E$94:$E$111,E98)&gt;1,"重复敌人",IF(AND(ISNUMBER(D98),OR(D98&lt;0,D98&gt;999,D98&lt;&gt;INT(D98))),"奖励无效","可导入"))))))</x:f>
        <x:v>可导入</x:v>
      </x:c>
    </x:row>
    <x:row r="99" ht="22" customHeight="1">
      <x:c r="A99" s="72" t="n">
        <x:v>6</x:v>
      </x:c>
      <x:c r="B99" s="41" t="str">
        <x:v>yuanshi_insect_fire_ranged｜火焰弹原石虫</x:v>
      </x:c>
      <x:c r="C99" s="41" t="n">
        <x:v>20</x:v>
      </x:c>
      <x:c r="D99" s="41"/>
      <x:c r="E99" s="19" t="str">
        <x:f>IFERROR(VLOOKUP(B99,'敌人目录'!$A$6:$S$54,2,FALSE),"")</x:f>
        <x:v>yuanshi_insect_fire_ranged</x:v>
      </x:c>
      <x:c r="F99" s="19" t="n">
        <x:f>IF(OR(B99="",C99=""),"",ROUNDUP(C99*(1+('全局设置'!$B$5-1)*'全局设置'!$B$6),0))</x:f>
        <x:v>20</x:v>
      </x:c>
      <x:c r="G99" s="19" t="n">
        <x:f>IFERROR(VLOOKUP(B99,'敌人目录'!$A$6:$S$54,7,FALSE),"")</x:f>
        <x:v>40</x:v>
      </x:c>
      <x:c r="H99" s="19" t="n">
        <x:f>IFERROR(VLOOKUP(B99,'敌人目录'!$A$6:$S$54,8,FALSE),"")</x:f>
        <x:v>25</x:v>
      </x:c>
      <x:c r="I99" s="19" t="n">
        <x:f>IFERROR(VLOOKUP(B99,'敌人目录'!$A$6:$S$54,9,FALSE),"")</x:f>
        <x:v>0</x:v>
      </x:c>
      <x:c r="J99" s="19" t="n">
        <x:f>IFERROR(VLOOKUP(B99,'敌人目录'!$A$6:$S$54,10,FALSE),"")</x:f>
        <x:v>0</x:v>
      </x:c>
      <x:c r="K99" s="19" t="n">
        <x:f>IFERROR(VLOOKUP(B99,'敌人目录'!$A$6:$S$54,11,FALSE),"")</x:f>
        <x:v>22</x:v>
      </x:c>
      <x:c r="L99" s="19" t="n">
        <x:f>IFERROR(VLOOKUP(B99,'敌人目录'!$A$6:$S$54,12,FALSE),"")</x:f>
        <x:v>2</x:v>
      </x:c>
      <x:c r="M99" s="19" t="n">
        <x:f>IFERROR(VLOOKUP(B99,'敌人目录'!$A$6:$S$54,13,FALSE),"")</x:f>
        <x:v>1</x:v>
      </x:c>
      <x:c r="N99" s="19" t="n">
        <x:f>IF(B99="","",IF(ISNUMBER(D99),D99,IFERROR(VLOOKUP(B99,'敌人目录'!$A$6:$S$54,14,FALSE),"")))</x:f>
        <x:v>1</x:v>
      </x:c>
      <x:c r="O99" s="64" t="n">
        <x:f>IFERROR(VLOOKUP(B99,'敌人目录'!$A$6:$S$54,15,FALSE),"")</x:f>
        <x:v>0.05</x:v>
      </x:c>
      <x:c r="P99" s="19" t="n">
        <x:f>IF(F99="","",F99*G99)</x:f>
        <x:v>800</x:v>
      </x:c>
      <x:c r="Q99" s="19" t="n">
        <x:f>IF(F99="","",F99*L99)</x:f>
        <x:v>40</x:v>
      </x:c>
      <x:c r="R99" s="19" t="n">
        <x:f>IF(F99="","",F99*N99)</x:f>
        <x:v>20</x:v>
      </x:c>
      <x:c r="S99" s="19" t="n">
        <x:f>IF(R99="","",R99*'全局设置'!$B$5)</x:f>
        <x:v>20</x:v>
      </x:c>
      <x:c r="T99" s="73" t="n">
        <x:f>IF(F99="","",F99*O99)</x:f>
        <x:v>1</x:v>
      </x:c>
      <x:c r="U99" s="19" t="str">
        <x:f>IF(AND(B99="",C99=""),"",IF(B99="","缺少敌人",IF(C99="","缺少数量",IF(OR(C99&lt;1,C99&gt;9999,C99&lt;&gt;INT(C99)),"数量无效",IF(COUNTIF($E$94:$E$111,E99)&gt;1,"重复敌人",IF(AND(ISNUMBER(D99),OR(D99&lt;0,D99&gt;999,D99&lt;&gt;INT(D99))),"奖励无效","可导入"))))))</x:f>
        <x:v>可导入</x:v>
      </x:c>
    </x:row>
    <x:row r="100" ht="22" customHeight="1">
      <x:c r="A100" s="72" t="n">
        <x:v>7</x:v>
      </x:c>
      <x:c r="B100" s="41" t="str">
        <x:v>yuanshi_insect_green_shell｜翠壳原石虫</x:v>
      </x:c>
      <x:c r="C100" s="41" t="n">
        <x:v>20</x:v>
      </x:c>
      <x:c r="D100" s="41"/>
      <x:c r="E100" s="19" t="str">
        <x:f>IFERROR(VLOOKUP(B100,'敌人目录'!$A$6:$S$54,2,FALSE),"")</x:f>
        <x:v>yuanshi_insect_green_shell</x:v>
      </x:c>
      <x:c r="F100" s="19" t="n">
        <x:f>IF(OR(B100="",C100=""),"",ROUNDUP(C100*(1+('全局设置'!$B$5-1)*'全局设置'!$B$6),0))</x:f>
        <x:v>20</x:v>
      </x:c>
      <x:c r="G100" s="19" t="n">
        <x:f>IFERROR(VLOOKUP(B100,'敌人目录'!$A$6:$S$54,7,FALSE),"")</x:f>
        <x:v>200</x:v>
      </x:c>
      <x:c r="H100" s="19" t="n">
        <x:f>IFERROR(VLOOKUP(B100,'敌人目录'!$A$6:$S$54,8,FALSE),"")</x:f>
        <x:v>20</x:v>
      </x:c>
      <x:c r="I100" s="19" t="n">
        <x:f>IFERROR(VLOOKUP(B100,'敌人目录'!$A$6:$S$54,9,FALSE),"")</x:f>
        <x:v>5</x:v>
      </x:c>
      <x:c r="J100" s="19" t="n">
        <x:f>IFERROR(VLOOKUP(B100,'敌人目录'!$A$6:$S$54,10,FALSE),"")</x:f>
        <x:v>0</x:v>
      </x:c>
      <x:c r="K100" s="19" t="n">
        <x:f>IFERROR(VLOOKUP(B100,'敌人目录'!$A$6:$S$54,11,FALSE),"")</x:f>
        <x:v>15</x:v>
      </x:c>
      <x:c r="L100" s="19" t="n">
        <x:f>IFERROR(VLOOKUP(B100,'敌人目录'!$A$6:$S$54,12,FALSE),"")</x:f>
        <x:v>5</x:v>
      </x:c>
      <x:c r="M100" s="19" t="n">
        <x:f>IFERROR(VLOOKUP(B100,'敌人目录'!$A$6:$S$54,13,FALSE),"")</x:f>
        <x:v>2</x:v>
      </x:c>
      <x:c r="N100" s="19" t="n">
        <x:f>IF(B100="","",IF(ISNUMBER(D100),D100,IFERROR(VLOOKUP(B100,'敌人目录'!$A$6:$S$54,14,FALSE),"")))</x:f>
        <x:v>2</x:v>
      </x:c>
      <x:c r="O100" s="64" t="n">
        <x:f>IFERROR(VLOOKUP(B100,'敌人目录'!$A$6:$S$54,15,FALSE),"")</x:f>
        <x:v>0.05</x:v>
      </x:c>
      <x:c r="P100" s="19" t="n">
        <x:f>IF(F100="","",F100*G100)</x:f>
        <x:v>4000</x:v>
      </x:c>
      <x:c r="Q100" s="19" t="n">
        <x:f>IF(F100="","",F100*L100)</x:f>
        <x:v>100</x:v>
      </x:c>
      <x:c r="R100" s="19" t="n">
        <x:f>IF(F100="","",F100*N100)</x:f>
        <x:v>40</x:v>
      </x:c>
      <x:c r="S100" s="19" t="n">
        <x:f>IF(R100="","",R100*'全局设置'!$B$5)</x:f>
        <x:v>40</x:v>
      </x:c>
      <x:c r="T100" s="73" t="n">
        <x:f>IF(F100="","",F100*O100)</x:f>
        <x:v>1</x:v>
      </x:c>
      <x:c r="U100" s="19" t="str">
        <x:f>IF(AND(B100="",C100=""),"",IF(B100="","缺少敌人",IF(C100="","缺少数量",IF(OR(C100&lt;1,C100&gt;9999,C100&lt;&gt;INT(C100)),"数量无效",IF(COUNTIF($E$94:$E$111,E100)&gt;1,"重复敌人",IF(AND(ISNUMBER(D100),OR(D100&lt;0,D100&gt;999,D100&lt;&gt;INT(D100))),"奖励无效","可导入"))))))</x:f>
        <x:v>可导入</x:v>
      </x:c>
    </x:row>
    <x:row r="101" ht="22" customHeight="1">
      <x:c r="A101" s="72" t="n">
        <x:v>8</x:v>
      </x:c>
      <x:c r="B101" s="41" t="str">
        <x:v>yuanshi_insect_guardian｜守护者原石虫</x:v>
      </x:c>
      <x:c r="C101" s="41" t="n">
        <x:v>16</x:v>
      </x:c>
      <x:c r="D101" s="41"/>
      <x:c r="E101" s="19" t="str">
        <x:f>IFERROR(VLOOKUP(B101,'敌人目录'!$A$6:$S$54,2,FALSE),"")</x:f>
        <x:v>yuanshi_insect_guardian</x:v>
      </x:c>
      <x:c r="F101" s="19" t="n">
        <x:f>IF(OR(B101="",C101=""),"",ROUNDUP(C101*(1+('全局设置'!$B$5-1)*'全局设置'!$B$6),0))</x:f>
        <x:v>16</x:v>
      </x:c>
      <x:c r="G101" s="19" t="n">
        <x:f>IFERROR(VLOOKUP(B101,'敌人目录'!$A$6:$S$54,7,FALSE),"")</x:f>
        <x:v>150</x:v>
      </x:c>
      <x:c r="H101" s="19" t="n">
        <x:f>IFERROR(VLOOKUP(B101,'敌人目录'!$A$6:$S$54,8,FALSE),"")</x:f>
        <x:v>10</x:v>
      </x:c>
      <x:c r="I101" s="19" t="n">
        <x:f>IFERROR(VLOOKUP(B101,'敌人目录'!$A$6:$S$54,9,FALSE),"")</x:f>
        <x:v>5</x:v>
      </x:c>
      <x:c r="J101" s="19" t="n">
        <x:f>IFERROR(VLOOKUP(B101,'敌人目录'!$A$6:$S$54,10,FALSE),"")</x:f>
        <x:v>0</x:v>
      </x:c>
      <x:c r="K101" s="19" t="n">
        <x:f>IFERROR(VLOOKUP(B101,'敌人目录'!$A$6:$S$54,11,FALSE),"")</x:f>
        <x:v>20</x:v>
      </x:c>
      <x:c r="L101" s="19" t="n">
        <x:f>IFERROR(VLOOKUP(B101,'敌人目录'!$A$6:$S$54,12,FALSE),"")</x:f>
        <x:v>5</x:v>
      </x:c>
      <x:c r="M101" s="19" t="n">
        <x:f>IFERROR(VLOOKUP(B101,'敌人目录'!$A$6:$S$54,13,FALSE),"")</x:f>
        <x:v>2</x:v>
      </x:c>
      <x:c r="N101" s="19" t="n">
        <x:f>IF(B101="","",IF(ISNUMBER(D101),D101,IFERROR(VLOOKUP(B101,'敌人目录'!$A$6:$S$54,14,FALSE),"")))</x:f>
        <x:v>2</x:v>
      </x:c>
      <x:c r="O101" s="64" t="n">
        <x:f>IFERROR(VLOOKUP(B101,'敌人目录'!$A$6:$S$54,15,FALSE),"")</x:f>
        <x:v>0.05</x:v>
      </x:c>
      <x:c r="P101" s="19" t="n">
        <x:f>IF(F101="","",F101*G101)</x:f>
        <x:v>2400</x:v>
      </x:c>
      <x:c r="Q101" s="19" t="n">
        <x:f>IF(F101="","",F101*L101)</x:f>
        <x:v>80</x:v>
      </x:c>
      <x:c r="R101" s="19" t="n">
        <x:f>IF(F101="","",F101*N101)</x:f>
        <x:v>32</x:v>
      </x:c>
      <x:c r="S101" s="19" t="n">
        <x:f>IF(R101="","",R101*'全局设置'!$B$5)</x:f>
        <x:v>32</x:v>
      </x:c>
      <x:c r="T101" s="73" t="n">
        <x:f>IF(F101="","",F101*O101)</x:f>
        <x:v>0.8</x:v>
      </x:c>
      <x:c r="U101" s="19" t="str">
        <x:f>IF(AND(B101="",C101=""),"",IF(B101="","缺少敌人",IF(C101="","缺少数量",IF(OR(C101&lt;1,C101&gt;9999,C101&lt;&gt;INT(C101)),"数量无效",IF(COUNTIF($E$94:$E$111,E101)&gt;1,"重复敌人",IF(AND(ISNUMBER(D101),OR(D101&lt;0,D101&gt;999,D101&lt;&gt;INT(D101))),"奖励无效","可导入"))))))</x:f>
        <x:v>可导入</x:v>
      </x:c>
    </x:row>
    <x:row r="102" ht="22" customHeight="1">
      <x:c r="A102" s="72" t="n">
        <x:v>9</x:v>
      </x:c>
      <x:c r="B102" s="41" t="str">
        <x:v>capoo_ak47｜AK猫猫虫</x:v>
      </x:c>
      <x:c r="C102" s="41" t="n">
        <x:v>2</x:v>
      </x:c>
      <x:c r="D102" s="41"/>
      <x:c r="E102" s="19" t="str">
        <x:f>IFERROR(VLOOKUP(B102,'敌人目录'!$A$6:$S$54,2,FALSE),"")</x:f>
        <x:v>capoo_ak47</x:v>
      </x:c>
      <x:c r="F102" s="19" t="n">
        <x:f>IF(OR(B102="",C102=""),"",ROUNDUP(C102*(1+('全局设置'!$B$5-1)*'全局设置'!$B$6),0))</x:f>
        <x:v>2</x:v>
      </x:c>
      <x:c r="G102" s="19" t="n">
        <x:f>IFERROR(VLOOKUP(B102,'敌人目录'!$A$6:$S$54,7,FALSE),"")</x:f>
        <x:v>150</x:v>
      </x:c>
      <x:c r="H102" s="19" t="n">
        <x:f>IFERROR(VLOOKUP(B102,'敌人目录'!$A$6:$S$54,8,FALSE),"")</x:f>
        <x:v>20</x:v>
      </x:c>
      <x:c r="I102" s="19" t="n">
        <x:f>IFERROR(VLOOKUP(B102,'敌人目录'!$A$6:$S$54,9,FALSE),"")</x:f>
        <x:v>0</x:v>
      </x:c>
      <x:c r="J102" s="19" t="n">
        <x:f>IFERROR(VLOOKUP(B102,'敌人目录'!$A$6:$S$54,10,FALSE),"")</x:f>
        <x:v>0</x:v>
      </x:c>
      <x:c r="K102" s="19" t="n">
        <x:f>IFERROR(VLOOKUP(B102,'敌人目录'!$A$6:$S$54,11,FALSE),"")</x:f>
        <x:v>18</x:v>
      </x:c>
      <x:c r="L102" s="19" t="n">
        <x:f>IFERROR(VLOOKUP(B102,'敌人目录'!$A$6:$S$54,12,FALSE),"")</x:f>
        <x:v>2</x:v>
      </x:c>
      <x:c r="M102" s="19" t="n">
        <x:f>IFERROR(VLOOKUP(B102,'敌人目录'!$A$6:$S$54,13,FALSE),"")</x:f>
        <x:v>20</x:v>
      </x:c>
      <x:c r="N102" s="19" t="n">
        <x:f>IF(B102="","",IF(ISNUMBER(D102),D102,IFERROR(VLOOKUP(B102,'敌人目录'!$A$6:$S$54,14,FALSE),"")))</x:f>
        <x:v>20</x:v>
      </x:c>
      <x:c r="O102" s="64" t="n">
        <x:f>IFERROR(VLOOKUP(B102,'敌人目录'!$A$6:$S$54,15,FALSE),"")</x:f>
        <x:v>0.06</x:v>
      </x:c>
      <x:c r="P102" s="19" t="n">
        <x:f>IF(F102="","",F102*G102)</x:f>
        <x:v>300</x:v>
      </x:c>
      <x:c r="Q102" s="19" t="n">
        <x:f>IF(F102="","",F102*L102)</x:f>
        <x:v>4</x:v>
      </x:c>
      <x:c r="R102" s="19" t="n">
        <x:f>IF(F102="","",F102*N102)</x:f>
        <x:v>40</x:v>
      </x:c>
      <x:c r="S102" s="19" t="n">
        <x:f>IF(R102="","",R102*'全局设置'!$B$5)</x:f>
        <x:v>40</x:v>
      </x:c>
      <x:c r="T102" s="73" t="n">
        <x:f>IF(F102="","",F102*O102)</x:f>
        <x:v>0.12</x:v>
      </x:c>
      <x:c r="U102" s="19" t="str">
        <x:f>IF(AND(B102="",C102=""),"",IF(B102="","缺少敌人",IF(C102="","缺少数量",IF(OR(C102&lt;1,C102&gt;9999,C102&lt;&gt;INT(C102)),"数量无效",IF(COUNTIF($E$94:$E$111,E102)&gt;1,"重复敌人",IF(AND(ISNUMBER(D102),OR(D102&lt;0,D102&gt;999,D102&lt;&gt;INT(D102))),"奖励无效","可导入"))))))</x:f>
        <x:v>可导入</x:v>
      </x:c>
    </x:row>
    <x:row r="103" ht="22" customHeight="1">
      <x:c r="A103" s="72" t="n">
        <x:v>10</x:v>
      </x:c>
      <x:c r="B103" s="41" t="str">
        <x:v>capoo_knight｜骑士猫猫虫</x:v>
      </x:c>
      <x:c r="C103" s="41" t="n">
        <x:v>2</x:v>
      </x:c>
      <x:c r="D103" s="41"/>
      <x:c r="E103" s="19" t="str">
        <x:f>IFERROR(VLOOKUP(B103,'敌人目录'!$A$6:$S$54,2,FALSE),"")</x:f>
        <x:v>capoo_knight</x:v>
      </x:c>
      <x:c r="F103" s="19" t="n">
        <x:f>IF(OR(B103="",C103=""),"",ROUNDUP(C103*(1+('全局设置'!$B$5-1)*'全局设置'!$B$6),0))</x:f>
        <x:v>2</x:v>
      </x:c>
      <x:c r="G103" s="19" t="n">
        <x:f>IFERROR(VLOOKUP(B103,'敌人目录'!$A$6:$S$54,7,FALSE),"")</x:f>
        <x:v>200</x:v>
      </x:c>
      <x:c r="H103" s="19" t="n">
        <x:f>IFERROR(VLOOKUP(B103,'敌人目录'!$A$6:$S$54,8,FALSE),"")</x:f>
        <x:v>28</x:v>
      </x:c>
      <x:c r="I103" s="19" t="n">
        <x:f>IFERROR(VLOOKUP(B103,'敌人目录'!$A$6:$S$54,9,FALSE),"")</x:f>
        <x:v>10</x:v>
      </x:c>
      <x:c r="J103" s="19" t="n">
        <x:f>IFERROR(VLOOKUP(B103,'敌人目录'!$A$6:$S$54,10,FALSE),"")</x:f>
        <x:v>0</x:v>
      </x:c>
      <x:c r="K103" s="19" t="n">
        <x:f>IFERROR(VLOOKUP(B103,'敌人目录'!$A$6:$S$54,11,FALSE),"")</x:f>
        <x:v>34</x:v>
      </x:c>
      <x:c r="L103" s="19" t="n">
        <x:f>IFERROR(VLOOKUP(B103,'敌人目录'!$A$6:$S$54,12,FALSE),"")</x:f>
        <x:v>5</x:v>
      </x:c>
      <x:c r="M103" s="19" t="n">
        <x:f>IFERROR(VLOOKUP(B103,'敌人目录'!$A$6:$S$54,13,FALSE),"")</x:f>
        <x:v>20</x:v>
      </x:c>
      <x:c r="N103" s="19" t="n">
        <x:f>IF(B103="","",IF(ISNUMBER(D103),D103,IFERROR(VLOOKUP(B103,'敌人目录'!$A$6:$S$54,14,FALSE),"")))</x:f>
        <x:v>20</x:v>
      </x:c>
      <x:c r="O103" s="64" t="n">
        <x:f>IFERROR(VLOOKUP(B103,'敌人目录'!$A$6:$S$54,15,FALSE),"")</x:f>
        <x:v>0.06</x:v>
      </x:c>
      <x:c r="P103" s="19" t="n">
        <x:f>IF(F103="","",F103*G103)</x:f>
        <x:v>400</x:v>
      </x:c>
      <x:c r="Q103" s="19" t="n">
        <x:f>IF(F103="","",F103*L103)</x:f>
        <x:v>10</x:v>
      </x:c>
      <x:c r="R103" s="19" t="n">
        <x:f>IF(F103="","",F103*N103)</x:f>
        <x:v>40</x:v>
      </x:c>
      <x:c r="S103" s="19" t="n">
        <x:f>IF(R103="","",R103*'全局设置'!$B$5)</x:f>
        <x:v>40</x:v>
      </x:c>
      <x:c r="T103" s="73" t="n">
        <x:f>IF(F103="","",F103*O103)</x:f>
        <x:v>0.12</x:v>
      </x:c>
      <x:c r="U103" s="19" t="str">
        <x:f>IF(AND(B103="",C103=""),"",IF(B103="","缺少敌人",IF(C103="","缺少数量",IF(OR(C103&lt;1,C103&gt;9999,C103&lt;&gt;INT(C103)),"数量无效",IF(COUNTIF($E$94:$E$111,E103)&gt;1,"重复敌人",IF(AND(ISNUMBER(D103),OR(D103&lt;0,D103&gt;999,D103&lt;&gt;INT(D103))),"奖励无效","可导入"))))))</x:f>
        <x:v>可导入</x:v>
      </x:c>
    </x:row>
    <x:row r="104" ht="22" customHeight="1">
      <x:c r="A104" s="72" t="n">
        <x:v>11</x:v>
      </x:c>
      <x:c r="B104" s="41" t="str">
        <x:v>capoo_mage｜法师 Capoo</x:v>
      </x:c>
      <x:c r="C104" s="41" t="n">
        <x:v>1</x:v>
      </x:c>
      <x:c r="D104" s="41"/>
      <x:c r="E104" s="19" t="str">
        <x:f>IFERROR(VLOOKUP(B104,'敌人目录'!$A$6:$S$54,2,FALSE),"")</x:f>
        <x:v>capoo_mage</x:v>
      </x:c>
      <x:c r="F104" s="19" t="n">
        <x:f>IF(OR(B104="",C104=""),"",ROUNDUP(C104*(1+('全局设置'!$B$5-1)*'全局设置'!$B$6),0))</x:f>
        <x:v>1</x:v>
      </x:c>
      <x:c r="G104" s="19" t="n">
        <x:f>IFERROR(VLOOKUP(B104,'敌人目录'!$A$6:$S$54,7,FALSE),"")</x:f>
        <x:v>200</x:v>
      </x:c>
      <x:c r="H104" s="19" t="n">
        <x:f>IFERROR(VLOOKUP(B104,'敌人目录'!$A$6:$S$54,8,FALSE),"")</x:f>
        <x:v>35</x:v>
      </x:c>
      <x:c r="I104" s="19" t="n">
        <x:f>IFERROR(VLOOKUP(B104,'敌人目录'!$A$6:$S$54,9,FALSE),"")</x:f>
        <x:v>0</x:v>
      </x:c>
      <x:c r="J104" s="19" t="n">
        <x:f>IFERROR(VLOOKUP(B104,'敌人目录'!$A$6:$S$54,10,FALSE),"")</x:f>
        <x:v>0</x:v>
      </x:c>
      <x:c r="K104" s="19" t="n">
        <x:f>IFERROR(VLOOKUP(B104,'敌人目录'!$A$6:$S$54,11,FALSE),"")</x:f>
        <x:v>24</x:v>
      </x:c>
      <x:c r="L104" s="19" t="n">
        <x:f>IFERROR(VLOOKUP(B104,'敌人目录'!$A$6:$S$54,12,FALSE),"")</x:f>
        <x:v>5</x:v>
      </x:c>
      <x:c r="M104" s="19" t="n">
        <x:f>IFERROR(VLOOKUP(B104,'敌人目录'!$A$6:$S$54,13,FALSE),"")</x:f>
        <x:v>30</x:v>
      </x:c>
      <x:c r="N104" s="19" t="n">
        <x:f>IF(B104="","",IF(ISNUMBER(D104),D104,IFERROR(VLOOKUP(B104,'敌人目录'!$A$6:$S$54,14,FALSE),"")))</x:f>
        <x:v>30</x:v>
      </x:c>
      <x:c r="O104" s="64" t="n">
        <x:f>IFERROR(VLOOKUP(B104,'敌人目录'!$A$6:$S$54,15,FALSE),"")</x:f>
        <x:v>0.06</x:v>
      </x:c>
      <x:c r="P104" s="19" t="n">
        <x:f>IF(F104="","",F104*G104)</x:f>
        <x:v>200</x:v>
      </x:c>
      <x:c r="Q104" s="19" t="n">
        <x:f>IF(F104="","",F104*L104)</x:f>
        <x:v>5</x:v>
      </x:c>
      <x:c r="R104" s="19" t="n">
        <x:f>IF(F104="","",F104*N104)</x:f>
        <x:v>30</x:v>
      </x:c>
      <x:c r="S104" s="19" t="n">
        <x:f>IF(R104="","",R104*'全局设置'!$B$5)</x:f>
        <x:v>30</x:v>
      </x:c>
      <x:c r="T104" s="73" t="n">
        <x:f>IF(F104="","",F104*O104)</x:f>
        <x:v>0.06</x:v>
      </x:c>
      <x:c r="U104" s="19" t="str">
        <x:f>IF(AND(B104="",C104=""),"",IF(B104="","缺少敌人",IF(C104="","缺少数量",IF(OR(C104&lt;1,C104&gt;9999,C104&lt;&gt;INT(C104)),"数量无效",IF(COUNTIF($E$94:$E$111,E104)&gt;1,"重复敌人",IF(AND(ISNUMBER(D104),OR(D104&lt;0,D104&gt;999,D104&lt;&gt;INT(D104))),"奖励无效","可导入"))))))</x:f>
        <x:v>可导入</x:v>
      </x:c>
    </x:row>
    <x:row r="105" ht="22" customHeight="1">
      <x:c r="A105" s="72" t="n">
        <x:v>12</x:v>
      </x:c>
      <x:c r="B105" s="41" t="str">
        <x:v>capoo_rpg｜RPG猫猫虫</x:v>
      </x:c>
      <x:c r="C105" s="41" t="n">
        <x:v>1</x:v>
      </x:c>
      <x:c r="D105" s="41"/>
      <x:c r="E105" s="19" t="str">
        <x:f>IFERROR(VLOOKUP(B105,'敌人目录'!$A$6:$S$54,2,FALSE),"")</x:f>
        <x:v>capoo_rpg</x:v>
      </x:c>
      <x:c r="F105" s="19" t="n">
        <x:f>IF(OR(B105="",C105=""),"",ROUNDUP(C105*(1+('全局设置'!$B$5-1)*'全局设置'!$B$6),0))</x:f>
        <x:v>1</x:v>
      </x:c>
      <x:c r="G105" s="19" t="n">
        <x:f>IFERROR(VLOOKUP(B105,'敌人目录'!$A$6:$S$54,7,FALSE),"")</x:f>
        <x:v>200</x:v>
      </x:c>
      <x:c r="H105" s="19" t="n">
        <x:f>IFERROR(VLOOKUP(B105,'敌人目录'!$A$6:$S$54,8,FALSE),"")</x:f>
        <x:v>20</x:v>
      </x:c>
      <x:c r="I105" s="19" t="n">
        <x:f>IFERROR(VLOOKUP(B105,'敌人目录'!$A$6:$S$54,9,FALSE),"")</x:f>
        <x:v>0</x:v>
      </x:c>
      <x:c r="J105" s="19" t="n">
        <x:f>IFERROR(VLOOKUP(B105,'敌人目录'!$A$6:$S$54,10,FALSE),"")</x:f>
        <x:v>0</x:v>
      </x:c>
      <x:c r="K105" s="19" t="n">
        <x:f>IFERROR(VLOOKUP(B105,'敌人目录'!$A$6:$S$54,11,FALSE),"")</x:f>
        <x:v>16</x:v>
      </x:c>
      <x:c r="L105" s="19" t="n">
        <x:f>IFERROR(VLOOKUP(B105,'敌人目录'!$A$6:$S$54,12,FALSE),"")</x:f>
        <x:v>5</x:v>
      </x:c>
      <x:c r="M105" s="19" t="n">
        <x:f>IFERROR(VLOOKUP(B105,'敌人目录'!$A$6:$S$54,13,FALSE),"")</x:f>
        <x:v>24</x:v>
      </x:c>
      <x:c r="N105" s="19" t="n">
        <x:f>IF(B105="","",IF(ISNUMBER(D105),D105,IFERROR(VLOOKUP(B105,'敌人目录'!$A$6:$S$54,14,FALSE),"")))</x:f>
        <x:v>24</x:v>
      </x:c>
      <x:c r="O105" s="64" t="n">
        <x:f>IFERROR(VLOOKUP(B105,'敌人目录'!$A$6:$S$54,15,FALSE),"")</x:f>
        <x:v>0.06</x:v>
      </x:c>
      <x:c r="P105" s="19" t="n">
        <x:f>IF(F105="","",F105*G105)</x:f>
        <x:v>200</x:v>
      </x:c>
      <x:c r="Q105" s="19" t="n">
        <x:f>IF(F105="","",F105*L105)</x:f>
        <x:v>5</x:v>
      </x:c>
      <x:c r="R105" s="19" t="n">
        <x:f>IF(F105="","",F105*N105)</x:f>
        <x:v>24</x:v>
      </x:c>
      <x:c r="S105" s="19" t="n">
        <x:f>IF(R105="","",R105*'全局设置'!$B$5)</x:f>
        <x:v>24</x:v>
      </x:c>
      <x:c r="T105" s="73" t="n">
        <x:f>IF(F105="","",F105*O105)</x:f>
        <x:v>0.06</x:v>
      </x:c>
      <x:c r="U105" s="19" t="str">
        <x:f>IF(AND(B105="",C105=""),"",IF(B105="","缺少敌人",IF(C105="","缺少数量",IF(OR(C105&lt;1,C105&gt;9999,C105&lt;&gt;INT(C105)),"数量无效",IF(COUNTIF($E$94:$E$111,E105)&gt;1,"重复敌人",IF(AND(ISNUMBER(D105),OR(D105&lt;0,D105&gt;999,D105&lt;&gt;INT(D105))),"奖励无效","可导入"))))))</x:f>
        <x:v>可导入</x:v>
      </x:c>
    </x:row>
    <x:row r="106" ht="22" customHeight="1">
      <x:c r="A106" s="72" t="n">
        <x:v>13</x:v>
      </x:c>
      <x:c r="B106" s="41" t="str">
        <x:v>stone_golem｜石头人</x:v>
      </x:c>
      <x:c r="C106" s="41" t="n">
        <x:v>1</x:v>
      </x:c>
      <x:c r="D106" s="41"/>
      <x:c r="E106" s="19" t="str">
        <x:f>IFERROR(VLOOKUP(B106,'敌人目录'!$A$6:$S$54,2,FALSE),"")</x:f>
        <x:v>stone_golem</x:v>
      </x:c>
      <x:c r="F106" s="19" t="n">
        <x:f>IF(OR(B106="",C106=""),"",ROUNDUP(C106*(1+('全局设置'!$B$5-1)*'全局设置'!$B$6),0))</x:f>
        <x:v>1</x:v>
      </x:c>
      <x:c r="G106" s="19" t="n">
        <x:f>IFERROR(VLOOKUP(B106,'敌人目录'!$A$6:$S$54,7,FALSE),"")</x:f>
        <x:v>1000</x:v>
      </x:c>
      <x:c r="H106" s="19" t="n">
        <x:f>IFERROR(VLOOKUP(B106,'敌人目录'!$A$6:$S$54,8,FALSE),"")</x:f>
        <x:v>100</x:v>
      </x:c>
      <x:c r="I106" s="19" t="n">
        <x:f>IFERROR(VLOOKUP(B106,'敌人目录'!$A$6:$S$54,9,FALSE),"")</x:f>
        <x:v>50</x:v>
      </x:c>
      <x:c r="J106" s="19" t="n">
        <x:f>IFERROR(VLOOKUP(B106,'敌人目录'!$A$6:$S$54,10,FALSE),"")</x:f>
        <x:v>0</x:v>
      </x:c>
      <x:c r="K106" s="19" t="n">
        <x:f>IFERROR(VLOOKUP(B106,'敌人目录'!$A$6:$S$54,11,FALSE),"")</x:f>
        <x:v>15</x:v>
      </x:c>
      <x:c r="L106" s="19" t="n">
        <x:f>IFERROR(VLOOKUP(B106,'敌人目录'!$A$6:$S$54,12,FALSE),"")</x:f>
        <x:v>25</x:v>
      </x:c>
      <x:c r="M106" s="19" t="n">
        <x:f>IFERROR(VLOOKUP(B106,'敌人目录'!$A$6:$S$54,13,FALSE),"")</x:f>
        <x:v>50</x:v>
      </x:c>
      <x:c r="N106" s="19" t="n">
        <x:f>IF(B106="","",IF(ISNUMBER(D106),D106,IFERROR(VLOOKUP(B106,'敌人目录'!$A$6:$S$54,14,FALSE),"")))</x:f>
        <x:v>50</x:v>
      </x:c>
      <x:c r="O106" s="64" t="n">
        <x:f>IFERROR(VLOOKUP(B106,'敌人目录'!$A$6:$S$54,15,FALSE),"")</x:f>
        <x:v>0.55</x:v>
      </x:c>
      <x:c r="P106" s="19" t="n">
        <x:f>IF(F106="","",F106*G106)</x:f>
        <x:v>1000</x:v>
      </x:c>
      <x:c r="Q106" s="19" t="n">
        <x:f>IF(F106="","",F106*L106)</x:f>
        <x:v>25</x:v>
      </x:c>
      <x:c r="R106" s="19" t="n">
        <x:f>IF(F106="","",F106*N106)</x:f>
        <x:v>50</x:v>
      </x:c>
      <x:c r="S106" s="19" t="n">
        <x:f>IF(R106="","",R106*'全局设置'!$B$5)</x:f>
        <x:v>50</x:v>
      </x:c>
      <x:c r="T106" s="73" t="n">
        <x:f>IF(F106="","",F106*O106)</x:f>
        <x:v>0.55</x:v>
      </x:c>
      <x:c r="U106" s="19" t="str">
        <x:f>IF(AND(B106="",C106=""),"",IF(B106="","缺少敌人",IF(C106="","缺少数量",IF(OR(C106&lt;1,C106&gt;9999,C106&lt;&gt;INT(C106)),"数量无效",IF(COUNTIF($E$94:$E$111,E106)&gt;1,"重复敌人",IF(AND(ISNUMBER(D106),OR(D106&lt;0,D106&gt;999,D106&lt;&gt;INT(D106))),"奖励无效","可导入"))))))</x:f>
        <x:v>可导入</x:v>
      </x:c>
    </x:row>
    <x:row r="107" ht="22" customHeight="1">
      <x:c r="A107" s="72" t="n">
        <x:v>14</x:v>
      </x:c>
      <x:c r="B107" s="41"/>
      <x:c r="C107" s="41"/>
      <x:c r="D107" s="41"/>
      <x:c r="E107" s="19" t="str">
        <x:f>IFERROR(VLOOKUP(B107,'敌人目录'!$A$6:$S$54,2,FALSE),"")</x:f>
      </x:c>
      <x:c r="F107" s="19" t="str">
        <x:f>IF(OR(B107="",C107=""),"",ROUNDUP(C107*(1+('全局设置'!$B$5-1)*'全局设置'!$B$6),0))</x:f>
      </x:c>
      <x:c r="G107" s="19" t="str">
        <x:f>IFERROR(VLOOKUP(B107,'敌人目录'!$A$6:$S$54,7,FALSE),"")</x:f>
      </x:c>
      <x:c r="H107" s="19" t="str">
        <x:f>IFERROR(VLOOKUP(B107,'敌人目录'!$A$6:$S$54,8,FALSE),"")</x:f>
      </x:c>
      <x:c r="I107" s="19" t="str">
        <x:f>IFERROR(VLOOKUP(B107,'敌人目录'!$A$6:$S$54,9,FALSE),"")</x:f>
      </x:c>
      <x:c r="J107" s="19" t="str">
        <x:f>IFERROR(VLOOKUP(B107,'敌人目录'!$A$6:$S$54,10,FALSE),"")</x:f>
      </x:c>
      <x:c r="K107" s="19" t="str">
        <x:f>IFERROR(VLOOKUP(B107,'敌人目录'!$A$6:$S$54,11,FALSE),"")</x:f>
      </x:c>
      <x:c r="L107" s="19" t="str">
        <x:f>IFERROR(VLOOKUP(B107,'敌人目录'!$A$6:$S$54,12,FALSE),"")</x:f>
      </x:c>
      <x:c r="M107" s="19" t="str">
        <x:f>IFERROR(VLOOKUP(B107,'敌人目录'!$A$6:$S$54,13,FALSE),"")</x:f>
      </x:c>
      <x:c r="N107" s="19" t="str">
        <x:f>IF(B107="","",IF(ISNUMBER(D107),D107,IFERROR(VLOOKUP(B107,'敌人目录'!$A$6:$S$54,14,FALSE),"")))</x:f>
      </x:c>
      <x:c r="O107" s="64" t="str">
        <x:f>IFERROR(VLOOKUP(B107,'敌人目录'!$A$6:$S$54,15,FALSE),"")</x:f>
      </x:c>
      <x:c r="P107" s="19" t="str">
        <x:f>IF(F107="","",F107*G107)</x:f>
      </x:c>
      <x:c r="Q107" s="19" t="str">
        <x:f>IF(F107="","",F107*L107)</x:f>
      </x:c>
      <x:c r="R107" s="19" t="str">
        <x:f>IF(F107="","",F107*N107)</x:f>
      </x:c>
      <x:c r="S107" s="19" t="str">
        <x:f>IF(R107="","",R107*'全局设置'!$B$5)</x:f>
      </x:c>
      <x:c r="T107" s="73" t="str">
        <x:f>IF(F107="","",F107*O107)</x:f>
      </x:c>
      <x:c r="U107" s="19" t="str">
        <x:f>IF(AND(B107="",C107=""),"",IF(B107="","缺少敌人",IF(C107="","缺少数量",IF(OR(C107&lt;1,C107&gt;9999,C107&lt;&gt;INT(C107)),"数量无效",IF(COUNTIF($E$94:$E$111,E107)&gt;1,"重复敌人",IF(AND(ISNUMBER(D107),OR(D107&lt;0,D107&gt;999,D107&lt;&gt;INT(D107))),"奖励无效","可导入"))))))</x:f>
      </x:c>
    </x:row>
    <x:row r="108" ht="22" customHeight="1">
      <x:c r="A108" s="72" t="n">
        <x:v>15</x:v>
      </x:c>
      <x:c r="B108" s="41"/>
      <x:c r="C108" s="41"/>
      <x:c r="D108" s="41"/>
      <x:c r="E108" s="19" t="str">
        <x:f>IFERROR(VLOOKUP(B108,'敌人目录'!$A$6:$S$54,2,FALSE),"")</x:f>
      </x:c>
      <x:c r="F108" s="19" t="str">
        <x:f>IF(OR(B108="",C108=""),"",ROUNDUP(C108*(1+('全局设置'!$B$5-1)*'全局设置'!$B$6),0))</x:f>
      </x:c>
      <x:c r="G108" s="19" t="str">
        <x:f>IFERROR(VLOOKUP(B108,'敌人目录'!$A$6:$S$54,7,FALSE),"")</x:f>
      </x:c>
      <x:c r="H108" s="19" t="str">
        <x:f>IFERROR(VLOOKUP(B108,'敌人目录'!$A$6:$S$54,8,FALSE),"")</x:f>
      </x:c>
      <x:c r="I108" s="19" t="str">
        <x:f>IFERROR(VLOOKUP(B108,'敌人目录'!$A$6:$S$54,9,FALSE),"")</x:f>
      </x:c>
      <x:c r="J108" s="19" t="str">
        <x:f>IFERROR(VLOOKUP(B108,'敌人目录'!$A$6:$S$54,10,FALSE),"")</x:f>
      </x:c>
      <x:c r="K108" s="19" t="str">
        <x:f>IFERROR(VLOOKUP(B108,'敌人目录'!$A$6:$S$54,11,FALSE),"")</x:f>
      </x:c>
      <x:c r="L108" s="19" t="str">
        <x:f>IFERROR(VLOOKUP(B108,'敌人目录'!$A$6:$S$54,12,FALSE),"")</x:f>
      </x:c>
      <x:c r="M108" s="19" t="str">
        <x:f>IFERROR(VLOOKUP(B108,'敌人目录'!$A$6:$S$54,13,FALSE),"")</x:f>
      </x:c>
      <x:c r="N108" s="19" t="str">
        <x:f>IF(B108="","",IF(ISNUMBER(D108),D108,IFERROR(VLOOKUP(B108,'敌人目录'!$A$6:$S$54,14,FALSE),"")))</x:f>
      </x:c>
      <x:c r="O108" s="64" t="str">
        <x:f>IFERROR(VLOOKUP(B108,'敌人目录'!$A$6:$S$54,15,FALSE),"")</x:f>
      </x:c>
      <x:c r="P108" s="19" t="str">
        <x:f>IF(F108="","",F108*G108)</x:f>
      </x:c>
      <x:c r="Q108" s="19" t="str">
        <x:f>IF(F108="","",F108*L108)</x:f>
      </x:c>
      <x:c r="R108" s="19" t="str">
        <x:f>IF(F108="","",F108*N108)</x:f>
      </x:c>
      <x:c r="S108" s="19" t="str">
        <x:f>IF(R108="","",R108*'全局设置'!$B$5)</x:f>
      </x:c>
      <x:c r="T108" s="73" t="str">
        <x:f>IF(F108="","",F108*O108)</x:f>
      </x:c>
      <x:c r="U108" s="19" t="str">
        <x:f>IF(AND(B108="",C108=""),"",IF(B108="","缺少敌人",IF(C108="","缺少数量",IF(OR(C108&lt;1,C108&gt;9999,C108&lt;&gt;INT(C108)),"数量无效",IF(COUNTIF($E$94:$E$111,E108)&gt;1,"重复敌人",IF(AND(ISNUMBER(D108),OR(D108&lt;0,D108&gt;999,D108&lt;&gt;INT(D108))),"奖励无效","可导入"))))))</x:f>
      </x:c>
    </x:row>
    <x:row r="109" ht="22" customHeight="1">
      <x:c r="A109" s="72" t="n">
        <x:v>16</x:v>
      </x:c>
      <x:c r="B109" s="41"/>
      <x:c r="C109" s="41"/>
      <x:c r="D109" s="41"/>
      <x:c r="E109" s="19" t="str">
        <x:f>IFERROR(VLOOKUP(B109,'敌人目录'!$A$6:$S$54,2,FALSE),"")</x:f>
      </x:c>
      <x:c r="F109" s="19" t="str">
        <x:f>IF(OR(B109="",C109=""),"",ROUNDUP(C109*(1+('全局设置'!$B$5-1)*'全局设置'!$B$6),0))</x:f>
      </x:c>
      <x:c r="G109" s="19" t="str">
        <x:f>IFERROR(VLOOKUP(B109,'敌人目录'!$A$6:$S$54,7,FALSE),"")</x:f>
      </x:c>
      <x:c r="H109" s="19" t="str">
        <x:f>IFERROR(VLOOKUP(B109,'敌人目录'!$A$6:$S$54,8,FALSE),"")</x:f>
      </x:c>
      <x:c r="I109" s="19" t="str">
        <x:f>IFERROR(VLOOKUP(B109,'敌人目录'!$A$6:$S$54,9,FALSE),"")</x:f>
      </x:c>
      <x:c r="J109" s="19" t="str">
        <x:f>IFERROR(VLOOKUP(B109,'敌人目录'!$A$6:$S$54,10,FALSE),"")</x:f>
      </x:c>
      <x:c r="K109" s="19" t="str">
        <x:f>IFERROR(VLOOKUP(B109,'敌人目录'!$A$6:$S$54,11,FALSE),"")</x:f>
      </x:c>
      <x:c r="L109" s="19" t="str">
        <x:f>IFERROR(VLOOKUP(B109,'敌人目录'!$A$6:$S$54,12,FALSE),"")</x:f>
      </x:c>
      <x:c r="M109" s="19" t="str">
        <x:f>IFERROR(VLOOKUP(B109,'敌人目录'!$A$6:$S$54,13,FALSE),"")</x:f>
      </x:c>
      <x:c r="N109" s="19" t="str">
        <x:f>IF(B109="","",IF(ISNUMBER(D109),D109,IFERROR(VLOOKUP(B109,'敌人目录'!$A$6:$S$54,14,FALSE),"")))</x:f>
      </x:c>
      <x:c r="O109" s="64" t="str">
        <x:f>IFERROR(VLOOKUP(B109,'敌人目录'!$A$6:$S$54,15,FALSE),"")</x:f>
      </x:c>
      <x:c r="P109" s="19" t="str">
        <x:f>IF(F109="","",F109*G109)</x:f>
      </x:c>
      <x:c r="Q109" s="19" t="str">
        <x:f>IF(F109="","",F109*L109)</x:f>
      </x:c>
      <x:c r="R109" s="19" t="str">
        <x:f>IF(F109="","",F109*N109)</x:f>
      </x:c>
      <x:c r="S109" s="19" t="str">
        <x:f>IF(R109="","",R109*'全局设置'!$B$5)</x:f>
      </x:c>
      <x:c r="T109" s="73" t="str">
        <x:f>IF(F109="","",F109*O109)</x:f>
      </x:c>
      <x:c r="U109" s="19" t="str">
        <x:f>IF(AND(B109="",C109=""),"",IF(B109="","缺少敌人",IF(C109="","缺少数量",IF(OR(C109&lt;1,C109&gt;9999,C109&lt;&gt;INT(C109)),"数量无效",IF(COUNTIF($E$94:$E$111,E109)&gt;1,"重复敌人",IF(AND(ISNUMBER(D109),OR(D109&lt;0,D109&gt;999,D109&lt;&gt;INT(D109))),"奖励无效","可导入"))))))</x:f>
      </x:c>
    </x:row>
    <x:row r="110" ht="22" customHeight="1">
      <x:c r="A110" s="72" t="n">
        <x:v>17</x:v>
      </x:c>
      <x:c r="B110" s="41"/>
      <x:c r="C110" s="41"/>
      <x:c r="D110" s="41"/>
      <x:c r="E110" s="19" t="str">
        <x:f>IFERROR(VLOOKUP(B110,'敌人目录'!$A$6:$S$54,2,FALSE),"")</x:f>
      </x:c>
      <x:c r="F110" s="19" t="str">
        <x:f>IF(OR(B110="",C110=""),"",ROUNDUP(C110*(1+('全局设置'!$B$5-1)*'全局设置'!$B$6),0))</x:f>
      </x:c>
      <x:c r="G110" s="19" t="str">
        <x:f>IFERROR(VLOOKUP(B110,'敌人目录'!$A$6:$S$54,7,FALSE),"")</x:f>
      </x:c>
      <x:c r="H110" s="19" t="str">
        <x:f>IFERROR(VLOOKUP(B110,'敌人目录'!$A$6:$S$54,8,FALSE),"")</x:f>
      </x:c>
      <x:c r="I110" s="19" t="str">
        <x:f>IFERROR(VLOOKUP(B110,'敌人目录'!$A$6:$S$54,9,FALSE),"")</x:f>
      </x:c>
      <x:c r="J110" s="19" t="str">
        <x:f>IFERROR(VLOOKUP(B110,'敌人目录'!$A$6:$S$54,10,FALSE),"")</x:f>
      </x:c>
      <x:c r="K110" s="19" t="str">
        <x:f>IFERROR(VLOOKUP(B110,'敌人目录'!$A$6:$S$54,11,FALSE),"")</x:f>
      </x:c>
      <x:c r="L110" s="19" t="str">
        <x:f>IFERROR(VLOOKUP(B110,'敌人目录'!$A$6:$S$54,12,FALSE),"")</x:f>
      </x:c>
      <x:c r="M110" s="19" t="str">
        <x:f>IFERROR(VLOOKUP(B110,'敌人目录'!$A$6:$S$54,13,FALSE),"")</x:f>
      </x:c>
      <x:c r="N110" s="19" t="str">
        <x:f>IF(B110="","",IF(ISNUMBER(D110),D110,IFERROR(VLOOKUP(B110,'敌人目录'!$A$6:$S$54,14,FALSE),"")))</x:f>
      </x:c>
      <x:c r="O110" s="64" t="str">
        <x:f>IFERROR(VLOOKUP(B110,'敌人目录'!$A$6:$S$54,15,FALSE),"")</x:f>
      </x:c>
      <x:c r="P110" s="19" t="str">
        <x:f>IF(F110="","",F110*G110)</x:f>
      </x:c>
      <x:c r="Q110" s="19" t="str">
        <x:f>IF(F110="","",F110*L110)</x:f>
      </x:c>
      <x:c r="R110" s="19" t="str">
        <x:f>IF(F110="","",F110*N110)</x:f>
      </x:c>
      <x:c r="S110" s="19" t="str">
        <x:f>IF(R110="","",R110*'全局设置'!$B$5)</x:f>
      </x:c>
      <x:c r="T110" s="73" t="str">
        <x:f>IF(F110="","",F110*O110)</x:f>
      </x:c>
      <x:c r="U110" s="19" t="str">
        <x:f>IF(AND(B110="",C110=""),"",IF(B110="","缺少敌人",IF(C110="","缺少数量",IF(OR(C110&lt;1,C110&gt;9999,C110&lt;&gt;INT(C110)),"数量无效",IF(COUNTIF($E$94:$E$111,E110)&gt;1,"重复敌人",IF(AND(ISNUMBER(D110),OR(D110&lt;0,D110&gt;999,D110&lt;&gt;INT(D110))),"奖励无效","可导入"))))))</x:f>
      </x:c>
    </x:row>
    <x:row r="111" ht="22" customHeight="1">
      <x:c r="A111" s="72" t="n">
        <x:v>18</x:v>
      </x:c>
      <x:c r="B111" s="41"/>
      <x:c r="C111" s="41"/>
      <x:c r="D111" s="41"/>
      <x:c r="E111" s="19" t="str">
        <x:f>IFERROR(VLOOKUP(B111,'敌人目录'!$A$6:$S$54,2,FALSE),"")</x:f>
      </x:c>
      <x:c r="F111" s="19" t="str">
        <x:f>IF(OR(B111="",C111=""),"",ROUNDUP(C111*(1+('全局设置'!$B$5-1)*'全局设置'!$B$6),0))</x:f>
      </x:c>
      <x:c r="G111" s="19" t="str">
        <x:f>IFERROR(VLOOKUP(B111,'敌人目录'!$A$6:$S$54,7,FALSE),"")</x:f>
      </x:c>
      <x:c r="H111" s="19" t="str">
        <x:f>IFERROR(VLOOKUP(B111,'敌人目录'!$A$6:$S$54,8,FALSE),"")</x:f>
      </x:c>
      <x:c r="I111" s="19" t="str">
        <x:f>IFERROR(VLOOKUP(B111,'敌人目录'!$A$6:$S$54,9,FALSE),"")</x:f>
      </x:c>
      <x:c r="J111" s="19" t="str">
        <x:f>IFERROR(VLOOKUP(B111,'敌人目录'!$A$6:$S$54,10,FALSE),"")</x:f>
      </x:c>
      <x:c r="K111" s="19" t="str">
        <x:f>IFERROR(VLOOKUP(B111,'敌人目录'!$A$6:$S$54,11,FALSE),"")</x:f>
      </x:c>
      <x:c r="L111" s="19" t="str">
        <x:f>IFERROR(VLOOKUP(B111,'敌人目录'!$A$6:$S$54,12,FALSE),"")</x:f>
      </x:c>
      <x:c r="M111" s="19" t="str">
        <x:f>IFERROR(VLOOKUP(B111,'敌人目录'!$A$6:$S$54,13,FALSE),"")</x:f>
      </x:c>
      <x:c r="N111" s="19" t="str">
        <x:f>IF(B111="","",IF(ISNUMBER(D111),D111,IFERROR(VLOOKUP(B111,'敌人目录'!$A$6:$S$54,14,FALSE),"")))</x:f>
      </x:c>
      <x:c r="O111" s="64" t="str">
        <x:f>IFERROR(VLOOKUP(B111,'敌人目录'!$A$6:$S$54,15,FALSE),"")</x:f>
      </x:c>
      <x:c r="P111" s="19" t="str">
        <x:f>IF(F111="","",F111*G111)</x:f>
      </x:c>
      <x:c r="Q111" s="19" t="str">
        <x:f>IF(F111="","",F111*L111)</x:f>
      </x:c>
      <x:c r="R111" s="19" t="str">
        <x:f>IF(F111="","",F111*N111)</x:f>
      </x:c>
      <x:c r="S111" s="19" t="str">
        <x:f>IF(R111="","",R111*'全局设置'!$B$5)</x:f>
      </x:c>
      <x:c r="T111" s="73" t="str">
        <x:f>IF(F111="","",F111*O111)</x:f>
      </x:c>
      <x:c r="U111" s="19" t="str">
        <x:f>IF(AND(B111="",C111=""),"",IF(B111="","缺少敌人",IF(C111="","缺少数量",IF(OR(C111&lt;1,C111&gt;9999,C111&lt;&gt;INT(C111)),"数量无效",IF(COUNTIF($E$94:$E$111,E111)&gt;1,"重复敌人",IF(AND(ISNUMBER(D111),OR(D111&lt;0,D111&gt;999,D111&lt;&gt;INT(D111))),"奖励无效","可导入"))))))</x:f>
      </x:c>
    </x:row>
    <x:row r="112" ht="22" customHeight="1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</x:row>
    <x:row r="113" ht="22" customHeight="1">
      <x:c r="A113" s="48" t="str">
        <x:v>基础总数</x:v>
      </x:c>
      <x:c r="B113" s="19" t="n">
        <x:f>SUM(C94:C111)</x:f>
        <x:v>200</x:v>
      </x:c>
      <x:c r="C113" s="48" t="str">
        <x:v>实际总数</x:v>
      </x:c>
      <x:c r="D113" s="19" t="n">
        <x:f>SUM(F94:F111)</x:f>
        <x:v>200</x:v>
      </x:c>
      <x:c r="E113" s="48" t="str">
        <x:v>敌人种类</x:v>
      </x:c>
      <x:c r="F113" s="19" t="n">
        <x:f>COUNTA(B94:B111)</x:f>
        <x:v>13</x:v>
      </x:c>
      <x:c r="G113" s="48" t="str">
        <x:v>生命池</x:v>
      </x:c>
      <x:c r="H113" s="19" t="n">
        <x:f>SUM(P94:P111)</x:f>
        <x:v>16860</x:v>
      </x:c>
      <x:c r="I113" s="48" t="str">
        <x:v>基础息壤/玩家</x:v>
      </x:c>
      <x:c r="J113" s="19" t="n">
        <x:f>SUM(R94:R111)</x:f>
        <x:v>453</x:v>
      </x:c>
      <x:c r="K113" s="48" t="str">
        <x:v>情景息壤/玩家</x:v>
      </x:c>
      <x:c r="L113" s="19" t="n">
        <x:f>J113*'全局设置'!$B$7*'全局设置'!$E$14</x:f>
        <x:v>453</x:v>
      </x:c>
      <x:c r="M113" s="48" t="str">
        <x:v>情景息壤/队伍</x:v>
      </x:c>
      <x:c r="N113" s="19" t="n">
        <x:f>L113*'全局设置'!$B$5</x:f>
        <x:v>453</x:v>
      </x:c>
      <x:c r="O113" s="48" t="str">
        <x:v>掉落期望</x:v>
      </x:c>
      <x:c r="P113" s="73" t="n">
        <x:f>SUM(T94:T111)</x:f>
        <x:v>10.560000000000002</x:v>
      </x:c>
      <x:c r="Q113" s="48" t="str">
        <x:v>全漏Home伤害</x:v>
      </x:c>
      <x:c r="R113" s="19" t="n">
        <x:f>SUM(Q94:Q111)</x:f>
        <x:v>430</x:v>
      </x:c>
      <x:c r="S113" s="48" t="str">
        <x:v>最短刷完(s)</x:v>
      </x:c>
      <x:c r="T113" s="73" t="n">
        <x:f>IF(D113=0,0,MAX(0,(ROUNDUP(D113/J90,0)-1)*H90))</x:f>
        <x:v>43.78</x:v>
      </x:c>
      <x:c r="U113" s="31"/>
    </x:row>
    <x:row r="114" ht="22" customHeight="1">
      <x:c r="A114" s="82" t="str">
        <x:v>情景收益 = 最大击杀息壤 × 全局击杀率 × 第3日倍率；最大队伍收益另按玩家人数相乘。</x:v>
      </x:c>
      <x:c r="B114" s="82" t="str">
        <x:v>情景收益 = 最大击杀息壤 × 全局击杀率 × 第3日倍率；最大队伍收益另按玩家人数相乘。</x:v>
      </x:c>
      <x:c r="C114" s="82" t="str">
        <x:v>情景收益 = 最大击杀息壤 × 全局击杀率 × 第3日倍率；最大队伍收益另按玩家人数相乘。</x:v>
      </x:c>
      <x:c r="D114" s="82" t="str">
        <x:v>情景收益 = 最大击杀息壤 × 全局击杀率 × 第3日倍率；最大队伍收益另按玩家人数相乘。</x:v>
      </x:c>
      <x:c r="E114" s="82" t="str">
        <x:v>情景收益 = 最大击杀息壤 × 全局击杀率 × 第3日倍率；最大队伍收益另按玩家人数相乘。</x:v>
      </x:c>
      <x:c r="F114" s="82" t="str">
        <x:v>情景收益 = 最大击杀息壤 × 全局击杀率 × 第3日倍率；最大队伍收益另按玩家人数相乘。</x:v>
      </x:c>
      <x:c r="G114" s="82" t="str">
        <x:v>情景收益 = 最大击杀息壤 × 全局击杀率 × 第3日倍率；最大队伍收益另按玩家人数相乘。</x:v>
      </x:c>
      <x:c r="H114" s="82" t="str">
        <x:v>情景收益 = 最大击杀息壤 × 全局击杀率 × 第3日倍率；最大队伍收益另按玩家人数相乘。</x:v>
      </x:c>
      <x:c r="I114" s="82" t="str">
        <x:v>情景收益 = 最大击杀息壤 × 全局击杀率 × 第3日倍率；最大队伍收益另按玩家人数相乘。</x:v>
      </x:c>
      <x:c r="J114" s="82" t="str">
        <x:v>情景收益 = 最大击杀息壤 × 全局击杀率 × 第3日倍率；最大队伍收益另按玩家人数相乘。</x:v>
      </x:c>
      <x:c r="K114" s="82" t="str">
        <x:v>情景收益 = 最大击杀息壤 × 全局击杀率 × 第3日倍率；最大队伍收益另按玩家人数相乘。</x:v>
      </x:c>
      <x:c r="L114" s="82" t="str">
        <x:v>情景收益 = 最大击杀息壤 × 全局击杀率 × 第3日倍率；最大队伍收益另按玩家人数相乘。</x:v>
      </x:c>
      <x:c r="M114" s="82" t="str">
        <x:v>情景收益 = 最大击杀息壤 × 全局击杀率 × 第3日倍率；最大队伍收益另按玩家人数相乘。</x:v>
      </x:c>
      <x:c r="N114" s="82" t="str">
        <x:v>情景收益 = 最大击杀息壤 × 全局击杀率 × 第3日倍率；最大队伍收益另按玩家人数相乘。</x:v>
      </x:c>
      <x:c r="O114" s="82" t="str">
        <x:v>情景收益 = 最大击杀息壤 × 全局击杀率 × 第3日倍率；最大队伍收益另按玩家人数相乘。</x:v>
      </x:c>
      <x:c r="P114" s="82" t="str">
        <x:v>情景收益 = 最大击杀息壤 × 全局击杀率 × 第3日倍率；最大队伍收益另按玩家人数相乘。</x:v>
      </x:c>
      <x:c r="Q114" s="82" t="str">
        <x:v>情景收益 = 最大击杀息壤 × 全局击杀率 × 第3日倍率；最大队伍收益另按玩家人数相乘。</x:v>
      </x:c>
      <x:c r="R114" s="82" t="str">
        <x:v>情景收益 = 最大击杀息壤 × 全局击杀率 × 第3日倍率；最大队伍收益另按玩家人数相乘。</x:v>
      </x:c>
      <x:c r="S114" s="82" t="str">
        <x:v>情景收益 = 最大击杀息壤 × 全局击杀率 × 第3日倍率；最大队伍收益另按玩家人数相乘。</x:v>
      </x:c>
      <x:c r="T114" s="82" t="str">
        <x:v>情景收益 = 最大击杀息壤 × 全局击杀率 × 第3日倍率；最大队伍收益另按玩家人数相乘。</x:v>
      </x:c>
      <x:c r="U114" s="82" t="str">
        <x:v>情景收益 = 最大击杀息壤 × 全局击杀率 × 第3日倍率；最大队伍收益另按玩家人数相乘。</x:v>
      </x:c>
    </x:row>
    <x:row r="115" ht="22" customHeight="1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</x:row>
    <x:row r="116" ht="22" customHeight="1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</x:row>
    <x:row r="117" ht="22" customHeight="1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</x:row>
    <x:row r="118" ht="22" customHeight="1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</x:row>
  </x:sheetData>
  <x:mergeCells>
    <x:mergeCell ref="A2:U2"/>
    <x:mergeCell ref="B3:F3"/>
    <x:mergeCell ref="N3:O3"/>
    <x:mergeCell ref="Q3:U3"/>
    <x:mergeCell ref="I4:M4"/>
    <x:mergeCell ref="O4:U4"/>
    <x:mergeCell ref="A5:U5"/>
    <x:mergeCell ref="A27:U27"/>
    <x:mergeCell ref="A31:U31"/>
    <x:mergeCell ref="B32:F32"/>
    <x:mergeCell ref="N32:O32"/>
    <x:mergeCell ref="Q32:U32"/>
    <x:mergeCell ref="I33:M33"/>
    <x:mergeCell ref="O33:U33"/>
    <x:mergeCell ref="A34:U34"/>
    <x:mergeCell ref="A56:U56"/>
    <x:mergeCell ref="A60:U60"/>
    <x:mergeCell ref="B61:F61"/>
    <x:mergeCell ref="N61:O61"/>
    <x:mergeCell ref="Q61:U61"/>
    <x:mergeCell ref="I62:M62"/>
    <x:mergeCell ref="O62:U62"/>
    <x:mergeCell ref="A63:U63"/>
    <x:mergeCell ref="A85:U85"/>
    <x:mergeCell ref="A89:U89"/>
    <x:mergeCell ref="B90:F90"/>
    <x:mergeCell ref="N90:O90"/>
    <x:mergeCell ref="Q90:U90"/>
    <x:mergeCell ref="I91:M91"/>
    <x:mergeCell ref="O91:U91"/>
    <x:mergeCell ref="A92:U92"/>
    <x:mergeCell ref="A114:U114"/>
  </x:mergeCells>
  <x:conditionalFormatting sqref="U7:U24">
    <x:cfRule type="containsText" dxfId="60" priority="1" operator="containsText" text="可导入"/>
    <x:cfRule type="containsText" dxfId="61" priority="2" operator="containsText" text="缺少"/>
    <x:cfRule type="containsText" dxfId="62" priority="3" operator="containsText" text="无效"/>
    <x:cfRule type="containsText" dxfId="63" priority="4" operator="containsText" text="重复"/>
  </x:conditionalFormatting>
  <x:conditionalFormatting sqref="N3:O3">
    <x:cfRule type="containsText" dxfId="64" priority="5" operator="containsText" text="可导入"/>
    <x:cfRule type="containsText" dxfId="65" priority="6" operator="containsText" text="待设计"/>
    <x:cfRule type="containsText" dxfId="66" priority="7" operator="containsText" text="需修正"/>
  </x:conditionalFormatting>
  <x:conditionalFormatting sqref="U36:U53">
    <x:cfRule type="containsText" dxfId="67" priority="8" operator="containsText" text="可导入"/>
    <x:cfRule type="containsText" dxfId="68" priority="9" operator="containsText" text="缺少"/>
    <x:cfRule type="containsText" dxfId="69" priority="10" operator="containsText" text="无效"/>
    <x:cfRule type="containsText" dxfId="70" priority="11" operator="containsText" text="重复"/>
  </x:conditionalFormatting>
  <x:conditionalFormatting sqref="N32:O32">
    <x:cfRule type="containsText" dxfId="71" priority="12" operator="containsText" text="可导入"/>
    <x:cfRule type="containsText" dxfId="72" priority="13" operator="containsText" text="待设计"/>
    <x:cfRule type="containsText" dxfId="73" priority="14" operator="containsText" text="需修正"/>
  </x:conditionalFormatting>
  <x:conditionalFormatting sqref="U65:U82">
    <x:cfRule type="containsText" dxfId="74" priority="15" operator="containsText" text="可导入"/>
    <x:cfRule type="containsText" dxfId="75" priority="16" operator="containsText" text="缺少"/>
    <x:cfRule type="containsText" dxfId="76" priority="17" operator="containsText" text="无效"/>
    <x:cfRule type="containsText" dxfId="77" priority="18" operator="containsText" text="重复"/>
  </x:conditionalFormatting>
  <x:conditionalFormatting sqref="N61:O61">
    <x:cfRule type="containsText" dxfId="78" priority="19" operator="containsText" text="可导入"/>
    <x:cfRule type="containsText" dxfId="79" priority="20" operator="containsText" text="待设计"/>
    <x:cfRule type="containsText" dxfId="80" priority="21" operator="containsText" text="需修正"/>
  </x:conditionalFormatting>
  <x:conditionalFormatting sqref="U94:U111">
    <x:cfRule type="containsText" dxfId="81" priority="22" operator="containsText" text="可导入"/>
    <x:cfRule type="containsText" dxfId="82" priority="23" operator="containsText" text="缺少"/>
    <x:cfRule type="containsText" dxfId="83" priority="24" operator="containsText" text="无效"/>
    <x:cfRule type="containsText" dxfId="84" priority="25" operator="containsText" text="重复"/>
  </x:conditionalFormatting>
  <x:conditionalFormatting sqref="N90:O90">
    <x:cfRule type="containsText" dxfId="85" priority="26" operator="containsText" text="可导入"/>
    <x:cfRule type="containsText" dxfId="86" priority="27" operator="containsText" text="待设计"/>
    <x:cfRule type="containsText" dxfId="87" priority="28" operator="containsText" text="需修正"/>
  </x:conditionalFormatting>
  <x:dataValidations count="28">
    <x:dataValidation type="decimal" operator="between" sqref="H3">
      <x:formula1>0.025</x:formula1>
      <x:formula2>60</x:formula2>
    </x:dataValidation>
    <x:dataValidation type="whole" operator="between" sqref="J3">
      <x:formula1>1</x:formula1>
      <x:formula2>4</x:formula2>
    </x:dataValidation>
    <x:dataValidation type="whole" operator="between" sqref="L3">
      <x:formula1>1</x:formula1>
      <x:formula2>999</x:formula2>
    </x:dataValidation>
    <x:dataValidation type="list" sqref="B4:G4">
      <x:formula1>"开启,关闭"</x:formula1>
    </x:dataValidation>
    <x:dataValidation type="list" sqref="B7:B24">
      <x:formula1>'系统数据（勿改）'!$A$4:$A$52</x:formula1>
    </x:dataValidation>
    <x:dataValidation type="whole" operator="between" sqref="C7:C24">
      <x:formula1>1</x:formula1>
      <x:formula2>9999</x:formula2>
    </x:dataValidation>
    <x:dataValidation type="whole" operator="between" sqref="D7:D24">
      <x:formula1>0</x:formula1>
      <x:formula2>999</x:formula2>
    </x:dataValidation>
    <x:dataValidation type="decimal" operator="between" sqref="H32">
      <x:formula1>0.025</x:formula1>
      <x:formula2>60</x:formula2>
    </x:dataValidation>
    <x:dataValidation type="whole" operator="between" sqref="J32">
      <x:formula1>1</x:formula1>
      <x:formula2>4</x:formula2>
    </x:dataValidation>
    <x:dataValidation type="whole" operator="between" sqref="L32">
      <x:formula1>1</x:formula1>
      <x:formula2>999</x:formula2>
    </x:dataValidation>
    <x:dataValidation type="list" sqref="B33:G33">
      <x:formula1>"开启,关闭"</x:formula1>
    </x:dataValidation>
    <x:dataValidation type="list" sqref="B36:B53">
      <x:formula1>'系统数据（勿改）'!$A$4:$A$52</x:formula1>
    </x:dataValidation>
    <x:dataValidation type="whole" operator="between" sqref="C36:C53">
      <x:formula1>1</x:formula1>
      <x:formula2>9999</x:formula2>
    </x:dataValidation>
    <x:dataValidation type="whole" operator="between" sqref="D36:D53">
      <x:formula1>0</x:formula1>
      <x:formula2>999</x:formula2>
    </x:dataValidation>
    <x:dataValidation type="decimal" operator="between" sqref="H61">
      <x:formula1>0.025</x:formula1>
      <x:formula2>60</x:formula2>
    </x:dataValidation>
    <x:dataValidation type="whole" operator="between" sqref="J61">
      <x:formula1>1</x:formula1>
      <x:formula2>4</x:formula2>
    </x:dataValidation>
    <x:dataValidation type="whole" operator="between" sqref="L61">
      <x:formula1>1</x:formula1>
      <x:formula2>999</x:formula2>
    </x:dataValidation>
    <x:dataValidation type="list" sqref="B62:G62">
      <x:formula1>"开启,关闭"</x:formula1>
    </x:dataValidation>
    <x:dataValidation type="list" sqref="B65:B82">
      <x:formula1>'系统数据（勿改）'!$A$4:$A$52</x:formula1>
    </x:dataValidation>
    <x:dataValidation type="whole" operator="between" sqref="C65:C82">
      <x:formula1>1</x:formula1>
      <x:formula2>9999</x:formula2>
    </x:dataValidation>
    <x:dataValidation type="whole" operator="between" sqref="D65:D82">
      <x:formula1>0</x:formula1>
      <x:formula2>999</x:formula2>
    </x:dataValidation>
    <x:dataValidation type="decimal" operator="between" sqref="H90">
      <x:formula1>0.025</x:formula1>
      <x:formula2>60</x:formula2>
    </x:dataValidation>
    <x:dataValidation type="whole" operator="between" sqref="J90">
      <x:formula1>1</x:formula1>
      <x:formula2>4</x:formula2>
    </x:dataValidation>
    <x:dataValidation type="whole" operator="between" sqref="L90">
      <x:formula1>1</x:formula1>
      <x:formula2>999</x:formula2>
    </x:dataValidation>
    <x:dataValidation type="list" sqref="B91:G91">
      <x:formula1>"开启,关闭"</x:formula1>
    </x:dataValidation>
    <x:dataValidation type="list" sqref="B94:B111">
      <x:formula1>'系统数据（勿改）'!$A$4:$A$52</x:formula1>
    </x:dataValidation>
    <x:dataValidation type="whole" operator="between" sqref="C94:C111">
      <x:formula1>1</x:formula1>
      <x:formula2>9999</x:formula2>
    </x:dataValidation>
    <x:dataValidation type="whole" operator="between" sqref="D94:D111">
      <x:formula1>0</x:formula1>
      <x:formula2>999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0" hidden="0" customWidth="1"/>
    <x:col min="3" max="3" width="10" hidden="0" customWidth="1"/>
    <x:col min="4" max="4" width="13" hidden="0" customWidth="1"/>
    <x:col min="5" max="5" width="3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1" hidden="0" customWidth="1"/>
    <x:col min="13" max="13" width="12" hidden="0" customWidth="1"/>
    <x:col min="14" max="14" width="12" hidden="0" customWidth="1"/>
    <x:col min="15" max="15" width="15" hidden="0" customWidth="1"/>
    <x:col min="16" max="16" width="13" hidden="0" customWidth="1"/>
    <x:col min="17" max="17" width="15" hidden="0" customWidth="1"/>
    <x:col min="18" max="18" width="15" hidden="0" customWidth="1"/>
    <x:col min="19" max="19" width="15" hidden="0" customWidth="1"/>
    <x:col min="20" max="20" width="13" hidden="0" customWidth="1"/>
    <x:col min="21" max="21" width="12" hidden="0" customWidth="1"/>
  </x:cols>
  <x:sheetData>
    <x:row r="1" ht="22" customHeight="1">
      <x:c r="A1" s="31"/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</x:row>
    <x:row r="2" ht="22" customHeight="1">
      <x:c r="A2" s="71" t="str">
        <x:v>第 13 波｜第 4 日·1/4｜白昼｜待设计</x:v>
      </x:c>
      <x:c r="B2" s="71" t="str">
        <x:v>第 13 波｜第 4 日·1/4｜白昼｜待设计</x:v>
      </x:c>
      <x:c r="C2" s="71" t="str">
        <x:v>第 13 波｜第 4 日·1/4｜白昼｜待设计</x:v>
      </x:c>
      <x:c r="D2" s="71" t="str">
        <x:v>第 13 波｜第 4 日·1/4｜白昼｜待设计</x:v>
      </x:c>
      <x:c r="E2" s="71" t="str">
        <x:v>第 13 波｜第 4 日·1/4｜白昼｜待设计</x:v>
      </x:c>
      <x:c r="F2" s="71" t="str">
        <x:v>第 13 波｜第 4 日·1/4｜白昼｜待设计</x:v>
      </x:c>
      <x:c r="G2" s="71" t="str">
        <x:v>第 13 波｜第 4 日·1/4｜白昼｜待设计</x:v>
      </x:c>
      <x:c r="H2" s="71" t="str">
        <x:v>第 13 波｜第 4 日·1/4｜白昼｜待设计</x:v>
      </x:c>
      <x:c r="I2" s="71" t="str">
        <x:v>第 13 波｜第 4 日·1/4｜白昼｜待设计</x:v>
      </x:c>
      <x:c r="J2" s="71" t="str">
        <x:v>第 13 波｜第 4 日·1/4｜白昼｜待设计</x:v>
      </x:c>
      <x:c r="K2" s="71" t="str">
        <x:v>第 13 波｜第 4 日·1/4｜白昼｜待设计</x:v>
      </x:c>
      <x:c r="L2" s="71" t="str">
        <x:v>第 13 波｜第 4 日·1/4｜白昼｜待设计</x:v>
      </x:c>
      <x:c r="M2" s="71" t="str">
        <x:v>第 13 波｜第 4 日·1/4｜白昼｜待设计</x:v>
      </x:c>
      <x:c r="N2" s="71" t="str">
        <x:v>第 13 波｜第 4 日·1/4｜白昼｜待设计</x:v>
      </x:c>
      <x:c r="O2" s="71" t="str">
        <x:v>第 13 波｜第 4 日·1/4｜白昼｜待设计</x:v>
      </x:c>
      <x:c r="P2" s="71" t="str">
        <x:v>第 13 波｜第 4 日·1/4｜白昼｜待设计</x:v>
      </x:c>
      <x:c r="Q2" s="71" t="str">
        <x:v>第 13 波｜第 4 日·1/4｜白昼｜待设计</x:v>
      </x:c>
      <x:c r="R2" s="71" t="str">
        <x:v>第 13 波｜第 4 日·1/4｜白昼｜待设计</x:v>
      </x:c>
      <x:c r="S2" s="71" t="str">
        <x:v>第 13 波｜第 4 日·1/4｜白昼｜待设计</x:v>
      </x:c>
      <x:c r="T2" s="71" t="str">
        <x:v>第 13 波｜第 4 日·1/4｜白昼｜待设计</x:v>
      </x:c>
      <x:c r="U2" s="71" t="str">
        <x:v>第 13 波｜第 4 日·1/4｜白昼｜待设计</x:v>
      </x:c>
    </x:row>
    <x:row r="3" ht="22" customHeight="1">
      <x:c r="A3" s="40" t="str">
        <x:v>波次名称</x:v>
      </x:c>
      <x:c r="B3" s="41" t="str">
        <x:v>第13波（待设计）</x:v>
      </x:c>
      <x:c r="C3" s="41" t="str">
        <x:v>第13波（待设计）</x:v>
      </x:c>
      <x:c r="D3" s="41" t="str">
        <x:v>第13波（待设计）</x:v>
      </x:c>
      <x:c r="E3" s="41" t="str">
        <x:v>第13波（待设计）</x:v>
      </x:c>
      <x:c r="F3" s="41" t="str">
        <x:v>第13波（待设计）</x:v>
      </x:c>
      <x:c r="G3" s="40" t="str">
        <x:v>出生间隔(s)</x:v>
      </x:c>
      <x:c r="H3" s="41" t="n">
        <x:v>0.22</x:v>
      </x:c>
      <x:c r="I3" s="40" t="str">
        <x:v>每Tick</x:v>
      </x:c>
      <x:c r="J3" s="41" t="n">
        <x:v>1</x:v>
      </x:c>
      <x:c r="K3" s="40" t="str">
        <x:v>存活上限</x:v>
      </x:c>
      <x:c r="L3" s="41" t="n">
        <x:v>96</x:v>
      </x:c>
      <x:c r="M3" s="40" t="str">
        <x:v>校验</x:v>
      </x:c>
      <x:c r="N3" s="19" t="str">
        <x:f>IF(COUNTA(B7:B24)=0,"待设计",IF(COUNTIF(U7:U24,"可导入")=COUNTA(B7:B24),"可导入","需修正"))</x:f>
        <x:v>待设计</x:v>
      </x:c>
      <x:c r="O3" s="19" t="str"/>
      <x:c r="P3" s="40" t="str">
        <x:v>来源</x:v>
      </x:c>
      <x:c r="Q3" s="19" t="str">
        <x:v>第12波节奏模板 / 敌人留空</x:v>
      </x:c>
      <x:c r="R3" s="19" t="str">
        <x:v>第12波节奏模板 / 敌人留空</x:v>
      </x:c>
      <x:c r="S3" s="19" t="str">
        <x:v>第12波节奏模板 / 敌人留空</x:v>
      </x:c>
      <x:c r="T3" s="19" t="str">
        <x:v>第12波节奏模板 / 敌人留空</x:v>
      </x:c>
      <x:c r="U3" s="19" t="str">
        <x:v>第12波节奏模板 / 敌人留空</x:v>
      </x:c>
    </x:row>
    <x:row r="4" ht="22" customHeight="1">
      <x:c r="A4" s="40" t="str">
        <x:v>出生点</x:v>
      </x:c>
      <x:c r="B4" s="41" t="str">
        <x:v>开启</x:v>
      </x:c>
      <x:c r="C4" s="41" t="str">
        <x:v>开启</x:v>
      </x:c>
      <x:c r="D4" s="41" t="str">
        <x:v>开启</x:v>
      </x:c>
      <x:c r="E4" s="41" t="str">
        <x:v>开启</x:v>
      </x:c>
      <x:c r="F4" s="41" t="str">
        <x:v>开启</x:v>
      </x:c>
      <x:c r="G4" s="41" t="str">
        <x:v>开启</x:v>
      </x:c>
      <x:c r="H4" s="40" t="str">
        <x:v>战斗音乐</x:v>
      </x:c>
      <x:c r="I4" s="19" t="str">
        <x:v>shenmu_town_combat</x:v>
      </x:c>
      <x:c r="J4" s="19" t="str">
        <x:v>shenmu_town_combat</x:v>
      </x:c>
      <x:c r="K4" s="19" t="str">
        <x:v>shenmu_town_combat</x:v>
      </x:c>
      <x:c r="L4" s="19" t="str">
        <x:v>shenmu_town_combat</x:v>
      </x:c>
      <x:c r="M4" s="19" t="str">
        <x:v>shenmu_town_combat</x:v>
      </x:c>
      <x:c r="N4" s="40" t="str">
        <x:v>波后音乐</x:v>
      </x:c>
      <x:c r="O4" s="19" t="str">
        <x:v>shenmu_town_intermission</x:v>
      </x:c>
      <x:c r="P4" s="19" t="str">
        <x:v>shenmu_town_intermission</x:v>
      </x:c>
      <x:c r="Q4" s="19" t="str">
        <x:v>shenmu_town_intermission</x:v>
      </x:c>
      <x:c r="R4" s="19" t="str">
        <x:v>shenmu_town_intermission</x:v>
      </x:c>
      <x:c r="S4" s="19" t="str">
        <x:v>shenmu_town_intermission</x:v>
      </x:c>
      <x:c r="T4" s="19" t="str">
        <x:v>shenmu_town_intermission</x:v>
      </x:c>
      <x:c r="U4" s="19" t="str">
        <x:v>shenmu_town_intermission</x:v>
      </x:c>
    </x:row>
    <x:row r="5" ht="22" customHeight="1">
      <x:c r="A5" s="56" t="str">
        <x:v>蓝色列可编辑。每种敌人一行；若同波重复选择同一稳定 ID，请合并数量。实际数量按当前模拟玩家数逐条向上取整。</x:v>
      </x:c>
      <x:c r="B5" s="56" t="str">
        <x:v>蓝色列可编辑。每种敌人一行；若同波重复选择同一稳定 ID，请合并数量。实际数量按当前模拟玩家数逐条向上取整。</x:v>
      </x:c>
      <x:c r="C5" s="56" t="str">
        <x:v>蓝色列可编辑。每种敌人一行；若同波重复选择同一稳定 ID，请合并数量。实际数量按当前模拟玩家数逐条向上取整。</x:v>
      </x:c>
      <x:c r="D5" s="56" t="str">
        <x:v>蓝色列可编辑。每种敌人一行；若同波重复选择同一稳定 ID，请合并数量。实际数量按当前模拟玩家数逐条向上取整。</x:v>
      </x:c>
      <x:c r="E5" s="56" t="str">
        <x:v>蓝色列可编辑。每种敌人一行；若同波重复选择同一稳定 ID，请合并数量。实际数量按当前模拟玩家数逐条向上取整。</x:v>
      </x:c>
      <x:c r="F5" s="56" t="str">
        <x:v>蓝色列可编辑。每种敌人一行；若同波重复选择同一稳定 ID，请合并数量。实际数量按当前模拟玩家数逐条向上取整。</x:v>
      </x:c>
      <x:c r="G5" s="56" t="str">
        <x:v>蓝色列可编辑。每种敌人一行；若同波重复选择同一稳定 ID，请合并数量。实际数量按当前模拟玩家数逐条向上取整。</x:v>
      </x:c>
      <x:c r="H5" s="56" t="str">
        <x:v>蓝色列可编辑。每种敌人一行；若同波重复选择同一稳定 ID，请合并数量。实际数量按当前模拟玩家数逐条向上取整。</x:v>
      </x:c>
      <x:c r="I5" s="56" t="str">
        <x:v>蓝色列可编辑。每种敌人一行；若同波重复选择同一稳定 ID，请合并数量。实际数量按当前模拟玩家数逐条向上取整。</x:v>
      </x:c>
      <x:c r="J5" s="56" t="str">
        <x:v>蓝色列可编辑。每种敌人一行；若同波重复选择同一稳定 ID，请合并数量。实际数量按当前模拟玩家数逐条向上取整。</x:v>
      </x:c>
      <x:c r="K5" s="56" t="str">
        <x:v>蓝色列可编辑。每种敌人一行；若同波重复选择同一稳定 ID，请合并数量。实际数量按当前模拟玩家数逐条向上取整。</x:v>
      </x:c>
      <x:c r="L5" s="56" t="str">
        <x:v>蓝色列可编辑。每种敌人一行；若同波重复选择同一稳定 ID，请合并数量。实际数量按当前模拟玩家数逐条向上取整。</x:v>
      </x:c>
      <x:c r="M5" s="56" t="str">
        <x:v>蓝色列可编辑。每种敌人一行；若同波重复选择同一稳定 ID，请合并数量。实际数量按当前模拟玩家数逐条向上取整。</x:v>
      </x:c>
      <x:c r="N5" s="56" t="str">
        <x:v>蓝色列可编辑。每种敌人一行；若同波重复选择同一稳定 ID，请合并数量。实际数量按当前模拟玩家数逐条向上取整。</x:v>
      </x:c>
      <x:c r="O5" s="56" t="str">
        <x:v>蓝色列可编辑。每种敌人一行；若同波重复选择同一稳定 ID，请合并数量。实际数量按当前模拟玩家数逐条向上取整。</x:v>
      </x:c>
      <x:c r="P5" s="56" t="str">
        <x:v>蓝色列可编辑。每种敌人一行；若同波重复选择同一稳定 ID，请合并数量。实际数量按当前模拟玩家数逐条向上取整。</x:v>
      </x:c>
      <x:c r="Q5" s="56" t="str">
        <x:v>蓝色列可编辑。每种敌人一行；若同波重复选择同一稳定 ID，请合并数量。实际数量按当前模拟玩家数逐条向上取整。</x:v>
      </x:c>
      <x:c r="R5" s="56" t="str">
        <x:v>蓝色列可编辑。每种敌人一行；若同波重复选择同一稳定 ID，请合并数量。实际数量按当前模拟玩家数逐条向上取整。</x:v>
      </x:c>
      <x:c r="S5" s="56" t="str">
        <x:v>蓝色列可编辑。每种敌人一行；若同波重复选择同一稳定 ID，请合并数量。实际数量按当前模拟玩家数逐条向上取整。</x:v>
      </x:c>
      <x:c r="T5" s="56" t="str">
        <x:v>蓝色列可编辑。每种敌人一行；若同波重复选择同一稳定 ID，请合并数量。实际数量按当前模拟玩家数逐条向上取整。</x:v>
      </x:c>
      <x:c r="U5" s="56" t="str">
        <x:v>蓝色列可编辑。每种敌人一行；若同波重复选择同一稳定 ID，请合并数量。实际数量按当前模拟玩家数逐条向上取整。</x:v>
      </x:c>
    </x:row>
    <x:row r="6" ht="22" customHeight="1">
      <x:c r="A6" s="63" t="str">
        <x:v>槽位</x:v>
      </x:c>
      <x:c r="B6" s="63" t="str">
        <x:v>敌人（下拉选择）</x:v>
      </x:c>
      <x:c r="C6" s="63" t="str">
        <x:v>基础数量</x:v>
      </x:c>
      <x:c r="D6" s="63" t="str">
        <x:v>本波息壤覆盖</x:v>
      </x:c>
      <x:c r="E6" s="63" t="str">
        <x:v>稳定敌人ID</x:v>
      </x:c>
      <x:c r="F6" s="63" t="str">
        <x:v>实际数量</x:v>
      </x:c>
      <x:c r="G6" s="63" t="str">
        <x:v>生命</x:v>
      </x:c>
      <x:c r="H6" s="63" t="str">
        <x:v>攻击</x:v>
      </x:c>
      <x:c r="I6" s="63" t="str">
        <x:v>物理防御</x:v>
      </x:c>
      <x:c r="J6" s="63" t="str">
        <x:v>法术防御</x:v>
      </x:c>
      <x:c r="K6" s="63" t="str">
        <x:v>移速</x:v>
      </x:c>
      <x:c r="L6" s="63" t="str">
        <x:v>Home伤害</x:v>
      </x:c>
      <x:c r="M6" s="63" t="str">
        <x:v>游戏默认息壤</x:v>
      </x:c>
      <x:c r="N6" s="63" t="str">
        <x:v>有效息壤</x:v>
      </x:c>
      <x:c r="O6" s="63" t="str">
        <x:v>掉落期望/击杀</x:v>
      </x:c>
      <x:c r="P6" s="63" t="str">
        <x:v>总生命</x:v>
      </x:c>
      <x:c r="Q6" s="63" t="str">
        <x:v>全漏Home伤害</x:v>
      </x:c>
      <x:c r="R6" s="63" t="str">
        <x:v>最大息壤/玩家</x:v>
      </x:c>
      <x:c r="S6" s="63" t="str">
        <x:v>最大息壤/队伍</x:v>
      </x:c>
      <x:c r="T6" s="63" t="str">
        <x:v>掉落期望</x:v>
      </x:c>
      <x:c r="U6" s="63" t="str">
        <x:v>校验</x:v>
      </x:c>
    </x:row>
    <x:row r="7" ht="22" customHeight="1">
      <x:c r="A7" s="72" t="n">
        <x:v>1</x:v>
      </x:c>
      <x:c r="B7" s="41"/>
      <x:c r="C7" s="41"/>
      <x:c r="D7" s="41"/>
      <x:c r="E7" s="19" t="str">
        <x:f>IFERROR(VLOOKUP(B7,'敌人目录'!$A$6:$S$54,2,FALSE),"")</x:f>
      </x:c>
      <x:c r="F7" s="19" t="str">
        <x:f>IF(OR(B7="",C7=""),"",ROUNDUP(C7*(1+('全局设置'!$B$5-1)*'全局设置'!$B$6),0))</x:f>
      </x:c>
      <x:c r="G7" s="19" t="str">
        <x:f>IFERROR(VLOOKUP(B7,'敌人目录'!$A$6:$S$54,7,FALSE),"")</x:f>
      </x:c>
      <x:c r="H7" s="19" t="str">
        <x:f>IFERROR(VLOOKUP(B7,'敌人目录'!$A$6:$S$54,8,FALSE),"")</x:f>
      </x:c>
      <x:c r="I7" s="19" t="str">
        <x:f>IFERROR(VLOOKUP(B7,'敌人目录'!$A$6:$S$54,9,FALSE),"")</x:f>
      </x:c>
      <x:c r="J7" s="19" t="str">
        <x:f>IFERROR(VLOOKUP(B7,'敌人目录'!$A$6:$S$54,10,FALSE),"")</x:f>
      </x:c>
      <x:c r="K7" s="19" t="str">
        <x:f>IFERROR(VLOOKUP(B7,'敌人目录'!$A$6:$S$54,11,FALSE),"")</x:f>
      </x:c>
      <x:c r="L7" s="19" t="str">
        <x:f>IFERROR(VLOOKUP(B7,'敌人目录'!$A$6:$S$54,12,FALSE),"")</x:f>
      </x:c>
      <x:c r="M7" s="19" t="str">
        <x:f>IFERROR(VLOOKUP(B7,'敌人目录'!$A$6:$S$54,13,FALSE),"")</x:f>
      </x:c>
      <x:c r="N7" s="19" t="str">
        <x:f>IF(B7="","",IF(ISNUMBER(D7),D7,IFERROR(VLOOKUP(B7,'敌人目录'!$A$6:$S$54,14,FALSE),"")))</x:f>
      </x:c>
      <x:c r="O7" s="64" t="str">
        <x:f>IFERROR(VLOOKUP(B7,'敌人目录'!$A$6:$S$54,15,FALSE),"")</x:f>
      </x:c>
      <x:c r="P7" s="19" t="str">
        <x:f>IF(F7="","",F7*G7)</x:f>
      </x:c>
      <x:c r="Q7" s="19" t="str">
        <x:f>IF(F7="","",F7*L7)</x:f>
      </x:c>
      <x:c r="R7" s="19" t="str">
        <x:f>IF(F7="","",F7*N7)</x:f>
      </x:c>
      <x:c r="S7" s="19" t="str">
        <x:f>IF(R7="","",R7*'全局设置'!$B$5)</x:f>
      </x:c>
      <x:c r="T7" s="73" t="str">
        <x:f>IF(F7="","",F7*O7)</x:f>
      </x:c>
      <x:c r="U7" s="19" t="str">
        <x:f>IF(AND(B7="",C7=""),"",IF(B7="","缺少敌人",IF(C7="","缺少数量",IF(OR(C7&lt;1,C7&gt;9999,C7&lt;&gt;INT(C7)),"数量无效",IF(COUNTIF($E$7:$E$24,E7)&gt;1,"重复敌人",IF(AND(ISNUMBER(D7),OR(D7&lt;0,D7&gt;999,D7&lt;&gt;INT(D7))),"奖励无效","可导入"))))))</x:f>
      </x:c>
    </x:row>
    <x:row r="8" ht="22" customHeight="1">
      <x:c r="A8" s="72" t="n">
        <x:v>2</x:v>
      </x:c>
      <x:c r="B8" s="41"/>
      <x:c r="C8" s="41"/>
      <x:c r="D8" s="41"/>
      <x:c r="E8" s="19" t="str">
        <x:f>IFERROR(VLOOKUP(B8,'敌人目录'!$A$6:$S$54,2,FALSE),"")</x:f>
      </x:c>
      <x:c r="F8" s="19" t="str">
        <x:f>IF(OR(B8="",C8=""),"",ROUNDUP(C8*(1+('全局设置'!$B$5-1)*'全局设置'!$B$6),0))</x:f>
      </x:c>
      <x:c r="G8" s="19" t="str">
        <x:f>IFERROR(VLOOKUP(B8,'敌人目录'!$A$6:$S$54,7,FALSE),"")</x:f>
      </x:c>
      <x:c r="H8" s="19" t="str">
        <x:f>IFERROR(VLOOKUP(B8,'敌人目录'!$A$6:$S$54,8,FALSE),"")</x:f>
      </x:c>
      <x:c r="I8" s="19" t="str">
        <x:f>IFERROR(VLOOKUP(B8,'敌人目录'!$A$6:$S$54,9,FALSE),"")</x:f>
      </x:c>
      <x:c r="J8" s="19" t="str">
        <x:f>IFERROR(VLOOKUP(B8,'敌人目录'!$A$6:$S$54,10,FALSE),"")</x:f>
      </x:c>
      <x:c r="K8" s="19" t="str">
        <x:f>IFERROR(VLOOKUP(B8,'敌人目录'!$A$6:$S$54,11,FALSE),"")</x:f>
      </x:c>
      <x:c r="L8" s="19" t="str">
        <x:f>IFERROR(VLOOKUP(B8,'敌人目录'!$A$6:$S$54,12,FALSE),"")</x:f>
      </x:c>
      <x:c r="M8" s="19" t="str">
        <x:f>IFERROR(VLOOKUP(B8,'敌人目录'!$A$6:$S$54,13,FALSE),"")</x:f>
      </x:c>
      <x:c r="N8" s="19" t="str">
        <x:f>IF(B8="","",IF(ISNUMBER(D8),D8,IFERROR(VLOOKUP(B8,'敌人目录'!$A$6:$S$54,14,FALSE),"")))</x:f>
      </x:c>
      <x:c r="O8" s="64" t="str">
        <x:f>IFERROR(VLOOKUP(B8,'敌人目录'!$A$6:$S$54,15,FALSE),"")</x:f>
      </x:c>
      <x:c r="P8" s="19" t="str">
        <x:f>IF(F8="","",F8*G8)</x:f>
      </x:c>
      <x:c r="Q8" s="19" t="str">
        <x:f>IF(F8="","",F8*L8)</x:f>
      </x:c>
      <x:c r="R8" s="19" t="str">
        <x:f>IF(F8="","",F8*N8)</x:f>
      </x:c>
      <x:c r="S8" s="19" t="str">
        <x:f>IF(R8="","",R8*'全局设置'!$B$5)</x:f>
      </x:c>
      <x:c r="T8" s="73" t="str">
        <x:f>IF(F8="","",F8*O8)</x:f>
      </x:c>
      <x:c r="U8" s="19" t="str">
        <x:f>IF(AND(B8="",C8=""),"",IF(B8="","缺少敌人",IF(C8="","缺少数量",IF(OR(C8&lt;1,C8&gt;9999,C8&lt;&gt;INT(C8)),"数量无效",IF(COUNTIF($E$7:$E$24,E8)&gt;1,"重复敌人",IF(AND(ISNUMBER(D8),OR(D8&lt;0,D8&gt;999,D8&lt;&gt;INT(D8))),"奖励无效","可导入"))))))</x:f>
      </x:c>
    </x:row>
    <x:row r="9" ht="22" customHeight="1">
      <x:c r="A9" s="72" t="n">
        <x:v>3</x:v>
      </x:c>
      <x:c r="B9" s="41"/>
      <x:c r="C9" s="41"/>
      <x:c r="D9" s="41"/>
      <x:c r="E9" s="19" t="str">
        <x:f>IFERROR(VLOOKUP(B9,'敌人目录'!$A$6:$S$54,2,FALSE),"")</x:f>
      </x:c>
      <x:c r="F9" s="19" t="str">
        <x:f>IF(OR(B9="",C9=""),"",ROUNDUP(C9*(1+('全局设置'!$B$5-1)*'全局设置'!$B$6),0))</x:f>
      </x:c>
      <x:c r="G9" s="19" t="str">
        <x:f>IFERROR(VLOOKUP(B9,'敌人目录'!$A$6:$S$54,7,FALSE),"")</x:f>
      </x:c>
      <x:c r="H9" s="19" t="str">
        <x:f>IFERROR(VLOOKUP(B9,'敌人目录'!$A$6:$S$54,8,FALSE),"")</x:f>
      </x:c>
      <x:c r="I9" s="19" t="str">
        <x:f>IFERROR(VLOOKUP(B9,'敌人目录'!$A$6:$S$54,9,FALSE),"")</x:f>
      </x:c>
      <x:c r="J9" s="19" t="str">
        <x:f>IFERROR(VLOOKUP(B9,'敌人目录'!$A$6:$S$54,10,FALSE),"")</x:f>
      </x:c>
      <x:c r="K9" s="19" t="str">
        <x:f>IFERROR(VLOOKUP(B9,'敌人目录'!$A$6:$S$54,11,FALSE),"")</x:f>
      </x:c>
      <x:c r="L9" s="19" t="str">
        <x:f>IFERROR(VLOOKUP(B9,'敌人目录'!$A$6:$S$54,12,FALSE),"")</x:f>
      </x:c>
      <x:c r="M9" s="19" t="str">
        <x:f>IFERROR(VLOOKUP(B9,'敌人目录'!$A$6:$S$54,13,FALSE),"")</x:f>
      </x:c>
      <x:c r="N9" s="19" t="str">
        <x:f>IF(B9="","",IF(ISNUMBER(D9),D9,IFERROR(VLOOKUP(B9,'敌人目录'!$A$6:$S$54,14,FALSE),"")))</x:f>
      </x:c>
      <x:c r="O9" s="64" t="str">
        <x:f>IFERROR(VLOOKUP(B9,'敌人目录'!$A$6:$S$54,15,FALSE),"")</x:f>
      </x:c>
      <x:c r="P9" s="19" t="str">
        <x:f>IF(F9="","",F9*G9)</x:f>
      </x:c>
      <x:c r="Q9" s="19" t="str">
        <x:f>IF(F9="","",F9*L9)</x:f>
      </x:c>
      <x:c r="R9" s="19" t="str">
        <x:f>IF(F9="","",F9*N9)</x:f>
      </x:c>
      <x:c r="S9" s="19" t="str">
        <x:f>IF(R9="","",R9*'全局设置'!$B$5)</x:f>
      </x:c>
      <x:c r="T9" s="73" t="str">
        <x:f>IF(F9="","",F9*O9)</x:f>
      </x:c>
      <x:c r="U9" s="19" t="str">
        <x:f>IF(AND(B9="",C9=""),"",IF(B9="","缺少敌人",IF(C9="","缺少数量",IF(OR(C9&lt;1,C9&gt;9999,C9&lt;&gt;INT(C9)),"数量无效",IF(COUNTIF($E$7:$E$24,E9)&gt;1,"重复敌人",IF(AND(ISNUMBER(D9),OR(D9&lt;0,D9&gt;999,D9&lt;&gt;INT(D9))),"奖励无效","可导入"))))))</x:f>
      </x:c>
    </x:row>
    <x:row r="10" ht="22" customHeight="1">
      <x:c r="A10" s="72" t="n">
        <x:v>4</x:v>
      </x:c>
      <x:c r="B10" s="41"/>
      <x:c r="C10" s="41"/>
      <x:c r="D10" s="41"/>
      <x:c r="E10" s="19" t="str">
        <x:f>IFERROR(VLOOKUP(B10,'敌人目录'!$A$6:$S$54,2,FALSE),"")</x:f>
      </x:c>
      <x:c r="F10" s="19" t="str">
        <x:f>IF(OR(B10="",C10=""),"",ROUNDUP(C10*(1+('全局设置'!$B$5-1)*'全局设置'!$B$6),0))</x:f>
      </x:c>
      <x:c r="G10" s="19" t="str">
        <x:f>IFERROR(VLOOKUP(B10,'敌人目录'!$A$6:$S$54,7,FALSE),"")</x:f>
      </x:c>
      <x:c r="H10" s="19" t="str">
        <x:f>IFERROR(VLOOKUP(B10,'敌人目录'!$A$6:$S$54,8,FALSE),"")</x:f>
      </x:c>
      <x:c r="I10" s="19" t="str">
        <x:f>IFERROR(VLOOKUP(B10,'敌人目录'!$A$6:$S$54,9,FALSE),"")</x:f>
      </x:c>
      <x:c r="J10" s="19" t="str">
        <x:f>IFERROR(VLOOKUP(B10,'敌人目录'!$A$6:$S$54,10,FALSE),"")</x:f>
      </x:c>
      <x:c r="K10" s="19" t="str">
        <x:f>IFERROR(VLOOKUP(B10,'敌人目录'!$A$6:$S$54,11,FALSE),"")</x:f>
      </x:c>
      <x:c r="L10" s="19" t="str">
        <x:f>IFERROR(VLOOKUP(B10,'敌人目录'!$A$6:$S$54,12,FALSE),"")</x:f>
      </x:c>
      <x:c r="M10" s="19" t="str">
        <x:f>IFERROR(VLOOKUP(B10,'敌人目录'!$A$6:$S$54,13,FALSE),"")</x:f>
      </x:c>
      <x:c r="N10" s="19" t="str">
        <x:f>IF(B10="","",IF(ISNUMBER(D10),D10,IFERROR(VLOOKUP(B10,'敌人目录'!$A$6:$S$54,14,FALSE),"")))</x:f>
      </x:c>
      <x:c r="O10" s="64" t="str">
        <x:f>IFERROR(VLOOKUP(B10,'敌人目录'!$A$6:$S$54,15,FALSE),"")</x:f>
      </x:c>
      <x:c r="P10" s="19" t="str">
        <x:f>IF(F10="","",F10*G10)</x:f>
      </x:c>
      <x:c r="Q10" s="19" t="str">
        <x:f>IF(F10="","",F10*L10)</x:f>
      </x:c>
      <x:c r="R10" s="19" t="str">
        <x:f>IF(F10="","",F10*N10)</x:f>
      </x:c>
      <x:c r="S10" s="19" t="str">
        <x:f>IF(R10="","",R10*'全局设置'!$B$5)</x:f>
      </x:c>
      <x:c r="T10" s="73" t="str">
        <x:f>IF(F10="","",F10*O10)</x:f>
      </x:c>
      <x:c r="U10" s="19" t="str">
        <x:f>IF(AND(B10="",C10=""),"",IF(B10="","缺少敌人",IF(C10="","缺少数量",IF(OR(C10&lt;1,C10&gt;9999,C10&lt;&gt;INT(C10)),"数量无效",IF(COUNTIF($E$7:$E$24,E10)&gt;1,"重复敌人",IF(AND(ISNUMBER(D10),OR(D10&lt;0,D10&gt;999,D10&lt;&gt;INT(D10))),"奖励无效","可导入"))))))</x:f>
      </x:c>
    </x:row>
    <x:row r="11" ht="22" customHeight="1">
      <x:c r="A11" s="72" t="n">
        <x:v>5</x:v>
      </x:c>
      <x:c r="B11" s="41"/>
      <x:c r="C11" s="41"/>
      <x:c r="D11" s="41"/>
      <x:c r="E11" s="19" t="str">
        <x:f>IFERROR(VLOOKUP(B11,'敌人目录'!$A$6:$S$54,2,FALSE),"")</x:f>
      </x:c>
      <x:c r="F11" s="19" t="str">
        <x:f>IF(OR(B11="",C11=""),"",ROUNDUP(C11*(1+('全局设置'!$B$5-1)*'全局设置'!$B$6),0))</x:f>
      </x:c>
      <x:c r="G11" s="19" t="str">
        <x:f>IFERROR(VLOOKUP(B11,'敌人目录'!$A$6:$S$54,7,FALSE),"")</x:f>
      </x:c>
      <x:c r="H11" s="19" t="str">
        <x:f>IFERROR(VLOOKUP(B11,'敌人目录'!$A$6:$S$54,8,FALSE),"")</x:f>
      </x:c>
      <x:c r="I11" s="19" t="str">
        <x:f>IFERROR(VLOOKUP(B11,'敌人目录'!$A$6:$S$54,9,FALSE),"")</x:f>
      </x:c>
      <x:c r="J11" s="19" t="str">
        <x:f>IFERROR(VLOOKUP(B11,'敌人目录'!$A$6:$S$54,10,FALSE),"")</x:f>
      </x:c>
      <x:c r="K11" s="19" t="str">
        <x:f>IFERROR(VLOOKUP(B11,'敌人目录'!$A$6:$S$54,11,FALSE),"")</x:f>
      </x:c>
      <x:c r="L11" s="19" t="str">
        <x:f>IFERROR(VLOOKUP(B11,'敌人目录'!$A$6:$S$54,12,FALSE),"")</x:f>
      </x:c>
      <x:c r="M11" s="19" t="str">
        <x:f>IFERROR(VLOOKUP(B11,'敌人目录'!$A$6:$S$54,13,FALSE),"")</x:f>
      </x:c>
      <x:c r="N11" s="19" t="str">
        <x:f>IF(B11="","",IF(ISNUMBER(D11),D11,IFERROR(VLOOKUP(B11,'敌人目录'!$A$6:$S$54,14,FALSE),"")))</x:f>
      </x:c>
      <x:c r="O11" s="64" t="str">
        <x:f>IFERROR(VLOOKUP(B11,'敌人目录'!$A$6:$S$54,15,FALSE),"")</x:f>
      </x:c>
      <x:c r="P11" s="19" t="str">
        <x:f>IF(F11="","",F11*G11)</x:f>
      </x:c>
      <x:c r="Q11" s="19" t="str">
        <x:f>IF(F11="","",F11*L11)</x:f>
      </x:c>
      <x:c r="R11" s="19" t="str">
        <x:f>IF(F11="","",F11*N11)</x:f>
      </x:c>
      <x:c r="S11" s="19" t="str">
        <x:f>IF(R11="","",R11*'全局设置'!$B$5)</x:f>
      </x:c>
      <x:c r="T11" s="73" t="str">
        <x:f>IF(F11="","",F11*O11)</x:f>
      </x:c>
      <x:c r="U11" s="19" t="str">
        <x:f>IF(AND(B11="",C11=""),"",IF(B11="","缺少敌人",IF(C11="","缺少数量",IF(OR(C11&lt;1,C11&gt;9999,C11&lt;&gt;INT(C11)),"数量无效",IF(COUNTIF($E$7:$E$24,E11)&gt;1,"重复敌人",IF(AND(ISNUMBER(D11),OR(D11&lt;0,D11&gt;999,D11&lt;&gt;INT(D11))),"奖励无效","可导入"))))))</x:f>
      </x:c>
    </x:row>
    <x:row r="12" ht="22" customHeight="1">
      <x:c r="A12" s="72" t="n">
        <x:v>6</x:v>
      </x:c>
      <x:c r="B12" s="41"/>
      <x:c r="C12" s="41"/>
      <x:c r="D12" s="41"/>
      <x:c r="E12" s="19" t="str">
        <x:f>IFERROR(VLOOKUP(B12,'敌人目录'!$A$6:$S$54,2,FALSE),"")</x:f>
      </x:c>
      <x:c r="F12" s="19" t="str">
        <x:f>IF(OR(B12="",C12=""),"",ROUNDUP(C12*(1+('全局设置'!$B$5-1)*'全局设置'!$B$6),0))</x:f>
      </x:c>
      <x:c r="G12" s="19" t="str">
        <x:f>IFERROR(VLOOKUP(B12,'敌人目录'!$A$6:$S$54,7,FALSE),"")</x:f>
      </x:c>
      <x:c r="H12" s="19" t="str">
        <x:f>IFERROR(VLOOKUP(B12,'敌人目录'!$A$6:$S$54,8,FALSE),"")</x:f>
      </x:c>
      <x:c r="I12" s="19" t="str">
        <x:f>IFERROR(VLOOKUP(B12,'敌人目录'!$A$6:$S$54,9,FALSE),"")</x:f>
      </x:c>
      <x:c r="J12" s="19" t="str">
        <x:f>IFERROR(VLOOKUP(B12,'敌人目录'!$A$6:$S$54,10,FALSE),"")</x:f>
      </x:c>
      <x:c r="K12" s="19" t="str">
        <x:f>IFERROR(VLOOKUP(B12,'敌人目录'!$A$6:$S$54,11,FALSE),"")</x:f>
      </x:c>
      <x:c r="L12" s="19" t="str">
        <x:f>IFERROR(VLOOKUP(B12,'敌人目录'!$A$6:$S$54,12,FALSE),"")</x:f>
      </x:c>
      <x:c r="M12" s="19" t="str">
        <x:f>IFERROR(VLOOKUP(B12,'敌人目录'!$A$6:$S$54,13,FALSE),"")</x:f>
      </x:c>
      <x:c r="N12" s="19" t="str">
        <x:f>IF(B12="","",IF(ISNUMBER(D12),D12,IFERROR(VLOOKUP(B12,'敌人目录'!$A$6:$S$54,14,FALSE),"")))</x:f>
      </x:c>
      <x:c r="O12" s="64" t="str">
        <x:f>IFERROR(VLOOKUP(B12,'敌人目录'!$A$6:$S$54,15,FALSE),"")</x:f>
      </x:c>
      <x:c r="P12" s="19" t="str">
        <x:f>IF(F12="","",F12*G12)</x:f>
      </x:c>
      <x:c r="Q12" s="19" t="str">
        <x:f>IF(F12="","",F12*L12)</x:f>
      </x:c>
      <x:c r="R12" s="19" t="str">
        <x:f>IF(F12="","",F12*N12)</x:f>
      </x:c>
      <x:c r="S12" s="19" t="str">
        <x:f>IF(R12="","",R12*'全局设置'!$B$5)</x:f>
      </x:c>
      <x:c r="T12" s="73" t="str">
        <x:f>IF(F12="","",F12*O12)</x:f>
      </x:c>
      <x:c r="U12" s="19" t="str">
        <x:f>IF(AND(B12="",C12=""),"",IF(B12="","缺少敌人",IF(C12="","缺少数量",IF(OR(C12&lt;1,C12&gt;9999,C12&lt;&gt;INT(C12)),"数量无效",IF(COUNTIF($E$7:$E$24,E12)&gt;1,"重复敌人",IF(AND(ISNUMBER(D12),OR(D12&lt;0,D12&gt;999,D12&lt;&gt;INT(D12))),"奖励无效","可导入"))))))</x:f>
      </x:c>
    </x:row>
    <x:row r="13" ht="22" customHeight="1">
      <x:c r="A13" s="72" t="n">
        <x:v>7</x:v>
      </x:c>
      <x:c r="B13" s="41"/>
      <x:c r="C13" s="41"/>
      <x:c r="D13" s="41"/>
      <x:c r="E13" s="19" t="str">
        <x:f>IFERROR(VLOOKUP(B13,'敌人目录'!$A$6:$S$54,2,FALSE),"")</x:f>
      </x:c>
      <x:c r="F13" s="19" t="str">
        <x:f>IF(OR(B13="",C13=""),"",ROUNDUP(C13*(1+('全局设置'!$B$5-1)*'全局设置'!$B$6),0))</x:f>
      </x:c>
      <x:c r="G13" s="19" t="str">
        <x:f>IFERROR(VLOOKUP(B13,'敌人目录'!$A$6:$S$54,7,FALSE),"")</x:f>
      </x:c>
      <x:c r="H13" s="19" t="str">
        <x:f>IFERROR(VLOOKUP(B13,'敌人目录'!$A$6:$S$54,8,FALSE),"")</x:f>
      </x:c>
      <x:c r="I13" s="19" t="str">
        <x:f>IFERROR(VLOOKUP(B13,'敌人目录'!$A$6:$S$54,9,FALSE),"")</x:f>
      </x:c>
      <x:c r="J13" s="19" t="str">
        <x:f>IFERROR(VLOOKUP(B13,'敌人目录'!$A$6:$S$54,10,FALSE),"")</x:f>
      </x:c>
      <x:c r="K13" s="19" t="str">
        <x:f>IFERROR(VLOOKUP(B13,'敌人目录'!$A$6:$S$54,11,FALSE),"")</x:f>
      </x:c>
      <x:c r="L13" s="19" t="str">
        <x:f>IFERROR(VLOOKUP(B13,'敌人目录'!$A$6:$S$54,12,FALSE),"")</x:f>
      </x:c>
      <x:c r="M13" s="19" t="str">
        <x:f>IFERROR(VLOOKUP(B13,'敌人目录'!$A$6:$S$54,13,FALSE),"")</x:f>
      </x:c>
      <x:c r="N13" s="19" t="str">
        <x:f>IF(B13="","",IF(ISNUMBER(D13),D13,IFERROR(VLOOKUP(B13,'敌人目录'!$A$6:$S$54,14,FALSE),"")))</x:f>
      </x:c>
      <x:c r="O13" s="64" t="str">
        <x:f>IFERROR(VLOOKUP(B13,'敌人目录'!$A$6:$S$54,15,FALSE),"")</x:f>
      </x:c>
      <x:c r="P13" s="19" t="str">
        <x:f>IF(F13="","",F13*G13)</x:f>
      </x:c>
      <x:c r="Q13" s="19" t="str">
        <x:f>IF(F13="","",F13*L13)</x:f>
      </x:c>
      <x:c r="R13" s="19" t="str">
        <x:f>IF(F13="","",F13*N13)</x:f>
      </x:c>
      <x:c r="S13" s="19" t="str">
        <x:f>IF(R13="","",R13*'全局设置'!$B$5)</x:f>
      </x:c>
      <x:c r="T13" s="73" t="str">
        <x:f>IF(F13="","",F13*O13)</x:f>
      </x:c>
      <x:c r="U13" s="19" t="str">
        <x:f>IF(AND(B13="",C13=""),"",IF(B13="","缺少敌人",IF(C13="","缺少数量",IF(OR(C13&lt;1,C13&gt;9999,C13&lt;&gt;INT(C13)),"数量无效",IF(COUNTIF($E$7:$E$24,E13)&gt;1,"重复敌人",IF(AND(ISNUMBER(D13),OR(D13&lt;0,D13&gt;999,D13&lt;&gt;INT(D13))),"奖励无效","可导入"))))))</x:f>
      </x:c>
    </x:row>
    <x:row r="14" ht="22" customHeight="1">
      <x:c r="A14" s="72" t="n">
        <x:v>8</x:v>
      </x:c>
      <x:c r="B14" s="41"/>
      <x:c r="C14" s="41"/>
      <x:c r="D14" s="41"/>
      <x:c r="E14" s="19" t="str">
        <x:f>IFERROR(VLOOKUP(B14,'敌人目录'!$A$6:$S$54,2,FALSE),"")</x:f>
      </x:c>
      <x:c r="F14" s="19" t="str">
        <x:f>IF(OR(B14="",C14=""),"",ROUNDUP(C14*(1+('全局设置'!$B$5-1)*'全局设置'!$B$6),0))</x:f>
      </x:c>
      <x:c r="G14" s="19" t="str">
        <x:f>IFERROR(VLOOKUP(B14,'敌人目录'!$A$6:$S$54,7,FALSE),"")</x:f>
      </x:c>
      <x:c r="H14" s="19" t="str">
        <x:f>IFERROR(VLOOKUP(B14,'敌人目录'!$A$6:$S$54,8,FALSE),"")</x:f>
      </x:c>
      <x:c r="I14" s="19" t="str">
        <x:f>IFERROR(VLOOKUP(B14,'敌人目录'!$A$6:$S$54,9,FALSE),"")</x:f>
      </x:c>
      <x:c r="J14" s="19" t="str">
        <x:f>IFERROR(VLOOKUP(B14,'敌人目录'!$A$6:$S$54,10,FALSE),"")</x:f>
      </x:c>
      <x:c r="K14" s="19" t="str">
        <x:f>IFERROR(VLOOKUP(B14,'敌人目录'!$A$6:$S$54,11,FALSE),"")</x:f>
      </x:c>
      <x:c r="L14" s="19" t="str">
        <x:f>IFERROR(VLOOKUP(B14,'敌人目录'!$A$6:$S$54,12,FALSE),"")</x:f>
      </x:c>
      <x:c r="M14" s="19" t="str">
        <x:f>IFERROR(VLOOKUP(B14,'敌人目录'!$A$6:$S$54,13,FALSE),"")</x:f>
      </x:c>
      <x:c r="N14" s="19" t="str">
        <x:f>IF(B14="","",IF(ISNUMBER(D14),D14,IFERROR(VLOOKUP(B14,'敌人目录'!$A$6:$S$54,14,FALSE),"")))</x:f>
      </x:c>
      <x:c r="O14" s="64" t="str">
        <x:f>IFERROR(VLOOKUP(B14,'敌人目录'!$A$6:$S$54,15,FALSE),"")</x:f>
      </x:c>
      <x:c r="P14" s="19" t="str">
        <x:f>IF(F14="","",F14*G14)</x:f>
      </x:c>
      <x:c r="Q14" s="19" t="str">
        <x:f>IF(F14="","",F14*L14)</x:f>
      </x:c>
      <x:c r="R14" s="19" t="str">
        <x:f>IF(F14="","",F14*N14)</x:f>
      </x:c>
      <x:c r="S14" s="19" t="str">
        <x:f>IF(R14="","",R14*'全局设置'!$B$5)</x:f>
      </x:c>
      <x:c r="T14" s="73" t="str">
        <x:f>IF(F14="","",F14*O14)</x:f>
      </x:c>
      <x:c r="U14" s="19" t="str">
        <x:f>IF(AND(B14="",C14=""),"",IF(B14="","缺少敌人",IF(C14="","缺少数量",IF(OR(C14&lt;1,C14&gt;9999,C14&lt;&gt;INT(C14)),"数量无效",IF(COUNTIF($E$7:$E$24,E14)&gt;1,"重复敌人",IF(AND(ISNUMBER(D14),OR(D14&lt;0,D14&gt;999,D14&lt;&gt;INT(D14))),"奖励无效","可导入"))))))</x:f>
      </x:c>
    </x:row>
    <x:row r="15" ht="22" customHeight="1">
      <x:c r="A15" s="72" t="n">
        <x:v>9</x:v>
      </x:c>
      <x:c r="B15" s="41"/>
      <x:c r="C15" s="41"/>
      <x:c r="D15" s="41"/>
      <x:c r="E15" s="19" t="str">
        <x:f>IFERROR(VLOOKUP(B15,'敌人目录'!$A$6:$S$54,2,FALSE),"")</x:f>
      </x:c>
      <x:c r="F15" s="19" t="str">
        <x:f>IF(OR(B15="",C15=""),"",ROUNDUP(C15*(1+('全局设置'!$B$5-1)*'全局设置'!$B$6),0))</x:f>
      </x:c>
      <x:c r="G15" s="19" t="str">
        <x:f>IFERROR(VLOOKUP(B15,'敌人目录'!$A$6:$S$54,7,FALSE),"")</x:f>
      </x:c>
      <x:c r="H15" s="19" t="str">
        <x:f>IFERROR(VLOOKUP(B15,'敌人目录'!$A$6:$S$54,8,FALSE),"")</x:f>
      </x:c>
      <x:c r="I15" s="19" t="str">
        <x:f>IFERROR(VLOOKUP(B15,'敌人目录'!$A$6:$S$54,9,FALSE),"")</x:f>
      </x:c>
      <x:c r="J15" s="19" t="str">
        <x:f>IFERROR(VLOOKUP(B15,'敌人目录'!$A$6:$S$54,10,FALSE),"")</x:f>
      </x:c>
      <x:c r="K15" s="19" t="str">
        <x:f>IFERROR(VLOOKUP(B15,'敌人目录'!$A$6:$S$54,11,FALSE),"")</x:f>
      </x:c>
      <x:c r="L15" s="19" t="str">
        <x:f>IFERROR(VLOOKUP(B15,'敌人目录'!$A$6:$S$54,12,FALSE),"")</x:f>
      </x:c>
      <x:c r="M15" s="19" t="str">
        <x:f>IFERROR(VLOOKUP(B15,'敌人目录'!$A$6:$S$54,13,FALSE),"")</x:f>
      </x:c>
      <x:c r="N15" s="19" t="str">
        <x:f>IF(B15="","",IF(ISNUMBER(D15),D15,IFERROR(VLOOKUP(B15,'敌人目录'!$A$6:$S$54,14,FALSE),"")))</x:f>
      </x:c>
      <x:c r="O15" s="64" t="str">
        <x:f>IFERROR(VLOOKUP(B15,'敌人目录'!$A$6:$S$54,15,FALSE),"")</x:f>
      </x:c>
      <x:c r="P15" s="19" t="str">
        <x:f>IF(F15="","",F15*G15)</x:f>
      </x:c>
      <x:c r="Q15" s="19" t="str">
        <x:f>IF(F15="","",F15*L15)</x:f>
      </x:c>
      <x:c r="R15" s="19" t="str">
        <x:f>IF(F15="","",F15*N15)</x:f>
      </x:c>
      <x:c r="S15" s="19" t="str">
        <x:f>IF(R15="","",R15*'全局设置'!$B$5)</x:f>
      </x:c>
      <x:c r="T15" s="73" t="str">
        <x:f>IF(F15="","",F15*O15)</x:f>
      </x:c>
      <x:c r="U15" s="19" t="str">
        <x:f>IF(AND(B15="",C15=""),"",IF(B15="","缺少敌人",IF(C15="","缺少数量",IF(OR(C15&lt;1,C15&gt;9999,C15&lt;&gt;INT(C15)),"数量无效",IF(COUNTIF($E$7:$E$24,E15)&gt;1,"重复敌人",IF(AND(ISNUMBER(D15),OR(D15&lt;0,D15&gt;999,D15&lt;&gt;INT(D15))),"奖励无效","可导入"))))))</x:f>
      </x:c>
    </x:row>
    <x:row r="16" ht="22" customHeight="1">
      <x:c r="A16" s="72" t="n">
        <x:v>10</x:v>
      </x:c>
      <x:c r="B16" s="41"/>
      <x:c r="C16" s="41"/>
      <x:c r="D16" s="41"/>
      <x:c r="E16" s="19" t="str">
        <x:f>IFERROR(VLOOKUP(B16,'敌人目录'!$A$6:$S$54,2,FALSE),"")</x:f>
      </x:c>
      <x:c r="F16" s="19" t="str">
        <x:f>IF(OR(B16="",C16=""),"",ROUNDUP(C16*(1+('全局设置'!$B$5-1)*'全局设置'!$B$6),0))</x:f>
      </x:c>
      <x:c r="G16" s="19" t="str">
        <x:f>IFERROR(VLOOKUP(B16,'敌人目录'!$A$6:$S$54,7,FALSE),"")</x:f>
      </x:c>
      <x:c r="H16" s="19" t="str">
        <x:f>IFERROR(VLOOKUP(B16,'敌人目录'!$A$6:$S$54,8,FALSE),"")</x:f>
      </x:c>
      <x:c r="I16" s="19" t="str">
        <x:f>IFERROR(VLOOKUP(B16,'敌人目录'!$A$6:$S$54,9,FALSE),"")</x:f>
      </x:c>
      <x:c r="J16" s="19" t="str">
        <x:f>IFERROR(VLOOKUP(B16,'敌人目录'!$A$6:$S$54,10,FALSE),"")</x:f>
      </x:c>
      <x:c r="K16" s="19" t="str">
        <x:f>IFERROR(VLOOKUP(B16,'敌人目录'!$A$6:$S$54,11,FALSE),"")</x:f>
      </x:c>
      <x:c r="L16" s="19" t="str">
        <x:f>IFERROR(VLOOKUP(B16,'敌人目录'!$A$6:$S$54,12,FALSE),"")</x:f>
      </x:c>
      <x:c r="M16" s="19" t="str">
        <x:f>IFERROR(VLOOKUP(B16,'敌人目录'!$A$6:$S$54,13,FALSE),"")</x:f>
      </x:c>
      <x:c r="N16" s="19" t="str">
        <x:f>IF(B16="","",IF(ISNUMBER(D16),D16,IFERROR(VLOOKUP(B16,'敌人目录'!$A$6:$S$54,14,FALSE),"")))</x:f>
      </x:c>
      <x:c r="O16" s="64" t="str">
        <x:f>IFERROR(VLOOKUP(B16,'敌人目录'!$A$6:$S$54,15,FALSE),"")</x:f>
      </x:c>
      <x:c r="P16" s="19" t="str">
        <x:f>IF(F16="","",F16*G16)</x:f>
      </x:c>
      <x:c r="Q16" s="19" t="str">
        <x:f>IF(F16="","",F16*L16)</x:f>
      </x:c>
      <x:c r="R16" s="19" t="str">
        <x:f>IF(F16="","",F16*N16)</x:f>
      </x:c>
      <x:c r="S16" s="19" t="str">
        <x:f>IF(R16="","",R16*'全局设置'!$B$5)</x:f>
      </x:c>
      <x:c r="T16" s="73" t="str">
        <x:f>IF(F16="","",F16*O16)</x:f>
      </x:c>
      <x:c r="U16" s="19" t="str">
        <x:f>IF(AND(B16="",C16=""),"",IF(B16="","缺少敌人",IF(C16="","缺少数量",IF(OR(C16&lt;1,C16&gt;9999,C16&lt;&gt;INT(C16)),"数量无效",IF(COUNTIF($E$7:$E$24,E16)&gt;1,"重复敌人",IF(AND(ISNUMBER(D16),OR(D16&lt;0,D16&gt;999,D16&lt;&gt;INT(D16))),"奖励无效","可导入"))))))</x:f>
      </x:c>
    </x:row>
    <x:row r="17" ht="22" customHeight="1">
      <x:c r="A17" s="72" t="n">
        <x:v>11</x:v>
      </x:c>
      <x:c r="B17" s="41"/>
      <x:c r="C17" s="41"/>
      <x:c r="D17" s="41"/>
      <x:c r="E17" s="19" t="str">
        <x:f>IFERROR(VLOOKUP(B17,'敌人目录'!$A$6:$S$54,2,FALSE),"")</x:f>
      </x:c>
      <x:c r="F17" s="19" t="str">
        <x:f>IF(OR(B17="",C17=""),"",ROUNDUP(C17*(1+('全局设置'!$B$5-1)*'全局设置'!$B$6),0))</x:f>
      </x:c>
      <x:c r="G17" s="19" t="str">
        <x:f>IFERROR(VLOOKUP(B17,'敌人目录'!$A$6:$S$54,7,FALSE),"")</x:f>
      </x:c>
      <x:c r="H17" s="19" t="str">
        <x:f>IFERROR(VLOOKUP(B17,'敌人目录'!$A$6:$S$54,8,FALSE),"")</x:f>
      </x:c>
      <x:c r="I17" s="19" t="str">
        <x:f>IFERROR(VLOOKUP(B17,'敌人目录'!$A$6:$S$54,9,FALSE),"")</x:f>
      </x:c>
      <x:c r="J17" s="19" t="str">
        <x:f>IFERROR(VLOOKUP(B17,'敌人目录'!$A$6:$S$54,10,FALSE),"")</x:f>
      </x:c>
      <x:c r="K17" s="19" t="str">
        <x:f>IFERROR(VLOOKUP(B17,'敌人目录'!$A$6:$S$54,11,FALSE),"")</x:f>
      </x:c>
      <x:c r="L17" s="19" t="str">
        <x:f>IFERROR(VLOOKUP(B17,'敌人目录'!$A$6:$S$54,12,FALSE),"")</x:f>
      </x:c>
      <x:c r="M17" s="19" t="str">
        <x:f>IFERROR(VLOOKUP(B17,'敌人目录'!$A$6:$S$54,13,FALSE),"")</x:f>
      </x:c>
      <x:c r="N17" s="19" t="str">
        <x:f>IF(B17="","",IF(ISNUMBER(D17),D17,IFERROR(VLOOKUP(B17,'敌人目录'!$A$6:$S$54,14,FALSE),"")))</x:f>
      </x:c>
      <x:c r="O17" s="64" t="str">
        <x:f>IFERROR(VLOOKUP(B17,'敌人目录'!$A$6:$S$54,15,FALSE),"")</x:f>
      </x:c>
      <x:c r="P17" s="19" t="str">
        <x:f>IF(F17="","",F17*G17)</x:f>
      </x:c>
      <x:c r="Q17" s="19" t="str">
        <x:f>IF(F17="","",F17*L17)</x:f>
      </x:c>
      <x:c r="R17" s="19" t="str">
        <x:f>IF(F17="","",F17*N17)</x:f>
      </x:c>
      <x:c r="S17" s="19" t="str">
        <x:f>IF(R17="","",R17*'全局设置'!$B$5)</x:f>
      </x:c>
      <x:c r="T17" s="73" t="str">
        <x:f>IF(F17="","",F17*O17)</x:f>
      </x:c>
      <x:c r="U17" s="19" t="str">
        <x:f>IF(AND(B17="",C17=""),"",IF(B17="","缺少敌人",IF(C17="","缺少数量",IF(OR(C17&lt;1,C17&gt;9999,C17&lt;&gt;INT(C17)),"数量无效",IF(COUNTIF($E$7:$E$24,E17)&gt;1,"重复敌人",IF(AND(ISNUMBER(D17),OR(D17&lt;0,D17&gt;999,D17&lt;&gt;INT(D17))),"奖励无效","可导入"))))))</x:f>
      </x:c>
    </x:row>
    <x:row r="18" ht="22" customHeight="1">
      <x:c r="A18" s="72" t="n">
        <x:v>12</x:v>
      </x:c>
      <x:c r="B18" s="41"/>
      <x:c r="C18" s="41"/>
      <x:c r="D18" s="41"/>
      <x:c r="E18" s="19" t="str">
        <x:f>IFERROR(VLOOKUP(B18,'敌人目录'!$A$6:$S$54,2,FALSE),"")</x:f>
      </x:c>
      <x:c r="F18" s="19" t="str">
        <x:f>IF(OR(B18="",C18=""),"",ROUNDUP(C18*(1+('全局设置'!$B$5-1)*'全局设置'!$B$6),0))</x:f>
      </x:c>
      <x:c r="G18" s="19" t="str">
        <x:f>IFERROR(VLOOKUP(B18,'敌人目录'!$A$6:$S$54,7,FALSE),"")</x:f>
      </x:c>
      <x:c r="H18" s="19" t="str">
        <x:f>IFERROR(VLOOKUP(B18,'敌人目录'!$A$6:$S$54,8,FALSE),"")</x:f>
      </x:c>
      <x:c r="I18" s="19" t="str">
        <x:f>IFERROR(VLOOKUP(B18,'敌人目录'!$A$6:$S$54,9,FALSE),"")</x:f>
      </x:c>
      <x:c r="J18" s="19" t="str">
        <x:f>IFERROR(VLOOKUP(B18,'敌人目录'!$A$6:$S$54,10,FALSE),"")</x:f>
      </x:c>
      <x:c r="K18" s="19" t="str">
        <x:f>IFERROR(VLOOKUP(B18,'敌人目录'!$A$6:$S$54,11,FALSE),"")</x:f>
      </x:c>
      <x:c r="L18" s="19" t="str">
        <x:f>IFERROR(VLOOKUP(B18,'敌人目录'!$A$6:$S$54,12,FALSE),"")</x:f>
      </x:c>
      <x:c r="M18" s="19" t="str">
        <x:f>IFERROR(VLOOKUP(B18,'敌人目录'!$A$6:$S$54,13,FALSE),"")</x:f>
      </x:c>
      <x:c r="N18" s="19" t="str">
        <x:f>IF(B18="","",IF(ISNUMBER(D18),D18,IFERROR(VLOOKUP(B18,'敌人目录'!$A$6:$S$54,14,FALSE),"")))</x:f>
      </x:c>
      <x:c r="O18" s="64" t="str">
        <x:f>IFERROR(VLOOKUP(B18,'敌人目录'!$A$6:$S$54,15,FALSE),"")</x:f>
      </x:c>
      <x:c r="P18" s="19" t="str">
        <x:f>IF(F18="","",F18*G18)</x:f>
      </x:c>
      <x:c r="Q18" s="19" t="str">
        <x:f>IF(F18="","",F18*L18)</x:f>
      </x:c>
      <x:c r="R18" s="19" t="str">
        <x:f>IF(F18="","",F18*N18)</x:f>
      </x:c>
      <x:c r="S18" s="19" t="str">
        <x:f>IF(R18="","",R18*'全局设置'!$B$5)</x:f>
      </x:c>
      <x:c r="T18" s="73" t="str">
        <x:f>IF(F18="","",F18*O18)</x:f>
      </x:c>
      <x:c r="U18" s="19" t="str">
        <x:f>IF(AND(B18="",C18=""),"",IF(B18="","缺少敌人",IF(C18="","缺少数量",IF(OR(C18&lt;1,C18&gt;9999,C18&lt;&gt;INT(C18)),"数量无效",IF(COUNTIF($E$7:$E$24,E18)&gt;1,"重复敌人",IF(AND(ISNUMBER(D18),OR(D18&lt;0,D18&gt;999,D18&lt;&gt;INT(D18))),"奖励无效","可导入"))))))</x:f>
      </x:c>
    </x:row>
    <x:row r="19" ht="22" customHeight="1">
      <x:c r="A19" s="72" t="n">
        <x:v>13</x:v>
      </x:c>
      <x:c r="B19" s="41"/>
      <x:c r="C19" s="41"/>
      <x:c r="D19" s="41"/>
      <x:c r="E19" s="19" t="str">
        <x:f>IFERROR(VLOOKUP(B19,'敌人目录'!$A$6:$S$54,2,FALSE),"")</x:f>
      </x:c>
      <x:c r="F19" s="19" t="str">
        <x:f>IF(OR(B19="",C19=""),"",ROUNDUP(C19*(1+('全局设置'!$B$5-1)*'全局设置'!$B$6),0))</x:f>
      </x:c>
      <x:c r="G19" s="19" t="str">
        <x:f>IFERROR(VLOOKUP(B19,'敌人目录'!$A$6:$S$54,7,FALSE),"")</x:f>
      </x:c>
      <x:c r="H19" s="19" t="str">
        <x:f>IFERROR(VLOOKUP(B19,'敌人目录'!$A$6:$S$54,8,FALSE),"")</x:f>
      </x:c>
      <x:c r="I19" s="19" t="str">
        <x:f>IFERROR(VLOOKUP(B19,'敌人目录'!$A$6:$S$54,9,FALSE),"")</x:f>
      </x:c>
      <x:c r="J19" s="19" t="str">
        <x:f>IFERROR(VLOOKUP(B19,'敌人目录'!$A$6:$S$54,10,FALSE),"")</x:f>
      </x:c>
      <x:c r="K19" s="19" t="str">
        <x:f>IFERROR(VLOOKUP(B19,'敌人目录'!$A$6:$S$54,11,FALSE),"")</x:f>
      </x:c>
      <x:c r="L19" s="19" t="str">
        <x:f>IFERROR(VLOOKUP(B19,'敌人目录'!$A$6:$S$54,12,FALSE),"")</x:f>
      </x:c>
      <x:c r="M19" s="19" t="str">
        <x:f>IFERROR(VLOOKUP(B19,'敌人目录'!$A$6:$S$54,13,FALSE),"")</x:f>
      </x:c>
      <x:c r="N19" s="19" t="str">
        <x:f>IF(B19="","",IF(ISNUMBER(D19),D19,IFERROR(VLOOKUP(B19,'敌人目录'!$A$6:$S$54,14,FALSE),"")))</x:f>
      </x:c>
      <x:c r="O19" s="64" t="str">
        <x:f>IFERROR(VLOOKUP(B19,'敌人目录'!$A$6:$S$54,15,FALSE),"")</x:f>
      </x:c>
      <x:c r="P19" s="19" t="str">
        <x:f>IF(F19="","",F19*G19)</x:f>
      </x:c>
      <x:c r="Q19" s="19" t="str">
        <x:f>IF(F19="","",F19*L19)</x:f>
      </x:c>
      <x:c r="R19" s="19" t="str">
        <x:f>IF(F19="","",F19*N19)</x:f>
      </x:c>
      <x:c r="S19" s="19" t="str">
        <x:f>IF(R19="","",R19*'全局设置'!$B$5)</x:f>
      </x:c>
      <x:c r="T19" s="73" t="str">
        <x:f>IF(F19="","",F19*O19)</x:f>
      </x:c>
      <x:c r="U19" s="19" t="str">
        <x:f>IF(AND(B19="",C19=""),"",IF(B19="","缺少敌人",IF(C19="","缺少数量",IF(OR(C19&lt;1,C19&gt;9999,C19&lt;&gt;INT(C19)),"数量无效",IF(COUNTIF($E$7:$E$24,E19)&gt;1,"重复敌人",IF(AND(ISNUMBER(D19),OR(D19&lt;0,D19&gt;999,D19&lt;&gt;INT(D19))),"奖励无效","可导入"))))))</x:f>
      </x:c>
    </x:row>
    <x:row r="20" ht="22" customHeight="1">
      <x:c r="A20" s="72" t="n">
        <x:v>14</x:v>
      </x:c>
      <x:c r="B20" s="41"/>
      <x:c r="C20" s="41"/>
      <x:c r="D20" s="41"/>
      <x:c r="E20" s="19" t="str">
        <x:f>IFERROR(VLOOKUP(B20,'敌人目录'!$A$6:$S$54,2,FALSE),"")</x:f>
      </x:c>
      <x:c r="F20" s="19" t="str">
        <x:f>IF(OR(B20="",C20=""),"",ROUNDUP(C20*(1+('全局设置'!$B$5-1)*'全局设置'!$B$6),0))</x:f>
      </x:c>
      <x:c r="G20" s="19" t="str">
        <x:f>IFERROR(VLOOKUP(B20,'敌人目录'!$A$6:$S$54,7,FALSE),"")</x:f>
      </x:c>
      <x:c r="H20" s="19" t="str">
        <x:f>IFERROR(VLOOKUP(B20,'敌人目录'!$A$6:$S$54,8,FALSE),"")</x:f>
      </x:c>
      <x:c r="I20" s="19" t="str">
        <x:f>IFERROR(VLOOKUP(B20,'敌人目录'!$A$6:$S$54,9,FALSE),"")</x:f>
      </x:c>
      <x:c r="J20" s="19" t="str">
        <x:f>IFERROR(VLOOKUP(B20,'敌人目录'!$A$6:$S$54,10,FALSE),"")</x:f>
      </x:c>
      <x:c r="K20" s="19" t="str">
        <x:f>IFERROR(VLOOKUP(B20,'敌人目录'!$A$6:$S$54,11,FALSE),"")</x:f>
      </x:c>
      <x:c r="L20" s="19" t="str">
        <x:f>IFERROR(VLOOKUP(B20,'敌人目录'!$A$6:$S$54,12,FALSE),"")</x:f>
      </x:c>
      <x:c r="M20" s="19" t="str">
        <x:f>IFERROR(VLOOKUP(B20,'敌人目录'!$A$6:$S$54,13,FALSE),"")</x:f>
      </x:c>
      <x:c r="N20" s="19" t="str">
        <x:f>IF(B20="","",IF(ISNUMBER(D20),D20,IFERROR(VLOOKUP(B20,'敌人目录'!$A$6:$S$54,14,FALSE),"")))</x:f>
      </x:c>
      <x:c r="O20" s="64" t="str">
        <x:f>IFERROR(VLOOKUP(B20,'敌人目录'!$A$6:$S$54,15,FALSE),"")</x:f>
      </x:c>
      <x:c r="P20" s="19" t="str">
        <x:f>IF(F20="","",F20*G20)</x:f>
      </x:c>
      <x:c r="Q20" s="19" t="str">
        <x:f>IF(F20="","",F20*L20)</x:f>
      </x:c>
      <x:c r="R20" s="19" t="str">
        <x:f>IF(F20="","",F20*N20)</x:f>
      </x:c>
      <x:c r="S20" s="19" t="str">
        <x:f>IF(R20="","",R20*'全局设置'!$B$5)</x:f>
      </x:c>
      <x:c r="T20" s="73" t="str">
        <x:f>IF(F20="","",F20*O20)</x:f>
      </x:c>
      <x:c r="U20" s="19" t="str">
        <x:f>IF(AND(B20="",C20=""),"",IF(B20="","缺少敌人",IF(C20="","缺少数量",IF(OR(C20&lt;1,C20&gt;9999,C20&lt;&gt;INT(C20)),"数量无效",IF(COUNTIF($E$7:$E$24,E20)&gt;1,"重复敌人",IF(AND(ISNUMBER(D20),OR(D20&lt;0,D20&gt;999,D20&lt;&gt;INT(D20))),"奖励无效","可导入"))))))</x:f>
      </x:c>
    </x:row>
    <x:row r="21" ht="22" customHeight="1">
      <x:c r="A21" s="72" t="n">
        <x:v>15</x:v>
      </x:c>
      <x:c r="B21" s="41"/>
      <x:c r="C21" s="41"/>
      <x:c r="D21" s="41"/>
      <x:c r="E21" s="19" t="str">
        <x:f>IFERROR(VLOOKUP(B21,'敌人目录'!$A$6:$S$54,2,FALSE),"")</x:f>
      </x:c>
      <x:c r="F21" s="19" t="str">
        <x:f>IF(OR(B21="",C21=""),"",ROUNDUP(C21*(1+('全局设置'!$B$5-1)*'全局设置'!$B$6),0))</x:f>
      </x:c>
      <x:c r="G21" s="19" t="str">
        <x:f>IFERROR(VLOOKUP(B21,'敌人目录'!$A$6:$S$54,7,FALSE),"")</x:f>
      </x:c>
      <x:c r="H21" s="19" t="str">
        <x:f>IFERROR(VLOOKUP(B21,'敌人目录'!$A$6:$S$54,8,FALSE),"")</x:f>
      </x:c>
      <x:c r="I21" s="19" t="str">
        <x:f>IFERROR(VLOOKUP(B21,'敌人目录'!$A$6:$S$54,9,FALSE),"")</x:f>
      </x:c>
      <x:c r="J21" s="19" t="str">
        <x:f>IFERROR(VLOOKUP(B21,'敌人目录'!$A$6:$S$54,10,FALSE),"")</x:f>
      </x:c>
      <x:c r="K21" s="19" t="str">
        <x:f>IFERROR(VLOOKUP(B21,'敌人目录'!$A$6:$S$54,11,FALSE),"")</x:f>
      </x:c>
      <x:c r="L21" s="19" t="str">
        <x:f>IFERROR(VLOOKUP(B21,'敌人目录'!$A$6:$S$54,12,FALSE),"")</x:f>
      </x:c>
      <x:c r="M21" s="19" t="str">
        <x:f>IFERROR(VLOOKUP(B21,'敌人目录'!$A$6:$S$54,13,FALSE),"")</x:f>
      </x:c>
      <x:c r="N21" s="19" t="str">
        <x:f>IF(B21="","",IF(ISNUMBER(D21),D21,IFERROR(VLOOKUP(B21,'敌人目录'!$A$6:$S$54,14,FALSE),"")))</x:f>
      </x:c>
      <x:c r="O21" s="64" t="str">
        <x:f>IFERROR(VLOOKUP(B21,'敌人目录'!$A$6:$S$54,15,FALSE),"")</x:f>
      </x:c>
      <x:c r="P21" s="19" t="str">
        <x:f>IF(F21="","",F21*G21)</x:f>
      </x:c>
      <x:c r="Q21" s="19" t="str">
        <x:f>IF(F21="","",F21*L21)</x:f>
      </x:c>
      <x:c r="R21" s="19" t="str">
        <x:f>IF(F21="","",F21*N21)</x:f>
      </x:c>
      <x:c r="S21" s="19" t="str">
        <x:f>IF(R21="","",R21*'全局设置'!$B$5)</x:f>
      </x:c>
      <x:c r="T21" s="73" t="str">
        <x:f>IF(F21="","",F21*O21)</x:f>
      </x:c>
      <x:c r="U21" s="19" t="str">
        <x:f>IF(AND(B21="",C21=""),"",IF(B21="","缺少敌人",IF(C21="","缺少数量",IF(OR(C21&lt;1,C21&gt;9999,C21&lt;&gt;INT(C21)),"数量无效",IF(COUNTIF($E$7:$E$24,E21)&gt;1,"重复敌人",IF(AND(ISNUMBER(D21),OR(D21&lt;0,D21&gt;999,D21&lt;&gt;INT(D21))),"奖励无效","可导入"))))))</x:f>
      </x:c>
    </x:row>
    <x:row r="22" ht="22" customHeight="1">
      <x:c r="A22" s="72" t="n">
        <x:v>16</x:v>
      </x:c>
      <x:c r="B22" s="41"/>
      <x:c r="C22" s="41"/>
      <x:c r="D22" s="41"/>
      <x:c r="E22" s="19" t="str">
        <x:f>IFERROR(VLOOKUP(B22,'敌人目录'!$A$6:$S$54,2,FALSE),"")</x:f>
      </x:c>
      <x:c r="F22" s="19" t="str">
        <x:f>IF(OR(B22="",C22=""),"",ROUNDUP(C22*(1+('全局设置'!$B$5-1)*'全局设置'!$B$6),0))</x:f>
      </x:c>
      <x:c r="G22" s="19" t="str">
        <x:f>IFERROR(VLOOKUP(B22,'敌人目录'!$A$6:$S$54,7,FALSE),"")</x:f>
      </x:c>
      <x:c r="H22" s="19" t="str">
        <x:f>IFERROR(VLOOKUP(B22,'敌人目录'!$A$6:$S$54,8,FALSE),"")</x:f>
      </x:c>
      <x:c r="I22" s="19" t="str">
        <x:f>IFERROR(VLOOKUP(B22,'敌人目录'!$A$6:$S$54,9,FALSE),"")</x:f>
      </x:c>
      <x:c r="J22" s="19" t="str">
        <x:f>IFERROR(VLOOKUP(B22,'敌人目录'!$A$6:$S$54,10,FALSE),"")</x:f>
      </x:c>
      <x:c r="K22" s="19" t="str">
        <x:f>IFERROR(VLOOKUP(B22,'敌人目录'!$A$6:$S$54,11,FALSE),"")</x:f>
      </x:c>
      <x:c r="L22" s="19" t="str">
        <x:f>IFERROR(VLOOKUP(B22,'敌人目录'!$A$6:$S$54,12,FALSE),"")</x:f>
      </x:c>
      <x:c r="M22" s="19" t="str">
        <x:f>IFERROR(VLOOKUP(B22,'敌人目录'!$A$6:$S$54,13,FALSE),"")</x:f>
      </x:c>
      <x:c r="N22" s="19" t="str">
        <x:f>IF(B22="","",IF(ISNUMBER(D22),D22,IFERROR(VLOOKUP(B22,'敌人目录'!$A$6:$S$54,14,FALSE),"")))</x:f>
      </x:c>
      <x:c r="O22" s="64" t="str">
        <x:f>IFERROR(VLOOKUP(B22,'敌人目录'!$A$6:$S$54,15,FALSE),"")</x:f>
      </x:c>
      <x:c r="P22" s="19" t="str">
        <x:f>IF(F22="","",F22*G22)</x:f>
      </x:c>
      <x:c r="Q22" s="19" t="str">
        <x:f>IF(F22="","",F22*L22)</x:f>
      </x:c>
      <x:c r="R22" s="19" t="str">
        <x:f>IF(F22="","",F22*N22)</x:f>
      </x:c>
      <x:c r="S22" s="19" t="str">
        <x:f>IF(R22="","",R22*'全局设置'!$B$5)</x:f>
      </x:c>
      <x:c r="T22" s="73" t="str">
        <x:f>IF(F22="","",F22*O22)</x:f>
      </x:c>
      <x:c r="U22" s="19" t="str">
        <x:f>IF(AND(B22="",C22=""),"",IF(B22="","缺少敌人",IF(C22="","缺少数量",IF(OR(C22&lt;1,C22&gt;9999,C22&lt;&gt;INT(C22)),"数量无效",IF(COUNTIF($E$7:$E$24,E22)&gt;1,"重复敌人",IF(AND(ISNUMBER(D22),OR(D22&lt;0,D22&gt;999,D22&lt;&gt;INT(D22))),"奖励无效","可导入"))))))</x:f>
      </x:c>
    </x:row>
    <x:row r="23" ht="22" customHeight="1">
      <x:c r="A23" s="72" t="n">
        <x:v>17</x:v>
      </x:c>
      <x:c r="B23" s="41"/>
      <x:c r="C23" s="41"/>
      <x:c r="D23" s="41"/>
      <x:c r="E23" s="19" t="str">
        <x:f>IFERROR(VLOOKUP(B23,'敌人目录'!$A$6:$S$54,2,FALSE),"")</x:f>
      </x:c>
      <x:c r="F23" s="19" t="str">
        <x:f>IF(OR(B23="",C23=""),"",ROUNDUP(C23*(1+('全局设置'!$B$5-1)*'全局设置'!$B$6),0))</x:f>
      </x:c>
      <x:c r="G23" s="19" t="str">
        <x:f>IFERROR(VLOOKUP(B23,'敌人目录'!$A$6:$S$54,7,FALSE),"")</x:f>
      </x:c>
      <x:c r="H23" s="19" t="str">
        <x:f>IFERROR(VLOOKUP(B23,'敌人目录'!$A$6:$S$54,8,FALSE),"")</x:f>
      </x:c>
      <x:c r="I23" s="19" t="str">
        <x:f>IFERROR(VLOOKUP(B23,'敌人目录'!$A$6:$S$54,9,FALSE),"")</x:f>
      </x:c>
      <x:c r="J23" s="19" t="str">
        <x:f>IFERROR(VLOOKUP(B23,'敌人目录'!$A$6:$S$54,10,FALSE),"")</x:f>
      </x:c>
      <x:c r="K23" s="19" t="str">
        <x:f>IFERROR(VLOOKUP(B23,'敌人目录'!$A$6:$S$54,11,FALSE),"")</x:f>
      </x:c>
      <x:c r="L23" s="19" t="str">
        <x:f>IFERROR(VLOOKUP(B23,'敌人目录'!$A$6:$S$54,12,FALSE),"")</x:f>
      </x:c>
      <x:c r="M23" s="19" t="str">
        <x:f>IFERROR(VLOOKUP(B23,'敌人目录'!$A$6:$S$54,13,FALSE),"")</x:f>
      </x:c>
      <x:c r="N23" s="19" t="str">
        <x:f>IF(B23="","",IF(ISNUMBER(D23),D23,IFERROR(VLOOKUP(B23,'敌人目录'!$A$6:$S$54,14,FALSE),"")))</x:f>
      </x:c>
      <x:c r="O23" s="64" t="str">
        <x:f>IFERROR(VLOOKUP(B23,'敌人目录'!$A$6:$S$54,15,FALSE),"")</x:f>
      </x:c>
      <x:c r="P23" s="19" t="str">
        <x:f>IF(F23="","",F23*G23)</x:f>
      </x:c>
      <x:c r="Q23" s="19" t="str">
        <x:f>IF(F23="","",F23*L23)</x:f>
      </x:c>
      <x:c r="R23" s="19" t="str">
        <x:f>IF(F23="","",F23*N23)</x:f>
      </x:c>
      <x:c r="S23" s="19" t="str">
        <x:f>IF(R23="","",R23*'全局设置'!$B$5)</x:f>
      </x:c>
      <x:c r="T23" s="73" t="str">
        <x:f>IF(F23="","",F23*O23)</x:f>
      </x:c>
      <x:c r="U23" s="19" t="str">
        <x:f>IF(AND(B23="",C23=""),"",IF(B23="","缺少敌人",IF(C23="","缺少数量",IF(OR(C23&lt;1,C23&gt;9999,C23&lt;&gt;INT(C23)),"数量无效",IF(COUNTIF($E$7:$E$24,E23)&gt;1,"重复敌人",IF(AND(ISNUMBER(D23),OR(D23&lt;0,D23&gt;999,D23&lt;&gt;INT(D23))),"奖励无效","可导入"))))))</x:f>
      </x:c>
    </x:row>
    <x:row r="24" ht="22" customHeight="1">
      <x:c r="A24" s="72" t="n">
        <x:v>18</x:v>
      </x:c>
      <x:c r="B24" s="41"/>
      <x:c r="C24" s="41"/>
      <x:c r="D24" s="41"/>
      <x:c r="E24" s="19" t="str">
        <x:f>IFERROR(VLOOKUP(B24,'敌人目录'!$A$6:$S$54,2,FALSE),"")</x:f>
      </x:c>
      <x:c r="F24" s="19" t="str">
        <x:f>IF(OR(B24="",C24=""),"",ROUNDUP(C24*(1+('全局设置'!$B$5-1)*'全局设置'!$B$6),0))</x:f>
      </x:c>
      <x:c r="G24" s="19" t="str">
        <x:f>IFERROR(VLOOKUP(B24,'敌人目录'!$A$6:$S$54,7,FALSE),"")</x:f>
      </x:c>
      <x:c r="H24" s="19" t="str">
        <x:f>IFERROR(VLOOKUP(B24,'敌人目录'!$A$6:$S$54,8,FALSE),"")</x:f>
      </x:c>
      <x:c r="I24" s="19" t="str">
        <x:f>IFERROR(VLOOKUP(B24,'敌人目录'!$A$6:$S$54,9,FALSE),"")</x:f>
      </x:c>
      <x:c r="J24" s="19" t="str">
        <x:f>IFERROR(VLOOKUP(B24,'敌人目录'!$A$6:$S$54,10,FALSE),"")</x:f>
      </x:c>
      <x:c r="K24" s="19" t="str">
        <x:f>IFERROR(VLOOKUP(B24,'敌人目录'!$A$6:$S$54,11,FALSE),"")</x:f>
      </x:c>
      <x:c r="L24" s="19" t="str">
        <x:f>IFERROR(VLOOKUP(B24,'敌人目录'!$A$6:$S$54,12,FALSE),"")</x:f>
      </x:c>
      <x:c r="M24" s="19" t="str">
        <x:f>IFERROR(VLOOKUP(B24,'敌人目录'!$A$6:$S$54,13,FALSE),"")</x:f>
      </x:c>
      <x:c r="N24" s="19" t="str">
        <x:f>IF(B24="","",IF(ISNUMBER(D24),D24,IFERROR(VLOOKUP(B24,'敌人目录'!$A$6:$S$54,14,FALSE),"")))</x:f>
      </x:c>
      <x:c r="O24" s="64" t="str">
        <x:f>IFERROR(VLOOKUP(B24,'敌人目录'!$A$6:$S$54,15,FALSE),"")</x:f>
      </x:c>
      <x:c r="P24" s="19" t="str">
        <x:f>IF(F24="","",F24*G24)</x:f>
      </x:c>
      <x:c r="Q24" s="19" t="str">
        <x:f>IF(F24="","",F24*L24)</x:f>
      </x:c>
      <x:c r="R24" s="19" t="str">
        <x:f>IF(F24="","",F24*N24)</x:f>
      </x:c>
      <x:c r="S24" s="19" t="str">
        <x:f>IF(R24="","",R24*'全局设置'!$B$5)</x:f>
      </x:c>
      <x:c r="T24" s="73" t="str">
        <x:f>IF(F24="","",F24*O24)</x:f>
      </x:c>
      <x:c r="U24" s="19" t="str">
        <x:f>IF(AND(B24="",C24=""),"",IF(B24="","缺少敌人",IF(C24="","缺少数量",IF(OR(C24&lt;1,C24&gt;9999,C24&lt;&gt;INT(C24)),"数量无效",IF(COUNTIF($E$7:$E$24,E24)&gt;1,"重复敌人",IF(AND(ISNUMBER(D24),OR(D24&lt;0,D24&gt;999,D24&lt;&gt;INT(D24))),"奖励无效","可导入"))))))</x:f>
      </x:c>
    </x:row>
    <x:row r="25" ht="22" customHeight="1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</x:row>
    <x:row r="26" ht="22" customHeight="1">
      <x:c r="A26" s="40" t="str">
        <x:v>基础总数</x:v>
      </x:c>
      <x:c r="B26" s="19" t="n">
        <x:f>SUM(C7:C24)</x:f>
        <x:v>0</x:v>
      </x:c>
      <x:c r="C26" s="40" t="str">
        <x:v>实际总数</x:v>
      </x:c>
      <x:c r="D26" s="19" t="n">
        <x:f>SUM(F7:F24)</x:f>
        <x:v>0</x:v>
      </x:c>
      <x:c r="E26" s="40" t="str">
        <x:v>敌人种类</x:v>
      </x:c>
      <x:c r="F26" s="19" t="n">
        <x:f>COUNTA(B7:B24)</x:f>
        <x:v>0</x:v>
      </x:c>
      <x:c r="G26" s="40" t="str">
        <x:v>生命池</x:v>
      </x:c>
      <x:c r="H26" s="19" t="n">
        <x:f>SUM(P7:P24)</x:f>
        <x:v>0</x:v>
      </x:c>
      <x:c r="I26" s="40" t="str">
        <x:v>基础息壤/玩家</x:v>
      </x:c>
      <x:c r="J26" s="19" t="n">
        <x:f>SUM(R7:R24)</x:f>
        <x:v>0</x:v>
      </x:c>
      <x:c r="K26" s="40" t="str">
        <x:v>情景息壤/玩家</x:v>
      </x:c>
      <x:c r="L26" s="19" t="n">
        <x:f>J26*'全局设置'!$B$7*'全局设置'!$F$14</x:f>
        <x:v>0</x:v>
      </x:c>
      <x:c r="M26" s="40" t="str">
        <x:v>情景息壤/队伍</x:v>
      </x:c>
      <x:c r="N26" s="19" t="n">
        <x:f>L26*'全局设置'!$B$5</x:f>
        <x:v>0</x:v>
      </x:c>
      <x:c r="O26" s="40" t="str">
        <x:v>掉落期望</x:v>
      </x:c>
      <x:c r="P26" s="73" t="n">
        <x:f>SUM(T7:T24)</x:f>
        <x:v>0</x:v>
      </x:c>
      <x:c r="Q26" s="40" t="str">
        <x:v>全漏Home伤害</x:v>
      </x:c>
      <x:c r="R26" s="19" t="n">
        <x:f>SUM(Q7:Q24)</x:f>
        <x:v>0</x:v>
      </x:c>
      <x:c r="S26" s="40" t="str">
        <x:v>最短刷完(s)</x:v>
      </x:c>
      <x:c r="T26" s="73" t="n">
        <x:f>IF(D26=0,0,MAX(0,(ROUNDUP(D26/J3,0)-1)*H3))</x:f>
        <x:v>0</x:v>
      </x:c>
      <x:c r="U26" s="31"/>
    </x:row>
    <x:row r="27" ht="22" customHeight="1">
      <x:c r="A27" s="82" t="str">
        <x:v>情景收益 = 最大击杀息壤 × 全局击杀率 × 第4日倍率；最大队伍收益另按玩家人数相乘。</x:v>
      </x:c>
      <x:c r="B27" s="82" t="str">
        <x:v>情景收益 = 最大击杀息壤 × 全局击杀率 × 第4日倍率；最大队伍收益另按玩家人数相乘。</x:v>
      </x:c>
      <x:c r="C27" s="82" t="str">
        <x:v>情景收益 = 最大击杀息壤 × 全局击杀率 × 第4日倍率；最大队伍收益另按玩家人数相乘。</x:v>
      </x:c>
      <x:c r="D27" s="82" t="str">
        <x:v>情景收益 = 最大击杀息壤 × 全局击杀率 × 第4日倍率；最大队伍收益另按玩家人数相乘。</x:v>
      </x:c>
      <x:c r="E27" s="82" t="str">
        <x:v>情景收益 = 最大击杀息壤 × 全局击杀率 × 第4日倍率；最大队伍收益另按玩家人数相乘。</x:v>
      </x:c>
      <x:c r="F27" s="82" t="str">
        <x:v>情景收益 = 最大击杀息壤 × 全局击杀率 × 第4日倍率；最大队伍收益另按玩家人数相乘。</x:v>
      </x:c>
      <x:c r="G27" s="82" t="str">
        <x:v>情景收益 = 最大击杀息壤 × 全局击杀率 × 第4日倍率；最大队伍收益另按玩家人数相乘。</x:v>
      </x:c>
      <x:c r="H27" s="82" t="str">
        <x:v>情景收益 = 最大击杀息壤 × 全局击杀率 × 第4日倍率；最大队伍收益另按玩家人数相乘。</x:v>
      </x:c>
      <x:c r="I27" s="82" t="str">
        <x:v>情景收益 = 最大击杀息壤 × 全局击杀率 × 第4日倍率；最大队伍收益另按玩家人数相乘。</x:v>
      </x:c>
      <x:c r="J27" s="82" t="str">
        <x:v>情景收益 = 最大击杀息壤 × 全局击杀率 × 第4日倍率；最大队伍收益另按玩家人数相乘。</x:v>
      </x:c>
      <x:c r="K27" s="82" t="str">
        <x:v>情景收益 = 最大击杀息壤 × 全局击杀率 × 第4日倍率；最大队伍收益另按玩家人数相乘。</x:v>
      </x:c>
      <x:c r="L27" s="82" t="str">
        <x:v>情景收益 = 最大击杀息壤 × 全局击杀率 × 第4日倍率；最大队伍收益另按玩家人数相乘。</x:v>
      </x:c>
      <x:c r="M27" s="82" t="str">
        <x:v>情景收益 = 最大击杀息壤 × 全局击杀率 × 第4日倍率；最大队伍收益另按玩家人数相乘。</x:v>
      </x:c>
      <x:c r="N27" s="82" t="str">
        <x:v>情景收益 = 最大击杀息壤 × 全局击杀率 × 第4日倍率；最大队伍收益另按玩家人数相乘。</x:v>
      </x:c>
      <x:c r="O27" s="82" t="str">
        <x:v>情景收益 = 最大击杀息壤 × 全局击杀率 × 第4日倍率；最大队伍收益另按玩家人数相乘。</x:v>
      </x:c>
      <x:c r="P27" s="82" t="str">
        <x:v>情景收益 = 最大击杀息壤 × 全局击杀率 × 第4日倍率；最大队伍收益另按玩家人数相乘。</x:v>
      </x:c>
      <x:c r="Q27" s="82" t="str">
        <x:v>情景收益 = 最大击杀息壤 × 全局击杀率 × 第4日倍率；最大队伍收益另按玩家人数相乘。</x:v>
      </x:c>
      <x:c r="R27" s="82" t="str">
        <x:v>情景收益 = 最大击杀息壤 × 全局击杀率 × 第4日倍率；最大队伍收益另按玩家人数相乘。</x:v>
      </x:c>
      <x:c r="S27" s="82" t="str">
        <x:v>情景收益 = 最大击杀息壤 × 全局击杀率 × 第4日倍率；最大队伍收益另按玩家人数相乘。</x:v>
      </x:c>
      <x:c r="T27" s="82" t="str">
        <x:v>情景收益 = 最大击杀息壤 × 全局击杀率 × 第4日倍率；最大队伍收益另按玩家人数相乘。</x:v>
      </x:c>
      <x:c r="U27" s="82" t="str">
        <x:v>情景收益 = 最大击杀息壤 × 全局击杀率 × 第4日倍率；最大队伍收益另按玩家人数相乘。</x:v>
      </x:c>
    </x:row>
    <x:row r="28" ht="22" customHeight="1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</x:row>
    <x:row r="29" ht="22" customHeight="1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</x:row>
    <x:row r="30" ht="22" customHeight="1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</x:row>
    <x:row r="31" ht="22" customHeight="1">
      <x:c r="A31" s="71" t="str">
        <x:v>第 14 波｜第 4 日·2/4｜白昼｜待设计</x:v>
      </x:c>
      <x:c r="B31" s="71" t="str">
        <x:v>第 14 波｜第 4 日·2/4｜白昼｜待设计</x:v>
      </x:c>
      <x:c r="C31" s="71" t="str">
        <x:v>第 14 波｜第 4 日·2/4｜白昼｜待设计</x:v>
      </x:c>
      <x:c r="D31" s="71" t="str">
        <x:v>第 14 波｜第 4 日·2/4｜白昼｜待设计</x:v>
      </x:c>
      <x:c r="E31" s="71" t="str">
        <x:v>第 14 波｜第 4 日·2/4｜白昼｜待设计</x:v>
      </x:c>
      <x:c r="F31" s="71" t="str">
        <x:v>第 14 波｜第 4 日·2/4｜白昼｜待设计</x:v>
      </x:c>
      <x:c r="G31" s="71" t="str">
        <x:v>第 14 波｜第 4 日·2/4｜白昼｜待设计</x:v>
      </x:c>
      <x:c r="H31" s="71" t="str">
        <x:v>第 14 波｜第 4 日·2/4｜白昼｜待设计</x:v>
      </x:c>
      <x:c r="I31" s="71" t="str">
        <x:v>第 14 波｜第 4 日·2/4｜白昼｜待设计</x:v>
      </x:c>
      <x:c r="J31" s="71" t="str">
        <x:v>第 14 波｜第 4 日·2/4｜白昼｜待设计</x:v>
      </x:c>
      <x:c r="K31" s="71" t="str">
        <x:v>第 14 波｜第 4 日·2/4｜白昼｜待设计</x:v>
      </x:c>
      <x:c r="L31" s="71" t="str">
        <x:v>第 14 波｜第 4 日·2/4｜白昼｜待设计</x:v>
      </x:c>
      <x:c r="M31" s="71" t="str">
        <x:v>第 14 波｜第 4 日·2/4｜白昼｜待设计</x:v>
      </x:c>
      <x:c r="N31" s="71" t="str">
        <x:v>第 14 波｜第 4 日·2/4｜白昼｜待设计</x:v>
      </x:c>
      <x:c r="O31" s="71" t="str">
        <x:v>第 14 波｜第 4 日·2/4｜白昼｜待设计</x:v>
      </x:c>
      <x:c r="P31" s="71" t="str">
        <x:v>第 14 波｜第 4 日·2/4｜白昼｜待设计</x:v>
      </x:c>
      <x:c r="Q31" s="71" t="str">
        <x:v>第 14 波｜第 4 日·2/4｜白昼｜待设计</x:v>
      </x:c>
      <x:c r="R31" s="71" t="str">
        <x:v>第 14 波｜第 4 日·2/4｜白昼｜待设计</x:v>
      </x:c>
      <x:c r="S31" s="71" t="str">
        <x:v>第 14 波｜第 4 日·2/4｜白昼｜待设计</x:v>
      </x:c>
      <x:c r="T31" s="71" t="str">
        <x:v>第 14 波｜第 4 日·2/4｜白昼｜待设计</x:v>
      </x:c>
      <x:c r="U31" s="71" t="str">
        <x:v>第 14 波｜第 4 日·2/4｜白昼｜待设计</x:v>
      </x:c>
    </x:row>
    <x:row r="32" ht="22" customHeight="1">
      <x:c r="A32" s="40" t="str">
        <x:v>波次名称</x:v>
      </x:c>
      <x:c r="B32" s="41" t="str">
        <x:v>第14波（待设计）</x:v>
      </x:c>
      <x:c r="C32" s="41" t="str">
        <x:v>第14波（待设计）</x:v>
      </x:c>
      <x:c r="D32" s="41" t="str">
        <x:v>第14波（待设计）</x:v>
      </x:c>
      <x:c r="E32" s="41" t="str">
        <x:v>第14波（待设计）</x:v>
      </x:c>
      <x:c r="F32" s="41" t="str">
        <x:v>第14波（待设计）</x:v>
      </x:c>
      <x:c r="G32" s="40" t="str">
        <x:v>出生间隔(s)</x:v>
      </x:c>
      <x:c r="H32" s="41" t="n">
        <x:v>0.22</x:v>
      </x:c>
      <x:c r="I32" s="40" t="str">
        <x:v>每Tick</x:v>
      </x:c>
      <x:c r="J32" s="41" t="n">
        <x:v>1</x:v>
      </x:c>
      <x:c r="K32" s="40" t="str">
        <x:v>存活上限</x:v>
      </x:c>
      <x:c r="L32" s="41" t="n">
        <x:v>96</x:v>
      </x:c>
      <x:c r="M32" s="40" t="str">
        <x:v>校验</x:v>
      </x:c>
      <x:c r="N32" s="19" t="str">
        <x:f>IF(COUNTA(B36:B53)=0,"待设计",IF(COUNTIF(U36:U53,"可导入")=COUNTA(B36:B53),"可导入","需修正"))</x:f>
        <x:v>待设计</x:v>
      </x:c>
      <x:c r="O32" s="19" t="str"/>
      <x:c r="P32" s="40" t="str">
        <x:v>来源</x:v>
      </x:c>
      <x:c r="Q32" s="19" t="str">
        <x:v>第12波节奏模板 / 敌人留空</x:v>
      </x:c>
      <x:c r="R32" s="19" t="str">
        <x:v>第12波节奏模板 / 敌人留空</x:v>
      </x:c>
      <x:c r="S32" s="19" t="str">
        <x:v>第12波节奏模板 / 敌人留空</x:v>
      </x:c>
      <x:c r="T32" s="19" t="str">
        <x:v>第12波节奏模板 / 敌人留空</x:v>
      </x:c>
      <x:c r="U32" s="19" t="str">
        <x:v>第12波节奏模板 / 敌人留空</x:v>
      </x:c>
    </x:row>
    <x:row r="33" ht="22" customHeight="1">
      <x:c r="A33" s="40" t="str">
        <x:v>出生点</x:v>
      </x:c>
      <x:c r="B33" s="41" t="str">
        <x:v>开启</x:v>
      </x:c>
      <x:c r="C33" s="41" t="str">
        <x:v>开启</x:v>
      </x:c>
      <x:c r="D33" s="41" t="str">
        <x:v>开启</x:v>
      </x:c>
      <x:c r="E33" s="41" t="str">
        <x:v>开启</x:v>
      </x:c>
      <x:c r="F33" s="41" t="str">
        <x:v>开启</x:v>
      </x:c>
      <x:c r="G33" s="41" t="str">
        <x:v>开启</x:v>
      </x:c>
      <x:c r="H33" s="40" t="str">
        <x:v>战斗音乐</x:v>
      </x:c>
      <x:c r="I33" s="19" t="str">
        <x:v>shenmu_town_combat</x:v>
      </x:c>
      <x:c r="J33" s="19" t="str">
        <x:v>shenmu_town_combat</x:v>
      </x:c>
      <x:c r="K33" s="19" t="str">
        <x:v>shenmu_town_combat</x:v>
      </x:c>
      <x:c r="L33" s="19" t="str">
        <x:v>shenmu_town_combat</x:v>
      </x:c>
      <x:c r="M33" s="19" t="str">
        <x:v>shenmu_town_combat</x:v>
      </x:c>
      <x:c r="N33" s="40" t="str">
        <x:v>波后音乐</x:v>
      </x:c>
      <x:c r="O33" s="19" t="str">
        <x:v>shenmu_town_intermission</x:v>
      </x:c>
      <x:c r="P33" s="19" t="str">
        <x:v>shenmu_town_intermission</x:v>
      </x:c>
      <x:c r="Q33" s="19" t="str">
        <x:v>shenmu_town_intermission</x:v>
      </x:c>
      <x:c r="R33" s="19" t="str">
        <x:v>shenmu_town_intermission</x:v>
      </x:c>
      <x:c r="S33" s="19" t="str">
        <x:v>shenmu_town_intermission</x:v>
      </x:c>
      <x:c r="T33" s="19" t="str">
        <x:v>shenmu_town_intermission</x:v>
      </x:c>
      <x:c r="U33" s="19" t="str">
        <x:v>shenmu_town_intermission</x:v>
      </x:c>
    </x:row>
    <x:row r="34" ht="22" customHeight="1">
      <x:c r="A34" s="56" t="str">
        <x:v>蓝色列可编辑。每种敌人一行；若同波重复选择同一稳定 ID，请合并数量。实际数量按当前模拟玩家数逐条向上取整。</x:v>
      </x:c>
      <x:c r="B34" s="56" t="str">
        <x:v>蓝色列可编辑。每种敌人一行；若同波重复选择同一稳定 ID，请合并数量。实际数量按当前模拟玩家数逐条向上取整。</x:v>
      </x:c>
      <x:c r="C34" s="56" t="str">
        <x:v>蓝色列可编辑。每种敌人一行；若同波重复选择同一稳定 ID，请合并数量。实际数量按当前模拟玩家数逐条向上取整。</x:v>
      </x:c>
      <x:c r="D34" s="56" t="str">
        <x:v>蓝色列可编辑。每种敌人一行；若同波重复选择同一稳定 ID，请合并数量。实际数量按当前模拟玩家数逐条向上取整。</x:v>
      </x:c>
      <x:c r="E34" s="56" t="str">
        <x:v>蓝色列可编辑。每种敌人一行；若同波重复选择同一稳定 ID，请合并数量。实际数量按当前模拟玩家数逐条向上取整。</x:v>
      </x:c>
      <x:c r="F34" s="56" t="str">
        <x:v>蓝色列可编辑。每种敌人一行；若同波重复选择同一稳定 ID，请合并数量。实际数量按当前模拟玩家数逐条向上取整。</x:v>
      </x:c>
      <x:c r="G34" s="56" t="str">
        <x:v>蓝色列可编辑。每种敌人一行；若同波重复选择同一稳定 ID，请合并数量。实际数量按当前模拟玩家数逐条向上取整。</x:v>
      </x:c>
      <x:c r="H34" s="56" t="str">
        <x:v>蓝色列可编辑。每种敌人一行；若同波重复选择同一稳定 ID，请合并数量。实际数量按当前模拟玩家数逐条向上取整。</x:v>
      </x:c>
      <x:c r="I34" s="56" t="str">
        <x:v>蓝色列可编辑。每种敌人一行；若同波重复选择同一稳定 ID，请合并数量。实际数量按当前模拟玩家数逐条向上取整。</x:v>
      </x:c>
      <x:c r="J34" s="56" t="str">
        <x:v>蓝色列可编辑。每种敌人一行；若同波重复选择同一稳定 ID，请合并数量。实际数量按当前模拟玩家数逐条向上取整。</x:v>
      </x:c>
      <x:c r="K34" s="56" t="str">
        <x:v>蓝色列可编辑。每种敌人一行；若同波重复选择同一稳定 ID，请合并数量。实际数量按当前模拟玩家数逐条向上取整。</x:v>
      </x:c>
      <x:c r="L34" s="56" t="str">
        <x:v>蓝色列可编辑。每种敌人一行；若同波重复选择同一稳定 ID，请合并数量。实际数量按当前模拟玩家数逐条向上取整。</x:v>
      </x:c>
      <x:c r="M34" s="56" t="str">
        <x:v>蓝色列可编辑。每种敌人一行；若同波重复选择同一稳定 ID，请合并数量。实际数量按当前模拟玩家数逐条向上取整。</x:v>
      </x:c>
      <x:c r="N34" s="56" t="str">
        <x:v>蓝色列可编辑。每种敌人一行；若同波重复选择同一稳定 ID，请合并数量。实际数量按当前模拟玩家数逐条向上取整。</x:v>
      </x:c>
      <x:c r="O34" s="56" t="str">
        <x:v>蓝色列可编辑。每种敌人一行；若同波重复选择同一稳定 ID，请合并数量。实际数量按当前模拟玩家数逐条向上取整。</x:v>
      </x:c>
      <x:c r="P34" s="56" t="str">
        <x:v>蓝色列可编辑。每种敌人一行；若同波重复选择同一稳定 ID，请合并数量。实际数量按当前模拟玩家数逐条向上取整。</x:v>
      </x:c>
      <x:c r="Q34" s="56" t="str">
        <x:v>蓝色列可编辑。每种敌人一行；若同波重复选择同一稳定 ID，请合并数量。实际数量按当前模拟玩家数逐条向上取整。</x:v>
      </x:c>
      <x:c r="R34" s="56" t="str">
        <x:v>蓝色列可编辑。每种敌人一行；若同波重复选择同一稳定 ID，请合并数量。实际数量按当前模拟玩家数逐条向上取整。</x:v>
      </x:c>
      <x:c r="S34" s="56" t="str">
        <x:v>蓝色列可编辑。每种敌人一行；若同波重复选择同一稳定 ID，请合并数量。实际数量按当前模拟玩家数逐条向上取整。</x:v>
      </x:c>
      <x:c r="T34" s="56" t="str">
        <x:v>蓝色列可编辑。每种敌人一行；若同波重复选择同一稳定 ID，请合并数量。实际数量按当前模拟玩家数逐条向上取整。</x:v>
      </x:c>
      <x:c r="U34" s="56" t="str">
        <x:v>蓝色列可编辑。每种敌人一行；若同波重复选择同一稳定 ID，请合并数量。实际数量按当前模拟玩家数逐条向上取整。</x:v>
      </x:c>
    </x:row>
    <x:row r="35" ht="22" customHeight="1">
      <x:c r="A35" s="63" t="str">
        <x:v>槽位</x:v>
      </x:c>
      <x:c r="B35" s="63" t="str">
        <x:v>敌人（下拉选择）</x:v>
      </x:c>
      <x:c r="C35" s="63" t="str">
        <x:v>基础数量</x:v>
      </x:c>
      <x:c r="D35" s="63" t="str">
        <x:v>本波息壤覆盖</x:v>
      </x:c>
      <x:c r="E35" s="63" t="str">
        <x:v>稳定敌人ID</x:v>
      </x:c>
      <x:c r="F35" s="63" t="str">
        <x:v>实际数量</x:v>
      </x:c>
      <x:c r="G35" s="63" t="str">
        <x:v>生命</x:v>
      </x:c>
      <x:c r="H35" s="63" t="str">
        <x:v>攻击</x:v>
      </x:c>
      <x:c r="I35" s="63" t="str">
        <x:v>物理防御</x:v>
      </x:c>
      <x:c r="J35" s="63" t="str">
        <x:v>法术防御</x:v>
      </x:c>
      <x:c r="K35" s="63" t="str">
        <x:v>移速</x:v>
      </x:c>
      <x:c r="L35" s="63" t="str">
        <x:v>Home伤害</x:v>
      </x:c>
      <x:c r="M35" s="63" t="str">
        <x:v>游戏默认息壤</x:v>
      </x:c>
      <x:c r="N35" s="63" t="str">
        <x:v>有效息壤</x:v>
      </x:c>
      <x:c r="O35" s="63" t="str">
        <x:v>掉落期望/击杀</x:v>
      </x:c>
      <x:c r="P35" s="63" t="str">
        <x:v>总生命</x:v>
      </x:c>
      <x:c r="Q35" s="63" t="str">
        <x:v>全漏Home伤害</x:v>
      </x:c>
      <x:c r="R35" s="63" t="str">
        <x:v>最大息壤/玩家</x:v>
      </x:c>
      <x:c r="S35" s="63" t="str">
        <x:v>最大息壤/队伍</x:v>
      </x:c>
      <x:c r="T35" s="63" t="str">
        <x:v>掉落期望</x:v>
      </x:c>
      <x:c r="U35" s="63" t="str">
        <x:v>校验</x:v>
      </x:c>
    </x:row>
    <x:row r="36" ht="22" customHeight="1">
      <x:c r="A36" s="72" t="n">
        <x:v>1</x:v>
      </x:c>
      <x:c r="B36" s="41"/>
      <x:c r="C36" s="41"/>
      <x:c r="D36" s="41"/>
      <x:c r="E36" s="19" t="str">
        <x:f>IFERROR(VLOOKUP(B36,'敌人目录'!$A$6:$S$54,2,FALSE),"")</x:f>
      </x:c>
      <x:c r="F36" s="19" t="str">
        <x:f>IF(OR(B36="",C36=""),"",ROUNDUP(C36*(1+('全局设置'!$B$5-1)*'全局设置'!$B$6),0))</x:f>
      </x:c>
      <x:c r="G36" s="19" t="str">
        <x:f>IFERROR(VLOOKUP(B36,'敌人目录'!$A$6:$S$54,7,FALSE),"")</x:f>
      </x:c>
      <x:c r="H36" s="19" t="str">
        <x:f>IFERROR(VLOOKUP(B36,'敌人目录'!$A$6:$S$54,8,FALSE),"")</x:f>
      </x:c>
      <x:c r="I36" s="19" t="str">
        <x:f>IFERROR(VLOOKUP(B36,'敌人目录'!$A$6:$S$54,9,FALSE),"")</x:f>
      </x:c>
      <x:c r="J36" s="19" t="str">
        <x:f>IFERROR(VLOOKUP(B36,'敌人目录'!$A$6:$S$54,10,FALSE),"")</x:f>
      </x:c>
      <x:c r="K36" s="19" t="str">
        <x:f>IFERROR(VLOOKUP(B36,'敌人目录'!$A$6:$S$54,11,FALSE),"")</x:f>
      </x:c>
      <x:c r="L36" s="19" t="str">
        <x:f>IFERROR(VLOOKUP(B36,'敌人目录'!$A$6:$S$54,12,FALSE),"")</x:f>
      </x:c>
      <x:c r="M36" s="19" t="str">
        <x:f>IFERROR(VLOOKUP(B36,'敌人目录'!$A$6:$S$54,13,FALSE),"")</x:f>
      </x:c>
      <x:c r="N36" s="19" t="str">
        <x:f>IF(B36="","",IF(ISNUMBER(D36),D36,IFERROR(VLOOKUP(B36,'敌人目录'!$A$6:$S$54,14,FALSE),"")))</x:f>
      </x:c>
      <x:c r="O36" s="64" t="str">
        <x:f>IFERROR(VLOOKUP(B36,'敌人目录'!$A$6:$S$54,15,FALSE),"")</x:f>
      </x:c>
      <x:c r="P36" s="19" t="str">
        <x:f>IF(F36="","",F36*G36)</x:f>
      </x:c>
      <x:c r="Q36" s="19" t="str">
        <x:f>IF(F36="","",F36*L36)</x:f>
      </x:c>
      <x:c r="R36" s="19" t="str">
        <x:f>IF(F36="","",F36*N36)</x:f>
      </x:c>
      <x:c r="S36" s="19" t="str">
        <x:f>IF(R36="","",R36*'全局设置'!$B$5)</x:f>
      </x:c>
      <x:c r="T36" s="73" t="str">
        <x:f>IF(F36="","",F36*O36)</x:f>
      </x:c>
      <x:c r="U36" s="19" t="str">
        <x:f>IF(AND(B36="",C36=""),"",IF(B36="","缺少敌人",IF(C36="","缺少数量",IF(OR(C36&lt;1,C36&gt;9999,C36&lt;&gt;INT(C36)),"数量无效",IF(COUNTIF($E$36:$E$53,E36)&gt;1,"重复敌人",IF(AND(ISNUMBER(D36),OR(D36&lt;0,D36&gt;999,D36&lt;&gt;INT(D36))),"奖励无效","可导入"))))))</x:f>
      </x:c>
    </x:row>
    <x:row r="37" ht="22" customHeight="1">
      <x:c r="A37" s="72" t="n">
        <x:v>2</x:v>
      </x:c>
      <x:c r="B37" s="41"/>
      <x:c r="C37" s="41"/>
      <x:c r="D37" s="41"/>
      <x:c r="E37" s="19" t="str">
        <x:f>IFERROR(VLOOKUP(B37,'敌人目录'!$A$6:$S$54,2,FALSE),"")</x:f>
      </x:c>
      <x:c r="F37" s="19" t="str">
        <x:f>IF(OR(B37="",C37=""),"",ROUNDUP(C37*(1+('全局设置'!$B$5-1)*'全局设置'!$B$6),0))</x:f>
      </x:c>
      <x:c r="G37" s="19" t="str">
        <x:f>IFERROR(VLOOKUP(B37,'敌人目录'!$A$6:$S$54,7,FALSE),"")</x:f>
      </x:c>
      <x:c r="H37" s="19" t="str">
        <x:f>IFERROR(VLOOKUP(B37,'敌人目录'!$A$6:$S$54,8,FALSE),"")</x:f>
      </x:c>
      <x:c r="I37" s="19" t="str">
        <x:f>IFERROR(VLOOKUP(B37,'敌人目录'!$A$6:$S$54,9,FALSE),"")</x:f>
      </x:c>
      <x:c r="J37" s="19" t="str">
        <x:f>IFERROR(VLOOKUP(B37,'敌人目录'!$A$6:$S$54,10,FALSE),"")</x:f>
      </x:c>
      <x:c r="K37" s="19" t="str">
        <x:f>IFERROR(VLOOKUP(B37,'敌人目录'!$A$6:$S$54,11,FALSE),"")</x:f>
      </x:c>
      <x:c r="L37" s="19" t="str">
        <x:f>IFERROR(VLOOKUP(B37,'敌人目录'!$A$6:$S$54,12,FALSE),"")</x:f>
      </x:c>
      <x:c r="M37" s="19" t="str">
        <x:f>IFERROR(VLOOKUP(B37,'敌人目录'!$A$6:$S$54,13,FALSE),"")</x:f>
      </x:c>
      <x:c r="N37" s="19" t="str">
        <x:f>IF(B37="","",IF(ISNUMBER(D37),D37,IFERROR(VLOOKUP(B37,'敌人目录'!$A$6:$S$54,14,FALSE),"")))</x:f>
      </x:c>
      <x:c r="O37" s="64" t="str">
        <x:f>IFERROR(VLOOKUP(B37,'敌人目录'!$A$6:$S$54,15,FALSE),"")</x:f>
      </x:c>
      <x:c r="P37" s="19" t="str">
        <x:f>IF(F37="","",F37*G37)</x:f>
      </x:c>
      <x:c r="Q37" s="19" t="str">
        <x:f>IF(F37="","",F37*L37)</x:f>
      </x:c>
      <x:c r="R37" s="19" t="str">
        <x:f>IF(F37="","",F37*N37)</x:f>
      </x:c>
      <x:c r="S37" s="19" t="str">
        <x:f>IF(R37="","",R37*'全局设置'!$B$5)</x:f>
      </x:c>
      <x:c r="T37" s="73" t="str">
        <x:f>IF(F37="","",F37*O37)</x:f>
      </x:c>
      <x:c r="U37" s="19" t="str">
        <x:f>IF(AND(B37="",C37=""),"",IF(B37="","缺少敌人",IF(C37="","缺少数量",IF(OR(C37&lt;1,C37&gt;9999,C37&lt;&gt;INT(C37)),"数量无效",IF(COUNTIF($E$36:$E$53,E37)&gt;1,"重复敌人",IF(AND(ISNUMBER(D37),OR(D37&lt;0,D37&gt;999,D37&lt;&gt;INT(D37))),"奖励无效","可导入"))))))</x:f>
      </x:c>
    </x:row>
    <x:row r="38" ht="22" customHeight="1">
      <x:c r="A38" s="72" t="n">
        <x:v>3</x:v>
      </x:c>
      <x:c r="B38" s="41"/>
      <x:c r="C38" s="41"/>
      <x:c r="D38" s="41"/>
      <x:c r="E38" s="19" t="str">
        <x:f>IFERROR(VLOOKUP(B38,'敌人目录'!$A$6:$S$54,2,FALSE),"")</x:f>
      </x:c>
      <x:c r="F38" s="19" t="str">
        <x:f>IF(OR(B38="",C38=""),"",ROUNDUP(C38*(1+('全局设置'!$B$5-1)*'全局设置'!$B$6),0))</x:f>
      </x:c>
      <x:c r="G38" s="19" t="str">
        <x:f>IFERROR(VLOOKUP(B38,'敌人目录'!$A$6:$S$54,7,FALSE),"")</x:f>
      </x:c>
      <x:c r="H38" s="19" t="str">
        <x:f>IFERROR(VLOOKUP(B38,'敌人目录'!$A$6:$S$54,8,FALSE),"")</x:f>
      </x:c>
      <x:c r="I38" s="19" t="str">
        <x:f>IFERROR(VLOOKUP(B38,'敌人目录'!$A$6:$S$54,9,FALSE),"")</x:f>
      </x:c>
      <x:c r="J38" s="19" t="str">
        <x:f>IFERROR(VLOOKUP(B38,'敌人目录'!$A$6:$S$54,10,FALSE),"")</x:f>
      </x:c>
      <x:c r="K38" s="19" t="str">
        <x:f>IFERROR(VLOOKUP(B38,'敌人目录'!$A$6:$S$54,11,FALSE),"")</x:f>
      </x:c>
      <x:c r="L38" s="19" t="str">
        <x:f>IFERROR(VLOOKUP(B38,'敌人目录'!$A$6:$S$54,12,FALSE),"")</x:f>
      </x:c>
      <x:c r="M38" s="19" t="str">
        <x:f>IFERROR(VLOOKUP(B38,'敌人目录'!$A$6:$S$54,13,FALSE),"")</x:f>
      </x:c>
      <x:c r="N38" s="19" t="str">
        <x:f>IF(B38="","",IF(ISNUMBER(D38),D38,IFERROR(VLOOKUP(B38,'敌人目录'!$A$6:$S$54,14,FALSE),"")))</x:f>
      </x:c>
      <x:c r="O38" s="64" t="str">
        <x:f>IFERROR(VLOOKUP(B38,'敌人目录'!$A$6:$S$54,15,FALSE),"")</x:f>
      </x:c>
      <x:c r="P38" s="19" t="str">
        <x:f>IF(F38="","",F38*G38)</x:f>
      </x:c>
      <x:c r="Q38" s="19" t="str">
        <x:f>IF(F38="","",F38*L38)</x:f>
      </x:c>
      <x:c r="R38" s="19" t="str">
        <x:f>IF(F38="","",F38*N38)</x:f>
      </x:c>
      <x:c r="S38" s="19" t="str">
        <x:f>IF(R38="","",R38*'全局设置'!$B$5)</x:f>
      </x:c>
      <x:c r="T38" s="73" t="str">
        <x:f>IF(F38="","",F38*O38)</x:f>
      </x:c>
      <x:c r="U38" s="19" t="str">
        <x:f>IF(AND(B38="",C38=""),"",IF(B38="","缺少敌人",IF(C38="","缺少数量",IF(OR(C38&lt;1,C38&gt;9999,C38&lt;&gt;INT(C38)),"数量无效",IF(COUNTIF($E$36:$E$53,E38)&gt;1,"重复敌人",IF(AND(ISNUMBER(D38),OR(D38&lt;0,D38&gt;999,D38&lt;&gt;INT(D38))),"奖励无效","可导入"))))))</x:f>
      </x:c>
    </x:row>
    <x:row r="39" ht="22" customHeight="1">
      <x:c r="A39" s="72" t="n">
        <x:v>4</x:v>
      </x:c>
      <x:c r="B39" s="41"/>
      <x:c r="C39" s="41"/>
      <x:c r="D39" s="41"/>
      <x:c r="E39" s="19" t="str">
        <x:f>IFERROR(VLOOKUP(B39,'敌人目录'!$A$6:$S$54,2,FALSE),"")</x:f>
      </x:c>
      <x:c r="F39" s="19" t="str">
        <x:f>IF(OR(B39="",C39=""),"",ROUNDUP(C39*(1+('全局设置'!$B$5-1)*'全局设置'!$B$6),0))</x:f>
      </x:c>
      <x:c r="G39" s="19" t="str">
        <x:f>IFERROR(VLOOKUP(B39,'敌人目录'!$A$6:$S$54,7,FALSE),"")</x:f>
      </x:c>
      <x:c r="H39" s="19" t="str">
        <x:f>IFERROR(VLOOKUP(B39,'敌人目录'!$A$6:$S$54,8,FALSE),"")</x:f>
      </x:c>
      <x:c r="I39" s="19" t="str">
        <x:f>IFERROR(VLOOKUP(B39,'敌人目录'!$A$6:$S$54,9,FALSE),"")</x:f>
      </x:c>
      <x:c r="J39" s="19" t="str">
        <x:f>IFERROR(VLOOKUP(B39,'敌人目录'!$A$6:$S$54,10,FALSE),"")</x:f>
      </x:c>
      <x:c r="K39" s="19" t="str">
        <x:f>IFERROR(VLOOKUP(B39,'敌人目录'!$A$6:$S$54,11,FALSE),"")</x:f>
      </x:c>
      <x:c r="L39" s="19" t="str">
        <x:f>IFERROR(VLOOKUP(B39,'敌人目录'!$A$6:$S$54,12,FALSE),"")</x:f>
      </x:c>
      <x:c r="M39" s="19" t="str">
        <x:f>IFERROR(VLOOKUP(B39,'敌人目录'!$A$6:$S$54,13,FALSE),"")</x:f>
      </x:c>
      <x:c r="N39" s="19" t="str">
        <x:f>IF(B39="","",IF(ISNUMBER(D39),D39,IFERROR(VLOOKUP(B39,'敌人目录'!$A$6:$S$54,14,FALSE),"")))</x:f>
      </x:c>
      <x:c r="O39" s="64" t="str">
        <x:f>IFERROR(VLOOKUP(B39,'敌人目录'!$A$6:$S$54,15,FALSE),"")</x:f>
      </x:c>
      <x:c r="P39" s="19" t="str">
        <x:f>IF(F39="","",F39*G39)</x:f>
      </x:c>
      <x:c r="Q39" s="19" t="str">
        <x:f>IF(F39="","",F39*L39)</x:f>
      </x:c>
      <x:c r="R39" s="19" t="str">
        <x:f>IF(F39="","",F39*N39)</x:f>
      </x:c>
      <x:c r="S39" s="19" t="str">
        <x:f>IF(R39="","",R39*'全局设置'!$B$5)</x:f>
      </x:c>
      <x:c r="T39" s="73" t="str">
        <x:f>IF(F39="","",F39*O39)</x:f>
      </x:c>
      <x:c r="U39" s="19" t="str">
        <x:f>IF(AND(B39="",C39=""),"",IF(B39="","缺少敌人",IF(C39="","缺少数量",IF(OR(C39&lt;1,C39&gt;9999,C39&lt;&gt;INT(C39)),"数量无效",IF(COUNTIF($E$36:$E$53,E39)&gt;1,"重复敌人",IF(AND(ISNUMBER(D39),OR(D39&lt;0,D39&gt;999,D39&lt;&gt;INT(D39))),"奖励无效","可导入"))))))</x:f>
      </x:c>
    </x:row>
    <x:row r="40" ht="22" customHeight="1">
      <x:c r="A40" s="72" t="n">
        <x:v>5</x:v>
      </x:c>
      <x:c r="B40" s="41"/>
      <x:c r="C40" s="41"/>
      <x:c r="D40" s="41"/>
      <x:c r="E40" s="19" t="str">
        <x:f>IFERROR(VLOOKUP(B40,'敌人目录'!$A$6:$S$54,2,FALSE),"")</x:f>
      </x:c>
      <x:c r="F40" s="19" t="str">
        <x:f>IF(OR(B40="",C40=""),"",ROUNDUP(C40*(1+('全局设置'!$B$5-1)*'全局设置'!$B$6),0))</x:f>
      </x:c>
      <x:c r="G40" s="19" t="str">
        <x:f>IFERROR(VLOOKUP(B40,'敌人目录'!$A$6:$S$54,7,FALSE),"")</x:f>
      </x:c>
      <x:c r="H40" s="19" t="str">
        <x:f>IFERROR(VLOOKUP(B40,'敌人目录'!$A$6:$S$54,8,FALSE),"")</x:f>
      </x:c>
      <x:c r="I40" s="19" t="str">
        <x:f>IFERROR(VLOOKUP(B40,'敌人目录'!$A$6:$S$54,9,FALSE),"")</x:f>
      </x:c>
      <x:c r="J40" s="19" t="str">
        <x:f>IFERROR(VLOOKUP(B40,'敌人目录'!$A$6:$S$54,10,FALSE),"")</x:f>
      </x:c>
      <x:c r="K40" s="19" t="str">
        <x:f>IFERROR(VLOOKUP(B40,'敌人目录'!$A$6:$S$54,11,FALSE),"")</x:f>
      </x:c>
      <x:c r="L40" s="19" t="str">
        <x:f>IFERROR(VLOOKUP(B40,'敌人目录'!$A$6:$S$54,12,FALSE),"")</x:f>
      </x:c>
      <x:c r="M40" s="19" t="str">
        <x:f>IFERROR(VLOOKUP(B40,'敌人目录'!$A$6:$S$54,13,FALSE),"")</x:f>
      </x:c>
      <x:c r="N40" s="19" t="str">
        <x:f>IF(B40="","",IF(ISNUMBER(D40),D40,IFERROR(VLOOKUP(B40,'敌人目录'!$A$6:$S$54,14,FALSE),"")))</x:f>
      </x:c>
      <x:c r="O40" s="64" t="str">
        <x:f>IFERROR(VLOOKUP(B40,'敌人目录'!$A$6:$S$54,15,FALSE),"")</x:f>
      </x:c>
      <x:c r="P40" s="19" t="str">
        <x:f>IF(F40="","",F40*G40)</x:f>
      </x:c>
      <x:c r="Q40" s="19" t="str">
        <x:f>IF(F40="","",F40*L40)</x:f>
      </x:c>
      <x:c r="R40" s="19" t="str">
        <x:f>IF(F40="","",F40*N40)</x:f>
      </x:c>
      <x:c r="S40" s="19" t="str">
        <x:f>IF(R40="","",R40*'全局设置'!$B$5)</x:f>
      </x:c>
      <x:c r="T40" s="73" t="str">
        <x:f>IF(F40="","",F40*O40)</x:f>
      </x:c>
      <x:c r="U40" s="19" t="str">
        <x:f>IF(AND(B40="",C40=""),"",IF(B40="","缺少敌人",IF(C40="","缺少数量",IF(OR(C40&lt;1,C40&gt;9999,C40&lt;&gt;INT(C40)),"数量无效",IF(COUNTIF($E$36:$E$53,E40)&gt;1,"重复敌人",IF(AND(ISNUMBER(D40),OR(D40&lt;0,D40&gt;999,D40&lt;&gt;INT(D40))),"奖励无效","可导入"))))))</x:f>
      </x:c>
    </x:row>
    <x:row r="41" ht="22" customHeight="1">
      <x:c r="A41" s="72" t="n">
        <x:v>6</x:v>
      </x:c>
      <x:c r="B41" s="41"/>
      <x:c r="C41" s="41"/>
      <x:c r="D41" s="41"/>
      <x:c r="E41" s="19" t="str">
        <x:f>IFERROR(VLOOKUP(B41,'敌人目录'!$A$6:$S$54,2,FALSE),"")</x:f>
      </x:c>
      <x:c r="F41" s="19" t="str">
        <x:f>IF(OR(B41="",C41=""),"",ROUNDUP(C41*(1+('全局设置'!$B$5-1)*'全局设置'!$B$6),0))</x:f>
      </x:c>
      <x:c r="G41" s="19" t="str">
        <x:f>IFERROR(VLOOKUP(B41,'敌人目录'!$A$6:$S$54,7,FALSE),"")</x:f>
      </x:c>
      <x:c r="H41" s="19" t="str">
        <x:f>IFERROR(VLOOKUP(B41,'敌人目录'!$A$6:$S$54,8,FALSE),"")</x:f>
      </x:c>
      <x:c r="I41" s="19" t="str">
        <x:f>IFERROR(VLOOKUP(B41,'敌人目录'!$A$6:$S$54,9,FALSE),"")</x:f>
      </x:c>
      <x:c r="J41" s="19" t="str">
        <x:f>IFERROR(VLOOKUP(B41,'敌人目录'!$A$6:$S$54,10,FALSE),"")</x:f>
      </x:c>
      <x:c r="K41" s="19" t="str">
        <x:f>IFERROR(VLOOKUP(B41,'敌人目录'!$A$6:$S$54,11,FALSE),"")</x:f>
      </x:c>
      <x:c r="L41" s="19" t="str">
        <x:f>IFERROR(VLOOKUP(B41,'敌人目录'!$A$6:$S$54,12,FALSE),"")</x:f>
      </x:c>
      <x:c r="M41" s="19" t="str">
        <x:f>IFERROR(VLOOKUP(B41,'敌人目录'!$A$6:$S$54,13,FALSE),"")</x:f>
      </x:c>
      <x:c r="N41" s="19" t="str">
        <x:f>IF(B41="","",IF(ISNUMBER(D41),D41,IFERROR(VLOOKUP(B41,'敌人目录'!$A$6:$S$54,14,FALSE),"")))</x:f>
      </x:c>
      <x:c r="O41" s="64" t="str">
        <x:f>IFERROR(VLOOKUP(B41,'敌人目录'!$A$6:$S$54,15,FALSE),"")</x:f>
      </x:c>
      <x:c r="P41" s="19" t="str">
        <x:f>IF(F41="","",F41*G41)</x:f>
      </x:c>
      <x:c r="Q41" s="19" t="str">
        <x:f>IF(F41="","",F41*L41)</x:f>
      </x:c>
      <x:c r="R41" s="19" t="str">
        <x:f>IF(F41="","",F41*N41)</x:f>
      </x:c>
      <x:c r="S41" s="19" t="str">
        <x:f>IF(R41="","",R41*'全局设置'!$B$5)</x:f>
      </x:c>
      <x:c r="T41" s="73" t="str">
        <x:f>IF(F41="","",F41*O41)</x:f>
      </x:c>
      <x:c r="U41" s="19" t="str">
        <x:f>IF(AND(B41="",C41=""),"",IF(B41="","缺少敌人",IF(C41="","缺少数量",IF(OR(C41&lt;1,C41&gt;9999,C41&lt;&gt;INT(C41)),"数量无效",IF(COUNTIF($E$36:$E$53,E41)&gt;1,"重复敌人",IF(AND(ISNUMBER(D41),OR(D41&lt;0,D41&gt;999,D41&lt;&gt;INT(D41))),"奖励无效","可导入"))))))</x:f>
      </x:c>
    </x:row>
    <x:row r="42" ht="22" customHeight="1">
      <x:c r="A42" s="72" t="n">
        <x:v>7</x:v>
      </x:c>
      <x:c r="B42" s="41"/>
      <x:c r="C42" s="41"/>
      <x:c r="D42" s="41"/>
      <x:c r="E42" s="19" t="str">
        <x:f>IFERROR(VLOOKUP(B42,'敌人目录'!$A$6:$S$54,2,FALSE),"")</x:f>
      </x:c>
      <x:c r="F42" s="19" t="str">
        <x:f>IF(OR(B42="",C42=""),"",ROUNDUP(C42*(1+('全局设置'!$B$5-1)*'全局设置'!$B$6),0))</x:f>
      </x:c>
      <x:c r="G42" s="19" t="str">
        <x:f>IFERROR(VLOOKUP(B42,'敌人目录'!$A$6:$S$54,7,FALSE),"")</x:f>
      </x:c>
      <x:c r="H42" s="19" t="str">
        <x:f>IFERROR(VLOOKUP(B42,'敌人目录'!$A$6:$S$54,8,FALSE),"")</x:f>
      </x:c>
      <x:c r="I42" s="19" t="str">
        <x:f>IFERROR(VLOOKUP(B42,'敌人目录'!$A$6:$S$54,9,FALSE),"")</x:f>
      </x:c>
      <x:c r="J42" s="19" t="str">
        <x:f>IFERROR(VLOOKUP(B42,'敌人目录'!$A$6:$S$54,10,FALSE),"")</x:f>
      </x:c>
      <x:c r="K42" s="19" t="str">
        <x:f>IFERROR(VLOOKUP(B42,'敌人目录'!$A$6:$S$54,11,FALSE),"")</x:f>
      </x:c>
      <x:c r="L42" s="19" t="str">
        <x:f>IFERROR(VLOOKUP(B42,'敌人目录'!$A$6:$S$54,12,FALSE),"")</x:f>
      </x:c>
      <x:c r="M42" s="19" t="str">
        <x:f>IFERROR(VLOOKUP(B42,'敌人目录'!$A$6:$S$54,13,FALSE),"")</x:f>
      </x:c>
      <x:c r="N42" s="19" t="str">
        <x:f>IF(B42="","",IF(ISNUMBER(D42),D42,IFERROR(VLOOKUP(B42,'敌人目录'!$A$6:$S$54,14,FALSE),"")))</x:f>
      </x:c>
      <x:c r="O42" s="64" t="str">
        <x:f>IFERROR(VLOOKUP(B42,'敌人目录'!$A$6:$S$54,15,FALSE),"")</x:f>
      </x:c>
      <x:c r="P42" s="19" t="str">
        <x:f>IF(F42="","",F42*G42)</x:f>
      </x:c>
      <x:c r="Q42" s="19" t="str">
        <x:f>IF(F42="","",F42*L42)</x:f>
      </x:c>
      <x:c r="R42" s="19" t="str">
        <x:f>IF(F42="","",F42*N42)</x:f>
      </x:c>
      <x:c r="S42" s="19" t="str">
        <x:f>IF(R42="","",R42*'全局设置'!$B$5)</x:f>
      </x:c>
      <x:c r="T42" s="73" t="str">
        <x:f>IF(F42="","",F42*O42)</x:f>
      </x:c>
      <x:c r="U42" s="19" t="str">
        <x:f>IF(AND(B42="",C42=""),"",IF(B42="","缺少敌人",IF(C42="","缺少数量",IF(OR(C42&lt;1,C42&gt;9999,C42&lt;&gt;INT(C42)),"数量无效",IF(COUNTIF($E$36:$E$53,E42)&gt;1,"重复敌人",IF(AND(ISNUMBER(D42),OR(D42&lt;0,D42&gt;999,D42&lt;&gt;INT(D42))),"奖励无效","可导入"))))))</x:f>
      </x:c>
    </x:row>
    <x:row r="43" ht="22" customHeight="1">
      <x:c r="A43" s="72" t="n">
        <x:v>8</x:v>
      </x:c>
      <x:c r="B43" s="41"/>
      <x:c r="C43" s="41"/>
      <x:c r="D43" s="41"/>
      <x:c r="E43" s="19" t="str">
        <x:f>IFERROR(VLOOKUP(B43,'敌人目录'!$A$6:$S$54,2,FALSE),"")</x:f>
      </x:c>
      <x:c r="F43" s="19" t="str">
        <x:f>IF(OR(B43="",C43=""),"",ROUNDUP(C43*(1+('全局设置'!$B$5-1)*'全局设置'!$B$6),0))</x:f>
      </x:c>
      <x:c r="G43" s="19" t="str">
        <x:f>IFERROR(VLOOKUP(B43,'敌人目录'!$A$6:$S$54,7,FALSE),"")</x:f>
      </x:c>
      <x:c r="H43" s="19" t="str">
        <x:f>IFERROR(VLOOKUP(B43,'敌人目录'!$A$6:$S$54,8,FALSE),"")</x:f>
      </x:c>
      <x:c r="I43" s="19" t="str">
        <x:f>IFERROR(VLOOKUP(B43,'敌人目录'!$A$6:$S$54,9,FALSE),"")</x:f>
      </x:c>
      <x:c r="J43" s="19" t="str">
        <x:f>IFERROR(VLOOKUP(B43,'敌人目录'!$A$6:$S$54,10,FALSE),"")</x:f>
      </x:c>
      <x:c r="K43" s="19" t="str">
        <x:f>IFERROR(VLOOKUP(B43,'敌人目录'!$A$6:$S$54,11,FALSE),"")</x:f>
      </x:c>
      <x:c r="L43" s="19" t="str">
        <x:f>IFERROR(VLOOKUP(B43,'敌人目录'!$A$6:$S$54,12,FALSE),"")</x:f>
      </x:c>
      <x:c r="M43" s="19" t="str">
        <x:f>IFERROR(VLOOKUP(B43,'敌人目录'!$A$6:$S$54,13,FALSE),"")</x:f>
      </x:c>
      <x:c r="N43" s="19" t="str">
        <x:f>IF(B43="","",IF(ISNUMBER(D43),D43,IFERROR(VLOOKUP(B43,'敌人目录'!$A$6:$S$54,14,FALSE),"")))</x:f>
      </x:c>
      <x:c r="O43" s="64" t="str">
        <x:f>IFERROR(VLOOKUP(B43,'敌人目录'!$A$6:$S$54,15,FALSE),"")</x:f>
      </x:c>
      <x:c r="P43" s="19" t="str">
        <x:f>IF(F43="","",F43*G43)</x:f>
      </x:c>
      <x:c r="Q43" s="19" t="str">
        <x:f>IF(F43="","",F43*L43)</x:f>
      </x:c>
      <x:c r="R43" s="19" t="str">
        <x:f>IF(F43="","",F43*N43)</x:f>
      </x:c>
      <x:c r="S43" s="19" t="str">
        <x:f>IF(R43="","",R43*'全局设置'!$B$5)</x:f>
      </x:c>
      <x:c r="T43" s="73" t="str">
        <x:f>IF(F43="","",F43*O43)</x:f>
      </x:c>
      <x:c r="U43" s="19" t="str">
        <x:f>IF(AND(B43="",C43=""),"",IF(B43="","缺少敌人",IF(C43="","缺少数量",IF(OR(C43&lt;1,C43&gt;9999,C43&lt;&gt;INT(C43)),"数量无效",IF(COUNTIF($E$36:$E$53,E43)&gt;1,"重复敌人",IF(AND(ISNUMBER(D43),OR(D43&lt;0,D43&gt;999,D43&lt;&gt;INT(D43))),"奖励无效","可导入"))))))</x:f>
      </x:c>
    </x:row>
    <x:row r="44" ht="22" customHeight="1">
      <x:c r="A44" s="72" t="n">
        <x:v>9</x:v>
      </x:c>
      <x:c r="B44" s="41"/>
      <x:c r="C44" s="41"/>
      <x:c r="D44" s="41"/>
      <x:c r="E44" s="19" t="str">
        <x:f>IFERROR(VLOOKUP(B44,'敌人目录'!$A$6:$S$54,2,FALSE),"")</x:f>
      </x:c>
      <x:c r="F44" s="19" t="str">
        <x:f>IF(OR(B44="",C44=""),"",ROUNDUP(C44*(1+('全局设置'!$B$5-1)*'全局设置'!$B$6),0))</x:f>
      </x:c>
      <x:c r="G44" s="19" t="str">
        <x:f>IFERROR(VLOOKUP(B44,'敌人目录'!$A$6:$S$54,7,FALSE),"")</x:f>
      </x:c>
      <x:c r="H44" s="19" t="str">
        <x:f>IFERROR(VLOOKUP(B44,'敌人目录'!$A$6:$S$54,8,FALSE),"")</x:f>
      </x:c>
      <x:c r="I44" s="19" t="str">
        <x:f>IFERROR(VLOOKUP(B44,'敌人目录'!$A$6:$S$54,9,FALSE),"")</x:f>
      </x:c>
      <x:c r="J44" s="19" t="str">
        <x:f>IFERROR(VLOOKUP(B44,'敌人目录'!$A$6:$S$54,10,FALSE),"")</x:f>
      </x:c>
      <x:c r="K44" s="19" t="str">
        <x:f>IFERROR(VLOOKUP(B44,'敌人目录'!$A$6:$S$54,11,FALSE),"")</x:f>
      </x:c>
      <x:c r="L44" s="19" t="str">
        <x:f>IFERROR(VLOOKUP(B44,'敌人目录'!$A$6:$S$54,12,FALSE),"")</x:f>
      </x:c>
      <x:c r="M44" s="19" t="str">
        <x:f>IFERROR(VLOOKUP(B44,'敌人目录'!$A$6:$S$54,13,FALSE),"")</x:f>
      </x:c>
      <x:c r="N44" s="19" t="str">
        <x:f>IF(B44="","",IF(ISNUMBER(D44),D44,IFERROR(VLOOKUP(B44,'敌人目录'!$A$6:$S$54,14,FALSE),"")))</x:f>
      </x:c>
      <x:c r="O44" s="64" t="str">
        <x:f>IFERROR(VLOOKUP(B44,'敌人目录'!$A$6:$S$54,15,FALSE),"")</x:f>
      </x:c>
      <x:c r="P44" s="19" t="str">
        <x:f>IF(F44="","",F44*G44)</x:f>
      </x:c>
      <x:c r="Q44" s="19" t="str">
        <x:f>IF(F44="","",F44*L44)</x:f>
      </x:c>
      <x:c r="R44" s="19" t="str">
        <x:f>IF(F44="","",F44*N44)</x:f>
      </x:c>
      <x:c r="S44" s="19" t="str">
        <x:f>IF(R44="","",R44*'全局设置'!$B$5)</x:f>
      </x:c>
      <x:c r="T44" s="73" t="str">
        <x:f>IF(F44="","",F44*O44)</x:f>
      </x:c>
      <x:c r="U44" s="19" t="str">
        <x:f>IF(AND(B44="",C44=""),"",IF(B44="","缺少敌人",IF(C44="","缺少数量",IF(OR(C44&lt;1,C44&gt;9999,C44&lt;&gt;INT(C44)),"数量无效",IF(COUNTIF($E$36:$E$53,E44)&gt;1,"重复敌人",IF(AND(ISNUMBER(D44),OR(D44&lt;0,D44&gt;999,D44&lt;&gt;INT(D44))),"奖励无效","可导入"))))))</x:f>
      </x:c>
    </x:row>
    <x:row r="45" ht="22" customHeight="1">
      <x:c r="A45" s="72" t="n">
        <x:v>10</x:v>
      </x:c>
      <x:c r="B45" s="41"/>
      <x:c r="C45" s="41"/>
      <x:c r="D45" s="41"/>
      <x:c r="E45" s="19" t="str">
        <x:f>IFERROR(VLOOKUP(B45,'敌人目录'!$A$6:$S$54,2,FALSE),"")</x:f>
      </x:c>
      <x:c r="F45" s="19" t="str">
        <x:f>IF(OR(B45="",C45=""),"",ROUNDUP(C45*(1+('全局设置'!$B$5-1)*'全局设置'!$B$6),0))</x:f>
      </x:c>
      <x:c r="G45" s="19" t="str">
        <x:f>IFERROR(VLOOKUP(B45,'敌人目录'!$A$6:$S$54,7,FALSE),"")</x:f>
      </x:c>
      <x:c r="H45" s="19" t="str">
        <x:f>IFERROR(VLOOKUP(B45,'敌人目录'!$A$6:$S$54,8,FALSE),"")</x:f>
      </x:c>
      <x:c r="I45" s="19" t="str">
        <x:f>IFERROR(VLOOKUP(B45,'敌人目录'!$A$6:$S$54,9,FALSE),"")</x:f>
      </x:c>
      <x:c r="J45" s="19" t="str">
        <x:f>IFERROR(VLOOKUP(B45,'敌人目录'!$A$6:$S$54,10,FALSE),"")</x:f>
      </x:c>
      <x:c r="K45" s="19" t="str">
        <x:f>IFERROR(VLOOKUP(B45,'敌人目录'!$A$6:$S$54,11,FALSE),"")</x:f>
      </x:c>
      <x:c r="L45" s="19" t="str">
        <x:f>IFERROR(VLOOKUP(B45,'敌人目录'!$A$6:$S$54,12,FALSE),"")</x:f>
      </x:c>
      <x:c r="M45" s="19" t="str">
        <x:f>IFERROR(VLOOKUP(B45,'敌人目录'!$A$6:$S$54,13,FALSE),"")</x:f>
      </x:c>
      <x:c r="N45" s="19" t="str">
        <x:f>IF(B45="","",IF(ISNUMBER(D45),D45,IFERROR(VLOOKUP(B45,'敌人目录'!$A$6:$S$54,14,FALSE),"")))</x:f>
      </x:c>
      <x:c r="O45" s="64" t="str">
        <x:f>IFERROR(VLOOKUP(B45,'敌人目录'!$A$6:$S$54,15,FALSE),"")</x:f>
      </x:c>
      <x:c r="P45" s="19" t="str">
        <x:f>IF(F45="","",F45*G45)</x:f>
      </x:c>
      <x:c r="Q45" s="19" t="str">
        <x:f>IF(F45="","",F45*L45)</x:f>
      </x:c>
      <x:c r="R45" s="19" t="str">
        <x:f>IF(F45="","",F45*N45)</x:f>
      </x:c>
      <x:c r="S45" s="19" t="str">
        <x:f>IF(R45="","",R45*'全局设置'!$B$5)</x:f>
      </x:c>
      <x:c r="T45" s="73" t="str">
        <x:f>IF(F45="","",F45*O45)</x:f>
      </x:c>
      <x:c r="U45" s="19" t="str">
        <x:f>IF(AND(B45="",C45=""),"",IF(B45="","缺少敌人",IF(C45="","缺少数量",IF(OR(C45&lt;1,C45&gt;9999,C45&lt;&gt;INT(C45)),"数量无效",IF(COUNTIF($E$36:$E$53,E45)&gt;1,"重复敌人",IF(AND(ISNUMBER(D45),OR(D45&lt;0,D45&gt;999,D45&lt;&gt;INT(D45))),"奖励无效","可导入"))))))</x:f>
      </x:c>
    </x:row>
    <x:row r="46" ht="22" customHeight="1">
      <x:c r="A46" s="72" t="n">
        <x:v>11</x:v>
      </x:c>
      <x:c r="B46" s="41"/>
      <x:c r="C46" s="41"/>
      <x:c r="D46" s="41"/>
      <x:c r="E46" s="19" t="str">
        <x:f>IFERROR(VLOOKUP(B46,'敌人目录'!$A$6:$S$54,2,FALSE),"")</x:f>
      </x:c>
      <x:c r="F46" s="19" t="str">
        <x:f>IF(OR(B46="",C46=""),"",ROUNDUP(C46*(1+('全局设置'!$B$5-1)*'全局设置'!$B$6),0))</x:f>
      </x:c>
      <x:c r="G46" s="19" t="str">
        <x:f>IFERROR(VLOOKUP(B46,'敌人目录'!$A$6:$S$54,7,FALSE),"")</x:f>
      </x:c>
      <x:c r="H46" s="19" t="str">
        <x:f>IFERROR(VLOOKUP(B46,'敌人目录'!$A$6:$S$54,8,FALSE),"")</x:f>
      </x:c>
      <x:c r="I46" s="19" t="str">
        <x:f>IFERROR(VLOOKUP(B46,'敌人目录'!$A$6:$S$54,9,FALSE),"")</x:f>
      </x:c>
      <x:c r="J46" s="19" t="str">
        <x:f>IFERROR(VLOOKUP(B46,'敌人目录'!$A$6:$S$54,10,FALSE),"")</x:f>
      </x:c>
      <x:c r="K46" s="19" t="str">
        <x:f>IFERROR(VLOOKUP(B46,'敌人目录'!$A$6:$S$54,11,FALSE),"")</x:f>
      </x:c>
      <x:c r="L46" s="19" t="str">
        <x:f>IFERROR(VLOOKUP(B46,'敌人目录'!$A$6:$S$54,12,FALSE),"")</x:f>
      </x:c>
      <x:c r="M46" s="19" t="str">
        <x:f>IFERROR(VLOOKUP(B46,'敌人目录'!$A$6:$S$54,13,FALSE),"")</x:f>
      </x:c>
      <x:c r="N46" s="19" t="str">
        <x:f>IF(B46="","",IF(ISNUMBER(D46),D46,IFERROR(VLOOKUP(B46,'敌人目录'!$A$6:$S$54,14,FALSE),"")))</x:f>
      </x:c>
      <x:c r="O46" s="64" t="str">
        <x:f>IFERROR(VLOOKUP(B46,'敌人目录'!$A$6:$S$54,15,FALSE),"")</x:f>
      </x:c>
      <x:c r="P46" s="19" t="str">
        <x:f>IF(F46="","",F46*G46)</x:f>
      </x:c>
      <x:c r="Q46" s="19" t="str">
        <x:f>IF(F46="","",F46*L46)</x:f>
      </x:c>
      <x:c r="R46" s="19" t="str">
        <x:f>IF(F46="","",F46*N46)</x:f>
      </x:c>
      <x:c r="S46" s="19" t="str">
        <x:f>IF(R46="","",R46*'全局设置'!$B$5)</x:f>
      </x:c>
      <x:c r="T46" s="73" t="str">
        <x:f>IF(F46="","",F46*O46)</x:f>
      </x:c>
      <x:c r="U46" s="19" t="str">
        <x:f>IF(AND(B46="",C46=""),"",IF(B46="","缺少敌人",IF(C46="","缺少数量",IF(OR(C46&lt;1,C46&gt;9999,C46&lt;&gt;INT(C46)),"数量无效",IF(COUNTIF($E$36:$E$53,E46)&gt;1,"重复敌人",IF(AND(ISNUMBER(D46),OR(D46&lt;0,D46&gt;999,D46&lt;&gt;INT(D46))),"奖励无效","可导入"))))))</x:f>
      </x:c>
    </x:row>
    <x:row r="47" ht="22" customHeight="1">
      <x:c r="A47" s="72" t="n">
        <x:v>12</x:v>
      </x:c>
      <x:c r="B47" s="41"/>
      <x:c r="C47" s="41"/>
      <x:c r="D47" s="41"/>
      <x:c r="E47" s="19" t="str">
        <x:f>IFERROR(VLOOKUP(B47,'敌人目录'!$A$6:$S$54,2,FALSE),"")</x:f>
      </x:c>
      <x:c r="F47" s="19" t="str">
        <x:f>IF(OR(B47="",C47=""),"",ROUNDUP(C47*(1+('全局设置'!$B$5-1)*'全局设置'!$B$6),0))</x:f>
      </x:c>
      <x:c r="G47" s="19" t="str">
        <x:f>IFERROR(VLOOKUP(B47,'敌人目录'!$A$6:$S$54,7,FALSE),"")</x:f>
      </x:c>
      <x:c r="H47" s="19" t="str">
        <x:f>IFERROR(VLOOKUP(B47,'敌人目录'!$A$6:$S$54,8,FALSE),"")</x:f>
      </x:c>
      <x:c r="I47" s="19" t="str">
        <x:f>IFERROR(VLOOKUP(B47,'敌人目录'!$A$6:$S$54,9,FALSE),"")</x:f>
      </x:c>
      <x:c r="J47" s="19" t="str">
        <x:f>IFERROR(VLOOKUP(B47,'敌人目录'!$A$6:$S$54,10,FALSE),"")</x:f>
      </x:c>
      <x:c r="K47" s="19" t="str">
        <x:f>IFERROR(VLOOKUP(B47,'敌人目录'!$A$6:$S$54,11,FALSE),"")</x:f>
      </x:c>
      <x:c r="L47" s="19" t="str">
        <x:f>IFERROR(VLOOKUP(B47,'敌人目录'!$A$6:$S$54,12,FALSE),"")</x:f>
      </x:c>
      <x:c r="M47" s="19" t="str">
        <x:f>IFERROR(VLOOKUP(B47,'敌人目录'!$A$6:$S$54,13,FALSE),"")</x:f>
      </x:c>
      <x:c r="N47" s="19" t="str">
        <x:f>IF(B47="","",IF(ISNUMBER(D47),D47,IFERROR(VLOOKUP(B47,'敌人目录'!$A$6:$S$54,14,FALSE),"")))</x:f>
      </x:c>
      <x:c r="O47" s="64" t="str">
        <x:f>IFERROR(VLOOKUP(B47,'敌人目录'!$A$6:$S$54,15,FALSE),"")</x:f>
      </x:c>
      <x:c r="P47" s="19" t="str">
        <x:f>IF(F47="","",F47*G47)</x:f>
      </x:c>
      <x:c r="Q47" s="19" t="str">
        <x:f>IF(F47="","",F47*L47)</x:f>
      </x:c>
      <x:c r="R47" s="19" t="str">
        <x:f>IF(F47="","",F47*N47)</x:f>
      </x:c>
      <x:c r="S47" s="19" t="str">
        <x:f>IF(R47="","",R47*'全局设置'!$B$5)</x:f>
      </x:c>
      <x:c r="T47" s="73" t="str">
        <x:f>IF(F47="","",F47*O47)</x:f>
      </x:c>
      <x:c r="U47" s="19" t="str">
        <x:f>IF(AND(B47="",C47=""),"",IF(B47="","缺少敌人",IF(C47="","缺少数量",IF(OR(C47&lt;1,C47&gt;9999,C47&lt;&gt;INT(C47)),"数量无效",IF(COUNTIF($E$36:$E$53,E47)&gt;1,"重复敌人",IF(AND(ISNUMBER(D47),OR(D47&lt;0,D47&gt;999,D47&lt;&gt;INT(D47))),"奖励无效","可导入"))))))</x:f>
      </x:c>
    </x:row>
    <x:row r="48" ht="22" customHeight="1">
      <x:c r="A48" s="72" t="n">
        <x:v>13</x:v>
      </x:c>
      <x:c r="B48" s="41"/>
      <x:c r="C48" s="41"/>
      <x:c r="D48" s="41"/>
      <x:c r="E48" s="19" t="str">
        <x:f>IFERROR(VLOOKUP(B48,'敌人目录'!$A$6:$S$54,2,FALSE),"")</x:f>
      </x:c>
      <x:c r="F48" s="19" t="str">
        <x:f>IF(OR(B48="",C48=""),"",ROUNDUP(C48*(1+('全局设置'!$B$5-1)*'全局设置'!$B$6),0))</x:f>
      </x:c>
      <x:c r="G48" s="19" t="str">
        <x:f>IFERROR(VLOOKUP(B48,'敌人目录'!$A$6:$S$54,7,FALSE),"")</x:f>
      </x:c>
      <x:c r="H48" s="19" t="str">
        <x:f>IFERROR(VLOOKUP(B48,'敌人目录'!$A$6:$S$54,8,FALSE),"")</x:f>
      </x:c>
      <x:c r="I48" s="19" t="str">
        <x:f>IFERROR(VLOOKUP(B48,'敌人目录'!$A$6:$S$54,9,FALSE),"")</x:f>
      </x:c>
      <x:c r="J48" s="19" t="str">
        <x:f>IFERROR(VLOOKUP(B48,'敌人目录'!$A$6:$S$54,10,FALSE),"")</x:f>
      </x:c>
      <x:c r="K48" s="19" t="str">
        <x:f>IFERROR(VLOOKUP(B48,'敌人目录'!$A$6:$S$54,11,FALSE),"")</x:f>
      </x:c>
      <x:c r="L48" s="19" t="str">
        <x:f>IFERROR(VLOOKUP(B48,'敌人目录'!$A$6:$S$54,12,FALSE),"")</x:f>
      </x:c>
      <x:c r="M48" s="19" t="str">
        <x:f>IFERROR(VLOOKUP(B48,'敌人目录'!$A$6:$S$54,13,FALSE),"")</x:f>
      </x:c>
      <x:c r="N48" s="19" t="str">
        <x:f>IF(B48="","",IF(ISNUMBER(D48),D48,IFERROR(VLOOKUP(B48,'敌人目录'!$A$6:$S$54,14,FALSE),"")))</x:f>
      </x:c>
      <x:c r="O48" s="64" t="str">
        <x:f>IFERROR(VLOOKUP(B48,'敌人目录'!$A$6:$S$54,15,FALSE),"")</x:f>
      </x:c>
      <x:c r="P48" s="19" t="str">
        <x:f>IF(F48="","",F48*G48)</x:f>
      </x:c>
      <x:c r="Q48" s="19" t="str">
        <x:f>IF(F48="","",F48*L48)</x:f>
      </x:c>
      <x:c r="R48" s="19" t="str">
        <x:f>IF(F48="","",F48*N48)</x:f>
      </x:c>
      <x:c r="S48" s="19" t="str">
        <x:f>IF(R48="","",R48*'全局设置'!$B$5)</x:f>
      </x:c>
      <x:c r="T48" s="73" t="str">
        <x:f>IF(F48="","",F48*O48)</x:f>
      </x:c>
      <x:c r="U48" s="19" t="str">
        <x:f>IF(AND(B48="",C48=""),"",IF(B48="","缺少敌人",IF(C48="","缺少数量",IF(OR(C48&lt;1,C48&gt;9999,C48&lt;&gt;INT(C48)),"数量无效",IF(COUNTIF($E$36:$E$53,E48)&gt;1,"重复敌人",IF(AND(ISNUMBER(D48),OR(D48&lt;0,D48&gt;999,D48&lt;&gt;INT(D48))),"奖励无效","可导入"))))))</x:f>
      </x:c>
    </x:row>
    <x:row r="49" ht="22" customHeight="1">
      <x:c r="A49" s="72" t="n">
        <x:v>14</x:v>
      </x:c>
      <x:c r="B49" s="41"/>
      <x:c r="C49" s="41"/>
      <x:c r="D49" s="41"/>
      <x:c r="E49" s="19" t="str">
        <x:f>IFERROR(VLOOKUP(B49,'敌人目录'!$A$6:$S$54,2,FALSE),"")</x:f>
      </x:c>
      <x:c r="F49" s="19" t="str">
        <x:f>IF(OR(B49="",C49=""),"",ROUNDUP(C49*(1+('全局设置'!$B$5-1)*'全局设置'!$B$6),0))</x:f>
      </x:c>
      <x:c r="G49" s="19" t="str">
        <x:f>IFERROR(VLOOKUP(B49,'敌人目录'!$A$6:$S$54,7,FALSE),"")</x:f>
      </x:c>
      <x:c r="H49" s="19" t="str">
        <x:f>IFERROR(VLOOKUP(B49,'敌人目录'!$A$6:$S$54,8,FALSE),"")</x:f>
      </x:c>
      <x:c r="I49" s="19" t="str">
        <x:f>IFERROR(VLOOKUP(B49,'敌人目录'!$A$6:$S$54,9,FALSE),"")</x:f>
      </x:c>
      <x:c r="J49" s="19" t="str">
        <x:f>IFERROR(VLOOKUP(B49,'敌人目录'!$A$6:$S$54,10,FALSE),"")</x:f>
      </x:c>
      <x:c r="K49" s="19" t="str">
        <x:f>IFERROR(VLOOKUP(B49,'敌人目录'!$A$6:$S$54,11,FALSE),"")</x:f>
      </x:c>
      <x:c r="L49" s="19" t="str">
        <x:f>IFERROR(VLOOKUP(B49,'敌人目录'!$A$6:$S$54,12,FALSE),"")</x:f>
      </x:c>
      <x:c r="M49" s="19" t="str">
        <x:f>IFERROR(VLOOKUP(B49,'敌人目录'!$A$6:$S$54,13,FALSE),"")</x:f>
      </x:c>
      <x:c r="N49" s="19" t="str">
        <x:f>IF(B49="","",IF(ISNUMBER(D49),D49,IFERROR(VLOOKUP(B49,'敌人目录'!$A$6:$S$54,14,FALSE),"")))</x:f>
      </x:c>
      <x:c r="O49" s="64" t="str">
        <x:f>IFERROR(VLOOKUP(B49,'敌人目录'!$A$6:$S$54,15,FALSE),"")</x:f>
      </x:c>
      <x:c r="P49" s="19" t="str">
        <x:f>IF(F49="","",F49*G49)</x:f>
      </x:c>
      <x:c r="Q49" s="19" t="str">
        <x:f>IF(F49="","",F49*L49)</x:f>
      </x:c>
      <x:c r="R49" s="19" t="str">
        <x:f>IF(F49="","",F49*N49)</x:f>
      </x:c>
      <x:c r="S49" s="19" t="str">
        <x:f>IF(R49="","",R49*'全局设置'!$B$5)</x:f>
      </x:c>
      <x:c r="T49" s="73" t="str">
        <x:f>IF(F49="","",F49*O49)</x:f>
      </x:c>
      <x:c r="U49" s="19" t="str">
        <x:f>IF(AND(B49="",C49=""),"",IF(B49="","缺少敌人",IF(C49="","缺少数量",IF(OR(C49&lt;1,C49&gt;9999,C49&lt;&gt;INT(C49)),"数量无效",IF(COUNTIF($E$36:$E$53,E49)&gt;1,"重复敌人",IF(AND(ISNUMBER(D49),OR(D49&lt;0,D49&gt;999,D49&lt;&gt;INT(D49))),"奖励无效","可导入"))))))</x:f>
      </x:c>
    </x:row>
    <x:row r="50" ht="22" customHeight="1">
      <x:c r="A50" s="72" t="n">
        <x:v>15</x:v>
      </x:c>
      <x:c r="B50" s="41"/>
      <x:c r="C50" s="41"/>
      <x:c r="D50" s="41"/>
      <x:c r="E50" s="19" t="str">
        <x:f>IFERROR(VLOOKUP(B50,'敌人目录'!$A$6:$S$54,2,FALSE),"")</x:f>
      </x:c>
      <x:c r="F50" s="19" t="str">
        <x:f>IF(OR(B50="",C50=""),"",ROUNDUP(C50*(1+('全局设置'!$B$5-1)*'全局设置'!$B$6),0))</x:f>
      </x:c>
      <x:c r="G50" s="19" t="str">
        <x:f>IFERROR(VLOOKUP(B50,'敌人目录'!$A$6:$S$54,7,FALSE),"")</x:f>
      </x:c>
      <x:c r="H50" s="19" t="str">
        <x:f>IFERROR(VLOOKUP(B50,'敌人目录'!$A$6:$S$54,8,FALSE),"")</x:f>
      </x:c>
      <x:c r="I50" s="19" t="str">
        <x:f>IFERROR(VLOOKUP(B50,'敌人目录'!$A$6:$S$54,9,FALSE),"")</x:f>
      </x:c>
      <x:c r="J50" s="19" t="str">
        <x:f>IFERROR(VLOOKUP(B50,'敌人目录'!$A$6:$S$54,10,FALSE),"")</x:f>
      </x:c>
      <x:c r="K50" s="19" t="str">
        <x:f>IFERROR(VLOOKUP(B50,'敌人目录'!$A$6:$S$54,11,FALSE),"")</x:f>
      </x:c>
      <x:c r="L50" s="19" t="str">
        <x:f>IFERROR(VLOOKUP(B50,'敌人目录'!$A$6:$S$54,12,FALSE),"")</x:f>
      </x:c>
      <x:c r="M50" s="19" t="str">
        <x:f>IFERROR(VLOOKUP(B50,'敌人目录'!$A$6:$S$54,13,FALSE),"")</x:f>
      </x:c>
      <x:c r="N50" s="19" t="str">
        <x:f>IF(B50="","",IF(ISNUMBER(D50),D50,IFERROR(VLOOKUP(B50,'敌人目录'!$A$6:$S$54,14,FALSE),"")))</x:f>
      </x:c>
      <x:c r="O50" s="64" t="str">
        <x:f>IFERROR(VLOOKUP(B50,'敌人目录'!$A$6:$S$54,15,FALSE),"")</x:f>
      </x:c>
      <x:c r="P50" s="19" t="str">
        <x:f>IF(F50="","",F50*G50)</x:f>
      </x:c>
      <x:c r="Q50" s="19" t="str">
        <x:f>IF(F50="","",F50*L50)</x:f>
      </x:c>
      <x:c r="R50" s="19" t="str">
        <x:f>IF(F50="","",F50*N50)</x:f>
      </x:c>
      <x:c r="S50" s="19" t="str">
        <x:f>IF(R50="","",R50*'全局设置'!$B$5)</x:f>
      </x:c>
      <x:c r="T50" s="73" t="str">
        <x:f>IF(F50="","",F50*O50)</x:f>
      </x:c>
      <x:c r="U50" s="19" t="str">
        <x:f>IF(AND(B50="",C50=""),"",IF(B50="","缺少敌人",IF(C50="","缺少数量",IF(OR(C50&lt;1,C50&gt;9999,C50&lt;&gt;INT(C50)),"数量无效",IF(COUNTIF($E$36:$E$53,E50)&gt;1,"重复敌人",IF(AND(ISNUMBER(D50),OR(D50&lt;0,D50&gt;999,D50&lt;&gt;INT(D50))),"奖励无效","可导入"))))))</x:f>
      </x:c>
    </x:row>
    <x:row r="51" ht="22" customHeight="1">
      <x:c r="A51" s="72" t="n">
        <x:v>16</x:v>
      </x:c>
      <x:c r="B51" s="41"/>
      <x:c r="C51" s="41"/>
      <x:c r="D51" s="41"/>
      <x:c r="E51" s="19" t="str">
        <x:f>IFERROR(VLOOKUP(B51,'敌人目录'!$A$6:$S$54,2,FALSE),"")</x:f>
      </x:c>
      <x:c r="F51" s="19" t="str">
        <x:f>IF(OR(B51="",C51=""),"",ROUNDUP(C51*(1+('全局设置'!$B$5-1)*'全局设置'!$B$6),0))</x:f>
      </x:c>
      <x:c r="G51" s="19" t="str">
        <x:f>IFERROR(VLOOKUP(B51,'敌人目录'!$A$6:$S$54,7,FALSE),"")</x:f>
      </x:c>
      <x:c r="H51" s="19" t="str">
        <x:f>IFERROR(VLOOKUP(B51,'敌人目录'!$A$6:$S$54,8,FALSE),"")</x:f>
      </x:c>
      <x:c r="I51" s="19" t="str">
        <x:f>IFERROR(VLOOKUP(B51,'敌人目录'!$A$6:$S$54,9,FALSE),"")</x:f>
      </x:c>
      <x:c r="J51" s="19" t="str">
        <x:f>IFERROR(VLOOKUP(B51,'敌人目录'!$A$6:$S$54,10,FALSE),"")</x:f>
      </x:c>
      <x:c r="K51" s="19" t="str">
        <x:f>IFERROR(VLOOKUP(B51,'敌人目录'!$A$6:$S$54,11,FALSE),"")</x:f>
      </x:c>
      <x:c r="L51" s="19" t="str">
        <x:f>IFERROR(VLOOKUP(B51,'敌人目录'!$A$6:$S$54,12,FALSE),"")</x:f>
      </x:c>
      <x:c r="M51" s="19" t="str">
        <x:f>IFERROR(VLOOKUP(B51,'敌人目录'!$A$6:$S$54,13,FALSE),"")</x:f>
      </x:c>
      <x:c r="N51" s="19" t="str">
        <x:f>IF(B51="","",IF(ISNUMBER(D51),D51,IFERROR(VLOOKUP(B51,'敌人目录'!$A$6:$S$54,14,FALSE),"")))</x:f>
      </x:c>
      <x:c r="O51" s="64" t="str">
        <x:f>IFERROR(VLOOKUP(B51,'敌人目录'!$A$6:$S$54,15,FALSE),"")</x:f>
      </x:c>
      <x:c r="P51" s="19" t="str">
        <x:f>IF(F51="","",F51*G51)</x:f>
      </x:c>
      <x:c r="Q51" s="19" t="str">
        <x:f>IF(F51="","",F51*L51)</x:f>
      </x:c>
      <x:c r="R51" s="19" t="str">
        <x:f>IF(F51="","",F51*N51)</x:f>
      </x:c>
      <x:c r="S51" s="19" t="str">
        <x:f>IF(R51="","",R51*'全局设置'!$B$5)</x:f>
      </x:c>
      <x:c r="T51" s="73" t="str">
        <x:f>IF(F51="","",F51*O51)</x:f>
      </x:c>
      <x:c r="U51" s="19" t="str">
        <x:f>IF(AND(B51="",C51=""),"",IF(B51="","缺少敌人",IF(C51="","缺少数量",IF(OR(C51&lt;1,C51&gt;9999,C51&lt;&gt;INT(C51)),"数量无效",IF(COUNTIF($E$36:$E$53,E51)&gt;1,"重复敌人",IF(AND(ISNUMBER(D51),OR(D51&lt;0,D51&gt;999,D51&lt;&gt;INT(D51))),"奖励无效","可导入"))))))</x:f>
      </x:c>
    </x:row>
    <x:row r="52" ht="22" customHeight="1">
      <x:c r="A52" s="72" t="n">
        <x:v>17</x:v>
      </x:c>
      <x:c r="B52" s="41"/>
      <x:c r="C52" s="41"/>
      <x:c r="D52" s="41"/>
      <x:c r="E52" s="19" t="str">
        <x:f>IFERROR(VLOOKUP(B52,'敌人目录'!$A$6:$S$54,2,FALSE),"")</x:f>
      </x:c>
      <x:c r="F52" s="19" t="str">
        <x:f>IF(OR(B52="",C52=""),"",ROUNDUP(C52*(1+('全局设置'!$B$5-1)*'全局设置'!$B$6),0))</x:f>
      </x:c>
      <x:c r="G52" s="19" t="str">
        <x:f>IFERROR(VLOOKUP(B52,'敌人目录'!$A$6:$S$54,7,FALSE),"")</x:f>
      </x:c>
      <x:c r="H52" s="19" t="str">
        <x:f>IFERROR(VLOOKUP(B52,'敌人目录'!$A$6:$S$54,8,FALSE),"")</x:f>
      </x:c>
      <x:c r="I52" s="19" t="str">
        <x:f>IFERROR(VLOOKUP(B52,'敌人目录'!$A$6:$S$54,9,FALSE),"")</x:f>
      </x:c>
      <x:c r="J52" s="19" t="str">
        <x:f>IFERROR(VLOOKUP(B52,'敌人目录'!$A$6:$S$54,10,FALSE),"")</x:f>
      </x:c>
      <x:c r="K52" s="19" t="str">
        <x:f>IFERROR(VLOOKUP(B52,'敌人目录'!$A$6:$S$54,11,FALSE),"")</x:f>
      </x:c>
      <x:c r="L52" s="19" t="str">
        <x:f>IFERROR(VLOOKUP(B52,'敌人目录'!$A$6:$S$54,12,FALSE),"")</x:f>
      </x:c>
      <x:c r="M52" s="19" t="str">
        <x:f>IFERROR(VLOOKUP(B52,'敌人目录'!$A$6:$S$54,13,FALSE),"")</x:f>
      </x:c>
      <x:c r="N52" s="19" t="str">
        <x:f>IF(B52="","",IF(ISNUMBER(D52),D52,IFERROR(VLOOKUP(B52,'敌人目录'!$A$6:$S$54,14,FALSE),"")))</x:f>
      </x:c>
      <x:c r="O52" s="64" t="str">
        <x:f>IFERROR(VLOOKUP(B52,'敌人目录'!$A$6:$S$54,15,FALSE),"")</x:f>
      </x:c>
      <x:c r="P52" s="19" t="str">
        <x:f>IF(F52="","",F52*G52)</x:f>
      </x:c>
      <x:c r="Q52" s="19" t="str">
        <x:f>IF(F52="","",F52*L52)</x:f>
      </x:c>
      <x:c r="R52" s="19" t="str">
        <x:f>IF(F52="","",F52*N52)</x:f>
      </x:c>
      <x:c r="S52" s="19" t="str">
        <x:f>IF(R52="","",R52*'全局设置'!$B$5)</x:f>
      </x:c>
      <x:c r="T52" s="73" t="str">
        <x:f>IF(F52="","",F52*O52)</x:f>
      </x:c>
      <x:c r="U52" s="19" t="str">
        <x:f>IF(AND(B52="",C52=""),"",IF(B52="","缺少敌人",IF(C52="","缺少数量",IF(OR(C52&lt;1,C52&gt;9999,C52&lt;&gt;INT(C52)),"数量无效",IF(COUNTIF($E$36:$E$53,E52)&gt;1,"重复敌人",IF(AND(ISNUMBER(D52),OR(D52&lt;0,D52&gt;999,D52&lt;&gt;INT(D52))),"奖励无效","可导入"))))))</x:f>
      </x:c>
    </x:row>
    <x:row r="53" ht="22" customHeight="1">
      <x:c r="A53" s="72" t="n">
        <x:v>18</x:v>
      </x:c>
      <x:c r="B53" s="41"/>
      <x:c r="C53" s="41"/>
      <x:c r="D53" s="41"/>
      <x:c r="E53" s="19" t="str">
        <x:f>IFERROR(VLOOKUP(B53,'敌人目录'!$A$6:$S$54,2,FALSE),"")</x:f>
      </x:c>
      <x:c r="F53" s="19" t="str">
        <x:f>IF(OR(B53="",C53=""),"",ROUNDUP(C53*(1+('全局设置'!$B$5-1)*'全局设置'!$B$6),0))</x:f>
      </x:c>
      <x:c r="G53" s="19" t="str">
        <x:f>IFERROR(VLOOKUP(B53,'敌人目录'!$A$6:$S$54,7,FALSE),"")</x:f>
      </x:c>
      <x:c r="H53" s="19" t="str">
        <x:f>IFERROR(VLOOKUP(B53,'敌人目录'!$A$6:$S$54,8,FALSE),"")</x:f>
      </x:c>
      <x:c r="I53" s="19" t="str">
        <x:f>IFERROR(VLOOKUP(B53,'敌人目录'!$A$6:$S$54,9,FALSE),"")</x:f>
      </x:c>
      <x:c r="J53" s="19" t="str">
        <x:f>IFERROR(VLOOKUP(B53,'敌人目录'!$A$6:$S$54,10,FALSE),"")</x:f>
      </x:c>
      <x:c r="K53" s="19" t="str">
        <x:f>IFERROR(VLOOKUP(B53,'敌人目录'!$A$6:$S$54,11,FALSE),"")</x:f>
      </x:c>
      <x:c r="L53" s="19" t="str">
        <x:f>IFERROR(VLOOKUP(B53,'敌人目录'!$A$6:$S$54,12,FALSE),"")</x:f>
      </x:c>
      <x:c r="M53" s="19" t="str">
        <x:f>IFERROR(VLOOKUP(B53,'敌人目录'!$A$6:$S$54,13,FALSE),"")</x:f>
      </x:c>
      <x:c r="N53" s="19" t="str">
        <x:f>IF(B53="","",IF(ISNUMBER(D53),D53,IFERROR(VLOOKUP(B53,'敌人目录'!$A$6:$S$54,14,FALSE),"")))</x:f>
      </x:c>
      <x:c r="O53" s="64" t="str">
        <x:f>IFERROR(VLOOKUP(B53,'敌人目录'!$A$6:$S$54,15,FALSE),"")</x:f>
      </x:c>
      <x:c r="P53" s="19" t="str">
        <x:f>IF(F53="","",F53*G53)</x:f>
      </x:c>
      <x:c r="Q53" s="19" t="str">
        <x:f>IF(F53="","",F53*L53)</x:f>
      </x:c>
      <x:c r="R53" s="19" t="str">
        <x:f>IF(F53="","",F53*N53)</x:f>
      </x:c>
      <x:c r="S53" s="19" t="str">
        <x:f>IF(R53="","",R53*'全局设置'!$B$5)</x:f>
      </x:c>
      <x:c r="T53" s="73" t="str">
        <x:f>IF(F53="","",F53*O53)</x:f>
      </x:c>
      <x:c r="U53" s="19" t="str">
        <x:f>IF(AND(B53="",C53=""),"",IF(B53="","缺少敌人",IF(C53="","缺少数量",IF(OR(C53&lt;1,C53&gt;9999,C53&lt;&gt;INT(C53)),"数量无效",IF(COUNTIF($E$36:$E$53,E53)&gt;1,"重复敌人",IF(AND(ISNUMBER(D53),OR(D53&lt;0,D53&gt;999,D53&lt;&gt;INT(D53))),"奖励无效","可导入"))))))</x:f>
      </x:c>
    </x:row>
    <x:row r="54" ht="22" customHeight="1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</x:row>
    <x:row r="55" ht="22" customHeight="1">
      <x:c r="A55" s="40" t="str">
        <x:v>基础总数</x:v>
      </x:c>
      <x:c r="B55" s="19" t="n">
        <x:f>SUM(C36:C53)</x:f>
        <x:v>0</x:v>
      </x:c>
      <x:c r="C55" s="40" t="str">
        <x:v>实际总数</x:v>
      </x:c>
      <x:c r="D55" s="19" t="n">
        <x:f>SUM(F36:F53)</x:f>
        <x:v>0</x:v>
      </x:c>
      <x:c r="E55" s="40" t="str">
        <x:v>敌人种类</x:v>
      </x:c>
      <x:c r="F55" s="19" t="n">
        <x:f>COUNTA(B36:B53)</x:f>
        <x:v>0</x:v>
      </x:c>
      <x:c r="G55" s="40" t="str">
        <x:v>生命池</x:v>
      </x:c>
      <x:c r="H55" s="19" t="n">
        <x:f>SUM(P36:P53)</x:f>
        <x:v>0</x:v>
      </x:c>
      <x:c r="I55" s="40" t="str">
        <x:v>基础息壤/玩家</x:v>
      </x:c>
      <x:c r="J55" s="19" t="n">
        <x:f>SUM(R36:R53)</x:f>
        <x:v>0</x:v>
      </x:c>
      <x:c r="K55" s="40" t="str">
        <x:v>情景息壤/玩家</x:v>
      </x:c>
      <x:c r="L55" s="19" t="n">
        <x:f>J55*'全局设置'!$B$7*'全局设置'!$F$14</x:f>
        <x:v>0</x:v>
      </x:c>
      <x:c r="M55" s="40" t="str">
        <x:v>情景息壤/队伍</x:v>
      </x:c>
      <x:c r="N55" s="19" t="n">
        <x:f>L55*'全局设置'!$B$5</x:f>
        <x:v>0</x:v>
      </x:c>
      <x:c r="O55" s="40" t="str">
        <x:v>掉落期望</x:v>
      </x:c>
      <x:c r="P55" s="73" t="n">
        <x:f>SUM(T36:T53)</x:f>
        <x:v>0</x:v>
      </x:c>
      <x:c r="Q55" s="40" t="str">
        <x:v>全漏Home伤害</x:v>
      </x:c>
      <x:c r="R55" s="19" t="n">
        <x:f>SUM(Q36:Q53)</x:f>
        <x:v>0</x:v>
      </x:c>
      <x:c r="S55" s="40" t="str">
        <x:v>最短刷完(s)</x:v>
      </x:c>
      <x:c r="T55" s="73" t="n">
        <x:f>IF(D55=0,0,MAX(0,(ROUNDUP(D55/J32,0)-1)*H32))</x:f>
        <x:v>0</x:v>
      </x:c>
      <x:c r="U55" s="31"/>
    </x:row>
    <x:row r="56" ht="22" customHeight="1">
      <x:c r="A56" s="82" t="str">
        <x:v>情景收益 = 最大击杀息壤 × 全局击杀率 × 第4日倍率；最大队伍收益另按玩家人数相乘。</x:v>
      </x:c>
      <x:c r="B56" s="82" t="str">
        <x:v>情景收益 = 最大击杀息壤 × 全局击杀率 × 第4日倍率；最大队伍收益另按玩家人数相乘。</x:v>
      </x:c>
      <x:c r="C56" s="82" t="str">
        <x:v>情景收益 = 最大击杀息壤 × 全局击杀率 × 第4日倍率；最大队伍收益另按玩家人数相乘。</x:v>
      </x:c>
      <x:c r="D56" s="82" t="str">
        <x:v>情景收益 = 最大击杀息壤 × 全局击杀率 × 第4日倍率；最大队伍收益另按玩家人数相乘。</x:v>
      </x:c>
      <x:c r="E56" s="82" t="str">
        <x:v>情景收益 = 最大击杀息壤 × 全局击杀率 × 第4日倍率；最大队伍收益另按玩家人数相乘。</x:v>
      </x:c>
      <x:c r="F56" s="82" t="str">
        <x:v>情景收益 = 最大击杀息壤 × 全局击杀率 × 第4日倍率；最大队伍收益另按玩家人数相乘。</x:v>
      </x:c>
      <x:c r="G56" s="82" t="str">
        <x:v>情景收益 = 最大击杀息壤 × 全局击杀率 × 第4日倍率；最大队伍收益另按玩家人数相乘。</x:v>
      </x:c>
      <x:c r="H56" s="82" t="str">
        <x:v>情景收益 = 最大击杀息壤 × 全局击杀率 × 第4日倍率；最大队伍收益另按玩家人数相乘。</x:v>
      </x:c>
      <x:c r="I56" s="82" t="str">
        <x:v>情景收益 = 最大击杀息壤 × 全局击杀率 × 第4日倍率；最大队伍收益另按玩家人数相乘。</x:v>
      </x:c>
      <x:c r="J56" s="82" t="str">
        <x:v>情景收益 = 最大击杀息壤 × 全局击杀率 × 第4日倍率；最大队伍收益另按玩家人数相乘。</x:v>
      </x:c>
      <x:c r="K56" s="82" t="str">
        <x:v>情景收益 = 最大击杀息壤 × 全局击杀率 × 第4日倍率；最大队伍收益另按玩家人数相乘。</x:v>
      </x:c>
      <x:c r="L56" s="82" t="str">
        <x:v>情景收益 = 最大击杀息壤 × 全局击杀率 × 第4日倍率；最大队伍收益另按玩家人数相乘。</x:v>
      </x:c>
      <x:c r="M56" s="82" t="str">
        <x:v>情景收益 = 最大击杀息壤 × 全局击杀率 × 第4日倍率；最大队伍收益另按玩家人数相乘。</x:v>
      </x:c>
      <x:c r="N56" s="82" t="str">
        <x:v>情景收益 = 最大击杀息壤 × 全局击杀率 × 第4日倍率；最大队伍收益另按玩家人数相乘。</x:v>
      </x:c>
      <x:c r="O56" s="82" t="str">
        <x:v>情景收益 = 最大击杀息壤 × 全局击杀率 × 第4日倍率；最大队伍收益另按玩家人数相乘。</x:v>
      </x:c>
      <x:c r="P56" s="82" t="str">
        <x:v>情景收益 = 最大击杀息壤 × 全局击杀率 × 第4日倍率；最大队伍收益另按玩家人数相乘。</x:v>
      </x:c>
      <x:c r="Q56" s="82" t="str">
        <x:v>情景收益 = 最大击杀息壤 × 全局击杀率 × 第4日倍率；最大队伍收益另按玩家人数相乘。</x:v>
      </x:c>
      <x:c r="R56" s="82" t="str">
        <x:v>情景收益 = 最大击杀息壤 × 全局击杀率 × 第4日倍率；最大队伍收益另按玩家人数相乘。</x:v>
      </x:c>
      <x:c r="S56" s="82" t="str">
        <x:v>情景收益 = 最大击杀息壤 × 全局击杀率 × 第4日倍率；最大队伍收益另按玩家人数相乘。</x:v>
      </x:c>
      <x:c r="T56" s="82" t="str">
        <x:v>情景收益 = 最大击杀息壤 × 全局击杀率 × 第4日倍率；最大队伍收益另按玩家人数相乘。</x:v>
      </x:c>
      <x:c r="U56" s="82" t="str">
        <x:v>情景收益 = 最大击杀息壤 × 全局击杀率 × 第4日倍率；最大队伍收益另按玩家人数相乘。</x:v>
      </x:c>
    </x:row>
    <x:row r="57" ht="22" customHeight="1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</x:row>
    <x:row r="58" ht="22" customHeight="1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</x:row>
    <x:row r="59" ht="22" customHeight="1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</x:row>
    <x:row r="60" ht="22" customHeight="1">
      <x:c r="A60" s="78" t="str">
        <x:v>第 15 波｜第 4 日·3/4｜夜晚｜待设计</x:v>
      </x:c>
      <x:c r="B60" s="78" t="str">
        <x:v>第 15 波｜第 4 日·3/4｜夜晚｜待设计</x:v>
      </x:c>
      <x:c r="C60" s="78" t="str">
        <x:v>第 15 波｜第 4 日·3/4｜夜晚｜待设计</x:v>
      </x:c>
      <x:c r="D60" s="78" t="str">
        <x:v>第 15 波｜第 4 日·3/4｜夜晚｜待设计</x:v>
      </x:c>
      <x:c r="E60" s="78" t="str">
        <x:v>第 15 波｜第 4 日·3/4｜夜晚｜待设计</x:v>
      </x:c>
      <x:c r="F60" s="78" t="str">
        <x:v>第 15 波｜第 4 日·3/4｜夜晚｜待设计</x:v>
      </x:c>
      <x:c r="G60" s="78" t="str">
        <x:v>第 15 波｜第 4 日·3/4｜夜晚｜待设计</x:v>
      </x:c>
      <x:c r="H60" s="78" t="str">
        <x:v>第 15 波｜第 4 日·3/4｜夜晚｜待设计</x:v>
      </x:c>
      <x:c r="I60" s="78" t="str">
        <x:v>第 15 波｜第 4 日·3/4｜夜晚｜待设计</x:v>
      </x:c>
      <x:c r="J60" s="78" t="str">
        <x:v>第 15 波｜第 4 日·3/4｜夜晚｜待设计</x:v>
      </x:c>
      <x:c r="K60" s="78" t="str">
        <x:v>第 15 波｜第 4 日·3/4｜夜晚｜待设计</x:v>
      </x:c>
      <x:c r="L60" s="78" t="str">
        <x:v>第 15 波｜第 4 日·3/4｜夜晚｜待设计</x:v>
      </x:c>
      <x:c r="M60" s="78" t="str">
        <x:v>第 15 波｜第 4 日·3/4｜夜晚｜待设计</x:v>
      </x:c>
      <x:c r="N60" s="78" t="str">
        <x:v>第 15 波｜第 4 日·3/4｜夜晚｜待设计</x:v>
      </x:c>
      <x:c r="O60" s="78" t="str">
        <x:v>第 15 波｜第 4 日·3/4｜夜晚｜待设计</x:v>
      </x:c>
      <x:c r="P60" s="78" t="str">
        <x:v>第 15 波｜第 4 日·3/4｜夜晚｜待设计</x:v>
      </x:c>
      <x:c r="Q60" s="78" t="str">
        <x:v>第 15 波｜第 4 日·3/4｜夜晚｜待设计</x:v>
      </x:c>
      <x:c r="R60" s="78" t="str">
        <x:v>第 15 波｜第 4 日·3/4｜夜晚｜待设计</x:v>
      </x:c>
      <x:c r="S60" s="78" t="str">
        <x:v>第 15 波｜第 4 日·3/4｜夜晚｜待设计</x:v>
      </x:c>
      <x:c r="T60" s="78" t="str">
        <x:v>第 15 波｜第 4 日·3/4｜夜晚｜待设计</x:v>
      </x:c>
      <x:c r="U60" s="78" t="str">
        <x:v>第 15 波｜第 4 日·3/4｜夜晚｜待设计</x:v>
      </x:c>
    </x:row>
    <x:row r="61" ht="22" customHeight="1">
      <x:c r="A61" s="48" t="str">
        <x:v>波次名称</x:v>
      </x:c>
      <x:c r="B61" s="41" t="str">
        <x:v>第15波（待设计）</x:v>
      </x:c>
      <x:c r="C61" s="41" t="str">
        <x:v>第15波（待设计）</x:v>
      </x:c>
      <x:c r="D61" s="41" t="str">
        <x:v>第15波（待设计）</x:v>
      </x:c>
      <x:c r="E61" s="41" t="str">
        <x:v>第15波（待设计）</x:v>
      </x:c>
      <x:c r="F61" s="41" t="str">
        <x:v>第15波（待设计）</x:v>
      </x:c>
      <x:c r="G61" s="48" t="str">
        <x:v>出生间隔(s)</x:v>
      </x:c>
      <x:c r="H61" s="41" t="n">
        <x:v>0.22</x:v>
      </x:c>
      <x:c r="I61" s="48" t="str">
        <x:v>每Tick</x:v>
      </x:c>
      <x:c r="J61" s="41" t="n">
        <x:v>1</x:v>
      </x:c>
      <x:c r="K61" s="48" t="str">
        <x:v>存活上限</x:v>
      </x:c>
      <x:c r="L61" s="41" t="n">
        <x:v>96</x:v>
      </x:c>
      <x:c r="M61" s="48" t="str">
        <x:v>校验</x:v>
      </x:c>
      <x:c r="N61" s="19" t="str">
        <x:f>IF(COUNTA(B65:B82)=0,"待设计",IF(COUNTIF(U65:U82,"可导入")=COUNTA(B65:B82),"可导入","需修正"))</x:f>
        <x:v>待设计</x:v>
      </x:c>
      <x:c r="O61" s="19" t="str"/>
      <x:c r="P61" s="48" t="str">
        <x:v>来源</x:v>
      </x:c>
      <x:c r="Q61" s="19" t="str">
        <x:v>第12波节奏模板 / 敌人留空</x:v>
      </x:c>
      <x:c r="R61" s="19" t="str">
        <x:v>第12波节奏模板 / 敌人留空</x:v>
      </x:c>
      <x:c r="S61" s="19" t="str">
        <x:v>第12波节奏模板 / 敌人留空</x:v>
      </x:c>
      <x:c r="T61" s="19" t="str">
        <x:v>第12波节奏模板 / 敌人留空</x:v>
      </x:c>
      <x:c r="U61" s="19" t="str">
        <x:v>第12波节奏模板 / 敌人留空</x:v>
      </x:c>
    </x:row>
    <x:row r="62" ht="22" customHeight="1">
      <x:c r="A62" s="48" t="str">
        <x:v>出生点</x:v>
      </x:c>
      <x:c r="B62" s="41" t="str">
        <x:v>开启</x:v>
      </x:c>
      <x:c r="C62" s="41" t="str">
        <x:v>开启</x:v>
      </x:c>
      <x:c r="D62" s="41" t="str">
        <x:v>开启</x:v>
      </x:c>
      <x:c r="E62" s="41" t="str">
        <x:v>开启</x:v>
      </x:c>
      <x:c r="F62" s="41" t="str">
        <x:v>开启</x:v>
      </x:c>
      <x:c r="G62" s="41" t="str">
        <x:v>开启</x:v>
      </x:c>
      <x:c r="H62" s="48" t="str">
        <x:v>战斗音乐</x:v>
      </x:c>
      <x:c r="I62" s="19" t="str">
        <x:v>shenmu_town_combat</x:v>
      </x:c>
      <x:c r="J62" s="19" t="str">
        <x:v>shenmu_town_combat</x:v>
      </x:c>
      <x:c r="K62" s="19" t="str">
        <x:v>shenmu_town_combat</x:v>
      </x:c>
      <x:c r="L62" s="19" t="str">
        <x:v>shenmu_town_combat</x:v>
      </x:c>
      <x:c r="M62" s="19" t="str">
        <x:v>shenmu_town_combat</x:v>
      </x:c>
      <x:c r="N62" s="48" t="str">
        <x:v>波后音乐</x:v>
      </x:c>
      <x:c r="O62" s="19" t="str">
        <x:v>shenmu_town_intermission</x:v>
      </x:c>
      <x:c r="P62" s="19" t="str">
        <x:v>shenmu_town_intermission</x:v>
      </x:c>
      <x:c r="Q62" s="19" t="str">
        <x:v>shenmu_town_intermission</x:v>
      </x:c>
      <x:c r="R62" s="19" t="str">
        <x:v>shenmu_town_intermission</x:v>
      </x:c>
      <x:c r="S62" s="19" t="str">
        <x:v>shenmu_town_intermission</x:v>
      </x:c>
      <x:c r="T62" s="19" t="str">
        <x:v>shenmu_town_intermission</x:v>
      </x:c>
      <x:c r="U62" s="19" t="str">
        <x:v>shenmu_town_intermission</x:v>
      </x:c>
    </x:row>
    <x:row r="63" ht="22" customHeight="1">
      <x:c r="A63" s="83" t="str">
        <x:v>蓝色列可编辑。每种敌人一行；若同波重复选择同一稳定 ID，请合并数量。实际数量按当前模拟玩家数逐条向上取整。</x:v>
      </x:c>
      <x:c r="B63" s="83" t="str">
        <x:v>蓝色列可编辑。每种敌人一行；若同波重复选择同一稳定 ID，请合并数量。实际数量按当前模拟玩家数逐条向上取整。</x:v>
      </x:c>
      <x:c r="C63" s="83" t="str">
        <x:v>蓝色列可编辑。每种敌人一行；若同波重复选择同一稳定 ID，请合并数量。实际数量按当前模拟玩家数逐条向上取整。</x:v>
      </x:c>
      <x:c r="D63" s="83" t="str">
        <x:v>蓝色列可编辑。每种敌人一行；若同波重复选择同一稳定 ID，请合并数量。实际数量按当前模拟玩家数逐条向上取整。</x:v>
      </x:c>
      <x:c r="E63" s="83" t="str">
        <x:v>蓝色列可编辑。每种敌人一行；若同波重复选择同一稳定 ID，请合并数量。实际数量按当前模拟玩家数逐条向上取整。</x:v>
      </x:c>
      <x:c r="F63" s="83" t="str">
        <x:v>蓝色列可编辑。每种敌人一行；若同波重复选择同一稳定 ID，请合并数量。实际数量按当前模拟玩家数逐条向上取整。</x:v>
      </x:c>
      <x:c r="G63" s="83" t="str">
        <x:v>蓝色列可编辑。每种敌人一行；若同波重复选择同一稳定 ID，请合并数量。实际数量按当前模拟玩家数逐条向上取整。</x:v>
      </x:c>
      <x:c r="H63" s="83" t="str">
        <x:v>蓝色列可编辑。每种敌人一行；若同波重复选择同一稳定 ID，请合并数量。实际数量按当前模拟玩家数逐条向上取整。</x:v>
      </x:c>
      <x:c r="I63" s="83" t="str">
        <x:v>蓝色列可编辑。每种敌人一行；若同波重复选择同一稳定 ID，请合并数量。实际数量按当前模拟玩家数逐条向上取整。</x:v>
      </x:c>
      <x:c r="J63" s="83" t="str">
        <x:v>蓝色列可编辑。每种敌人一行；若同波重复选择同一稳定 ID，请合并数量。实际数量按当前模拟玩家数逐条向上取整。</x:v>
      </x:c>
      <x:c r="K63" s="83" t="str">
        <x:v>蓝色列可编辑。每种敌人一行；若同波重复选择同一稳定 ID，请合并数量。实际数量按当前模拟玩家数逐条向上取整。</x:v>
      </x:c>
      <x:c r="L63" s="83" t="str">
        <x:v>蓝色列可编辑。每种敌人一行；若同波重复选择同一稳定 ID，请合并数量。实际数量按当前模拟玩家数逐条向上取整。</x:v>
      </x:c>
      <x:c r="M63" s="83" t="str">
        <x:v>蓝色列可编辑。每种敌人一行；若同波重复选择同一稳定 ID，请合并数量。实际数量按当前模拟玩家数逐条向上取整。</x:v>
      </x:c>
      <x:c r="N63" s="83" t="str">
        <x:v>蓝色列可编辑。每种敌人一行；若同波重复选择同一稳定 ID，请合并数量。实际数量按当前模拟玩家数逐条向上取整。</x:v>
      </x:c>
      <x:c r="O63" s="83" t="str">
        <x:v>蓝色列可编辑。每种敌人一行；若同波重复选择同一稳定 ID，请合并数量。实际数量按当前模拟玩家数逐条向上取整。</x:v>
      </x:c>
      <x:c r="P63" s="83" t="str">
        <x:v>蓝色列可编辑。每种敌人一行；若同波重复选择同一稳定 ID，请合并数量。实际数量按当前模拟玩家数逐条向上取整。</x:v>
      </x:c>
      <x:c r="Q63" s="83" t="str">
        <x:v>蓝色列可编辑。每种敌人一行；若同波重复选择同一稳定 ID，请合并数量。实际数量按当前模拟玩家数逐条向上取整。</x:v>
      </x:c>
      <x:c r="R63" s="83" t="str">
        <x:v>蓝色列可编辑。每种敌人一行；若同波重复选择同一稳定 ID，请合并数量。实际数量按当前模拟玩家数逐条向上取整。</x:v>
      </x:c>
      <x:c r="S63" s="83" t="str">
        <x:v>蓝色列可编辑。每种敌人一行；若同波重复选择同一稳定 ID，请合并数量。实际数量按当前模拟玩家数逐条向上取整。</x:v>
      </x:c>
      <x:c r="T63" s="83" t="str">
        <x:v>蓝色列可编辑。每种敌人一行；若同波重复选择同一稳定 ID，请合并数量。实际数量按当前模拟玩家数逐条向上取整。</x:v>
      </x:c>
      <x:c r="U63" s="83" t="str">
        <x:v>蓝色列可编辑。每种敌人一行；若同波重复选择同一稳定 ID，请合并数量。实际数量按当前模拟玩家数逐条向上取整。</x:v>
      </x:c>
    </x:row>
    <x:row r="64" ht="22" customHeight="1">
      <x:c r="A64" s="48" t="str">
        <x:v>槽位</x:v>
      </x:c>
      <x:c r="B64" s="48" t="str">
        <x:v>敌人（下拉选择）</x:v>
      </x:c>
      <x:c r="C64" s="48" t="str">
        <x:v>基础数量</x:v>
      </x:c>
      <x:c r="D64" s="48" t="str">
        <x:v>本波息壤覆盖</x:v>
      </x:c>
      <x:c r="E64" s="48" t="str">
        <x:v>稳定敌人ID</x:v>
      </x:c>
      <x:c r="F64" s="48" t="str">
        <x:v>实际数量</x:v>
      </x:c>
      <x:c r="G64" s="48" t="str">
        <x:v>生命</x:v>
      </x:c>
      <x:c r="H64" s="48" t="str">
        <x:v>攻击</x:v>
      </x:c>
      <x:c r="I64" s="48" t="str">
        <x:v>物理防御</x:v>
      </x:c>
      <x:c r="J64" s="48" t="str">
        <x:v>法术防御</x:v>
      </x:c>
      <x:c r="K64" s="48" t="str">
        <x:v>移速</x:v>
      </x:c>
      <x:c r="L64" s="48" t="str">
        <x:v>Home伤害</x:v>
      </x:c>
      <x:c r="M64" s="48" t="str">
        <x:v>游戏默认息壤</x:v>
      </x:c>
      <x:c r="N64" s="48" t="str">
        <x:v>有效息壤</x:v>
      </x:c>
      <x:c r="O64" s="48" t="str">
        <x:v>掉落期望/击杀</x:v>
      </x:c>
      <x:c r="P64" s="48" t="str">
        <x:v>总生命</x:v>
      </x:c>
      <x:c r="Q64" s="48" t="str">
        <x:v>全漏Home伤害</x:v>
      </x:c>
      <x:c r="R64" s="48" t="str">
        <x:v>最大息壤/玩家</x:v>
      </x:c>
      <x:c r="S64" s="48" t="str">
        <x:v>最大息壤/队伍</x:v>
      </x:c>
      <x:c r="T64" s="48" t="str">
        <x:v>掉落期望</x:v>
      </x:c>
      <x:c r="U64" s="48" t="str">
        <x:v>校验</x:v>
      </x:c>
    </x:row>
    <x:row r="65" ht="22" customHeight="1">
      <x:c r="A65" s="72" t="n">
        <x:v>1</x:v>
      </x:c>
      <x:c r="B65" s="41"/>
      <x:c r="C65" s="41"/>
      <x:c r="D65" s="41"/>
      <x:c r="E65" s="19" t="str">
        <x:f>IFERROR(VLOOKUP(B65,'敌人目录'!$A$6:$S$54,2,FALSE),"")</x:f>
      </x:c>
      <x:c r="F65" s="19" t="str">
        <x:f>IF(OR(B65="",C65=""),"",ROUNDUP(C65*(1+('全局设置'!$B$5-1)*'全局设置'!$B$6),0))</x:f>
      </x:c>
      <x:c r="G65" s="19" t="str">
        <x:f>IFERROR(VLOOKUP(B65,'敌人目录'!$A$6:$S$54,7,FALSE),"")</x:f>
      </x:c>
      <x:c r="H65" s="19" t="str">
        <x:f>IFERROR(VLOOKUP(B65,'敌人目录'!$A$6:$S$54,8,FALSE),"")</x:f>
      </x:c>
      <x:c r="I65" s="19" t="str">
        <x:f>IFERROR(VLOOKUP(B65,'敌人目录'!$A$6:$S$54,9,FALSE),"")</x:f>
      </x:c>
      <x:c r="J65" s="19" t="str">
        <x:f>IFERROR(VLOOKUP(B65,'敌人目录'!$A$6:$S$54,10,FALSE),"")</x:f>
      </x:c>
      <x:c r="K65" s="19" t="str">
        <x:f>IFERROR(VLOOKUP(B65,'敌人目录'!$A$6:$S$54,11,FALSE),"")</x:f>
      </x:c>
      <x:c r="L65" s="19" t="str">
        <x:f>IFERROR(VLOOKUP(B65,'敌人目录'!$A$6:$S$54,12,FALSE),"")</x:f>
      </x:c>
      <x:c r="M65" s="19" t="str">
        <x:f>IFERROR(VLOOKUP(B65,'敌人目录'!$A$6:$S$54,13,FALSE),"")</x:f>
      </x:c>
      <x:c r="N65" s="19" t="str">
        <x:f>IF(B65="","",IF(ISNUMBER(D65),D65,IFERROR(VLOOKUP(B65,'敌人目录'!$A$6:$S$54,14,FALSE),"")))</x:f>
      </x:c>
      <x:c r="O65" s="64" t="str">
        <x:f>IFERROR(VLOOKUP(B65,'敌人目录'!$A$6:$S$54,15,FALSE),"")</x:f>
      </x:c>
      <x:c r="P65" s="19" t="str">
        <x:f>IF(F65="","",F65*G65)</x:f>
      </x:c>
      <x:c r="Q65" s="19" t="str">
        <x:f>IF(F65="","",F65*L65)</x:f>
      </x:c>
      <x:c r="R65" s="19" t="str">
        <x:f>IF(F65="","",F65*N65)</x:f>
      </x:c>
      <x:c r="S65" s="19" t="str">
        <x:f>IF(R65="","",R65*'全局设置'!$B$5)</x:f>
      </x:c>
      <x:c r="T65" s="73" t="str">
        <x:f>IF(F65="","",F65*O65)</x:f>
      </x:c>
      <x:c r="U65" s="19" t="str">
        <x:f>IF(AND(B65="",C65=""),"",IF(B65="","缺少敌人",IF(C65="","缺少数量",IF(OR(C65&lt;1,C65&gt;9999,C65&lt;&gt;INT(C65)),"数量无效",IF(COUNTIF($E$65:$E$82,E65)&gt;1,"重复敌人",IF(AND(ISNUMBER(D65),OR(D65&lt;0,D65&gt;999,D65&lt;&gt;INT(D65))),"奖励无效","可导入"))))))</x:f>
      </x:c>
    </x:row>
    <x:row r="66" ht="22" customHeight="1">
      <x:c r="A66" s="72" t="n">
        <x:v>2</x:v>
      </x:c>
      <x:c r="B66" s="41"/>
      <x:c r="C66" s="41"/>
      <x:c r="D66" s="41"/>
      <x:c r="E66" s="19" t="str">
        <x:f>IFERROR(VLOOKUP(B66,'敌人目录'!$A$6:$S$54,2,FALSE),"")</x:f>
      </x:c>
      <x:c r="F66" s="19" t="str">
        <x:f>IF(OR(B66="",C66=""),"",ROUNDUP(C66*(1+('全局设置'!$B$5-1)*'全局设置'!$B$6),0))</x:f>
      </x:c>
      <x:c r="G66" s="19" t="str">
        <x:f>IFERROR(VLOOKUP(B66,'敌人目录'!$A$6:$S$54,7,FALSE),"")</x:f>
      </x:c>
      <x:c r="H66" s="19" t="str">
        <x:f>IFERROR(VLOOKUP(B66,'敌人目录'!$A$6:$S$54,8,FALSE),"")</x:f>
      </x:c>
      <x:c r="I66" s="19" t="str">
        <x:f>IFERROR(VLOOKUP(B66,'敌人目录'!$A$6:$S$54,9,FALSE),"")</x:f>
      </x:c>
      <x:c r="J66" s="19" t="str">
        <x:f>IFERROR(VLOOKUP(B66,'敌人目录'!$A$6:$S$54,10,FALSE),"")</x:f>
      </x:c>
      <x:c r="K66" s="19" t="str">
        <x:f>IFERROR(VLOOKUP(B66,'敌人目录'!$A$6:$S$54,11,FALSE),"")</x:f>
      </x:c>
      <x:c r="L66" s="19" t="str">
        <x:f>IFERROR(VLOOKUP(B66,'敌人目录'!$A$6:$S$54,12,FALSE),"")</x:f>
      </x:c>
      <x:c r="M66" s="19" t="str">
        <x:f>IFERROR(VLOOKUP(B66,'敌人目录'!$A$6:$S$54,13,FALSE),"")</x:f>
      </x:c>
      <x:c r="N66" s="19" t="str">
        <x:f>IF(B66="","",IF(ISNUMBER(D66),D66,IFERROR(VLOOKUP(B66,'敌人目录'!$A$6:$S$54,14,FALSE),"")))</x:f>
      </x:c>
      <x:c r="O66" s="64" t="str">
        <x:f>IFERROR(VLOOKUP(B66,'敌人目录'!$A$6:$S$54,15,FALSE),"")</x:f>
      </x:c>
      <x:c r="P66" s="19" t="str">
        <x:f>IF(F66="","",F66*G66)</x:f>
      </x:c>
      <x:c r="Q66" s="19" t="str">
        <x:f>IF(F66="","",F66*L66)</x:f>
      </x:c>
      <x:c r="R66" s="19" t="str">
        <x:f>IF(F66="","",F66*N66)</x:f>
      </x:c>
      <x:c r="S66" s="19" t="str">
        <x:f>IF(R66="","",R66*'全局设置'!$B$5)</x:f>
      </x:c>
      <x:c r="T66" s="73" t="str">
        <x:f>IF(F66="","",F66*O66)</x:f>
      </x:c>
      <x:c r="U66" s="19" t="str">
        <x:f>IF(AND(B66="",C66=""),"",IF(B66="","缺少敌人",IF(C66="","缺少数量",IF(OR(C66&lt;1,C66&gt;9999,C66&lt;&gt;INT(C66)),"数量无效",IF(COUNTIF($E$65:$E$82,E66)&gt;1,"重复敌人",IF(AND(ISNUMBER(D66),OR(D66&lt;0,D66&gt;999,D66&lt;&gt;INT(D66))),"奖励无效","可导入"))))))</x:f>
      </x:c>
    </x:row>
    <x:row r="67" ht="22" customHeight="1">
      <x:c r="A67" s="72" t="n">
        <x:v>3</x:v>
      </x:c>
      <x:c r="B67" s="41"/>
      <x:c r="C67" s="41"/>
      <x:c r="D67" s="41"/>
      <x:c r="E67" s="19" t="str">
        <x:f>IFERROR(VLOOKUP(B67,'敌人目录'!$A$6:$S$54,2,FALSE),"")</x:f>
      </x:c>
      <x:c r="F67" s="19" t="str">
        <x:f>IF(OR(B67="",C67=""),"",ROUNDUP(C67*(1+('全局设置'!$B$5-1)*'全局设置'!$B$6),0))</x:f>
      </x:c>
      <x:c r="G67" s="19" t="str">
        <x:f>IFERROR(VLOOKUP(B67,'敌人目录'!$A$6:$S$54,7,FALSE),"")</x:f>
      </x:c>
      <x:c r="H67" s="19" t="str">
        <x:f>IFERROR(VLOOKUP(B67,'敌人目录'!$A$6:$S$54,8,FALSE),"")</x:f>
      </x:c>
      <x:c r="I67" s="19" t="str">
        <x:f>IFERROR(VLOOKUP(B67,'敌人目录'!$A$6:$S$54,9,FALSE),"")</x:f>
      </x:c>
      <x:c r="J67" s="19" t="str">
        <x:f>IFERROR(VLOOKUP(B67,'敌人目录'!$A$6:$S$54,10,FALSE),"")</x:f>
      </x:c>
      <x:c r="K67" s="19" t="str">
        <x:f>IFERROR(VLOOKUP(B67,'敌人目录'!$A$6:$S$54,11,FALSE),"")</x:f>
      </x:c>
      <x:c r="L67" s="19" t="str">
        <x:f>IFERROR(VLOOKUP(B67,'敌人目录'!$A$6:$S$54,12,FALSE),"")</x:f>
      </x:c>
      <x:c r="M67" s="19" t="str">
        <x:f>IFERROR(VLOOKUP(B67,'敌人目录'!$A$6:$S$54,13,FALSE),"")</x:f>
      </x:c>
      <x:c r="N67" s="19" t="str">
        <x:f>IF(B67="","",IF(ISNUMBER(D67),D67,IFERROR(VLOOKUP(B67,'敌人目录'!$A$6:$S$54,14,FALSE),"")))</x:f>
      </x:c>
      <x:c r="O67" s="64" t="str">
        <x:f>IFERROR(VLOOKUP(B67,'敌人目录'!$A$6:$S$54,15,FALSE),"")</x:f>
      </x:c>
      <x:c r="P67" s="19" t="str">
        <x:f>IF(F67="","",F67*G67)</x:f>
      </x:c>
      <x:c r="Q67" s="19" t="str">
        <x:f>IF(F67="","",F67*L67)</x:f>
      </x:c>
      <x:c r="R67" s="19" t="str">
        <x:f>IF(F67="","",F67*N67)</x:f>
      </x:c>
      <x:c r="S67" s="19" t="str">
        <x:f>IF(R67="","",R67*'全局设置'!$B$5)</x:f>
      </x:c>
      <x:c r="T67" s="73" t="str">
        <x:f>IF(F67="","",F67*O67)</x:f>
      </x:c>
      <x:c r="U67" s="19" t="str">
        <x:f>IF(AND(B67="",C67=""),"",IF(B67="","缺少敌人",IF(C67="","缺少数量",IF(OR(C67&lt;1,C67&gt;9999,C67&lt;&gt;INT(C67)),"数量无效",IF(COUNTIF($E$65:$E$82,E67)&gt;1,"重复敌人",IF(AND(ISNUMBER(D67),OR(D67&lt;0,D67&gt;999,D67&lt;&gt;INT(D67))),"奖励无效","可导入"))))))</x:f>
      </x:c>
    </x:row>
    <x:row r="68" ht="22" customHeight="1">
      <x:c r="A68" s="72" t="n">
        <x:v>4</x:v>
      </x:c>
      <x:c r="B68" s="41"/>
      <x:c r="C68" s="41"/>
      <x:c r="D68" s="41"/>
      <x:c r="E68" s="19" t="str">
        <x:f>IFERROR(VLOOKUP(B68,'敌人目录'!$A$6:$S$54,2,FALSE),"")</x:f>
      </x:c>
      <x:c r="F68" s="19" t="str">
        <x:f>IF(OR(B68="",C68=""),"",ROUNDUP(C68*(1+('全局设置'!$B$5-1)*'全局设置'!$B$6),0))</x:f>
      </x:c>
      <x:c r="G68" s="19" t="str">
        <x:f>IFERROR(VLOOKUP(B68,'敌人目录'!$A$6:$S$54,7,FALSE),"")</x:f>
      </x:c>
      <x:c r="H68" s="19" t="str">
        <x:f>IFERROR(VLOOKUP(B68,'敌人目录'!$A$6:$S$54,8,FALSE),"")</x:f>
      </x:c>
      <x:c r="I68" s="19" t="str">
        <x:f>IFERROR(VLOOKUP(B68,'敌人目录'!$A$6:$S$54,9,FALSE),"")</x:f>
      </x:c>
      <x:c r="J68" s="19" t="str">
        <x:f>IFERROR(VLOOKUP(B68,'敌人目录'!$A$6:$S$54,10,FALSE),"")</x:f>
      </x:c>
      <x:c r="K68" s="19" t="str">
        <x:f>IFERROR(VLOOKUP(B68,'敌人目录'!$A$6:$S$54,11,FALSE),"")</x:f>
      </x:c>
      <x:c r="L68" s="19" t="str">
        <x:f>IFERROR(VLOOKUP(B68,'敌人目录'!$A$6:$S$54,12,FALSE),"")</x:f>
      </x:c>
      <x:c r="M68" s="19" t="str">
        <x:f>IFERROR(VLOOKUP(B68,'敌人目录'!$A$6:$S$54,13,FALSE),"")</x:f>
      </x:c>
      <x:c r="N68" s="19" t="str">
        <x:f>IF(B68="","",IF(ISNUMBER(D68),D68,IFERROR(VLOOKUP(B68,'敌人目录'!$A$6:$S$54,14,FALSE),"")))</x:f>
      </x:c>
      <x:c r="O68" s="64" t="str">
        <x:f>IFERROR(VLOOKUP(B68,'敌人目录'!$A$6:$S$54,15,FALSE),"")</x:f>
      </x:c>
      <x:c r="P68" s="19" t="str">
        <x:f>IF(F68="","",F68*G68)</x:f>
      </x:c>
      <x:c r="Q68" s="19" t="str">
        <x:f>IF(F68="","",F68*L68)</x:f>
      </x:c>
      <x:c r="R68" s="19" t="str">
        <x:f>IF(F68="","",F68*N68)</x:f>
      </x:c>
      <x:c r="S68" s="19" t="str">
        <x:f>IF(R68="","",R68*'全局设置'!$B$5)</x:f>
      </x:c>
      <x:c r="T68" s="73" t="str">
        <x:f>IF(F68="","",F68*O68)</x:f>
      </x:c>
      <x:c r="U68" s="19" t="str">
        <x:f>IF(AND(B68="",C68=""),"",IF(B68="","缺少敌人",IF(C68="","缺少数量",IF(OR(C68&lt;1,C68&gt;9999,C68&lt;&gt;INT(C68)),"数量无效",IF(COUNTIF($E$65:$E$82,E68)&gt;1,"重复敌人",IF(AND(ISNUMBER(D68),OR(D68&lt;0,D68&gt;999,D68&lt;&gt;INT(D68))),"奖励无效","可导入"))))))</x:f>
      </x:c>
    </x:row>
    <x:row r="69" ht="22" customHeight="1">
      <x:c r="A69" s="72" t="n">
        <x:v>5</x:v>
      </x:c>
      <x:c r="B69" s="41"/>
      <x:c r="C69" s="41"/>
      <x:c r="D69" s="41"/>
      <x:c r="E69" s="19" t="str">
        <x:f>IFERROR(VLOOKUP(B69,'敌人目录'!$A$6:$S$54,2,FALSE),"")</x:f>
      </x:c>
      <x:c r="F69" s="19" t="str">
        <x:f>IF(OR(B69="",C69=""),"",ROUNDUP(C69*(1+('全局设置'!$B$5-1)*'全局设置'!$B$6),0))</x:f>
      </x:c>
      <x:c r="G69" s="19" t="str">
        <x:f>IFERROR(VLOOKUP(B69,'敌人目录'!$A$6:$S$54,7,FALSE),"")</x:f>
      </x:c>
      <x:c r="H69" s="19" t="str">
        <x:f>IFERROR(VLOOKUP(B69,'敌人目录'!$A$6:$S$54,8,FALSE),"")</x:f>
      </x:c>
      <x:c r="I69" s="19" t="str">
        <x:f>IFERROR(VLOOKUP(B69,'敌人目录'!$A$6:$S$54,9,FALSE),"")</x:f>
      </x:c>
      <x:c r="J69" s="19" t="str">
        <x:f>IFERROR(VLOOKUP(B69,'敌人目录'!$A$6:$S$54,10,FALSE),"")</x:f>
      </x:c>
      <x:c r="K69" s="19" t="str">
        <x:f>IFERROR(VLOOKUP(B69,'敌人目录'!$A$6:$S$54,11,FALSE),"")</x:f>
      </x:c>
      <x:c r="L69" s="19" t="str">
        <x:f>IFERROR(VLOOKUP(B69,'敌人目录'!$A$6:$S$54,12,FALSE),"")</x:f>
      </x:c>
      <x:c r="M69" s="19" t="str">
        <x:f>IFERROR(VLOOKUP(B69,'敌人目录'!$A$6:$S$54,13,FALSE),"")</x:f>
      </x:c>
      <x:c r="N69" s="19" t="str">
        <x:f>IF(B69="","",IF(ISNUMBER(D69),D69,IFERROR(VLOOKUP(B69,'敌人目录'!$A$6:$S$54,14,FALSE),"")))</x:f>
      </x:c>
      <x:c r="O69" s="64" t="str">
        <x:f>IFERROR(VLOOKUP(B69,'敌人目录'!$A$6:$S$54,15,FALSE),"")</x:f>
      </x:c>
      <x:c r="P69" s="19" t="str">
        <x:f>IF(F69="","",F69*G69)</x:f>
      </x:c>
      <x:c r="Q69" s="19" t="str">
        <x:f>IF(F69="","",F69*L69)</x:f>
      </x:c>
      <x:c r="R69" s="19" t="str">
        <x:f>IF(F69="","",F69*N69)</x:f>
      </x:c>
      <x:c r="S69" s="19" t="str">
        <x:f>IF(R69="","",R69*'全局设置'!$B$5)</x:f>
      </x:c>
      <x:c r="T69" s="73" t="str">
        <x:f>IF(F69="","",F69*O69)</x:f>
      </x:c>
      <x:c r="U69" s="19" t="str">
        <x:f>IF(AND(B69="",C69=""),"",IF(B69="","缺少敌人",IF(C69="","缺少数量",IF(OR(C69&lt;1,C69&gt;9999,C69&lt;&gt;INT(C69)),"数量无效",IF(COUNTIF($E$65:$E$82,E69)&gt;1,"重复敌人",IF(AND(ISNUMBER(D69),OR(D69&lt;0,D69&gt;999,D69&lt;&gt;INT(D69))),"奖励无效","可导入"))))))</x:f>
      </x:c>
    </x:row>
    <x:row r="70" ht="22" customHeight="1">
      <x:c r="A70" s="72" t="n">
        <x:v>6</x:v>
      </x:c>
      <x:c r="B70" s="41"/>
      <x:c r="C70" s="41"/>
      <x:c r="D70" s="41"/>
      <x:c r="E70" s="19" t="str">
        <x:f>IFERROR(VLOOKUP(B70,'敌人目录'!$A$6:$S$54,2,FALSE),"")</x:f>
      </x:c>
      <x:c r="F70" s="19" t="str">
        <x:f>IF(OR(B70="",C70=""),"",ROUNDUP(C70*(1+('全局设置'!$B$5-1)*'全局设置'!$B$6),0))</x:f>
      </x:c>
      <x:c r="G70" s="19" t="str">
        <x:f>IFERROR(VLOOKUP(B70,'敌人目录'!$A$6:$S$54,7,FALSE),"")</x:f>
      </x:c>
      <x:c r="H70" s="19" t="str">
        <x:f>IFERROR(VLOOKUP(B70,'敌人目录'!$A$6:$S$54,8,FALSE),"")</x:f>
      </x:c>
      <x:c r="I70" s="19" t="str">
        <x:f>IFERROR(VLOOKUP(B70,'敌人目录'!$A$6:$S$54,9,FALSE),"")</x:f>
      </x:c>
      <x:c r="J70" s="19" t="str">
        <x:f>IFERROR(VLOOKUP(B70,'敌人目录'!$A$6:$S$54,10,FALSE),"")</x:f>
      </x:c>
      <x:c r="K70" s="19" t="str">
        <x:f>IFERROR(VLOOKUP(B70,'敌人目录'!$A$6:$S$54,11,FALSE),"")</x:f>
      </x:c>
      <x:c r="L70" s="19" t="str">
        <x:f>IFERROR(VLOOKUP(B70,'敌人目录'!$A$6:$S$54,12,FALSE),"")</x:f>
      </x:c>
      <x:c r="M70" s="19" t="str">
        <x:f>IFERROR(VLOOKUP(B70,'敌人目录'!$A$6:$S$54,13,FALSE),"")</x:f>
      </x:c>
      <x:c r="N70" s="19" t="str">
        <x:f>IF(B70="","",IF(ISNUMBER(D70),D70,IFERROR(VLOOKUP(B70,'敌人目录'!$A$6:$S$54,14,FALSE),"")))</x:f>
      </x:c>
      <x:c r="O70" s="64" t="str">
        <x:f>IFERROR(VLOOKUP(B70,'敌人目录'!$A$6:$S$54,15,FALSE),"")</x:f>
      </x:c>
      <x:c r="P70" s="19" t="str">
        <x:f>IF(F70="","",F70*G70)</x:f>
      </x:c>
      <x:c r="Q70" s="19" t="str">
        <x:f>IF(F70="","",F70*L70)</x:f>
      </x:c>
      <x:c r="R70" s="19" t="str">
        <x:f>IF(F70="","",F70*N70)</x:f>
      </x:c>
      <x:c r="S70" s="19" t="str">
        <x:f>IF(R70="","",R70*'全局设置'!$B$5)</x:f>
      </x:c>
      <x:c r="T70" s="73" t="str">
        <x:f>IF(F70="","",F70*O70)</x:f>
      </x:c>
      <x:c r="U70" s="19" t="str">
        <x:f>IF(AND(B70="",C70=""),"",IF(B70="","缺少敌人",IF(C70="","缺少数量",IF(OR(C70&lt;1,C70&gt;9999,C70&lt;&gt;INT(C70)),"数量无效",IF(COUNTIF($E$65:$E$82,E70)&gt;1,"重复敌人",IF(AND(ISNUMBER(D70),OR(D70&lt;0,D70&gt;999,D70&lt;&gt;INT(D70))),"奖励无效","可导入"))))))</x:f>
      </x:c>
    </x:row>
    <x:row r="71" ht="22" customHeight="1">
      <x:c r="A71" s="72" t="n">
        <x:v>7</x:v>
      </x:c>
      <x:c r="B71" s="41"/>
      <x:c r="C71" s="41"/>
      <x:c r="D71" s="41"/>
      <x:c r="E71" s="19" t="str">
        <x:f>IFERROR(VLOOKUP(B71,'敌人目录'!$A$6:$S$54,2,FALSE),"")</x:f>
      </x:c>
      <x:c r="F71" s="19" t="str">
        <x:f>IF(OR(B71="",C71=""),"",ROUNDUP(C71*(1+('全局设置'!$B$5-1)*'全局设置'!$B$6),0))</x:f>
      </x:c>
      <x:c r="G71" s="19" t="str">
        <x:f>IFERROR(VLOOKUP(B71,'敌人目录'!$A$6:$S$54,7,FALSE),"")</x:f>
      </x:c>
      <x:c r="H71" s="19" t="str">
        <x:f>IFERROR(VLOOKUP(B71,'敌人目录'!$A$6:$S$54,8,FALSE),"")</x:f>
      </x:c>
      <x:c r="I71" s="19" t="str">
        <x:f>IFERROR(VLOOKUP(B71,'敌人目录'!$A$6:$S$54,9,FALSE),"")</x:f>
      </x:c>
      <x:c r="J71" s="19" t="str">
        <x:f>IFERROR(VLOOKUP(B71,'敌人目录'!$A$6:$S$54,10,FALSE),"")</x:f>
      </x:c>
      <x:c r="K71" s="19" t="str">
        <x:f>IFERROR(VLOOKUP(B71,'敌人目录'!$A$6:$S$54,11,FALSE),"")</x:f>
      </x:c>
      <x:c r="L71" s="19" t="str">
        <x:f>IFERROR(VLOOKUP(B71,'敌人目录'!$A$6:$S$54,12,FALSE),"")</x:f>
      </x:c>
      <x:c r="M71" s="19" t="str">
        <x:f>IFERROR(VLOOKUP(B71,'敌人目录'!$A$6:$S$54,13,FALSE),"")</x:f>
      </x:c>
      <x:c r="N71" s="19" t="str">
        <x:f>IF(B71="","",IF(ISNUMBER(D71),D71,IFERROR(VLOOKUP(B71,'敌人目录'!$A$6:$S$54,14,FALSE),"")))</x:f>
      </x:c>
      <x:c r="O71" s="64" t="str">
        <x:f>IFERROR(VLOOKUP(B71,'敌人目录'!$A$6:$S$54,15,FALSE),"")</x:f>
      </x:c>
      <x:c r="P71" s="19" t="str">
        <x:f>IF(F71="","",F71*G71)</x:f>
      </x:c>
      <x:c r="Q71" s="19" t="str">
        <x:f>IF(F71="","",F71*L71)</x:f>
      </x:c>
      <x:c r="R71" s="19" t="str">
        <x:f>IF(F71="","",F71*N71)</x:f>
      </x:c>
      <x:c r="S71" s="19" t="str">
        <x:f>IF(R71="","",R71*'全局设置'!$B$5)</x:f>
      </x:c>
      <x:c r="T71" s="73" t="str">
        <x:f>IF(F71="","",F71*O71)</x:f>
      </x:c>
      <x:c r="U71" s="19" t="str">
        <x:f>IF(AND(B71="",C71=""),"",IF(B71="","缺少敌人",IF(C71="","缺少数量",IF(OR(C71&lt;1,C71&gt;9999,C71&lt;&gt;INT(C71)),"数量无效",IF(COUNTIF($E$65:$E$82,E71)&gt;1,"重复敌人",IF(AND(ISNUMBER(D71),OR(D71&lt;0,D71&gt;999,D71&lt;&gt;INT(D71))),"奖励无效","可导入"))))))</x:f>
      </x:c>
    </x:row>
    <x:row r="72" ht="22" customHeight="1">
      <x:c r="A72" s="72" t="n">
        <x:v>8</x:v>
      </x:c>
      <x:c r="B72" s="41"/>
      <x:c r="C72" s="41"/>
      <x:c r="D72" s="41"/>
      <x:c r="E72" s="19" t="str">
        <x:f>IFERROR(VLOOKUP(B72,'敌人目录'!$A$6:$S$54,2,FALSE),"")</x:f>
      </x:c>
      <x:c r="F72" s="19" t="str">
        <x:f>IF(OR(B72="",C72=""),"",ROUNDUP(C72*(1+('全局设置'!$B$5-1)*'全局设置'!$B$6),0))</x:f>
      </x:c>
      <x:c r="G72" s="19" t="str">
        <x:f>IFERROR(VLOOKUP(B72,'敌人目录'!$A$6:$S$54,7,FALSE),"")</x:f>
      </x:c>
      <x:c r="H72" s="19" t="str">
        <x:f>IFERROR(VLOOKUP(B72,'敌人目录'!$A$6:$S$54,8,FALSE),"")</x:f>
      </x:c>
      <x:c r="I72" s="19" t="str">
        <x:f>IFERROR(VLOOKUP(B72,'敌人目录'!$A$6:$S$54,9,FALSE),"")</x:f>
      </x:c>
      <x:c r="J72" s="19" t="str">
        <x:f>IFERROR(VLOOKUP(B72,'敌人目录'!$A$6:$S$54,10,FALSE),"")</x:f>
      </x:c>
      <x:c r="K72" s="19" t="str">
        <x:f>IFERROR(VLOOKUP(B72,'敌人目录'!$A$6:$S$54,11,FALSE),"")</x:f>
      </x:c>
      <x:c r="L72" s="19" t="str">
        <x:f>IFERROR(VLOOKUP(B72,'敌人目录'!$A$6:$S$54,12,FALSE),"")</x:f>
      </x:c>
      <x:c r="M72" s="19" t="str">
        <x:f>IFERROR(VLOOKUP(B72,'敌人目录'!$A$6:$S$54,13,FALSE),"")</x:f>
      </x:c>
      <x:c r="N72" s="19" t="str">
        <x:f>IF(B72="","",IF(ISNUMBER(D72),D72,IFERROR(VLOOKUP(B72,'敌人目录'!$A$6:$S$54,14,FALSE),"")))</x:f>
      </x:c>
      <x:c r="O72" s="64" t="str">
        <x:f>IFERROR(VLOOKUP(B72,'敌人目录'!$A$6:$S$54,15,FALSE),"")</x:f>
      </x:c>
      <x:c r="P72" s="19" t="str">
        <x:f>IF(F72="","",F72*G72)</x:f>
      </x:c>
      <x:c r="Q72" s="19" t="str">
        <x:f>IF(F72="","",F72*L72)</x:f>
      </x:c>
      <x:c r="R72" s="19" t="str">
        <x:f>IF(F72="","",F72*N72)</x:f>
      </x:c>
      <x:c r="S72" s="19" t="str">
        <x:f>IF(R72="","",R72*'全局设置'!$B$5)</x:f>
      </x:c>
      <x:c r="T72" s="73" t="str">
        <x:f>IF(F72="","",F72*O72)</x:f>
      </x:c>
      <x:c r="U72" s="19" t="str">
        <x:f>IF(AND(B72="",C72=""),"",IF(B72="","缺少敌人",IF(C72="","缺少数量",IF(OR(C72&lt;1,C72&gt;9999,C72&lt;&gt;INT(C72)),"数量无效",IF(COUNTIF($E$65:$E$82,E72)&gt;1,"重复敌人",IF(AND(ISNUMBER(D72),OR(D72&lt;0,D72&gt;999,D72&lt;&gt;INT(D72))),"奖励无效","可导入"))))))</x:f>
      </x:c>
    </x:row>
    <x:row r="73" ht="22" customHeight="1">
      <x:c r="A73" s="72" t="n">
        <x:v>9</x:v>
      </x:c>
      <x:c r="B73" s="41"/>
      <x:c r="C73" s="41"/>
      <x:c r="D73" s="41"/>
      <x:c r="E73" s="19" t="str">
        <x:f>IFERROR(VLOOKUP(B73,'敌人目录'!$A$6:$S$54,2,FALSE),"")</x:f>
      </x:c>
      <x:c r="F73" s="19" t="str">
        <x:f>IF(OR(B73="",C73=""),"",ROUNDUP(C73*(1+('全局设置'!$B$5-1)*'全局设置'!$B$6),0))</x:f>
      </x:c>
      <x:c r="G73" s="19" t="str">
        <x:f>IFERROR(VLOOKUP(B73,'敌人目录'!$A$6:$S$54,7,FALSE),"")</x:f>
      </x:c>
      <x:c r="H73" s="19" t="str">
        <x:f>IFERROR(VLOOKUP(B73,'敌人目录'!$A$6:$S$54,8,FALSE),"")</x:f>
      </x:c>
      <x:c r="I73" s="19" t="str">
        <x:f>IFERROR(VLOOKUP(B73,'敌人目录'!$A$6:$S$54,9,FALSE),"")</x:f>
      </x:c>
      <x:c r="J73" s="19" t="str">
        <x:f>IFERROR(VLOOKUP(B73,'敌人目录'!$A$6:$S$54,10,FALSE),"")</x:f>
      </x:c>
      <x:c r="K73" s="19" t="str">
        <x:f>IFERROR(VLOOKUP(B73,'敌人目录'!$A$6:$S$54,11,FALSE),"")</x:f>
      </x:c>
      <x:c r="L73" s="19" t="str">
        <x:f>IFERROR(VLOOKUP(B73,'敌人目录'!$A$6:$S$54,12,FALSE),"")</x:f>
      </x:c>
      <x:c r="M73" s="19" t="str">
        <x:f>IFERROR(VLOOKUP(B73,'敌人目录'!$A$6:$S$54,13,FALSE),"")</x:f>
      </x:c>
      <x:c r="N73" s="19" t="str">
        <x:f>IF(B73="","",IF(ISNUMBER(D73),D73,IFERROR(VLOOKUP(B73,'敌人目录'!$A$6:$S$54,14,FALSE),"")))</x:f>
      </x:c>
      <x:c r="O73" s="64" t="str">
        <x:f>IFERROR(VLOOKUP(B73,'敌人目录'!$A$6:$S$54,15,FALSE),"")</x:f>
      </x:c>
      <x:c r="P73" s="19" t="str">
        <x:f>IF(F73="","",F73*G73)</x:f>
      </x:c>
      <x:c r="Q73" s="19" t="str">
        <x:f>IF(F73="","",F73*L73)</x:f>
      </x:c>
      <x:c r="R73" s="19" t="str">
        <x:f>IF(F73="","",F73*N73)</x:f>
      </x:c>
      <x:c r="S73" s="19" t="str">
        <x:f>IF(R73="","",R73*'全局设置'!$B$5)</x:f>
      </x:c>
      <x:c r="T73" s="73" t="str">
        <x:f>IF(F73="","",F73*O73)</x:f>
      </x:c>
      <x:c r="U73" s="19" t="str">
        <x:f>IF(AND(B73="",C73=""),"",IF(B73="","缺少敌人",IF(C73="","缺少数量",IF(OR(C73&lt;1,C73&gt;9999,C73&lt;&gt;INT(C73)),"数量无效",IF(COUNTIF($E$65:$E$82,E73)&gt;1,"重复敌人",IF(AND(ISNUMBER(D73),OR(D73&lt;0,D73&gt;999,D73&lt;&gt;INT(D73))),"奖励无效","可导入"))))))</x:f>
      </x:c>
    </x:row>
    <x:row r="74" ht="22" customHeight="1">
      <x:c r="A74" s="72" t="n">
        <x:v>10</x:v>
      </x:c>
      <x:c r="B74" s="41"/>
      <x:c r="C74" s="41"/>
      <x:c r="D74" s="41"/>
      <x:c r="E74" s="19" t="str">
        <x:f>IFERROR(VLOOKUP(B74,'敌人目录'!$A$6:$S$54,2,FALSE),"")</x:f>
      </x:c>
      <x:c r="F74" s="19" t="str">
        <x:f>IF(OR(B74="",C74=""),"",ROUNDUP(C74*(1+('全局设置'!$B$5-1)*'全局设置'!$B$6),0))</x:f>
      </x:c>
      <x:c r="G74" s="19" t="str">
        <x:f>IFERROR(VLOOKUP(B74,'敌人目录'!$A$6:$S$54,7,FALSE),"")</x:f>
      </x:c>
      <x:c r="H74" s="19" t="str">
        <x:f>IFERROR(VLOOKUP(B74,'敌人目录'!$A$6:$S$54,8,FALSE),"")</x:f>
      </x:c>
      <x:c r="I74" s="19" t="str">
        <x:f>IFERROR(VLOOKUP(B74,'敌人目录'!$A$6:$S$54,9,FALSE),"")</x:f>
      </x:c>
      <x:c r="J74" s="19" t="str">
        <x:f>IFERROR(VLOOKUP(B74,'敌人目录'!$A$6:$S$54,10,FALSE),"")</x:f>
      </x:c>
      <x:c r="K74" s="19" t="str">
        <x:f>IFERROR(VLOOKUP(B74,'敌人目录'!$A$6:$S$54,11,FALSE),"")</x:f>
      </x:c>
      <x:c r="L74" s="19" t="str">
        <x:f>IFERROR(VLOOKUP(B74,'敌人目录'!$A$6:$S$54,12,FALSE),"")</x:f>
      </x:c>
      <x:c r="M74" s="19" t="str">
        <x:f>IFERROR(VLOOKUP(B74,'敌人目录'!$A$6:$S$54,13,FALSE),"")</x:f>
      </x:c>
      <x:c r="N74" s="19" t="str">
        <x:f>IF(B74="","",IF(ISNUMBER(D74),D74,IFERROR(VLOOKUP(B74,'敌人目录'!$A$6:$S$54,14,FALSE),"")))</x:f>
      </x:c>
      <x:c r="O74" s="64" t="str">
        <x:f>IFERROR(VLOOKUP(B74,'敌人目录'!$A$6:$S$54,15,FALSE),"")</x:f>
      </x:c>
      <x:c r="P74" s="19" t="str">
        <x:f>IF(F74="","",F74*G74)</x:f>
      </x:c>
      <x:c r="Q74" s="19" t="str">
        <x:f>IF(F74="","",F74*L74)</x:f>
      </x:c>
      <x:c r="R74" s="19" t="str">
        <x:f>IF(F74="","",F74*N74)</x:f>
      </x:c>
      <x:c r="S74" s="19" t="str">
        <x:f>IF(R74="","",R74*'全局设置'!$B$5)</x:f>
      </x:c>
      <x:c r="T74" s="73" t="str">
        <x:f>IF(F74="","",F74*O74)</x:f>
      </x:c>
      <x:c r="U74" s="19" t="str">
        <x:f>IF(AND(B74="",C74=""),"",IF(B74="","缺少敌人",IF(C74="","缺少数量",IF(OR(C74&lt;1,C74&gt;9999,C74&lt;&gt;INT(C74)),"数量无效",IF(COUNTIF($E$65:$E$82,E74)&gt;1,"重复敌人",IF(AND(ISNUMBER(D74),OR(D74&lt;0,D74&gt;999,D74&lt;&gt;INT(D74))),"奖励无效","可导入"))))))</x:f>
      </x:c>
    </x:row>
    <x:row r="75" ht="22" customHeight="1">
      <x:c r="A75" s="72" t="n">
        <x:v>11</x:v>
      </x:c>
      <x:c r="B75" s="41"/>
      <x:c r="C75" s="41"/>
      <x:c r="D75" s="41"/>
      <x:c r="E75" s="19" t="str">
        <x:f>IFERROR(VLOOKUP(B75,'敌人目录'!$A$6:$S$54,2,FALSE),"")</x:f>
      </x:c>
      <x:c r="F75" s="19" t="str">
        <x:f>IF(OR(B75="",C75=""),"",ROUNDUP(C75*(1+('全局设置'!$B$5-1)*'全局设置'!$B$6),0))</x:f>
      </x:c>
      <x:c r="G75" s="19" t="str">
        <x:f>IFERROR(VLOOKUP(B75,'敌人目录'!$A$6:$S$54,7,FALSE),"")</x:f>
      </x:c>
      <x:c r="H75" s="19" t="str">
        <x:f>IFERROR(VLOOKUP(B75,'敌人目录'!$A$6:$S$54,8,FALSE),"")</x:f>
      </x:c>
      <x:c r="I75" s="19" t="str">
        <x:f>IFERROR(VLOOKUP(B75,'敌人目录'!$A$6:$S$54,9,FALSE),"")</x:f>
      </x:c>
      <x:c r="J75" s="19" t="str">
        <x:f>IFERROR(VLOOKUP(B75,'敌人目录'!$A$6:$S$54,10,FALSE),"")</x:f>
      </x:c>
      <x:c r="K75" s="19" t="str">
        <x:f>IFERROR(VLOOKUP(B75,'敌人目录'!$A$6:$S$54,11,FALSE),"")</x:f>
      </x:c>
      <x:c r="L75" s="19" t="str">
        <x:f>IFERROR(VLOOKUP(B75,'敌人目录'!$A$6:$S$54,12,FALSE),"")</x:f>
      </x:c>
      <x:c r="M75" s="19" t="str">
        <x:f>IFERROR(VLOOKUP(B75,'敌人目录'!$A$6:$S$54,13,FALSE),"")</x:f>
      </x:c>
      <x:c r="N75" s="19" t="str">
        <x:f>IF(B75="","",IF(ISNUMBER(D75),D75,IFERROR(VLOOKUP(B75,'敌人目录'!$A$6:$S$54,14,FALSE),"")))</x:f>
      </x:c>
      <x:c r="O75" s="64" t="str">
        <x:f>IFERROR(VLOOKUP(B75,'敌人目录'!$A$6:$S$54,15,FALSE),"")</x:f>
      </x:c>
      <x:c r="P75" s="19" t="str">
        <x:f>IF(F75="","",F75*G75)</x:f>
      </x:c>
      <x:c r="Q75" s="19" t="str">
        <x:f>IF(F75="","",F75*L75)</x:f>
      </x:c>
      <x:c r="R75" s="19" t="str">
        <x:f>IF(F75="","",F75*N75)</x:f>
      </x:c>
      <x:c r="S75" s="19" t="str">
        <x:f>IF(R75="","",R75*'全局设置'!$B$5)</x:f>
      </x:c>
      <x:c r="T75" s="73" t="str">
        <x:f>IF(F75="","",F75*O75)</x:f>
      </x:c>
      <x:c r="U75" s="19" t="str">
        <x:f>IF(AND(B75="",C75=""),"",IF(B75="","缺少敌人",IF(C75="","缺少数量",IF(OR(C75&lt;1,C75&gt;9999,C75&lt;&gt;INT(C75)),"数量无效",IF(COUNTIF($E$65:$E$82,E75)&gt;1,"重复敌人",IF(AND(ISNUMBER(D75),OR(D75&lt;0,D75&gt;999,D75&lt;&gt;INT(D75))),"奖励无效","可导入"))))))</x:f>
      </x:c>
    </x:row>
    <x:row r="76" ht="22" customHeight="1">
      <x:c r="A76" s="72" t="n">
        <x:v>12</x:v>
      </x:c>
      <x:c r="B76" s="41"/>
      <x:c r="C76" s="41"/>
      <x:c r="D76" s="41"/>
      <x:c r="E76" s="19" t="str">
        <x:f>IFERROR(VLOOKUP(B76,'敌人目录'!$A$6:$S$54,2,FALSE),"")</x:f>
      </x:c>
      <x:c r="F76" s="19" t="str">
        <x:f>IF(OR(B76="",C76=""),"",ROUNDUP(C76*(1+('全局设置'!$B$5-1)*'全局设置'!$B$6),0))</x:f>
      </x:c>
      <x:c r="G76" s="19" t="str">
        <x:f>IFERROR(VLOOKUP(B76,'敌人目录'!$A$6:$S$54,7,FALSE),"")</x:f>
      </x:c>
      <x:c r="H76" s="19" t="str">
        <x:f>IFERROR(VLOOKUP(B76,'敌人目录'!$A$6:$S$54,8,FALSE),"")</x:f>
      </x:c>
      <x:c r="I76" s="19" t="str">
        <x:f>IFERROR(VLOOKUP(B76,'敌人目录'!$A$6:$S$54,9,FALSE),"")</x:f>
      </x:c>
      <x:c r="J76" s="19" t="str">
        <x:f>IFERROR(VLOOKUP(B76,'敌人目录'!$A$6:$S$54,10,FALSE),"")</x:f>
      </x:c>
      <x:c r="K76" s="19" t="str">
        <x:f>IFERROR(VLOOKUP(B76,'敌人目录'!$A$6:$S$54,11,FALSE),"")</x:f>
      </x:c>
      <x:c r="L76" s="19" t="str">
        <x:f>IFERROR(VLOOKUP(B76,'敌人目录'!$A$6:$S$54,12,FALSE),"")</x:f>
      </x:c>
      <x:c r="M76" s="19" t="str">
        <x:f>IFERROR(VLOOKUP(B76,'敌人目录'!$A$6:$S$54,13,FALSE),"")</x:f>
      </x:c>
      <x:c r="N76" s="19" t="str">
        <x:f>IF(B76="","",IF(ISNUMBER(D76),D76,IFERROR(VLOOKUP(B76,'敌人目录'!$A$6:$S$54,14,FALSE),"")))</x:f>
      </x:c>
      <x:c r="O76" s="64" t="str">
        <x:f>IFERROR(VLOOKUP(B76,'敌人目录'!$A$6:$S$54,15,FALSE),"")</x:f>
      </x:c>
      <x:c r="P76" s="19" t="str">
        <x:f>IF(F76="","",F76*G76)</x:f>
      </x:c>
      <x:c r="Q76" s="19" t="str">
        <x:f>IF(F76="","",F76*L76)</x:f>
      </x:c>
      <x:c r="R76" s="19" t="str">
        <x:f>IF(F76="","",F76*N76)</x:f>
      </x:c>
      <x:c r="S76" s="19" t="str">
        <x:f>IF(R76="","",R76*'全局设置'!$B$5)</x:f>
      </x:c>
      <x:c r="T76" s="73" t="str">
        <x:f>IF(F76="","",F76*O76)</x:f>
      </x:c>
      <x:c r="U76" s="19" t="str">
        <x:f>IF(AND(B76="",C76=""),"",IF(B76="","缺少敌人",IF(C76="","缺少数量",IF(OR(C76&lt;1,C76&gt;9999,C76&lt;&gt;INT(C76)),"数量无效",IF(COUNTIF($E$65:$E$82,E76)&gt;1,"重复敌人",IF(AND(ISNUMBER(D76),OR(D76&lt;0,D76&gt;999,D76&lt;&gt;INT(D76))),"奖励无效","可导入"))))))</x:f>
      </x:c>
    </x:row>
    <x:row r="77" ht="22" customHeight="1">
      <x:c r="A77" s="72" t="n">
        <x:v>13</x:v>
      </x:c>
      <x:c r="B77" s="41"/>
      <x:c r="C77" s="41"/>
      <x:c r="D77" s="41"/>
      <x:c r="E77" s="19" t="str">
        <x:f>IFERROR(VLOOKUP(B77,'敌人目录'!$A$6:$S$54,2,FALSE),"")</x:f>
      </x:c>
      <x:c r="F77" s="19" t="str">
        <x:f>IF(OR(B77="",C77=""),"",ROUNDUP(C77*(1+('全局设置'!$B$5-1)*'全局设置'!$B$6),0))</x:f>
      </x:c>
      <x:c r="G77" s="19" t="str">
        <x:f>IFERROR(VLOOKUP(B77,'敌人目录'!$A$6:$S$54,7,FALSE),"")</x:f>
      </x:c>
      <x:c r="H77" s="19" t="str">
        <x:f>IFERROR(VLOOKUP(B77,'敌人目录'!$A$6:$S$54,8,FALSE),"")</x:f>
      </x:c>
      <x:c r="I77" s="19" t="str">
        <x:f>IFERROR(VLOOKUP(B77,'敌人目录'!$A$6:$S$54,9,FALSE),"")</x:f>
      </x:c>
      <x:c r="J77" s="19" t="str">
        <x:f>IFERROR(VLOOKUP(B77,'敌人目录'!$A$6:$S$54,10,FALSE),"")</x:f>
      </x:c>
      <x:c r="K77" s="19" t="str">
        <x:f>IFERROR(VLOOKUP(B77,'敌人目录'!$A$6:$S$54,11,FALSE),"")</x:f>
      </x:c>
      <x:c r="L77" s="19" t="str">
        <x:f>IFERROR(VLOOKUP(B77,'敌人目录'!$A$6:$S$54,12,FALSE),"")</x:f>
      </x:c>
      <x:c r="M77" s="19" t="str">
        <x:f>IFERROR(VLOOKUP(B77,'敌人目录'!$A$6:$S$54,13,FALSE),"")</x:f>
      </x:c>
      <x:c r="N77" s="19" t="str">
        <x:f>IF(B77="","",IF(ISNUMBER(D77),D77,IFERROR(VLOOKUP(B77,'敌人目录'!$A$6:$S$54,14,FALSE),"")))</x:f>
      </x:c>
      <x:c r="O77" s="64" t="str">
        <x:f>IFERROR(VLOOKUP(B77,'敌人目录'!$A$6:$S$54,15,FALSE),"")</x:f>
      </x:c>
      <x:c r="P77" s="19" t="str">
        <x:f>IF(F77="","",F77*G77)</x:f>
      </x:c>
      <x:c r="Q77" s="19" t="str">
        <x:f>IF(F77="","",F77*L77)</x:f>
      </x:c>
      <x:c r="R77" s="19" t="str">
        <x:f>IF(F77="","",F77*N77)</x:f>
      </x:c>
      <x:c r="S77" s="19" t="str">
        <x:f>IF(R77="","",R77*'全局设置'!$B$5)</x:f>
      </x:c>
      <x:c r="T77" s="73" t="str">
        <x:f>IF(F77="","",F77*O77)</x:f>
      </x:c>
      <x:c r="U77" s="19" t="str">
        <x:f>IF(AND(B77="",C77=""),"",IF(B77="","缺少敌人",IF(C77="","缺少数量",IF(OR(C77&lt;1,C77&gt;9999,C77&lt;&gt;INT(C77)),"数量无效",IF(COUNTIF($E$65:$E$82,E77)&gt;1,"重复敌人",IF(AND(ISNUMBER(D77),OR(D77&lt;0,D77&gt;999,D77&lt;&gt;INT(D77))),"奖励无效","可导入"))))))</x:f>
      </x:c>
    </x:row>
    <x:row r="78" ht="22" customHeight="1">
      <x:c r="A78" s="72" t="n">
        <x:v>14</x:v>
      </x:c>
      <x:c r="B78" s="41"/>
      <x:c r="C78" s="41"/>
      <x:c r="D78" s="41"/>
      <x:c r="E78" s="19" t="str">
        <x:f>IFERROR(VLOOKUP(B78,'敌人目录'!$A$6:$S$54,2,FALSE),"")</x:f>
      </x:c>
      <x:c r="F78" s="19" t="str">
        <x:f>IF(OR(B78="",C78=""),"",ROUNDUP(C78*(1+('全局设置'!$B$5-1)*'全局设置'!$B$6),0))</x:f>
      </x:c>
      <x:c r="G78" s="19" t="str">
        <x:f>IFERROR(VLOOKUP(B78,'敌人目录'!$A$6:$S$54,7,FALSE),"")</x:f>
      </x:c>
      <x:c r="H78" s="19" t="str">
        <x:f>IFERROR(VLOOKUP(B78,'敌人目录'!$A$6:$S$54,8,FALSE),"")</x:f>
      </x:c>
      <x:c r="I78" s="19" t="str">
        <x:f>IFERROR(VLOOKUP(B78,'敌人目录'!$A$6:$S$54,9,FALSE),"")</x:f>
      </x:c>
      <x:c r="J78" s="19" t="str">
        <x:f>IFERROR(VLOOKUP(B78,'敌人目录'!$A$6:$S$54,10,FALSE),"")</x:f>
      </x:c>
      <x:c r="K78" s="19" t="str">
        <x:f>IFERROR(VLOOKUP(B78,'敌人目录'!$A$6:$S$54,11,FALSE),"")</x:f>
      </x:c>
      <x:c r="L78" s="19" t="str">
        <x:f>IFERROR(VLOOKUP(B78,'敌人目录'!$A$6:$S$54,12,FALSE),"")</x:f>
      </x:c>
      <x:c r="M78" s="19" t="str">
        <x:f>IFERROR(VLOOKUP(B78,'敌人目录'!$A$6:$S$54,13,FALSE),"")</x:f>
      </x:c>
      <x:c r="N78" s="19" t="str">
        <x:f>IF(B78="","",IF(ISNUMBER(D78),D78,IFERROR(VLOOKUP(B78,'敌人目录'!$A$6:$S$54,14,FALSE),"")))</x:f>
      </x:c>
      <x:c r="O78" s="64" t="str">
        <x:f>IFERROR(VLOOKUP(B78,'敌人目录'!$A$6:$S$54,15,FALSE),"")</x:f>
      </x:c>
      <x:c r="P78" s="19" t="str">
        <x:f>IF(F78="","",F78*G78)</x:f>
      </x:c>
      <x:c r="Q78" s="19" t="str">
        <x:f>IF(F78="","",F78*L78)</x:f>
      </x:c>
      <x:c r="R78" s="19" t="str">
        <x:f>IF(F78="","",F78*N78)</x:f>
      </x:c>
      <x:c r="S78" s="19" t="str">
        <x:f>IF(R78="","",R78*'全局设置'!$B$5)</x:f>
      </x:c>
      <x:c r="T78" s="73" t="str">
        <x:f>IF(F78="","",F78*O78)</x:f>
      </x:c>
      <x:c r="U78" s="19" t="str">
        <x:f>IF(AND(B78="",C78=""),"",IF(B78="","缺少敌人",IF(C78="","缺少数量",IF(OR(C78&lt;1,C78&gt;9999,C78&lt;&gt;INT(C78)),"数量无效",IF(COUNTIF($E$65:$E$82,E78)&gt;1,"重复敌人",IF(AND(ISNUMBER(D78),OR(D78&lt;0,D78&gt;999,D78&lt;&gt;INT(D78))),"奖励无效","可导入"))))))</x:f>
      </x:c>
    </x:row>
    <x:row r="79" ht="22" customHeight="1">
      <x:c r="A79" s="72" t="n">
        <x:v>15</x:v>
      </x:c>
      <x:c r="B79" s="41"/>
      <x:c r="C79" s="41"/>
      <x:c r="D79" s="41"/>
      <x:c r="E79" s="19" t="str">
        <x:f>IFERROR(VLOOKUP(B79,'敌人目录'!$A$6:$S$54,2,FALSE),"")</x:f>
      </x:c>
      <x:c r="F79" s="19" t="str">
        <x:f>IF(OR(B79="",C79=""),"",ROUNDUP(C79*(1+('全局设置'!$B$5-1)*'全局设置'!$B$6),0))</x:f>
      </x:c>
      <x:c r="G79" s="19" t="str">
        <x:f>IFERROR(VLOOKUP(B79,'敌人目录'!$A$6:$S$54,7,FALSE),"")</x:f>
      </x:c>
      <x:c r="H79" s="19" t="str">
        <x:f>IFERROR(VLOOKUP(B79,'敌人目录'!$A$6:$S$54,8,FALSE),"")</x:f>
      </x:c>
      <x:c r="I79" s="19" t="str">
        <x:f>IFERROR(VLOOKUP(B79,'敌人目录'!$A$6:$S$54,9,FALSE),"")</x:f>
      </x:c>
      <x:c r="J79" s="19" t="str">
        <x:f>IFERROR(VLOOKUP(B79,'敌人目录'!$A$6:$S$54,10,FALSE),"")</x:f>
      </x:c>
      <x:c r="K79" s="19" t="str">
        <x:f>IFERROR(VLOOKUP(B79,'敌人目录'!$A$6:$S$54,11,FALSE),"")</x:f>
      </x:c>
      <x:c r="L79" s="19" t="str">
        <x:f>IFERROR(VLOOKUP(B79,'敌人目录'!$A$6:$S$54,12,FALSE),"")</x:f>
      </x:c>
      <x:c r="M79" s="19" t="str">
        <x:f>IFERROR(VLOOKUP(B79,'敌人目录'!$A$6:$S$54,13,FALSE),"")</x:f>
      </x:c>
      <x:c r="N79" s="19" t="str">
        <x:f>IF(B79="","",IF(ISNUMBER(D79),D79,IFERROR(VLOOKUP(B79,'敌人目录'!$A$6:$S$54,14,FALSE),"")))</x:f>
      </x:c>
      <x:c r="O79" s="64" t="str">
        <x:f>IFERROR(VLOOKUP(B79,'敌人目录'!$A$6:$S$54,15,FALSE),"")</x:f>
      </x:c>
      <x:c r="P79" s="19" t="str">
        <x:f>IF(F79="","",F79*G79)</x:f>
      </x:c>
      <x:c r="Q79" s="19" t="str">
        <x:f>IF(F79="","",F79*L79)</x:f>
      </x:c>
      <x:c r="R79" s="19" t="str">
        <x:f>IF(F79="","",F79*N79)</x:f>
      </x:c>
      <x:c r="S79" s="19" t="str">
        <x:f>IF(R79="","",R79*'全局设置'!$B$5)</x:f>
      </x:c>
      <x:c r="T79" s="73" t="str">
        <x:f>IF(F79="","",F79*O79)</x:f>
      </x:c>
      <x:c r="U79" s="19" t="str">
        <x:f>IF(AND(B79="",C79=""),"",IF(B79="","缺少敌人",IF(C79="","缺少数量",IF(OR(C79&lt;1,C79&gt;9999,C79&lt;&gt;INT(C79)),"数量无效",IF(COUNTIF($E$65:$E$82,E79)&gt;1,"重复敌人",IF(AND(ISNUMBER(D79),OR(D79&lt;0,D79&gt;999,D79&lt;&gt;INT(D79))),"奖励无效","可导入"))))))</x:f>
      </x:c>
    </x:row>
    <x:row r="80" ht="22" customHeight="1">
      <x:c r="A80" s="72" t="n">
        <x:v>16</x:v>
      </x:c>
      <x:c r="B80" s="41"/>
      <x:c r="C80" s="41"/>
      <x:c r="D80" s="41"/>
      <x:c r="E80" s="19" t="str">
        <x:f>IFERROR(VLOOKUP(B80,'敌人目录'!$A$6:$S$54,2,FALSE),"")</x:f>
      </x:c>
      <x:c r="F80" s="19" t="str">
        <x:f>IF(OR(B80="",C80=""),"",ROUNDUP(C80*(1+('全局设置'!$B$5-1)*'全局设置'!$B$6),0))</x:f>
      </x:c>
      <x:c r="G80" s="19" t="str">
        <x:f>IFERROR(VLOOKUP(B80,'敌人目录'!$A$6:$S$54,7,FALSE),"")</x:f>
      </x:c>
      <x:c r="H80" s="19" t="str">
        <x:f>IFERROR(VLOOKUP(B80,'敌人目录'!$A$6:$S$54,8,FALSE),"")</x:f>
      </x:c>
      <x:c r="I80" s="19" t="str">
        <x:f>IFERROR(VLOOKUP(B80,'敌人目录'!$A$6:$S$54,9,FALSE),"")</x:f>
      </x:c>
      <x:c r="J80" s="19" t="str">
        <x:f>IFERROR(VLOOKUP(B80,'敌人目录'!$A$6:$S$54,10,FALSE),"")</x:f>
      </x:c>
      <x:c r="K80" s="19" t="str">
        <x:f>IFERROR(VLOOKUP(B80,'敌人目录'!$A$6:$S$54,11,FALSE),"")</x:f>
      </x:c>
      <x:c r="L80" s="19" t="str">
        <x:f>IFERROR(VLOOKUP(B80,'敌人目录'!$A$6:$S$54,12,FALSE),"")</x:f>
      </x:c>
      <x:c r="M80" s="19" t="str">
        <x:f>IFERROR(VLOOKUP(B80,'敌人目录'!$A$6:$S$54,13,FALSE),"")</x:f>
      </x:c>
      <x:c r="N80" s="19" t="str">
        <x:f>IF(B80="","",IF(ISNUMBER(D80),D80,IFERROR(VLOOKUP(B80,'敌人目录'!$A$6:$S$54,14,FALSE),"")))</x:f>
      </x:c>
      <x:c r="O80" s="64" t="str">
        <x:f>IFERROR(VLOOKUP(B80,'敌人目录'!$A$6:$S$54,15,FALSE),"")</x:f>
      </x:c>
      <x:c r="P80" s="19" t="str">
        <x:f>IF(F80="","",F80*G80)</x:f>
      </x:c>
      <x:c r="Q80" s="19" t="str">
        <x:f>IF(F80="","",F80*L80)</x:f>
      </x:c>
      <x:c r="R80" s="19" t="str">
        <x:f>IF(F80="","",F80*N80)</x:f>
      </x:c>
      <x:c r="S80" s="19" t="str">
        <x:f>IF(R80="","",R80*'全局设置'!$B$5)</x:f>
      </x:c>
      <x:c r="T80" s="73" t="str">
        <x:f>IF(F80="","",F80*O80)</x:f>
      </x:c>
      <x:c r="U80" s="19" t="str">
        <x:f>IF(AND(B80="",C80=""),"",IF(B80="","缺少敌人",IF(C80="","缺少数量",IF(OR(C80&lt;1,C80&gt;9999,C80&lt;&gt;INT(C80)),"数量无效",IF(COUNTIF($E$65:$E$82,E80)&gt;1,"重复敌人",IF(AND(ISNUMBER(D80),OR(D80&lt;0,D80&gt;999,D80&lt;&gt;INT(D80))),"奖励无效","可导入"))))))</x:f>
      </x:c>
    </x:row>
    <x:row r="81" ht="22" customHeight="1">
      <x:c r="A81" s="72" t="n">
        <x:v>17</x:v>
      </x:c>
      <x:c r="B81" s="41"/>
      <x:c r="C81" s="41"/>
      <x:c r="D81" s="41"/>
      <x:c r="E81" s="19" t="str">
        <x:f>IFERROR(VLOOKUP(B81,'敌人目录'!$A$6:$S$54,2,FALSE),"")</x:f>
      </x:c>
      <x:c r="F81" s="19" t="str">
        <x:f>IF(OR(B81="",C81=""),"",ROUNDUP(C81*(1+('全局设置'!$B$5-1)*'全局设置'!$B$6),0))</x:f>
      </x:c>
      <x:c r="G81" s="19" t="str">
        <x:f>IFERROR(VLOOKUP(B81,'敌人目录'!$A$6:$S$54,7,FALSE),"")</x:f>
      </x:c>
      <x:c r="H81" s="19" t="str">
        <x:f>IFERROR(VLOOKUP(B81,'敌人目录'!$A$6:$S$54,8,FALSE),"")</x:f>
      </x:c>
      <x:c r="I81" s="19" t="str">
        <x:f>IFERROR(VLOOKUP(B81,'敌人目录'!$A$6:$S$54,9,FALSE),"")</x:f>
      </x:c>
      <x:c r="J81" s="19" t="str">
        <x:f>IFERROR(VLOOKUP(B81,'敌人目录'!$A$6:$S$54,10,FALSE),"")</x:f>
      </x:c>
      <x:c r="K81" s="19" t="str">
        <x:f>IFERROR(VLOOKUP(B81,'敌人目录'!$A$6:$S$54,11,FALSE),"")</x:f>
      </x:c>
      <x:c r="L81" s="19" t="str">
        <x:f>IFERROR(VLOOKUP(B81,'敌人目录'!$A$6:$S$54,12,FALSE),"")</x:f>
      </x:c>
      <x:c r="M81" s="19" t="str">
        <x:f>IFERROR(VLOOKUP(B81,'敌人目录'!$A$6:$S$54,13,FALSE),"")</x:f>
      </x:c>
      <x:c r="N81" s="19" t="str">
        <x:f>IF(B81="","",IF(ISNUMBER(D81),D81,IFERROR(VLOOKUP(B81,'敌人目录'!$A$6:$S$54,14,FALSE),"")))</x:f>
      </x:c>
      <x:c r="O81" s="64" t="str">
        <x:f>IFERROR(VLOOKUP(B81,'敌人目录'!$A$6:$S$54,15,FALSE),"")</x:f>
      </x:c>
      <x:c r="P81" s="19" t="str">
        <x:f>IF(F81="","",F81*G81)</x:f>
      </x:c>
      <x:c r="Q81" s="19" t="str">
        <x:f>IF(F81="","",F81*L81)</x:f>
      </x:c>
      <x:c r="R81" s="19" t="str">
        <x:f>IF(F81="","",F81*N81)</x:f>
      </x:c>
      <x:c r="S81" s="19" t="str">
        <x:f>IF(R81="","",R81*'全局设置'!$B$5)</x:f>
      </x:c>
      <x:c r="T81" s="73" t="str">
        <x:f>IF(F81="","",F81*O81)</x:f>
      </x:c>
      <x:c r="U81" s="19" t="str">
        <x:f>IF(AND(B81="",C81=""),"",IF(B81="","缺少敌人",IF(C81="","缺少数量",IF(OR(C81&lt;1,C81&gt;9999,C81&lt;&gt;INT(C81)),"数量无效",IF(COUNTIF($E$65:$E$82,E81)&gt;1,"重复敌人",IF(AND(ISNUMBER(D81),OR(D81&lt;0,D81&gt;999,D81&lt;&gt;INT(D81))),"奖励无效","可导入"))))))</x:f>
      </x:c>
    </x:row>
    <x:row r="82" ht="22" customHeight="1">
      <x:c r="A82" s="72" t="n">
        <x:v>18</x:v>
      </x:c>
      <x:c r="B82" s="41"/>
      <x:c r="C82" s="41"/>
      <x:c r="D82" s="41"/>
      <x:c r="E82" s="19" t="str">
        <x:f>IFERROR(VLOOKUP(B82,'敌人目录'!$A$6:$S$54,2,FALSE),"")</x:f>
      </x:c>
      <x:c r="F82" s="19" t="str">
        <x:f>IF(OR(B82="",C82=""),"",ROUNDUP(C82*(1+('全局设置'!$B$5-1)*'全局设置'!$B$6),0))</x:f>
      </x:c>
      <x:c r="G82" s="19" t="str">
        <x:f>IFERROR(VLOOKUP(B82,'敌人目录'!$A$6:$S$54,7,FALSE),"")</x:f>
      </x:c>
      <x:c r="H82" s="19" t="str">
        <x:f>IFERROR(VLOOKUP(B82,'敌人目录'!$A$6:$S$54,8,FALSE),"")</x:f>
      </x:c>
      <x:c r="I82" s="19" t="str">
        <x:f>IFERROR(VLOOKUP(B82,'敌人目录'!$A$6:$S$54,9,FALSE),"")</x:f>
      </x:c>
      <x:c r="J82" s="19" t="str">
        <x:f>IFERROR(VLOOKUP(B82,'敌人目录'!$A$6:$S$54,10,FALSE),"")</x:f>
      </x:c>
      <x:c r="K82" s="19" t="str">
        <x:f>IFERROR(VLOOKUP(B82,'敌人目录'!$A$6:$S$54,11,FALSE),"")</x:f>
      </x:c>
      <x:c r="L82" s="19" t="str">
        <x:f>IFERROR(VLOOKUP(B82,'敌人目录'!$A$6:$S$54,12,FALSE),"")</x:f>
      </x:c>
      <x:c r="M82" s="19" t="str">
        <x:f>IFERROR(VLOOKUP(B82,'敌人目录'!$A$6:$S$54,13,FALSE),"")</x:f>
      </x:c>
      <x:c r="N82" s="19" t="str">
        <x:f>IF(B82="","",IF(ISNUMBER(D82),D82,IFERROR(VLOOKUP(B82,'敌人目录'!$A$6:$S$54,14,FALSE),"")))</x:f>
      </x:c>
      <x:c r="O82" s="64" t="str">
        <x:f>IFERROR(VLOOKUP(B82,'敌人目录'!$A$6:$S$54,15,FALSE),"")</x:f>
      </x:c>
      <x:c r="P82" s="19" t="str">
        <x:f>IF(F82="","",F82*G82)</x:f>
      </x:c>
      <x:c r="Q82" s="19" t="str">
        <x:f>IF(F82="","",F82*L82)</x:f>
      </x:c>
      <x:c r="R82" s="19" t="str">
        <x:f>IF(F82="","",F82*N82)</x:f>
      </x:c>
      <x:c r="S82" s="19" t="str">
        <x:f>IF(R82="","",R82*'全局设置'!$B$5)</x:f>
      </x:c>
      <x:c r="T82" s="73" t="str">
        <x:f>IF(F82="","",F82*O82)</x:f>
      </x:c>
      <x:c r="U82" s="19" t="str">
        <x:f>IF(AND(B82="",C82=""),"",IF(B82="","缺少敌人",IF(C82="","缺少数量",IF(OR(C82&lt;1,C82&gt;9999,C82&lt;&gt;INT(C82)),"数量无效",IF(COUNTIF($E$65:$E$82,E82)&gt;1,"重复敌人",IF(AND(ISNUMBER(D82),OR(D82&lt;0,D82&gt;999,D82&lt;&gt;INT(D82))),"奖励无效","可导入"))))))</x:f>
      </x:c>
    </x:row>
    <x:row r="83" ht="22" customHeight="1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</x:row>
    <x:row r="84" ht="22" customHeight="1">
      <x:c r="A84" s="48" t="str">
        <x:v>基础总数</x:v>
      </x:c>
      <x:c r="B84" s="19" t="n">
        <x:f>SUM(C65:C82)</x:f>
        <x:v>0</x:v>
      </x:c>
      <x:c r="C84" s="48" t="str">
        <x:v>实际总数</x:v>
      </x:c>
      <x:c r="D84" s="19" t="n">
        <x:f>SUM(F65:F82)</x:f>
        <x:v>0</x:v>
      </x:c>
      <x:c r="E84" s="48" t="str">
        <x:v>敌人种类</x:v>
      </x:c>
      <x:c r="F84" s="19" t="n">
        <x:f>COUNTA(B65:B82)</x:f>
        <x:v>0</x:v>
      </x:c>
      <x:c r="G84" s="48" t="str">
        <x:v>生命池</x:v>
      </x:c>
      <x:c r="H84" s="19" t="n">
        <x:f>SUM(P65:P82)</x:f>
        <x:v>0</x:v>
      </x:c>
      <x:c r="I84" s="48" t="str">
        <x:v>基础息壤/玩家</x:v>
      </x:c>
      <x:c r="J84" s="19" t="n">
        <x:f>SUM(R65:R82)</x:f>
        <x:v>0</x:v>
      </x:c>
      <x:c r="K84" s="48" t="str">
        <x:v>情景息壤/玩家</x:v>
      </x:c>
      <x:c r="L84" s="19" t="n">
        <x:f>J84*'全局设置'!$B$7*'全局设置'!$F$14</x:f>
        <x:v>0</x:v>
      </x:c>
      <x:c r="M84" s="48" t="str">
        <x:v>情景息壤/队伍</x:v>
      </x:c>
      <x:c r="N84" s="19" t="n">
        <x:f>L84*'全局设置'!$B$5</x:f>
        <x:v>0</x:v>
      </x:c>
      <x:c r="O84" s="48" t="str">
        <x:v>掉落期望</x:v>
      </x:c>
      <x:c r="P84" s="73" t="n">
        <x:f>SUM(T65:T82)</x:f>
        <x:v>0</x:v>
      </x:c>
      <x:c r="Q84" s="48" t="str">
        <x:v>全漏Home伤害</x:v>
      </x:c>
      <x:c r="R84" s="19" t="n">
        <x:f>SUM(Q65:Q82)</x:f>
        <x:v>0</x:v>
      </x:c>
      <x:c r="S84" s="48" t="str">
        <x:v>最短刷完(s)</x:v>
      </x:c>
      <x:c r="T84" s="73" t="n">
        <x:f>IF(D84=0,0,MAX(0,(ROUNDUP(D84/J61,0)-1)*H61))</x:f>
        <x:v>0</x:v>
      </x:c>
      <x:c r="U84" s="31"/>
    </x:row>
    <x:row r="85" ht="22" customHeight="1">
      <x:c r="A85" s="82" t="str">
        <x:v>情景收益 = 最大击杀息壤 × 全局击杀率 × 第4日倍率；最大队伍收益另按玩家人数相乘。</x:v>
      </x:c>
      <x:c r="B85" s="82" t="str">
        <x:v>情景收益 = 最大击杀息壤 × 全局击杀率 × 第4日倍率；最大队伍收益另按玩家人数相乘。</x:v>
      </x:c>
      <x:c r="C85" s="82" t="str">
        <x:v>情景收益 = 最大击杀息壤 × 全局击杀率 × 第4日倍率；最大队伍收益另按玩家人数相乘。</x:v>
      </x:c>
      <x:c r="D85" s="82" t="str">
        <x:v>情景收益 = 最大击杀息壤 × 全局击杀率 × 第4日倍率；最大队伍收益另按玩家人数相乘。</x:v>
      </x:c>
      <x:c r="E85" s="82" t="str">
        <x:v>情景收益 = 最大击杀息壤 × 全局击杀率 × 第4日倍率；最大队伍收益另按玩家人数相乘。</x:v>
      </x:c>
      <x:c r="F85" s="82" t="str">
        <x:v>情景收益 = 最大击杀息壤 × 全局击杀率 × 第4日倍率；最大队伍收益另按玩家人数相乘。</x:v>
      </x:c>
      <x:c r="G85" s="82" t="str">
        <x:v>情景收益 = 最大击杀息壤 × 全局击杀率 × 第4日倍率；最大队伍收益另按玩家人数相乘。</x:v>
      </x:c>
      <x:c r="H85" s="82" t="str">
        <x:v>情景收益 = 最大击杀息壤 × 全局击杀率 × 第4日倍率；最大队伍收益另按玩家人数相乘。</x:v>
      </x:c>
      <x:c r="I85" s="82" t="str">
        <x:v>情景收益 = 最大击杀息壤 × 全局击杀率 × 第4日倍率；最大队伍收益另按玩家人数相乘。</x:v>
      </x:c>
      <x:c r="J85" s="82" t="str">
        <x:v>情景收益 = 最大击杀息壤 × 全局击杀率 × 第4日倍率；最大队伍收益另按玩家人数相乘。</x:v>
      </x:c>
      <x:c r="K85" s="82" t="str">
        <x:v>情景收益 = 最大击杀息壤 × 全局击杀率 × 第4日倍率；最大队伍收益另按玩家人数相乘。</x:v>
      </x:c>
      <x:c r="L85" s="82" t="str">
        <x:v>情景收益 = 最大击杀息壤 × 全局击杀率 × 第4日倍率；最大队伍收益另按玩家人数相乘。</x:v>
      </x:c>
      <x:c r="M85" s="82" t="str">
        <x:v>情景收益 = 最大击杀息壤 × 全局击杀率 × 第4日倍率；最大队伍收益另按玩家人数相乘。</x:v>
      </x:c>
      <x:c r="N85" s="82" t="str">
        <x:v>情景收益 = 最大击杀息壤 × 全局击杀率 × 第4日倍率；最大队伍收益另按玩家人数相乘。</x:v>
      </x:c>
      <x:c r="O85" s="82" t="str">
        <x:v>情景收益 = 最大击杀息壤 × 全局击杀率 × 第4日倍率；最大队伍收益另按玩家人数相乘。</x:v>
      </x:c>
      <x:c r="P85" s="82" t="str">
        <x:v>情景收益 = 最大击杀息壤 × 全局击杀率 × 第4日倍率；最大队伍收益另按玩家人数相乘。</x:v>
      </x:c>
      <x:c r="Q85" s="82" t="str">
        <x:v>情景收益 = 最大击杀息壤 × 全局击杀率 × 第4日倍率；最大队伍收益另按玩家人数相乘。</x:v>
      </x:c>
      <x:c r="R85" s="82" t="str">
        <x:v>情景收益 = 最大击杀息壤 × 全局击杀率 × 第4日倍率；最大队伍收益另按玩家人数相乘。</x:v>
      </x:c>
      <x:c r="S85" s="82" t="str">
        <x:v>情景收益 = 最大击杀息壤 × 全局击杀率 × 第4日倍率；最大队伍收益另按玩家人数相乘。</x:v>
      </x:c>
      <x:c r="T85" s="82" t="str">
        <x:v>情景收益 = 最大击杀息壤 × 全局击杀率 × 第4日倍率；最大队伍收益另按玩家人数相乘。</x:v>
      </x:c>
      <x:c r="U85" s="82" t="str">
        <x:v>情景收益 = 最大击杀息壤 × 全局击杀率 × 第4日倍率；最大队伍收益另按玩家人数相乘。</x:v>
      </x:c>
    </x:row>
    <x:row r="86" ht="22" customHeight="1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</x:row>
    <x:row r="87" ht="22" customHeight="1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</x:row>
    <x:row r="88" ht="22" customHeight="1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</x:row>
    <x:row r="89" ht="22" customHeight="1">
      <x:c r="A89" s="78" t="str">
        <x:v>第 16 波｜第 4 日·4/4｜夜晚｜待设计</x:v>
      </x:c>
      <x:c r="B89" s="78" t="str">
        <x:v>第 16 波｜第 4 日·4/4｜夜晚｜待设计</x:v>
      </x:c>
      <x:c r="C89" s="78" t="str">
        <x:v>第 16 波｜第 4 日·4/4｜夜晚｜待设计</x:v>
      </x:c>
      <x:c r="D89" s="78" t="str">
        <x:v>第 16 波｜第 4 日·4/4｜夜晚｜待设计</x:v>
      </x:c>
      <x:c r="E89" s="78" t="str">
        <x:v>第 16 波｜第 4 日·4/4｜夜晚｜待设计</x:v>
      </x:c>
      <x:c r="F89" s="78" t="str">
        <x:v>第 16 波｜第 4 日·4/4｜夜晚｜待设计</x:v>
      </x:c>
      <x:c r="G89" s="78" t="str">
        <x:v>第 16 波｜第 4 日·4/4｜夜晚｜待设计</x:v>
      </x:c>
      <x:c r="H89" s="78" t="str">
        <x:v>第 16 波｜第 4 日·4/4｜夜晚｜待设计</x:v>
      </x:c>
      <x:c r="I89" s="78" t="str">
        <x:v>第 16 波｜第 4 日·4/4｜夜晚｜待设计</x:v>
      </x:c>
      <x:c r="J89" s="78" t="str">
        <x:v>第 16 波｜第 4 日·4/4｜夜晚｜待设计</x:v>
      </x:c>
      <x:c r="K89" s="78" t="str">
        <x:v>第 16 波｜第 4 日·4/4｜夜晚｜待设计</x:v>
      </x:c>
      <x:c r="L89" s="78" t="str">
        <x:v>第 16 波｜第 4 日·4/4｜夜晚｜待设计</x:v>
      </x:c>
      <x:c r="M89" s="78" t="str">
        <x:v>第 16 波｜第 4 日·4/4｜夜晚｜待设计</x:v>
      </x:c>
      <x:c r="N89" s="78" t="str">
        <x:v>第 16 波｜第 4 日·4/4｜夜晚｜待设计</x:v>
      </x:c>
      <x:c r="O89" s="78" t="str">
        <x:v>第 16 波｜第 4 日·4/4｜夜晚｜待设计</x:v>
      </x:c>
      <x:c r="P89" s="78" t="str">
        <x:v>第 16 波｜第 4 日·4/4｜夜晚｜待设计</x:v>
      </x:c>
      <x:c r="Q89" s="78" t="str">
        <x:v>第 16 波｜第 4 日·4/4｜夜晚｜待设计</x:v>
      </x:c>
      <x:c r="R89" s="78" t="str">
        <x:v>第 16 波｜第 4 日·4/4｜夜晚｜待设计</x:v>
      </x:c>
      <x:c r="S89" s="78" t="str">
        <x:v>第 16 波｜第 4 日·4/4｜夜晚｜待设计</x:v>
      </x:c>
      <x:c r="T89" s="78" t="str">
        <x:v>第 16 波｜第 4 日·4/4｜夜晚｜待设计</x:v>
      </x:c>
      <x:c r="U89" s="78" t="str">
        <x:v>第 16 波｜第 4 日·4/4｜夜晚｜待设计</x:v>
      </x:c>
    </x:row>
    <x:row r="90" ht="22" customHeight="1">
      <x:c r="A90" s="48" t="str">
        <x:v>波次名称</x:v>
      </x:c>
      <x:c r="B90" s="41" t="str">
        <x:v>第16波（待设计）</x:v>
      </x:c>
      <x:c r="C90" s="41" t="str">
        <x:v>第16波（待设计）</x:v>
      </x:c>
      <x:c r="D90" s="41" t="str">
        <x:v>第16波（待设计）</x:v>
      </x:c>
      <x:c r="E90" s="41" t="str">
        <x:v>第16波（待设计）</x:v>
      </x:c>
      <x:c r="F90" s="41" t="str">
        <x:v>第16波（待设计）</x:v>
      </x:c>
      <x:c r="G90" s="48" t="str">
        <x:v>出生间隔(s)</x:v>
      </x:c>
      <x:c r="H90" s="41" t="n">
        <x:v>0.22</x:v>
      </x:c>
      <x:c r="I90" s="48" t="str">
        <x:v>每Tick</x:v>
      </x:c>
      <x:c r="J90" s="41" t="n">
        <x:v>1</x:v>
      </x:c>
      <x:c r="K90" s="48" t="str">
        <x:v>存活上限</x:v>
      </x:c>
      <x:c r="L90" s="41" t="n">
        <x:v>96</x:v>
      </x:c>
      <x:c r="M90" s="48" t="str">
        <x:v>校验</x:v>
      </x:c>
      <x:c r="N90" s="19" t="str">
        <x:f>IF(COUNTA(B94:B111)=0,"待设计",IF(COUNTIF(U94:U111,"可导入")=COUNTA(B94:B111),"可导入","需修正"))</x:f>
        <x:v>待设计</x:v>
      </x:c>
      <x:c r="O90" s="19" t="str"/>
      <x:c r="P90" s="48" t="str">
        <x:v>来源</x:v>
      </x:c>
      <x:c r="Q90" s="19" t="str">
        <x:v>第12波节奏模板 / 敌人留空</x:v>
      </x:c>
      <x:c r="R90" s="19" t="str">
        <x:v>第12波节奏模板 / 敌人留空</x:v>
      </x:c>
      <x:c r="S90" s="19" t="str">
        <x:v>第12波节奏模板 / 敌人留空</x:v>
      </x:c>
      <x:c r="T90" s="19" t="str">
        <x:v>第12波节奏模板 / 敌人留空</x:v>
      </x:c>
      <x:c r="U90" s="19" t="str">
        <x:v>第12波节奏模板 / 敌人留空</x:v>
      </x:c>
    </x:row>
    <x:row r="91" ht="22" customHeight="1">
      <x:c r="A91" s="48" t="str">
        <x:v>出生点</x:v>
      </x:c>
      <x:c r="B91" s="41" t="str">
        <x:v>开启</x:v>
      </x:c>
      <x:c r="C91" s="41" t="str">
        <x:v>开启</x:v>
      </x:c>
      <x:c r="D91" s="41" t="str">
        <x:v>开启</x:v>
      </x:c>
      <x:c r="E91" s="41" t="str">
        <x:v>开启</x:v>
      </x:c>
      <x:c r="F91" s="41" t="str">
        <x:v>开启</x:v>
      </x:c>
      <x:c r="G91" s="41" t="str">
        <x:v>开启</x:v>
      </x:c>
      <x:c r="H91" s="48" t="str">
        <x:v>战斗音乐</x:v>
      </x:c>
      <x:c r="I91" s="19" t="str">
        <x:v>shenmu_town_combat</x:v>
      </x:c>
      <x:c r="J91" s="19" t="str">
        <x:v>shenmu_town_combat</x:v>
      </x:c>
      <x:c r="K91" s="19" t="str">
        <x:v>shenmu_town_combat</x:v>
      </x:c>
      <x:c r="L91" s="19" t="str">
        <x:v>shenmu_town_combat</x:v>
      </x:c>
      <x:c r="M91" s="19" t="str">
        <x:v>shenmu_town_combat</x:v>
      </x:c>
      <x:c r="N91" s="48" t="str">
        <x:v>波后音乐</x:v>
      </x:c>
      <x:c r="O91" s="19" t="str">
        <x:v>shenmu_town_intermission</x:v>
      </x:c>
      <x:c r="P91" s="19" t="str">
        <x:v>shenmu_town_intermission</x:v>
      </x:c>
      <x:c r="Q91" s="19" t="str">
        <x:v>shenmu_town_intermission</x:v>
      </x:c>
      <x:c r="R91" s="19" t="str">
        <x:v>shenmu_town_intermission</x:v>
      </x:c>
      <x:c r="S91" s="19" t="str">
        <x:v>shenmu_town_intermission</x:v>
      </x:c>
      <x:c r="T91" s="19" t="str">
        <x:v>shenmu_town_intermission</x:v>
      </x:c>
      <x:c r="U91" s="19" t="str">
        <x:v>shenmu_town_intermission</x:v>
      </x:c>
    </x:row>
    <x:row r="92" ht="22" customHeight="1">
      <x:c r="A92" s="83" t="str">
        <x:v>蓝色列可编辑。每种敌人一行；若同波重复选择同一稳定 ID，请合并数量。实际数量按当前模拟玩家数逐条向上取整。</x:v>
      </x:c>
      <x:c r="B92" s="83" t="str">
        <x:v>蓝色列可编辑。每种敌人一行；若同波重复选择同一稳定 ID，请合并数量。实际数量按当前模拟玩家数逐条向上取整。</x:v>
      </x:c>
      <x:c r="C92" s="83" t="str">
        <x:v>蓝色列可编辑。每种敌人一行；若同波重复选择同一稳定 ID，请合并数量。实际数量按当前模拟玩家数逐条向上取整。</x:v>
      </x:c>
      <x:c r="D92" s="83" t="str">
        <x:v>蓝色列可编辑。每种敌人一行；若同波重复选择同一稳定 ID，请合并数量。实际数量按当前模拟玩家数逐条向上取整。</x:v>
      </x:c>
      <x:c r="E92" s="83" t="str">
        <x:v>蓝色列可编辑。每种敌人一行；若同波重复选择同一稳定 ID，请合并数量。实际数量按当前模拟玩家数逐条向上取整。</x:v>
      </x:c>
      <x:c r="F92" s="83" t="str">
        <x:v>蓝色列可编辑。每种敌人一行；若同波重复选择同一稳定 ID，请合并数量。实际数量按当前模拟玩家数逐条向上取整。</x:v>
      </x:c>
      <x:c r="G92" s="83" t="str">
        <x:v>蓝色列可编辑。每种敌人一行；若同波重复选择同一稳定 ID，请合并数量。实际数量按当前模拟玩家数逐条向上取整。</x:v>
      </x:c>
      <x:c r="H92" s="83" t="str">
        <x:v>蓝色列可编辑。每种敌人一行；若同波重复选择同一稳定 ID，请合并数量。实际数量按当前模拟玩家数逐条向上取整。</x:v>
      </x:c>
      <x:c r="I92" s="83" t="str">
        <x:v>蓝色列可编辑。每种敌人一行；若同波重复选择同一稳定 ID，请合并数量。实际数量按当前模拟玩家数逐条向上取整。</x:v>
      </x:c>
      <x:c r="J92" s="83" t="str">
        <x:v>蓝色列可编辑。每种敌人一行；若同波重复选择同一稳定 ID，请合并数量。实际数量按当前模拟玩家数逐条向上取整。</x:v>
      </x:c>
      <x:c r="K92" s="83" t="str">
        <x:v>蓝色列可编辑。每种敌人一行；若同波重复选择同一稳定 ID，请合并数量。实际数量按当前模拟玩家数逐条向上取整。</x:v>
      </x:c>
      <x:c r="L92" s="83" t="str">
        <x:v>蓝色列可编辑。每种敌人一行；若同波重复选择同一稳定 ID，请合并数量。实际数量按当前模拟玩家数逐条向上取整。</x:v>
      </x:c>
      <x:c r="M92" s="83" t="str">
        <x:v>蓝色列可编辑。每种敌人一行；若同波重复选择同一稳定 ID，请合并数量。实际数量按当前模拟玩家数逐条向上取整。</x:v>
      </x:c>
      <x:c r="N92" s="83" t="str">
        <x:v>蓝色列可编辑。每种敌人一行；若同波重复选择同一稳定 ID，请合并数量。实际数量按当前模拟玩家数逐条向上取整。</x:v>
      </x:c>
      <x:c r="O92" s="83" t="str">
        <x:v>蓝色列可编辑。每种敌人一行；若同波重复选择同一稳定 ID，请合并数量。实际数量按当前模拟玩家数逐条向上取整。</x:v>
      </x:c>
      <x:c r="P92" s="83" t="str">
        <x:v>蓝色列可编辑。每种敌人一行；若同波重复选择同一稳定 ID，请合并数量。实际数量按当前模拟玩家数逐条向上取整。</x:v>
      </x:c>
      <x:c r="Q92" s="83" t="str">
        <x:v>蓝色列可编辑。每种敌人一行；若同波重复选择同一稳定 ID，请合并数量。实际数量按当前模拟玩家数逐条向上取整。</x:v>
      </x:c>
      <x:c r="R92" s="83" t="str">
        <x:v>蓝色列可编辑。每种敌人一行；若同波重复选择同一稳定 ID，请合并数量。实际数量按当前模拟玩家数逐条向上取整。</x:v>
      </x:c>
      <x:c r="S92" s="83" t="str">
        <x:v>蓝色列可编辑。每种敌人一行；若同波重复选择同一稳定 ID，请合并数量。实际数量按当前模拟玩家数逐条向上取整。</x:v>
      </x:c>
      <x:c r="T92" s="83" t="str">
        <x:v>蓝色列可编辑。每种敌人一行；若同波重复选择同一稳定 ID，请合并数量。实际数量按当前模拟玩家数逐条向上取整。</x:v>
      </x:c>
      <x:c r="U92" s="83" t="str">
        <x:v>蓝色列可编辑。每种敌人一行；若同波重复选择同一稳定 ID，请合并数量。实际数量按当前模拟玩家数逐条向上取整。</x:v>
      </x:c>
    </x:row>
    <x:row r="93" ht="22" customHeight="1">
      <x:c r="A93" s="48" t="str">
        <x:v>槽位</x:v>
      </x:c>
      <x:c r="B93" s="48" t="str">
        <x:v>敌人（下拉选择）</x:v>
      </x:c>
      <x:c r="C93" s="48" t="str">
        <x:v>基础数量</x:v>
      </x:c>
      <x:c r="D93" s="48" t="str">
        <x:v>本波息壤覆盖</x:v>
      </x:c>
      <x:c r="E93" s="48" t="str">
        <x:v>稳定敌人ID</x:v>
      </x:c>
      <x:c r="F93" s="48" t="str">
        <x:v>实际数量</x:v>
      </x:c>
      <x:c r="G93" s="48" t="str">
        <x:v>生命</x:v>
      </x:c>
      <x:c r="H93" s="48" t="str">
        <x:v>攻击</x:v>
      </x:c>
      <x:c r="I93" s="48" t="str">
        <x:v>物理防御</x:v>
      </x:c>
      <x:c r="J93" s="48" t="str">
        <x:v>法术防御</x:v>
      </x:c>
      <x:c r="K93" s="48" t="str">
        <x:v>移速</x:v>
      </x:c>
      <x:c r="L93" s="48" t="str">
        <x:v>Home伤害</x:v>
      </x:c>
      <x:c r="M93" s="48" t="str">
        <x:v>游戏默认息壤</x:v>
      </x:c>
      <x:c r="N93" s="48" t="str">
        <x:v>有效息壤</x:v>
      </x:c>
      <x:c r="O93" s="48" t="str">
        <x:v>掉落期望/击杀</x:v>
      </x:c>
      <x:c r="P93" s="48" t="str">
        <x:v>总生命</x:v>
      </x:c>
      <x:c r="Q93" s="48" t="str">
        <x:v>全漏Home伤害</x:v>
      </x:c>
      <x:c r="R93" s="48" t="str">
        <x:v>最大息壤/玩家</x:v>
      </x:c>
      <x:c r="S93" s="48" t="str">
        <x:v>最大息壤/队伍</x:v>
      </x:c>
      <x:c r="T93" s="48" t="str">
        <x:v>掉落期望</x:v>
      </x:c>
      <x:c r="U93" s="48" t="str">
        <x:v>校验</x:v>
      </x:c>
    </x:row>
    <x:row r="94" ht="22" customHeight="1">
      <x:c r="A94" s="72" t="n">
        <x:v>1</x:v>
      </x:c>
      <x:c r="B94" s="41"/>
      <x:c r="C94" s="41"/>
      <x:c r="D94" s="41"/>
      <x:c r="E94" s="19" t="str">
        <x:f>IFERROR(VLOOKUP(B94,'敌人目录'!$A$6:$S$54,2,FALSE),"")</x:f>
      </x:c>
      <x:c r="F94" s="19" t="str">
        <x:f>IF(OR(B94="",C94=""),"",ROUNDUP(C94*(1+('全局设置'!$B$5-1)*'全局设置'!$B$6),0))</x:f>
      </x:c>
      <x:c r="G94" s="19" t="str">
        <x:f>IFERROR(VLOOKUP(B94,'敌人目录'!$A$6:$S$54,7,FALSE),"")</x:f>
      </x:c>
      <x:c r="H94" s="19" t="str">
        <x:f>IFERROR(VLOOKUP(B94,'敌人目录'!$A$6:$S$54,8,FALSE),"")</x:f>
      </x:c>
      <x:c r="I94" s="19" t="str">
        <x:f>IFERROR(VLOOKUP(B94,'敌人目录'!$A$6:$S$54,9,FALSE),"")</x:f>
      </x:c>
      <x:c r="J94" s="19" t="str">
        <x:f>IFERROR(VLOOKUP(B94,'敌人目录'!$A$6:$S$54,10,FALSE),"")</x:f>
      </x:c>
      <x:c r="K94" s="19" t="str">
        <x:f>IFERROR(VLOOKUP(B94,'敌人目录'!$A$6:$S$54,11,FALSE),"")</x:f>
      </x:c>
      <x:c r="L94" s="19" t="str">
        <x:f>IFERROR(VLOOKUP(B94,'敌人目录'!$A$6:$S$54,12,FALSE),"")</x:f>
      </x:c>
      <x:c r="M94" s="19" t="str">
        <x:f>IFERROR(VLOOKUP(B94,'敌人目录'!$A$6:$S$54,13,FALSE),"")</x:f>
      </x:c>
      <x:c r="N94" s="19" t="str">
        <x:f>IF(B94="","",IF(ISNUMBER(D94),D94,IFERROR(VLOOKUP(B94,'敌人目录'!$A$6:$S$54,14,FALSE),"")))</x:f>
      </x:c>
      <x:c r="O94" s="64" t="str">
        <x:f>IFERROR(VLOOKUP(B94,'敌人目录'!$A$6:$S$54,15,FALSE),"")</x:f>
      </x:c>
      <x:c r="P94" s="19" t="str">
        <x:f>IF(F94="","",F94*G94)</x:f>
      </x:c>
      <x:c r="Q94" s="19" t="str">
        <x:f>IF(F94="","",F94*L94)</x:f>
      </x:c>
      <x:c r="R94" s="19" t="str">
        <x:f>IF(F94="","",F94*N94)</x:f>
      </x:c>
      <x:c r="S94" s="19" t="str">
        <x:f>IF(R94="","",R94*'全局设置'!$B$5)</x:f>
      </x:c>
      <x:c r="T94" s="73" t="str">
        <x:f>IF(F94="","",F94*O94)</x:f>
      </x:c>
      <x:c r="U94" s="19" t="str">
        <x:f>IF(AND(B94="",C94=""),"",IF(B94="","缺少敌人",IF(C94="","缺少数量",IF(OR(C94&lt;1,C94&gt;9999,C94&lt;&gt;INT(C94)),"数量无效",IF(COUNTIF($E$94:$E$111,E94)&gt;1,"重复敌人",IF(AND(ISNUMBER(D94),OR(D94&lt;0,D94&gt;999,D94&lt;&gt;INT(D94))),"奖励无效","可导入"))))))</x:f>
      </x:c>
    </x:row>
    <x:row r="95" ht="22" customHeight="1">
      <x:c r="A95" s="72" t="n">
        <x:v>2</x:v>
      </x:c>
      <x:c r="B95" s="41"/>
      <x:c r="C95" s="41"/>
      <x:c r="D95" s="41"/>
      <x:c r="E95" s="19" t="str">
        <x:f>IFERROR(VLOOKUP(B95,'敌人目录'!$A$6:$S$54,2,FALSE),"")</x:f>
      </x:c>
      <x:c r="F95" s="19" t="str">
        <x:f>IF(OR(B95="",C95=""),"",ROUNDUP(C95*(1+('全局设置'!$B$5-1)*'全局设置'!$B$6),0))</x:f>
      </x:c>
      <x:c r="G95" s="19" t="str">
        <x:f>IFERROR(VLOOKUP(B95,'敌人目录'!$A$6:$S$54,7,FALSE),"")</x:f>
      </x:c>
      <x:c r="H95" s="19" t="str">
        <x:f>IFERROR(VLOOKUP(B95,'敌人目录'!$A$6:$S$54,8,FALSE),"")</x:f>
      </x:c>
      <x:c r="I95" s="19" t="str">
        <x:f>IFERROR(VLOOKUP(B95,'敌人目录'!$A$6:$S$54,9,FALSE),"")</x:f>
      </x:c>
      <x:c r="J95" s="19" t="str">
        <x:f>IFERROR(VLOOKUP(B95,'敌人目录'!$A$6:$S$54,10,FALSE),"")</x:f>
      </x:c>
      <x:c r="K95" s="19" t="str">
        <x:f>IFERROR(VLOOKUP(B95,'敌人目录'!$A$6:$S$54,11,FALSE),"")</x:f>
      </x:c>
      <x:c r="L95" s="19" t="str">
        <x:f>IFERROR(VLOOKUP(B95,'敌人目录'!$A$6:$S$54,12,FALSE),"")</x:f>
      </x:c>
      <x:c r="M95" s="19" t="str">
        <x:f>IFERROR(VLOOKUP(B95,'敌人目录'!$A$6:$S$54,13,FALSE),"")</x:f>
      </x:c>
      <x:c r="N95" s="19" t="str">
        <x:f>IF(B95="","",IF(ISNUMBER(D95),D95,IFERROR(VLOOKUP(B95,'敌人目录'!$A$6:$S$54,14,FALSE),"")))</x:f>
      </x:c>
      <x:c r="O95" s="64" t="str">
        <x:f>IFERROR(VLOOKUP(B95,'敌人目录'!$A$6:$S$54,15,FALSE),"")</x:f>
      </x:c>
      <x:c r="P95" s="19" t="str">
        <x:f>IF(F95="","",F95*G95)</x:f>
      </x:c>
      <x:c r="Q95" s="19" t="str">
        <x:f>IF(F95="","",F95*L95)</x:f>
      </x:c>
      <x:c r="R95" s="19" t="str">
        <x:f>IF(F95="","",F95*N95)</x:f>
      </x:c>
      <x:c r="S95" s="19" t="str">
        <x:f>IF(R95="","",R95*'全局设置'!$B$5)</x:f>
      </x:c>
      <x:c r="T95" s="73" t="str">
        <x:f>IF(F95="","",F95*O95)</x:f>
      </x:c>
      <x:c r="U95" s="19" t="str">
        <x:f>IF(AND(B95="",C95=""),"",IF(B95="","缺少敌人",IF(C95="","缺少数量",IF(OR(C95&lt;1,C95&gt;9999,C95&lt;&gt;INT(C95)),"数量无效",IF(COUNTIF($E$94:$E$111,E95)&gt;1,"重复敌人",IF(AND(ISNUMBER(D95),OR(D95&lt;0,D95&gt;999,D95&lt;&gt;INT(D95))),"奖励无效","可导入"))))))</x:f>
      </x:c>
    </x:row>
    <x:row r="96" ht="22" customHeight="1">
      <x:c r="A96" s="72" t="n">
        <x:v>3</x:v>
      </x:c>
      <x:c r="B96" s="41"/>
      <x:c r="C96" s="41"/>
      <x:c r="D96" s="41"/>
      <x:c r="E96" s="19" t="str">
        <x:f>IFERROR(VLOOKUP(B96,'敌人目录'!$A$6:$S$54,2,FALSE),"")</x:f>
      </x:c>
      <x:c r="F96" s="19" t="str">
        <x:f>IF(OR(B96="",C96=""),"",ROUNDUP(C96*(1+('全局设置'!$B$5-1)*'全局设置'!$B$6),0))</x:f>
      </x:c>
      <x:c r="G96" s="19" t="str">
        <x:f>IFERROR(VLOOKUP(B96,'敌人目录'!$A$6:$S$54,7,FALSE),"")</x:f>
      </x:c>
      <x:c r="H96" s="19" t="str">
        <x:f>IFERROR(VLOOKUP(B96,'敌人目录'!$A$6:$S$54,8,FALSE),"")</x:f>
      </x:c>
      <x:c r="I96" s="19" t="str">
        <x:f>IFERROR(VLOOKUP(B96,'敌人目录'!$A$6:$S$54,9,FALSE),"")</x:f>
      </x:c>
      <x:c r="J96" s="19" t="str">
        <x:f>IFERROR(VLOOKUP(B96,'敌人目录'!$A$6:$S$54,10,FALSE),"")</x:f>
      </x:c>
      <x:c r="K96" s="19" t="str">
        <x:f>IFERROR(VLOOKUP(B96,'敌人目录'!$A$6:$S$54,11,FALSE),"")</x:f>
      </x:c>
      <x:c r="L96" s="19" t="str">
        <x:f>IFERROR(VLOOKUP(B96,'敌人目录'!$A$6:$S$54,12,FALSE),"")</x:f>
      </x:c>
      <x:c r="M96" s="19" t="str">
        <x:f>IFERROR(VLOOKUP(B96,'敌人目录'!$A$6:$S$54,13,FALSE),"")</x:f>
      </x:c>
      <x:c r="N96" s="19" t="str">
        <x:f>IF(B96="","",IF(ISNUMBER(D96),D96,IFERROR(VLOOKUP(B96,'敌人目录'!$A$6:$S$54,14,FALSE),"")))</x:f>
      </x:c>
      <x:c r="O96" s="64" t="str">
        <x:f>IFERROR(VLOOKUP(B96,'敌人目录'!$A$6:$S$54,15,FALSE),"")</x:f>
      </x:c>
      <x:c r="P96" s="19" t="str">
        <x:f>IF(F96="","",F96*G96)</x:f>
      </x:c>
      <x:c r="Q96" s="19" t="str">
        <x:f>IF(F96="","",F96*L96)</x:f>
      </x:c>
      <x:c r="R96" s="19" t="str">
        <x:f>IF(F96="","",F96*N96)</x:f>
      </x:c>
      <x:c r="S96" s="19" t="str">
        <x:f>IF(R96="","",R96*'全局设置'!$B$5)</x:f>
      </x:c>
      <x:c r="T96" s="73" t="str">
        <x:f>IF(F96="","",F96*O96)</x:f>
      </x:c>
      <x:c r="U96" s="19" t="str">
        <x:f>IF(AND(B96="",C96=""),"",IF(B96="","缺少敌人",IF(C96="","缺少数量",IF(OR(C96&lt;1,C96&gt;9999,C96&lt;&gt;INT(C96)),"数量无效",IF(COUNTIF($E$94:$E$111,E96)&gt;1,"重复敌人",IF(AND(ISNUMBER(D96),OR(D96&lt;0,D96&gt;999,D96&lt;&gt;INT(D96))),"奖励无效","可导入"))))))</x:f>
      </x:c>
    </x:row>
    <x:row r="97" ht="22" customHeight="1">
      <x:c r="A97" s="72" t="n">
        <x:v>4</x:v>
      </x:c>
      <x:c r="B97" s="41"/>
      <x:c r="C97" s="41"/>
      <x:c r="D97" s="41"/>
      <x:c r="E97" s="19" t="str">
        <x:f>IFERROR(VLOOKUP(B97,'敌人目录'!$A$6:$S$54,2,FALSE),"")</x:f>
      </x:c>
      <x:c r="F97" s="19" t="str">
        <x:f>IF(OR(B97="",C97=""),"",ROUNDUP(C97*(1+('全局设置'!$B$5-1)*'全局设置'!$B$6),0))</x:f>
      </x:c>
      <x:c r="G97" s="19" t="str">
        <x:f>IFERROR(VLOOKUP(B97,'敌人目录'!$A$6:$S$54,7,FALSE),"")</x:f>
      </x:c>
      <x:c r="H97" s="19" t="str">
        <x:f>IFERROR(VLOOKUP(B97,'敌人目录'!$A$6:$S$54,8,FALSE),"")</x:f>
      </x:c>
      <x:c r="I97" s="19" t="str">
        <x:f>IFERROR(VLOOKUP(B97,'敌人目录'!$A$6:$S$54,9,FALSE),"")</x:f>
      </x:c>
      <x:c r="J97" s="19" t="str">
        <x:f>IFERROR(VLOOKUP(B97,'敌人目录'!$A$6:$S$54,10,FALSE),"")</x:f>
      </x:c>
      <x:c r="K97" s="19" t="str">
        <x:f>IFERROR(VLOOKUP(B97,'敌人目录'!$A$6:$S$54,11,FALSE),"")</x:f>
      </x:c>
      <x:c r="L97" s="19" t="str">
        <x:f>IFERROR(VLOOKUP(B97,'敌人目录'!$A$6:$S$54,12,FALSE),"")</x:f>
      </x:c>
      <x:c r="M97" s="19" t="str">
        <x:f>IFERROR(VLOOKUP(B97,'敌人目录'!$A$6:$S$54,13,FALSE),"")</x:f>
      </x:c>
      <x:c r="N97" s="19" t="str">
        <x:f>IF(B97="","",IF(ISNUMBER(D97),D97,IFERROR(VLOOKUP(B97,'敌人目录'!$A$6:$S$54,14,FALSE),"")))</x:f>
      </x:c>
      <x:c r="O97" s="64" t="str">
        <x:f>IFERROR(VLOOKUP(B97,'敌人目录'!$A$6:$S$54,15,FALSE),"")</x:f>
      </x:c>
      <x:c r="P97" s="19" t="str">
        <x:f>IF(F97="","",F97*G97)</x:f>
      </x:c>
      <x:c r="Q97" s="19" t="str">
        <x:f>IF(F97="","",F97*L97)</x:f>
      </x:c>
      <x:c r="R97" s="19" t="str">
        <x:f>IF(F97="","",F97*N97)</x:f>
      </x:c>
      <x:c r="S97" s="19" t="str">
        <x:f>IF(R97="","",R97*'全局设置'!$B$5)</x:f>
      </x:c>
      <x:c r="T97" s="73" t="str">
        <x:f>IF(F97="","",F97*O97)</x:f>
      </x:c>
      <x:c r="U97" s="19" t="str">
        <x:f>IF(AND(B97="",C97=""),"",IF(B97="","缺少敌人",IF(C97="","缺少数量",IF(OR(C97&lt;1,C97&gt;9999,C97&lt;&gt;INT(C97)),"数量无效",IF(COUNTIF($E$94:$E$111,E97)&gt;1,"重复敌人",IF(AND(ISNUMBER(D97),OR(D97&lt;0,D97&gt;999,D97&lt;&gt;INT(D97))),"奖励无效","可导入"))))))</x:f>
      </x:c>
    </x:row>
    <x:row r="98" ht="22" customHeight="1">
      <x:c r="A98" s="72" t="n">
        <x:v>5</x:v>
      </x:c>
      <x:c r="B98" s="41"/>
      <x:c r="C98" s="41"/>
      <x:c r="D98" s="41"/>
      <x:c r="E98" s="19" t="str">
        <x:f>IFERROR(VLOOKUP(B98,'敌人目录'!$A$6:$S$54,2,FALSE),"")</x:f>
      </x:c>
      <x:c r="F98" s="19" t="str">
        <x:f>IF(OR(B98="",C98=""),"",ROUNDUP(C98*(1+('全局设置'!$B$5-1)*'全局设置'!$B$6),0))</x:f>
      </x:c>
      <x:c r="G98" s="19" t="str">
        <x:f>IFERROR(VLOOKUP(B98,'敌人目录'!$A$6:$S$54,7,FALSE),"")</x:f>
      </x:c>
      <x:c r="H98" s="19" t="str">
        <x:f>IFERROR(VLOOKUP(B98,'敌人目录'!$A$6:$S$54,8,FALSE),"")</x:f>
      </x:c>
      <x:c r="I98" s="19" t="str">
        <x:f>IFERROR(VLOOKUP(B98,'敌人目录'!$A$6:$S$54,9,FALSE),"")</x:f>
      </x:c>
      <x:c r="J98" s="19" t="str">
        <x:f>IFERROR(VLOOKUP(B98,'敌人目录'!$A$6:$S$54,10,FALSE),"")</x:f>
      </x:c>
      <x:c r="K98" s="19" t="str">
        <x:f>IFERROR(VLOOKUP(B98,'敌人目录'!$A$6:$S$54,11,FALSE),"")</x:f>
      </x:c>
      <x:c r="L98" s="19" t="str">
        <x:f>IFERROR(VLOOKUP(B98,'敌人目录'!$A$6:$S$54,12,FALSE),"")</x:f>
      </x:c>
      <x:c r="M98" s="19" t="str">
        <x:f>IFERROR(VLOOKUP(B98,'敌人目录'!$A$6:$S$54,13,FALSE),"")</x:f>
      </x:c>
      <x:c r="N98" s="19" t="str">
        <x:f>IF(B98="","",IF(ISNUMBER(D98),D98,IFERROR(VLOOKUP(B98,'敌人目录'!$A$6:$S$54,14,FALSE),"")))</x:f>
      </x:c>
      <x:c r="O98" s="64" t="str">
        <x:f>IFERROR(VLOOKUP(B98,'敌人目录'!$A$6:$S$54,15,FALSE),"")</x:f>
      </x:c>
      <x:c r="P98" s="19" t="str">
        <x:f>IF(F98="","",F98*G98)</x:f>
      </x:c>
      <x:c r="Q98" s="19" t="str">
        <x:f>IF(F98="","",F98*L98)</x:f>
      </x:c>
      <x:c r="R98" s="19" t="str">
        <x:f>IF(F98="","",F98*N98)</x:f>
      </x:c>
      <x:c r="S98" s="19" t="str">
        <x:f>IF(R98="","",R98*'全局设置'!$B$5)</x:f>
      </x:c>
      <x:c r="T98" s="73" t="str">
        <x:f>IF(F98="","",F98*O98)</x:f>
      </x:c>
      <x:c r="U98" s="19" t="str">
        <x:f>IF(AND(B98="",C98=""),"",IF(B98="","缺少敌人",IF(C98="","缺少数量",IF(OR(C98&lt;1,C98&gt;9999,C98&lt;&gt;INT(C98)),"数量无效",IF(COUNTIF($E$94:$E$111,E98)&gt;1,"重复敌人",IF(AND(ISNUMBER(D98),OR(D98&lt;0,D98&gt;999,D98&lt;&gt;INT(D98))),"奖励无效","可导入"))))))</x:f>
      </x:c>
    </x:row>
    <x:row r="99" ht="22" customHeight="1">
      <x:c r="A99" s="72" t="n">
        <x:v>6</x:v>
      </x:c>
      <x:c r="B99" s="41"/>
      <x:c r="C99" s="41"/>
      <x:c r="D99" s="41"/>
      <x:c r="E99" s="19" t="str">
        <x:f>IFERROR(VLOOKUP(B99,'敌人目录'!$A$6:$S$54,2,FALSE),"")</x:f>
      </x:c>
      <x:c r="F99" s="19" t="str">
        <x:f>IF(OR(B99="",C99=""),"",ROUNDUP(C99*(1+('全局设置'!$B$5-1)*'全局设置'!$B$6),0))</x:f>
      </x:c>
      <x:c r="G99" s="19" t="str">
        <x:f>IFERROR(VLOOKUP(B99,'敌人目录'!$A$6:$S$54,7,FALSE),"")</x:f>
      </x:c>
      <x:c r="H99" s="19" t="str">
        <x:f>IFERROR(VLOOKUP(B99,'敌人目录'!$A$6:$S$54,8,FALSE),"")</x:f>
      </x:c>
      <x:c r="I99" s="19" t="str">
        <x:f>IFERROR(VLOOKUP(B99,'敌人目录'!$A$6:$S$54,9,FALSE),"")</x:f>
      </x:c>
      <x:c r="J99" s="19" t="str">
        <x:f>IFERROR(VLOOKUP(B99,'敌人目录'!$A$6:$S$54,10,FALSE),"")</x:f>
      </x:c>
      <x:c r="K99" s="19" t="str">
        <x:f>IFERROR(VLOOKUP(B99,'敌人目录'!$A$6:$S$54,11,FALSE),"")</x:f>
      </x:c>
      <x:c r="L99" s="19" t="str">
        <x:f>IFERROR(VLOOKUP(B99,'敌人目录'!$A$6:$S$54,12,FALSE),"")</x:f>
      </x:c>
      <x:c r="M99" s="19" t="str">
        <x:f>IFERROR(VLOOKUP(B99,'敌人目录'!$A$6:$S$54,13,FALSE),"")</x:f>
      </x:c>
      <x:c r="N99" s="19" t="str">
        <x:f>IF(B99="","",IF(ISNUMBER(D99),D99,IFERROR(VLOOKUP(B99,'敌人目录'!$A$6:$S$54,14,FALSE),"")))</x:f>
      </x:c>
      <x:c r="O99" s="64" t="str">
        <x:f>IFERROR(VLOOKUP(B99,'敌人目录'!$A$6:$S$54,15,FALSE),"")</x:f>
      </x:c>
      <x:c r="P99" s="19" t="str">
        <x:f>IF(F99="","",F99*G99)</x:f>
      </x:c>
      <x:c r="Q99" s="19" t="str">
        <x:f>IF(F99="","",F99*L99)</x:f>
      </x:c>
      <x:c r="R99" s="19" t="str">
        <x:f>IF(F99="","",F99*N99)</x:f>
      </x:c>
      <x:c r="S99" s="19" t="str">
        <x:f>IF(R99="","",R99*'全局设置'!$B$5)</x:f>
      </x:c>
      <x:c r="T99" s="73" t="str">
        <x:f>IF(F99="","",F99*O99)</x:f>
      </x:c>
      <x:c r="U99" s="19" t="str">
        <x:f>IF(AND(B99="",C99=""),"",IF(B99="","缺少敌人",IF(C99="","缺少数量",IF(OR(C99&lt;1,C99&gt;9999,C99&lt;&gt;INT(C99)),"数量无效",IF(COUNTIF($E$94:$E$111,E99)&gt;1,"重复敌人",IF(AND(ISNUMBER(D99),OR(D99&lt;0,D99&gt;999,D99&lt;&gt;INT(D99))),"奖励无效","可导入"))))))</x:f>
      </x:c>
    </x:row>
    <x:row r="100" ht="22" customHeight="1">
      <x:c r="A100" s="72" t="n">
        <x:v>7</x:v>
      </x:c>
      <x:c r="B100" s="41"/>
      <x:c r="C100" s="41"/>
      <x:c r="D100" s="41"/>
      <x:c r="E100" s="19" t="str">
        <x:f>IFERROR(VLOOKUP(B100,'敌人目录'!$A$6:$S$54,2,FALSE),"")</x:f>
      </x:c>
      <x:c r="F100" s="19" t="str">
        <x:f>IF(OR(B100="",C100=""),"",ROUNDUP(C100*(1+('全局设置'!$B$5-1)*'全局设置'!$B$6),0))</x:f>
      </x:c>
      <x:c r="G100" s="19" t="str">
        <x:f>IFERROR(VLOOKUP(B100,'敌人目录'!$A$6:$S$54,7,FALSE),"")</x:f>
      </x:c>
      <x:c r="H100" s="19" t="str">
        <x:f>IFERROR(VLOOKUP(B100,'敌人目录'!$A$6:$S$54,8,FALSE),"")</x:f>
      </x:c>
      <x:c r="I100" s="19" t="str">
        <x:f>IFERROR(VLOOKUP(B100,'敌人目录'!$A$6:$S$54,9,FALSE),"")</x:f>
      </x:c>
      <x:c r="J100" s="19" t="str">
        <x:f>IFERROR(VLOOKUP(B100,'敌人目录'!$A$6:$S$54,10,FALSE),"")</x:f>
      </x:c>
      <x:c r="K100" s="19" t="str">
        <x:f>IFERROR(VLOOKUP(B100,'敌人目录'!$A$6:$S$54,11,FALSE),"")</x:f>
      </x:c>
      <x:c r="L100" s="19" t="str">
        <x:f>IFERROR(VLOOKUP(B100,'敌人目录'!$A$6:$S$54,12,FALSE),"")</x:f>
      </x:c>
      <x:c r="M100" s="19" t="str">
        <x:f>IFERROR(VLOOKUP(B100,'敌人目录'!$A$6:$S$54,13,FALSE),"")</x:f>
      </x:c>
      <x:c r="N100" s="19" t="str">
        <x:f>IF(B100="","",IF(ISNUMBER(D100),D100,IFERROR(VLOOKUP(B100,'敌人目录'!$A$6:$S$54,14,FALSE),"")))</x:f>
      </x:c>
      <x:c r="O100" s="64" t="str">
        <x:f>IFERROR(VLOOKUP(B100,'敌人目录'!$A$6:$S$54,15,FALSE),"")</x:f>
      </x:c>
      <x:c r="P100" s="19" t="str">
        <x:f>IF(F100="","",F100*G100)</x:f>
      </x:c>
      <x:c r="Q100" s="19" t="str">
        <x:f>IF(F100="","",F100*L100)</x:f>
      </x:c>
      <x:c r="R100" s="19" t="str">
        <x:f>IF(F100="","",F100*N100)</x:f>
      </x:c>
      <x:c r="S100" s="19" t="str">
        <x:f>IF(R100="","",R100*'全局设置'!$B$5)</x:f>
      </x:c>
      <x:c r="T100" s="73" t="str">
        <x:f>IF(F100="","",F100*O100)</x:f>
      </x:c>
      <x:c r="U100" s="19" t="str">
        <x:f>IF(AND(B100="",C100=""),"",IF(B100="","缺少敌人",IF(C100="","缺少数量",IF(OR(C100&lt;1,C100&gt;9999,C100&lt;&gt;INT(C100)),"数量无效",IF(COUNTIF($E$94:$E$111,E100)&gt;1,"重复敌人",IF(AND(ISNUMBER(D100),OR(D100&lt;0,D100&gt;999,D100&lt;&gt;INT(D100))),"奖励无效","可导入"))))))</x:f>
      </x:c>
    </x:row>
    <x:row r="101" ht="22" customHeight="1">
      <x:c r="A101" s="72" t="n">
        <x:v>8</x:v>
      </x:c>
      <x:c r="B101" s="41"/>
      <x:c r="C101" s="41"/>
      <x:c r="D101" s="41"/>
      <x:c r="E101" s="19" t="str">
        <x:f>IFERROR(VLOOKUP(B101,'敌人目录'!$A$6:$S$54,2,FALSE),"")</x:f>
      </x:c>
      <x:c r="F101" s="19" t="str">
        <x:f>IF(OR(B101="",C101=""),"",ROUNDUP(C101*(1+('全局设置'!$B$5-1)*'全局设置'!$B$6),0))</x:f>
      </x:c>
      <x:c r="G101" s="19" t="str">
        <x:f>IFERROR(VLOOKUP(B101,'敌人目录'!$A$6:$S$54,7,FALSE),"")</x:f>
      </x:c>
      <x:c r="H101" s="19" t="str">
        <x:f>IFERROR(VLOOKUP(B101,'敌人目录'!$A$6:$S$54,8,FALSE),"")</x:f>
      </x:c>
      <x:c r="I101" s="19" t="str">
        <x:f>IFERROR(VLOOKUP(B101,'敌人目录'!$A$6:$S$54,9,FALSE),"")</x:f>
      </x:c>
      <x:c r="J101" s="19" t="str">
        <x:f>IFERROR(VLOOKUP(B101,'敌人目录'!$A$6:$S$54,10,FALSE),"")</x:f>
      </x:c>
      <x:c r="K101" s="19" t="str">
        <x:f>IFERROR(VLOOKUP(B101,'敌人目录'!$A$6:$S$54,11,FALSE),"")</x:f>
      </x:c>
      <x:c r="L101" s="19" t="str">
        <x:f>IFERROR(VLOOKUP(B101,'敌人目录'!$A$6:$S$54,12,FALSE),"")</x:f>
      </x:c>
      <x:c r="M101" s="19" t="str">
        <x:f>IFERROR(VLOOKUP(B101,'敌人目录'!$A$6:$S$54,13,FALSE),"")</x:f>
      </x:c>
      <x:c r="N101" s="19" t="str">
        <x:f>IF(B101="","",IF(ISNUMBER(D101),D101,IFERROR(VLOOKUP(B101,'敌人目录'!$A$6:$S$54,14,FALSE),"")))</x:f>
      </x:c>
      <x:c r="O101" s="64" t="str">
        <x:f>IFERROR(VLOOKUP(B101,'敌人目录'!$A$6:$S$54,15,FALSE),"")</x:f>
      </x:c>
      <x:c r="P101" s="19" t="str">
        <x:f>IF(F101="","",F101*G101)</x:f>
      </x:c>
      <x:c r="Q101" s="19" t="str">
        <x:f>IF(F101="","",F101*L101)</x:f>
      </x:c>
      <x:c r="R101" s="19" t="str">
        <x:f>IF(F101="","",F101*N101)</x:f>
      </x:c>
      <x:c r="S101" s="19" t="str">
        <x:f>IF(R101="","",R101*'全局设置'!$B$5)</x:f>
      </x:c>
      <x:c r="T101" s="73" t="str">
        <x:f>IF(F101="","",F101*O101)</x:f>
      </x:c>
      <x:c r="U101" s="19" t="str">
        <x:f>IF(AND(B101="",C101=""),"",IF(B101="","缺少敌人",IF(C101="","缺少数量",IF(OR(C101&lt;1,C101&gt;9999,C101&lt;&gt;INT(C101)),"数量无效",IF(COUNTIF($E$94:$E$111,E101)&gt;1,"重复敌人",IF(AND(ISNUMBER(D101),OR(D101&lt;0,D101&gt;999,D101&lt;&gt;INT(D101))),"奖励无效","可导入"))))))</x:f>
      </x:c>
    </x:row>
    <x:row r="102" ht="22" customHeight="1">
      <x:c r="A102" s="72" t="n">
        <x:v>9</x:v>
      </x:c>
      <x:c r="B102" s="41"/>
      <x:c r="C102" s="41"/>
      <x:c r="D102" s="41"/>
      <x:c r="E102" s="19" t="str">
        <x:f>IFERROR(VLOOKUP(B102,'敌人目录'!$A$6:$S$54,2,FALSE),"")</x:f>
      </x:c>
      <x:c r="F102" s="19" t="str">
        <x:f>IF(OR(B102="",C102=""),"",ROUNDUP(C102*(1+('全局设置'!$B$5-1)*'全局设置'!$B$6),0))</x:f>
      </x:c>
      <x:c r="G102" s="19" t="str">
        <x:f>IFERROR(VLOOKUP(B102,'敌人目录'!$A$6:$S$54,7,FALSE),"")</x:f>
      </x:c>
      <x:c r="H102" s="19" t="str">
        <x:f>IFERROR(VLOOKUP(B102,'敌人目录'!$A$6:$S$54,8,FALSE),"")</x:f>
      </x:c>
      <x:c r="I102" s="19" t="str">
        <x:f>IFERROR(VLOOKUP(B102,'敌人目录'!$A$6:$S$54,9,FALSE),"")</x:f>
      </x:c>
      <x:c r="J102" s="19" t="str">
        <x:f>IFERROR(VLOOKUP(B102,'敌人目录'!$A$6:$S$54,10,FALSE),"")</x:f>
      </x:c>
      <x:c r="K102" s="19" t="str">
        <x:f>IFERROR(VLOOKUP(B102,'敌人目录'!$A$6:$S$54,11,FALSE),"")</x:f>
      </x:c>
      <x:c r="L102" s="19" t="str">
        <x:f>IFERROR(VLOOKUP(B102,'敌人目录'!$A$6:$S$54,12,FALSE),"")</x:f>
      </x:c>
      <x:c r="M102" s="19" t="str">
        <x:f>IFERROR(VLOOKUP(B102,'敌人目录'!$A$6:$S$54,13,FALSE),"")</x:f>
      </x:c>
      <x:c r="N102" s="19" t="str">
        <x:f>IF(B102="","",IF(ISNUMBER(D102),D102,IFERROR(VLOOKUP(B102,'敌人目录'!$A$6:$S$54,14,FALSE),"")))</x:f>
      </x:c>
      <x:c r="O102" s="64" t="str">
        <x:f>IFERROR(VLOOKUP(B102,'敌人目录'!$A$6:$S$54,15,FALSE),"")</x:f>
      </x:c>
      <x:c r="P102" s="19" t="str">
        <x:f>IF(F102="","",F102*G102)</x:f>
      </x:c>
      <x:c r="Q102" s="19" t="str">
        <x:f>IF(F102="","",F102*L102)</x:f>
      </x:c>
      <x:c r="R102" s="19" t="str">
        <x:f>IF(F102="","",F102*N102)</x:f>
      </x:c>
      <x:c r="S102" s="19" t="str">
        <x:f>IF(R102="","",R102*'全局设置'!$B$5)</x:f>
      </x:c>
      <x:c r="T102" s="73" t="str">
        <x:f>IF(F102="","",F102*O102)</x:f>
      </x:c>
      <x:c r="U102" s="19" t="str">
        <x:f>IF(AND(B102="",C102=""),"",IF(B102="","缺少敌人",IF(C102="","缺少数量",IF(OR(C102&lt;1,C102&gt;9999,C102&lt;&gt;INT(C102)),"数量无效",IF(COUNTIF($E$94:$E$111,E102)&gt;1,"重复敌人",IF(AND(ISNUMBER(D102),OR(D102&lt;0,D102&gt;999,D102&lt;&gt;INT(D102))),"奖励无效","可导入"))))))</x:f>
      </x:c>
    </x:row>
    <x:row r="103" ht="22" customHeight="1">
      <x:c r="A103" s="72" t="n">
        <x:v>10</x:v>
      </x:c>
      <x:c r="B103" s="41"/>
      <x:c r="C103" s="41"/>
      <x:c r="D103" s="41"/>
      <x:c r="E103" s="19" t="str">
        <x:f>IFERROR(VLOOKUP(B103,'敌人目录'!$A$6:$S$54,2,FALSE),"")</x:f>
      </x:c>
      <x:c r="F103" s="19" t="str">
        <x:f>IF(OR(B103="",C103=""),"",ROUNDUP(C103*(1+('全局设置'!$B$5-1)*'全局设置'!$B$6),0))</x:f>
      </x:c>
      <x:c r="G103" s="19" t="str">
        <x:f>IFERROR(VLOOKUP(B103,'敌人目录'!$A$6:$S$54,7,FALSE),"")</x:f>
      </x:c>
      <x:c r="H103" s="19" t="str">
        <x:f>IFERROR(VLOOKUP(B103,'敌人目录'!$A$6:$S$54,8,FALSE),"")</x:f>
      </x:c>
      <x:c r="I103" s="19" t="str">
        <x:f>IFERROR(VLOOKUP(B103,'敌人目录'!$A$6:$S$54,9,FALSE),"")</x:f>
      </x:c>
      <x:c r="J103" s="19" t="str">
        <x:f>IFERROR(VLOOKUP(B103,'敌人目录'!$A$6:$S$54,10,FALSE),"")</x:f>
      </x:c>
      <x:c r="K103" s="19" t="str">
        <x:f>IFERROR(VLOOKUP(B103,'敌人目录'!$A$6:$S$54,11,FALSE),"")</x:f>
      </x:c>
      <x:c r="L103" s="19" t="str">
        <x:f>IFERROR(VLOOKUP(B103,'敌人目录'!$A$6:$S$54,12,FALSE),"")</x:f>
      </x:c>
      <x:c r="M103" s="19" t="str">
        <x:f>IFERROR(VLOOKUP(B103,'敌人目录'!$A$6:$S$54,13,FALSE),"")</x:f>
      </x:c>
      <x:c r="N103" s="19" t="str">
        <x:f>IF(B103="","",IF(ISNUMBER(D103),D103,IFERROR(VLOOKUP(B103,'敌人目录'!$A$6:$S$54,14,FALSE),"")))</x:f>
      </x:c>
      <x:c r="O103" s="64" t="str">
        <x:f>IFERROR(VLOOKUP(B103,'敌人目录'!$A$6:$S$54,15,FALSE),"")</x:f>
      </x:c>
      <x:c r="P103" s="19" t="str">
        <x:f>IF(F103="","",F103*G103)</x:f>
      </x:c>
      <x:c r="Q103" s="19" t="str">
        <x:f>IF(F103="","",F103*L103)</x:f>
      </x:c>
      <x:c r="R103" s="19" t="str">
        <x:f>IF(F103="","",F103*N103)</x:f>
      </x:c>
      <x:c r="S103" s="19" t="str">
        <x:f>IF(R103="","",R103*'全局设置'!$B$5)</x:f>
      </x:c>
      <x:c r="T103" s="73" t="str">
        <x:f>IF(F103="","",F103*O103)</x:f>
      </x:c>
      <x:c r="U103" s="19" t="str">
        <x:f>IF(AND(B103="",C103=""),"",IF(B103="","缺少敌人",IF(C103="","缺少数量",IF(OR(C103&lt;1,C103&gt;9999,C103&lt;&gt;INT(C103)),"数量无效",IF(COUNTIF($E$94:$E$111,E103)&gt;1,"重复敌人",IF(AND(ISNUMBER(D103),OR(D103&lt;0,D103&gt;999,D103&lt;&gt;INT(D103))),"奖励无效","可导入"))))))</x:f>
      </x:c>
    </x:row>
    <x:row r="104" ht="22" customHeight="1">
      <x:c r="A104" s="72" t="n">
        <x:v>11</x:v>
      </x:c>
      <x:c r="B104" s="41"/>
      <x:c r="C104" s="41"/>
      <x:c r="D104" s="41"/>
      <x:c r="E104" s="19" t="str">
        <x:f>IFERROR(VLOOKUP(B104,'敌人目录'!$A$6:$S$54,2,FALSE),"")</x:f>
      </x:c>
      <x:c r="F104" s="19" t="str">
        <x:f>IF(OR(B104="",C104=""),"",ROUNDUP(C104*(1+('全局设置'!$B$5-1)*'全局设置'!$B$6),0))</x:f>
      </x:c>
      <x:c r="G104" s="19" t="str">
        <x:f>IFERROR(VLOOKUP(B104,'敌人目录'!$A$6:$S$54,7,FALSE),"")</x:f>
      </x:c>
      <x:c r="H104" s="19" t="str">
        <x:f>IFERROR(VLOOKUP(B104,'敌人目录'!$A$6:$S$54,8,FALSE),"")</x:f>
      </x:c>
      <x:c r="I104" s="19" t="str">
        <x:f>IFERROR(VLOOKUP(B104,'敌人目录'!$A$6:$S$54,9,FALSE),"")</x:f>
      </x:c>
      <x:c r="J104" s="19" t="str">
        <x:f>IFERROR(VLOOKUP(B104,'敌人目录'!$A$6:$S$54,10,FALSE),"")</x:f>
      </x:c>
      <x:c r="K104" s="19" t="str">
        <x:f>IFERROR(VLOOKUP(B104,'敌人目录'!$A$6:$S$54,11,FALSE),"")</x:f>
      </x:c>
      <x:c r="L104" s="19" t="str">
        <x:f>IFERROR(VLOOKUP(B104,'敌人目录'!$A$6:$S$54,12,FALSE),"")</x:f>
      </x:c>
      <x:c r="M104" s="19" t="str">
        <x:f>IFERROR(VLOOKUP(B104,'敌人目录'!$A$6:$S$54,13,FALSE),"")</x:f>
      </x:c>
      <x:c r="N104" s="19" t="str">
        <x:f>IF(B104="","",IF(ISNUMBER(D104),D104,IFERROR(VLOOKUP(B104,'敌人目录'!$A$6:$S$54,14,FALSE),"")))</x:f>
      </x:c>
      <x:c r="O104" s="64" t="str">
        <x:f>IFERROR(VLOOKUP(B104,'敌人目录'!$A$6:$S$54,15,FALSE),"")</x:f>
      </x:c>
      <x:c r="P104" s="19" t="str">
        <x:f>IF(F104="","",F104*G104)</x:f>
      </x:c>
      <x:c r="Q104" s="19" t="str">
        <x:f>IF(F104="","",F104*L104)</x:f>
      </x:c>
      <x:c r="R104" s="19" t="str">
        <x:f>IF(F104="","",F104*N104)</x:f>
      </x:c>
      <x:c r="S104" s="19" t="str">
        <x:f>IF(R104="","",R104*'全局设置'!$B$5)</x:f>
      </x:c>
      <x:c r="T104" s="73" t="str">
        <x:f>IF(F104="","",F104*O104)</x:f>
      </x:c>
      <x:c r="U104" s="19" t="str">
        <x:f>IF(AND(B104="",C104=""),"",IF(B104="","缺少敌人",IF(C104="","缺少数量",IF(OR(C104&lt;1,C104&gt;9999,C104&lt;&gt;INT(C104)),"数量无效",IF(COUNTIF($E$94:$E$111,E104)&gt;1,"重复敌人",IF(AND(ISNUMBER(D104),OR(D104&lt;0,D104&gt;999,D104&lt;&gt;INT(D104))),"奖励无效","可导入"))))))</x:f>
      </x:c>
    </x:row>
    <x:row r="105" ht="22" customHeight="1">
      <x:c r="A105" s="72" t="n">
        <x:v>12</x:v>
      </x:c>
      <x:c r="B105" s="41"/>
      <x:c r="C105" s="41"/>
      <x:c r="D105" s="41"/>
      <x:c r="E105" s="19" t="str">
        <x:f>IFERROR(VLOOKUP(B105,'敌人目录'!$A$6:$S$54,2,FALSE),"")</x:f>
      </x:c>
      <x:c r="F105" s="19" t="str">
        <x:f>IF(OR(B105="",C105=""),"",ROUNDUP(C105*(1+('全局设置'!$B$5-1)*'全局设置'!$B$6),0))</x:f>
      </x:c>
      <x:c r="G105" s="19" t="str">
        <x:f>IFERROR(VLOOKUP(B105,'敌人目录'!$A$6:$S$54,7,FALSE),"")</x:f>
      </x:c>
      <x:c r="H105" s="19" t="str">
        <x:f>IFERROR(VLOOKUP(B105,'敌人目录'!$A$6:$S$54,8,FALSE),"")</x:f>
      </x:c>
      <x:c r="I105" s="19" t="str">
        <x:f>IFERROR(VLOOKUP(B105,'敌人目录'!$A$6:$S$54,9,FALSE),"")</x:f>
      </x:c>
      <x:c r="J105" s="19" t="str">
        <x:f>IFERROR(VLOOKUP(B105,'敌人目录'!$A$6:$S$54,10,FALSE),"")</x:f>
      </x:c>
      <x:c r="K105" s="19" t="str">
        <x:f>IFERROR(VLOOKUP(B105,'敌人目录'!$A$6:$S$54,11,FALSE),"")</x:f>
      </x:c>
      <x:c r="L105" s="19" t="str">
        <x:f>IFERROR(VLOOKUP(B105,'敌人目录'!$A$6:$S$54,12,FALSE),"")</x:f>
      </x:c>
      <x:c r="M105" s="19" t="str">
        <x:f>IFERROR(VLOOKUP(B105,'敌人目录'!$A$6:$S$54,13,FALSE),"")</x:f>
      </x:c>
      <x:c r="N105" s="19" t="str">
        <x:f>IF(B105="","",IF(ISNUMBER(D105),D105,IFERROR(VLOOKUP(B105,'敌人目录'!$A$6:$S$54,14,FALSE),"")))</x:f>
      </x:c>
      <x:c r="O105" s="64" t="str">
        <x:f>IFERROR(VLOOKUP(B105,'敌人目录'!$A$6:$S$54,15,FALSE),"")</x:f>
      </x:c>
      <x:c r="P105" s="19" t="str">
        <x:f>IF(F105="","",F105*G105)</x:f>
      </x:c>
      <x:c r="Q105" s="19" t="str">
        <x:f>IF(F105="","",F105*L105)</x:f>
      </x:c>
      <x:c r="R105" s="19" t="str">
        <x:f>IF(F105="","",F105*N105)</x:f>
      </x:c>
      <x:c r="S105" s="19" t="str">
        <x:f>IF(R105="","",R105*'全局设置'!$B$5)</x:f>
      </x:c>
      <x:c r="T105" s="73" t="str">
        <x:f>IF(F105="","",F105*O105)</x:f>
      </x:c>
      <x:c r="U105" s="19" t="str">
        <x:f>IF(AND(B105="",C105=""),"",IF(B105="","缺少敌人",IF(C105="","缺少数量",IF(OR(C105&lt;1,C105&gt;9999,C105&lt;&gt;INT(C105)),"数量无效",IF(COUNTIF($E$94:$E$111,E105)&gt;1,"重复敌人",IF(AND(ISNUMBER(D105),OR(D105&lt;0,D105&gt;999,D105&lt;&gt;INT(D105))),"奖励无效","可导入"))))))</x:f>
      </x:c>
    </x:row>
    <x:row r="106" ht="22" customHeight="1">
      <x:c r="A106" s="72" t="n">
        <x:v>13</x:v>
      </x:c>
      <x:c r="B106" s="41"/>
      <x:c r="C106" s="41"/>
      <x:c r="D106" s="41"/>
      <x:c r="E106" s="19" t="str">
        <x:f>IFERROR(VLOOKUP(B106,'敌人目录'!$A$6:$S$54,2,FALSE),"")</x:f>
      </x:c>
      <x:c r="F106" s="19" t="str">
        <x:f>IF(OR(B106="",C106=""),"",ROUNDUP(C106*(1+('全局设置'!$B$5-1)*'全局设置'!$B$6),0))</x:f>
      </x:c>
      <x:c r="G106" s="19" t="str">
        <x:f>IFERROR(VLOOKUP(B106,'敌人目录'!$A$6:$S$54,7,FALSE),"")</x:f>
      </x:c>
      <x:c r="H106" s="19" t="str">
        <x:f>IFERROR(VLOOKUP(B106,'敌人目录'!$A$6:$S$54,8,FALSE),"")</x:f>
      </x:c>
      <x:c r="I106" s="19" t="str">
        <x:f>IFERROR(VLOOKUP(B106,'敌人目录'!$A$6:$S$54,9,FALSE),"")</x:f>
      </x:c>
      <x:c r="J106" s="19" t="str">
        <x:f>IFERROR(VLOOKUP(B106,'敌人目录'!$A$6:$S$54,10,FALSE),"")</x:f>
      </x:c>
      <x:c r="K106" s="19" t="str">
        <x:f>IFERROR(VLOOKUP(B106,'敌人目录'!$A$6:$S$54,11,FALSE),"")</x:f>
      </x:c>
      <x:c r="L106" s="19" t="str">
        <x:f>IFERROR(VLOOKUP(B106,'敌人目录'!$A$6:$S$54,12,FALSE),"")</x:f>
      </x:c>
      <x:c r="M106" s="19" t="str">
        <x:f>IFERROR(VLOOKUP(B106,'敌人目录'!$A$6:$S$54,13,FALSE),"")</x:f>
      </x:c>
      <x:c r="N106" s="19" t="str">
        <x:f>IF(B106="","",IF(ISNUMBER(D106),D106,IFERROR(VLOOKUP(B106,'敌人目录'!$A$6:$S$54,14,FALSE),"")))</x:f>
      </x:c>
      <x:c r="O106" s="64" t="str">
        <x:f>IFERROR(VLOOKUP(B106,'敌人目录'!$A$6:$S$54,15,FALSE),"")</x:f>
      </x:c>
      <x:c r="P106" s="19" t="str">
        <x:f>IF(F106="","",F106*G106)</x:f>
      </x:c>
      <x:c r="Q106" s="19" t="str">
        <x:f>IF(F106="","",F106*L106)</x:f>
      </x:c>
      <x:c r="R106" s="19" t="str">
        <x:f>IF(F106="","",F106*N106)</x:f>
      </x:c>
      <x:c r="S106" s="19" t="str">
        <x:f>IF(R106="","",R106*'全局设置'!$B$5)</x:f>
      </x:c>
      <x:c r="T106" s="73" t="str">
        <x:f>IF(F106="","",F106*O106)</x:f>
      </x:c>
      <x:c r="U106" s="19" t="str">
        <x:f>IF(AND(B106="",C106=""),"",IF(B106="","缺少敌人",IF(C106="","缺少数量",IF(OR(C106&lt;1,C106&gt;9999,C106&lt;&gt;INT(C106)),"数量无效",IF(COUNTIF($E$94:$E$111,E106)&gt;1,"重复敌人",IF(AND(ISNUMBER(D106),OR(D106&lt;0,D106&gt;999,D106&lt;&gt;INT(D106))),"奖励无效","可导入"))))))</x:f>
      </x:c>
    </x:row>
    <x:row r="107" ht="22" customHeight="1">
      <x:c r="A107" s="72" t="n">
        <x:v>14</x:v>
      </x:c>
      <x:c r="B107" s="41"/>
      <x:c r="C107" s="41"/>
      <x:c r="D107" s="41"/>
      <x:c r="E107" s="19" t="str">
        <x:f>IFERROR(VLOOKUP(B107,'敌人目录'!$A$6:$S$54,2,FALSE),"")</x:f>
      </x:c>
      <x:c r="F107" s="19" t="str">
        <x:f>IF(OR(B107="",C107=""),"",ROUNDUP(C107*(1+('全局设置'!$B$5-1)*'全局设置'!$B$6),0))</x:f>
      </x:c>
      <x:c r="G107" s="19" t="str">
        <x:f>IFERROR(VLOOKUP(B107,'敌人目录'!$A$6:$S$54,7,FALSE),"")</x:f>
      </x:c>
      <x:c r="H107" s="19" t="str">
        <x:f>IFERROR(VLOOKUP(B107,'敌人目录'!$A$6:$S$54,8,FALSE),"")</x:f>
      </x:c>
      <x:c r="I107" s="19" t="str">
        <x:f>IFERROR(VLOOKUP(B107,'敌人目录'!$A$6:$S$54,9,FALSE),"")</x:f>
      </x:c>
      <x:c r="J107" s="19" t="str">
        <x:f>IFERROR(VLOOKUP(B107,'敌人目录'!$A$6:$S$54,10,FALSE),"")</x:f>
      </x:c>
      <x:c r="K107" s="19" t="str">
        <x:f>IFERROR(VLOOKUP(B107,'敌人目录'!$A$6:$S$54,11,FALSE),"")</x:f>
      </x:c>
      <x:c r="L107" s="19" t="str">
        <x:f>IFERROR(VLOOKUP(B107,'敌人目录'!$A$6:$S$54,12,FALSE),"")</x:f>
      </x:c>
      <x:c r="M107" s="19" t="str">
        <x:f>IFERROR(VLOOKUP(B107,'敌人目录'!$A$6:$S$54,13,FALSE),"")</x:f>
      </x:c>
      <x:c r="N107" s="19" t="str">
        <x:f>IF(B107="","",IF(ISNUMBER(D107),D107,IFERROR(VLOOKUP(B107,'敌人目录'!$A$6:$S$54,14,FALSE),"")))</x:f>
      </x:c>
      <x:c r="O107" s="64" t="str">
        <x:f>IFERROR(VLOOKUP(B107,'敌人目录'!$A$6:$S$54,15,FALSE),"")</x:f>
      </x:c>
      <x:c r="P107" s="19" t="str">
        <x:f>IF(F107="","",F107*G107)</x:f>
      </x:c>
      <x:c r="Q107" s="19" t="str">
        <x:f>IF(F107="","",F107*L107)</x:f>
      </x:c>
      <x:c r="R107" s="19" t="str">
        <x:f>IF(F107="","",F107*N107)</x:f>
      </x:c>
      <x:c r="S107" s="19" t="str">
        <x:f>IF(R107="","",R107*'全局设置'!$B$5)</x:f>
      </x:c>
      <x:c r="T107" s="73" t="str">
        <x:f>IF(F107="","",F107*O107)</x:f>
      </x:c>
      <x:c r="U107" s="19" t="str">
        <x:f>IF(AND(B107="",C107=""),"",IF(B107="","缺少敌人",IF(C107="","缺少数量",IF(OR(C107&lt;1,C107&gt;9999,C107&lt;&gt;INT(C107)),"数量无效",IF(COUNTIF($E$94:$E$111,E107)&gt;1,"重复敌人",IF(AND(ISNUMBER(D107),OR(D107&lt;0,D107&gt;999,D107&lt;&gt;INT(D107))),"奖励无效","可导入"))))))</x:f>
      </x:c>
    </x:row>
    <x:row r="108" ht="22" customHeight="1">
      <x:c r="A108" s="72" t="n">
        <x:v>15</x:v>
      </x:c>
      <x:c r="B108" s="41"/>
      <x:c r="C108" s="41"/>
      <x:c r="D108" s="41"/>
      <x:c r="E108" s="19" t="str">
        <x:f>IFERROR(VLOOKUP(B108,'敌人目录'!$A$6:$S$54,2,FALSE),"")</x:f>
      </x:c>
      <x:c r="F108" s="19" t="str">
        <x:f>IF(OR(B108="",C108=""),"",ROUNDUP(C108*(1+('全局设置'!$B$5-1)*'全局设置'!$B$6),0))</x:f>
      </x:c>
      <x:c r="G108" s="19" t="str">
        <x:f>IFERROR(VLOOKUP(B108,'敌人目录'!$A$6:$S$54,7,FALSE),"")</x:f>
      </x:c>
      <x:c r="H108" s="19" t="str">
        <x:f>IFERROR(VLOOKUP(B108,'敌人目录'!$A$6:$S$54,8,FALSE),"")</x:f>
      </x:c>
      <x:c r="I108" s="19" t="str">
        <x:f>IFERROR(VLOOKUP(B108,'敌人目录'!$A$6:$S$54,9,FALSE),"")</x:f>
      </x:c>
      <x:c r="J108" s="19" t="str">
        <x:f>IFERROR(VLOOKUP(B108,'敌人目录'!$A$6:$S$54,10,FALSE),"")</x:f>
      </x:c>
      <x:c r="K108" s="19" t="str">
        <x:f>IFERROR(VLOOKUP(B108,'敌人目录'!$A$6:$S$54,11,FALSE),"")</x:f>
      </x:c>
      <x:c r="L108" s="19" t="str">
        <x:f>IFERROR(VLOOKUP(B108,'敌人目录'!$A$6:$S$54,12,FALSE),"")</x:f>
      </x:c>
      <x:c r="M108" s="19" t="str">
        <x:f>IFERROR(VLOOKUP(B108,'敌人目录'!$A$6:$S$54,13,FALSE),"")</x:f>
      </x:c>
      <x:c r="N108" s="19" t="str">
        <x:f>IF(B108="","",IF(ISNUMBER(D108),D108,IFERROR(VLOOKUP(B108,'敌人目录'!$A$6:$S$54,14,FALSE),"")))</x:f>
      </x:c>
      <x:c r="O108" s="64" t="str">
        <x:f>IFERROR(VLOOKUP(B108,'敌人目录'!$A$6:$S$54,15,FALSE),"")</x:f>
      </x:c>
      <x:c r="P108" s="19" t="str">
        <x:f>IF(F108="","",F108*G108)</x:f>
      </x:c>
      <x:c r="Q108" s="19" t="str">
        <x:f>IF(F108="","",F108*L108)</x:f>
      </x:c>
      <x:c r="R108" s="19" t="str">
        <x:f>IF(F108="","",F108*N108)</x:f>
      </x:c>
      <x:c r="S108" s="19" t="str">
        <x:f>IF(R108="","",R108*'全局设置'!$B$5)</x:f>
      </x:c>
      <x:c r="T108" s="73" t="str">
        <x:f>IF(F108="","",F108*O108)</x:f>
      </x:c>
      <x:c r="U108" s="19" t="str">
        <x:f>IF(AND(B108="",C108=""),"",IF(B108="","缺少敌人",IF(C108="","缺少数量",IF(OR(C108&lt;1,C108&gt;9999,C108&lt;&gt;INT(C108)),"数量无效",IF(COUNTIF($E$94:$E$111,E108)&gt;1,"重复敌人",IF(AND(ISNUMBER(D108),OR(D108&lt;0,D108&gt;999,D108&lt;&gt;INT(D108))),"奖励无效","可导入"))))))</x:f>
      </x:c>
    </x:row>
    <x:row r="109" ht="22" customHeight="1">
      <x:c r="A109" s="72" t="n">
        <x:v>16</x:v>
      </x:c>
      <x:c r="B109" s="41"/>
      <x:c r="C109" s="41"/>
      <x:c r="D109" s="41"/>
      <x:c r="E109" s="19" t="str">
        <x:f>IFERROR(VLOOKUP(B109,'敌人目录'!$A$6:$S$54,2,FALSE),"")</x:f>
      </x:c>
      <x:c r="F109" s="19" t="str">
        <x:f>IF(OR(B109="",C109=""),"",ROUNDUP(C109*(1+('全局设置'!$B$5-1)*'全局设置'!$B$6),0))</x:f>
      </x:c>
      <x:c r="G109" s="19" t="str">
        <x:f>IFERROR(VLOOKUP(B109,'敌人目录'!$A$6:$S$54,7,FALSE),"")</x:f>
      </x:c>
      <x:c r="H109" s="19" t="str">
        <x:f>IFERROR(VLOOKUP(B109,'敌人目录'!$A$6:$S$54,8,FALSE),"")</x:f>
      </x:c>
      <x:c r="I109" s="19" t="str">
        <x:f>IFERROR(VLOOKUP(B109,'敌人目录'!$A$6:$S$54,9,FALSE),"")</x:f>
      </x:c>
      <x:c r="J109" s="19" t="str">
        <x:f>IFERROR(VLOOKUP(B109,'敌人目录'!$A$6:$S$54,10,FALSE),"")</x:f>
      </x:c>
      <x:c r="K109" s="19" t="str">
        <x:f>IFERROR(VLOOKUP(B109,'敌人目录'!$A$6:$S$54,11,FALSE),"")</x:f>
      </x:c>
      <x:c r="L109" s="19" t="str">
        <x:f>IFERROR(VLOOKUP(B109,'敌人目录'!$A$6:$S$54,12,FALSE),"")</x:f>
      </x:c>
      <x:c r="M109" s="19" t="str">
        <x:f>IFERROR(VLOOKUP(B109,'敌人目录'!$A$6:$S$54,13,FALSE),"")</x:f>
      </x:c>
      <x:c r="N109" s="19" t="str">
        <x:f>IF(B109="","",IF(ISNUMBER(D109),D109,IFERROR(VLOOKUP(B109,'敌人目录'!$A$6:$S$54,14,FALSE),"")))</x:f>
      </x:c>
      <x:c r="O109" s="64" t="str">
        <x:f>IFERROR(VLOOKUP(B109,'敌人目录'!$A$6:$S$54,15,FALSE),"")</x:f>
      </x:c>
      <x:c r="P109" s="19" t="str">
        <x:f>IF(F109="","",F109*G109)</x:f>
      </x:c>
      <x:c r="Q109" s="19" t="str">
        <x:f>IF(F109="","",F109*L109)</x:f>
      </x:c>
      <x:c r="R109" s="19" t="str">
        <x:f>IF(F109="","",F109*N109)</x:f>
      </x:c>
      <x:c r="S109" s="19" t="str">
        <x:f>IF(R109="","",R109*'全局设置'!$B$5)</x:f>
      </x:c>
      <x:c r="T109" s="73" t="str">
        <x:f>IF(F109="","",F109*O109)</x:f>
      </x:c>
      <x:c r="U109" s="19" t="str">
        <x:f>IF(AND(B109="",C109=""),"",IF(B109="","缺少敌人",IF(C109="","缺少数量",IF(OR(C109&lt;1,C109&gt;9999,C109&lt;&gt;INT(C109)),"数量无效",IF(COUNTIF($E$94:$E$111,E109)&gt;1,"重复敌人",IF(AND(ISNUMBER(D109),OR(D109&lt;0,D109&gt;999,D109&lt;&gt;INT(D109))),"奖励无效","可导入"))))))</x:f>
      </x:c>
    </x:row>
    <x:row r="110" ht="22" customHeight="1">
      <x:c r="A110" s="72" t="n">
        <x:v>17</x:v>
      </x:c>
      <x:c r="B110" s="41"/>
      <x:c r="C110" s="41"/>
      <x:c r="D110" s="41"/>
      <x:c r="E110" s="19" t="str">
        <x:f>IFERROR(VLOOKUP(B110,'敌人目录'!$A$6:$S$54,2,FALSE),"")</x:f>
      </x:c>
      <x:c r="F110" s="19" t="str">
        <x:f>IF(OR(B110="",C110=""),"",ROUNDUP(C110*(1+('全局设置'!$B$5-1)*'全局设置'!$B$6),0))</x:f>
      </x:c>
      <x:c r="G110" s="19" t="str">
        <x:f>IFERROR(VLOOKUP(B110,'敌人目录'!$A$6:$S$54,7,FALSE),"")</x:f>
      </x:c>
      <x:c r="H110" s="19" t="str">
        <x:f>IFERROR(VLOOKUP(B110,'敌人目录'!$A$6:$S$54,8,FALSE),"")</x:f>
      </x:c>
      <x:c r="I110" s="19" t="str">
        <x:f>IFERROR(VLOOKUP(B110,'敌人目录'!$A$6:$S$54,9,FALSE),"")</x:f>
      </x:c>
      <x:c r="J110" s="19" t="str">
        <x:f>IFERROR(VLOOKUP(B110,'敌人目录'!$A$6:$S$54,10,FALSE),"")</x:f>
      </x:c>
      <x:c r="K110" s="19" t="str">
        <x:f>IFERROR(VLOOKUP(B110,'敌人目录'!$A$6:$S$54,11,FALSE),"")</x:f>
      </x:c>
      <x:c r="L110" s="19" t="str">
        <x:f>IFERROR(VLOOKUP(B110,'敌人目录'!$A$6:$S$54,12,FALSE),"")</x:f>
      </x:c>
      <x:c r="M110" s="19" t="str">
        <x:f>IFERROR(VLOOKUP(B110,'敌人目录'!$A$6:$S$54,13,FALSE),"")</x:f>
      </x:c>
      <x:c r="N110" s="19" t="str">
        <x:f>IF(B110="","",IF(ISNUMBER(D110),D110,IFERROR(VLOOKUP(B110,'敌人目录'!$A$6:$S$54,14,FALSE),"")))</x:f>
      </x:c>
      <x:c r="O110" s="64" t="str">
        <x:f>IFERROR(VLOOKUP(B110,'敌人目录'!$A$6:$S$54,15,FALSE),"")</x:f>
      </x:c>
      <x:c r="P110" s="19" t="str">
        <x:f>IF(F110="","",F110*G110)</x:f>
      </x:c>
      <x:c r="Q110" s="19" t="str">
        <x:f>IF(F110="","",F110*L110)</x:f>
      </x:c>
      <x:c r="R110" s="19" t="str">
        <x:f>IF(F110="","",F110*N110)</x:f>
      </x:c>
      <x:c r="S110" s="19" t="str">
        <x:f>IF(R110="","",R110*'全局设置'!$B$5)</x:f>
      </x:c>
      <x:c r="T110" s="73" t="str">
        <x:f>IF(F110="","",F110*O110)</x:f>
      </x:c>
      <x:c r="U110" s="19" t="str">
        <x:f>IF(AND(B110="",C110=""),"",IF(B110="","缺少敌人",IF(C110="","缺少数量",IF(OR(C110&lt;1,C110&gt;9999,C110&lt;&gt;INT(C110)),"数量无效",IF(COUNTIF($E$94:$E$111,E110)&gt;1,"重复敌人",IF(AND(ISNUMBER(D110),OR(D110&lt;0,D110&gt;999,D110&lt;&gt;INT(D110))),"奖励无效","可导入"))))))</x:f>
      </x:c>
    </x:row>
    <x:row r="111" ht="22" customHeight="1">
      <x:c r="A111" s="72" t="n">
        <x:v>18</x:v>
      </x:c>
      <x:c r="B111" s="41"/>
      <x:c r="C111" s="41"/>
      <x:c r="D111" s="41"/>
      <x:c r="E111" s="19" t="str">
        <x:f>IFERROR(VLOOKUP(B111,'敌人目录'!$A$6:$S$54,2,FALSE),"")</x:f>
      </x:c>
      <x:c r="F111" s="19" t="str">
        <x:f>IF(OR(B111="",C111=""),"",ROUNDUP(C111*(1+('全局设置'!$B$5-1)*'全局设置'!$B$6),0))</x:f>
      </x:c>
      <x:c r="G111" s="19" t="str">
        <x:f>IFERROR(VLOOKUP(B111,'敌人目录'!$A$6:$S$54,7,FALSE),"")</x:f>
      </x:c>
      <x:c r="H111" s="19" t="str">
        <x:f>IFERROR(VLOOKUP(B111,'敌人目录'!$A$6:$S$54,8,FALSE),"")</x:f>
      </x:c>
      <x:c r="I111" s="19" t="str">
        <x:f>IFERROR(VLOOKUP(B111,'敌人目录'!$A$6:$S$54,9,FALSE),"")</x:f>
      </x:c>
      <x:c r="J111" s="19" t="str">
        <x:f>IFERROR(VLOOKUP(B111,'敌人目录'!$A$6:$S$54,10,FALSE),"")</x:f>
      </x:c>
      <x:c r="K111" s="19" t="str">
        <x:f>IFERROR(VLOOKUP(B111,'敌人目录'!$A$6:$S$54,11,FALSE),"")</x:f>
      </x:c>
      <x:c r="L111" s="19" t="str">
        <x:f>IFERROR(VLOOKUP(B111,'敌人目录'!$A$6:$S$54,12,FALSE),"")</x:f>
      </x:c>
      <x:c r="M111" s="19" t="str">
        <x:f>IFERROR(VLOOKUP(B111,'敌人目录'!$A$6:$S$54,13,FALSE),"")</x:f>
      </x:c>
      <x:c r="N111" s="19" t="str">
        <x:f>IF(B111="","",IF(ISNUMBER(D111),D111,IFERROR(VLOOKUP(B111,'敌人目录'!$A$6:$S$54,14,FALSE),"")))</x:f>
      </x:c>
      <x:c r="O111" s="64" t="str">
        <x:f>IFERROR(VLOOKUP(B111,'敌人目录'!$A$6:$S$54,15,FALSE),"")</x:f>
      </x:c>
      <x:c r="P111" s="19" t="str">
        <x:f>IF(F111="","",F111*G111)</x:f>
      </x:c>
      <x:c r="Q111" s="19" t="str">
        <x:f>IF(F111="","",F111*L111)</x:f>
      </x:c>
      <x:c r="R111" s="19" t="str">
        <x:f>IF(F111="","",F111*N111)</x:f>
      </x:c>
      <x:c r="S111" s="19" t="str">
        <x:f>IF(R111="","",R111*'全局设置'!$B$5)</x:f>
      </x:c>
      <x:c r="T111" s="73" t="str">
        <x:f>IF(F111="","",F111*O111)</x:f>
      </x:c>
      <x:c r="U111" s="19" t="str">
        <x:f>IF(AND(B111="",C111=""),"",IF(B111="","缺少敌人",IF(C111="","缺少数量",IF(OR(C111&lt;1,C111&gt;9999,C111&lt;&gt;INT(C111)),"数量无效",IF(COUNTIF($E$94:$E$111,E111)&gt;1,"重复敌人",IF(AND(ISNUMBER(D111),OR(D111&lt;0,D111&gt;999,D111&lt;&gt;INT(D111))),"奖励无效","可导入"))))))</x:f>
      </x:c>
    </x:row>
    <x:row r="112" ht="22" customHeight="1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</x:row>
    <x:row r="113" ht="22" customHeight="1">
      <x:c r="A113" s="48" t="str">
        <x:v>基础总数</x:v>
      </x:c>
      <x:c r="B113" s="19" t="n">
        <x:f>SUM(C94:C111)</x:f>
        <x:v>0</x:v>
      </x:c>
      <x:c r="C113" s="48" t="str">
        <x:v>实际总数</x:v>
      </x:c>
      <x:c r="D113" s="19" t="n">
        <x:f>SUM(F94:F111)</x:f>
        <x:v>0</x:v>
      </x:c>
      <x:c r="E113" s="48" t="str">
        <x:v>敌人种类</x:v>
      </x:c>
      <x:c r="F113" s="19" t="n">
        <x:f>COUNTA(B94:B111)</x:f>
        <x:v>0</x:v>
      </x:c>
      <x:c r="G113" s="48" t="str">
        <x:v>生命池</x:v>
      </x:c>
      <x:c r="H113" s="19" t="n">
        <x:f>SUM(P94:P111)</x:f>
        <x:v>0</x:v>
      </x:c>
      <x:c r="I113" s="48" t="str">
        <x:v>基础息壤/玩家</x:v>
      </x:c>
      <x:c r="J113" s="19" t="n">
        <x:f>SUM(R94:R111)</x:f>
        <x:v>0</x:v>
      </x:c>
      <x:c r="K113" s="48" t="str">
        <x:v>情景息壤/玩家</x:v>
      </x:c>
      <x:c r="L113" s="19" t="n">
        <x:f>J113*'全局设置'!$B$7*'全局设置'!$F$14</x:f>
        <x:v>0</x:v>
      </x:c>
      <x:c r="M113" s="48" t="str">
        <x:v>情景息壤/队伍</x:v>
      </x:c>
      <x:c r="N113" s="19" t="n">
        <x:f>L113*'全局设置'!$B$5</x:f>
        <x:v>0</x:v>
      </x:c>
      <x:c r="O113" s="48" t="str">
        <x:v>掉落期望</x:v>
      </x:c>
      <x:c r="P113" s="73" t="n">
        <x:f>SUM(T94:T111)</x:f>
        <x:v>0</x:v>
      </x:c>
      <x:c r="Q113" s="48" t="str">
        <x:v>全漏Home伤害</x:v>
      </x:c>
      <x:c r="R113" s="19" t="n">
        <x:f>SUM(Q94:Q111)</x:f>
        <x:v>0</x:v>
      </x:c>
      <x:c r="S113" s="48" t="str">
        <x:v>最短刷完(s)</x:v>
      </x:c>
      <x:c r="T113" s="73" t="n">
        <x:f>IF(D113=0,0,MAX(0,(ROUNDUP(D113/J90,0)-1)*H90))</x:f>
        <x:v>0</x:v>
      </x:c>
      <x:c r="U113" s="31"/>
    </x:row>
    <x:row r="114" ht="22" customHeight="1">
      <x:c r="A114" s="82" t="str">
        <x:v>情景收益 = 最大击杀息壤 × 全局击杀率 × 第4日倍率；最大队伍收益另按玩家人数相乘。</x:v>
      </x:c>
      <x:c r="B114" s="82" t="str">
        <x:v>情景收益 = 最大击杀息壤 × 全局击杀率 × 第4日倍率；最大队伍收益另按玩家人数相乘。</x:v>
      </x:c>
      <x:c r="C114" s="82" t="str">
        <x:v>情景收益 = 最大击杀息壤 × 全局击杀率 × 第4日倍率；最大队伍收益另按玩家人数相乘。</x:v>
      </x:c>
      <x:c r="D114" s="82" t="str">
        <x:v>情景收益 = 最大击杀息壤 × 全局击杀率 × 第4日倍率；最大队伍收益另按玩家人数相乘。</x:v>
      </x:c>
      <x:c r="E114" s="82" t="str">
        <x:v>情景收益 = 最大击杀息壤 × 全局击杀率 × 第4日倍率；最大队伍收益另按玩家人数相乘。</x:v>
      </x:c>
      <x:c r="F114" s="82" t="str">
        <x:v>情景收益 = 最大击杀息壤 × 全局击杀率 × 第4日倍率；最大队伍收益另按玩家人数相乘。</x:v>
      </x:c>
      <x:c r="G114" s="82" t="str">
        <x:v>情景收益 = 最大击杀息壤 × 全局击杀率 × 第4日倍率；最大队伍收益另按玩家人数相乘。</x:v>
      </x:c>
      <x:c r="H114" s="82" t="str">
        <x:v>情景收益 = 最大击杀息壤 × 全局击杀率 × 第4日倍率；最大队伍收益另按玩家人数相乘。</x:v>
      </x:c>
      <x:c r="I114" s="82" t="str">
        <x:v>情景收益 = 最大击杀息壤 × 全局击杀率 × 第4日倍率；最大队伍收益另按玩家人数相乘。</x:v>
      </x:c>
      <x:c r="J114" s="82" t="str">
        <x:v>情景收益 = 最大击杀息壤 × 全局击杀率 × 第4日倍率；最大队伍收益另按玩家人数相乘。</x:v>
      </x:c>
      <x:c r="K114" s="82" t="str">
        <x:v>情景收益 = 最大击杀息壤 × 全局击杀率 × 第4日倍率；最大队伍收益另按玩家人数相乘。</x:v>
      </x:c>
      <x:c r="L114" s="82" t="str">
        <x:v>情景收益 = 最大击杀息壤 × 全局击杀率 × 第4日倍率；最大队伍收益另按玩家人数相乘。</x:v>
      </x:c>
      <x:c r="M114" s="82" t="str">
        <x:v>情景收益 = 最大击杀息壤 × 全局击杀率 × 第4日倍率；最大队伍收益另按玩家人数相乘。</x:v>
      </x:c>
      <x:c r="N114" s="82" t="str">
        <x:v>情景收益 = 最大击杀息壤 × 全局击杀率 × 第4日倍率；最大队伍收益另按玩家人数相乘。</x:v>
      </x:c>
      <x:c r="O114" s="82" t="str">
        <x:v>情景收益 = 最大击杀息壤 × 全局击杀率 × 第4日倍率；最大队伍收益另按玩家人数相乘。</x:v>
      </x:c>
      <x:c r="P114" s="82" t="str">
        <x:v>情景收益 = 最大击杀息壤 × 全局击杀率 × 第4日倍率；最大队伍收益另按玩家人数相乘。</x:v>
      </x:c>
      <x:c r="Q114" s="82" t="str">
        <x:v>情景收益 = 最大击杀息壤 × 全局击杀率 × 第4日倍率；最大队伍收益另按玩家人数相乘。</x:v>
      </x:c>
      <x:c r="R114" s="82" t="str">
        <x:v>情景收益 = 最大击杀息壤 × 全局击杀率 × 第4日倍率；最大队伍收益另按玩家人数相乘。</x:v>
      </x:c>
      <x:c r="S114" s="82" t="str">
        <x:v>情景收益 = 最大击杀息壤 × 全局击杀率 × 第4日倍率；最大队伍收益另按玩家人数相乘。</x:v>
      </x:c>
      <x:c r="T114" s="82" t="str">
        <x:v>情景收益 = 最大击杀息壤 × 全局击杀率 × 第4日倍率；最大队伍收益另按玩家人数相乘。</x:v>
      </x:c>
      <x:c r="U114" s="82" t="str">
        <x:v>情景收益 = 最大击杀息壤 × 全局击杀率 × 第4日倍率；最大队伍收益另按玩家人数相乘。</x:v>
      </x:c>
    </x:row>
    <x:row r="115" ht="22" customHeight="1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</x:row>
    <x:row r="116" ht="22" customHeight="1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</x:row>
    <x:row r="117" ht="22" customHeight="1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</x:row>
    <x:row r="118" ht="22" customHeight="1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</x:row>
  </x:sheetData>
  <x:mergeCells>
    <x:mergeCell ref="A2:U2"/>
    <x:mergeCell ref="B3:F3"/>
    <x:mergeCell ref="N3:O3"/>
    <x:mergeCell ref="Q3:U3"/>
    <x:mergeCell ref="I4:M4"/>
    <x:mergeCell ref="O4:U4"/>
    <x:mergeCell ref="A5:U5"/>
    <x:mergeCell ref="A27:U27"/>
    <x:mergeCell ref="A31:U31"/>
    <x:mergeCell ref="B32:F32"/>
    <x:mergeCell ref="N32:O32"/>
    <x:mergeCell ref="Q32:U32"/>
    <x:mergeCell ref="I33:M33"/>
    <x:mergeCell ref="O33:U33"/>
    <x:mergeCell ref="A34:U34"/>
    <x:mergeCell ref="A56:U56"/>
    <x:mergeCell ref="A60:U60"/>
    <x:mergeCell ref="B61:F61"/>
    <x:mergeCell ref="N61:O61"/>
    <x:mergeCell ref="Q61:U61"/>
    <x:mergeCell ref="I62:M62"/>
    <x:mergeCell ref="O62:U62"/>
    <x:mergeCell ref="A63:U63"/>
    <x:mergeCell ref="A85:U85"/>
    <x:mergeCell ref="A89:U89"/>
    <x:mergeCell ref="B90:F90"/>
    <x:mergeCell ref="N90:O90"/>
    <x:mergeCell ref="Q90:U90"/>
    <x:mergeCell ref="I91:M91"/>
    <x:mergeCell ref="O91:U91"/>
    <x:mergeCell ref="A92:U92"/>
    <x:mergeCell ref="A114:U114"/>
  </x:mergeCells>
  <x:conditionalFormatting sqref="U7:U24">
    <x:cfRule type="containsText" dxfId="88" priority="1" operator="containsText" text="可导入"/>
    <x:cfRule type="containsText" dxfId="89" priority="2" operator="containsText" text="缺少"/>
    <x:cfRule type="containsText" dxfId="90" priority="3" operator="containsText" text="无效"/>
    <x:cfRule type="containsText" dxfId="91" priority="4" operator="containsText" text="重复"/>
  </x:conditionalFormatting>
  <x:conditionalFormatting sqref="N3:O3">
    <x:cfRule type="containsText" dxfId="92" priority="5" operator="containsText" text="可导入"/>
    <x:cfRule type="containsText" dxfId="93" priority="6" operator="containsText" text="待设计"/>
    <x:cfRule type="containsText" dxfId="94" priority="7" operator="containsText" text="需修正"/>
  </x:conditionalFormatting>
  <x:conditionalFormatting sqref="U36:U53">
    <x:cfRule type="containsText" dxfId="95" priority="8" operator="containsText" text="可导入"/>
    <x:cfRule type="containsText" dxfId="96" priority="9" operator="containsText" text="缺少"/>
    <x:cfRule type="containsText" dxfId="97" priority="10" operator="containsText" text="无效"/>
    <x:cfRule type="containsText" dxfId="98" priority="11" operator="containsText" text="重复"/>
  </x:conditionalFormatting>
  <x:conditionalFormatting sqref="N32:O32">
    <x:cfRule type="containsText" dxfId="99" priority="12" operator="containsText" text="可导入"/>
    <x:cfRule type="containsText" dxfId="100" priority="13" operator="containsText" text="待设计"/>
    <x:cfRule type="containsText" dxfId="101" priority="14" operator="containsText" text="需修正"/>
  </x:conditionalFormatting>
  <x:conditionalFormatting sqref="U65:U82">
    <x:cfRule type="containsText" dxfId="102" priority="15" operator="containsText" text="可导入"/>
    <x:cfRule type="containsText" dxfId="103" priority="16" operator="containsText" text="缺少"/>
    <x:cfRule type="containsText" dxfId="104" priority="17" operator="containsText" text="无效"/>
    <x:cfRule type="containsText" dxfId="105" priority="18" operator="containsText" text="重复"/>
  </x:conditionalFormatting>
  <x:conditionalFormatting sqref="N61:O61">
    <x:cfRule type="containsText" dxfId="106" priority="19" operator="containsText" text="可导入"/>
    <x:cfRule type="containsText" dxfId="107" priority="20" operator="containsText" text="待设计"/>
    <x:cfRule type="containsText" dxfId="108" priority="21" operator="containsText" text="需修正"/>
  </x:conditionalFormatting>
  <x:conditionalFormatting sqref="U94:U111">
    <x:cfRule type="containsText" dxfId="109" priority="22" operator="containsText" text="可导入"/>
    <x:cfRule type="containsText" dxfId="110" priority="23" operator="containsText" text="缺少"/>
    <x:cfRule type="containsText" dxfId="111" priority="24" operator="containsText" text="无效"/>
    <x:cfRule type="containsText" dxfId="112" priority="25" operator="containsText" text="重复"/>
  </x:conditionalFormatting>
  <x:conditionalFormatting sqref="N90:O90">
    <x:cfRule type="containsText" dxfId="113" priority="26" operator="containsText" text="可导入"/>
    <x:cfRule type="containsText" dxfId="114" priority="27" operator="containsText" text="待设计"/>
    <x:cfRule type="containsText" dxfId="115" priority="28" operator="containsText" text="需修正"/>
  </x:conditionalFormatting>
  <x:dataValidations count="28">
    <x:dataValidation type="decimal" operator="between" sqref="H3">
      <x:formula1>0.025</x:formula1>
      <x:formula2>60</x:formula2>
    </x:dataValidation>
    <x:dataValidation type="whole" operator="between" sqref="J3">
      <x:formula1>1</x:formula1>
      <x:formula2>4</x:formula2>
    </x:dataValidation>
    <x:dataValidation type="whole" operator="between" sqref="L3">
      <x:formula1>1</x:formula1>
      <x:formula2>999</x:formula2>
    </x:dataValidation>
    <x:dataValidation type="list" sqref="B4:G4">
      <x:formula1>"开启,关闭"</x:formula1>
    </x:dataValidation>
    <x:dataValidation type="list" sqref="B7:B24">
      <x:formula1>'系统数据（勿改）'!$A$4:$A$52</x:formula1>
    </x:dataValidation>
    <x:dataValidation type="whole" operator="between" sqref="C7:C24">
      <x:formula1>1</x:formula1>
      <x:formula2>9999</x:formula2>
    </x:dataValidation>
    <x:dataValidation type="whole" operator="between" sqref="D7:D24">
      <x:formula1>0</x:formula1>
      <x:formula2>999</x:formula2>
    </x:dataValidation>
    <x:dataValidation type="decimal" operator="between" sqref="H32">
      <x:formula1>0.025</x:formula1>
      <x:formula2>60</x:formula2>
    </x:dataValidation>
    <x:dataValidation type="whole" operator="between" sqref="J32">
      <x:formula1>1</x:formula1>
      <x:formula2>4</x:formula2>
    </x:dataValidation>
    <x:dataValidation type="whole" operator="between" sqref="L32">
      <x:formula1>1</x:formula1>
      <x:formula2>999</x:formula2>
    </x:dataValidation>
    <x:dataValidation type="list" sqref="B33:G33">
      <x:formula1>"开启,关闭"</x:formula1>
    </x:dataValidation>
    <x:dataValidation type="list" sqref="B36:B53">
      <x:formula1>'系统数据（勿改）'!$A$4:$A$52</x:formula1>
    </x:dataValidation>
    <x:dataValidation type="whole" operator="between" sqref="C36:C53">
      <x:formula1>1</x:formula1>
      <x:formula2>9999</x:formula2>
    </x:dataValidation>
    <x:dataValidation type="whole" operator="between" sqref="D36:D53">
      <x:formula1>0</x:formula1>
      <x:formula2>999</x:formula2>
    </x:dataValidation>
    <x:dataValidation type="decimal" operator="between" sqref="H61">
      <x:formula1>0.025</x:formula1>
      <x:formula2>60</x:formula2>
    </x:dataValidation>
    <x:dataValidation type="whole" operator="between" sqref="J61">
      <x:formula1>1</x:formula1>
      <x:formula2>4</x:formula2>
    </x:dataValidation>
    <x:dataValidation type="whole" operator="between" sqref="L61">
      <x:formula1>1</x:formula1>
      <x:formula2>999</x:formula2>
    </x:dataValidation>
    <x:dataValidation type="list" sqref="B62:G62">
      <x:formula1>"开启,关闭"</x:formula1>
    </x:dataValidation>
    <x:dataValidation type="list" sqref="B65:B82">
      <x:formula1>'系统数据（勿改）'!$A$4:$A$52</x:formula1>
    </x:dataValidation>
    <x:dataValidation type="whole" operator="between" sqref="C65:C82">
      <x:formula1>1</x:formula1>
      <x:formula2>9999</x:formula2>
    </x:dataValidation>
    <x:dataValidation type="whole" operator="between" sqref="D65:D82">
      <x:formula1>0</x:formula1>
      <x:formula2>999</x:formula2>
    </x:dataValidation>
    <x:dataValidation type="decimal" operator="between" sqref="H90">
      <x:formula1>0.025</x:formula1>
      <x:formula2>60</x:formula2>
    </x:dataValidation>
    <x:dataValidation type="whole" operator="between" sqref="J90">
      <x:formula1>1</x:formula1>
      <x:formula2>4</x:formula2>
    </x:dataValidation>
    <x:dataValidation type="whole" operator="between" sqref="L90">
      <x:formula1>1</x:formula1>
      <x:formula2>999</x:formula2>
    </x:dataValidation>
    <x:dataValidation type="list" sqref="B91:G91">
      <x:formula1>"开启,关闭"</x:formula1>
    </x:dataValidation>
    <x:dataValidation type="list" sqref="B94:B111">
      <x:formula1>'系统数据（勿改）'!$A$4:$A$52</x:formula1>
    </x:dataValidation>
    <x:dataValidation type="whole" operator="between" sqref="C94:C111">
      <x:formula1>1</x:formula1>
      <x:formula2>9999</x:formula2>
    </x:dataValidation>
    <x:dataValidation type="whole" operator="between" sqref="D94:D111">
      <x:formula1>0</x:formula1>
      <x:formula2>999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33" hidden="0" customWidth="1"/>
    <x:col min="3" max="3" width="27" hidden="0" customWidth="1"/>
    <x:col min="4" max="4" width="14" hidden="0" customWidth="1"/>
    <x:col min="5" max="5" width="10" hidden="0" customWidth="1"/>
    <x:col min="6" max="6" width="13" hidden="0" customWidth="1"/>
    <x:col min="7" max="7" width="10" hidden="0" customWidth="1"/>
    <x:col min="8" max="8" width="10" hidden="0" customWidth="1"/>
    <x:col min="9" max="9" width="11" hidden="0" customWidth="1"/>
    <x:col min="10" max="10" width="11" hidden="0" customWidth="1"/>
    <x:col min="11" max="11" width="10" hidden="0" customWidth="1"/>
    <x:col min="12" max="12" width="11" hidden="0" customWidth="1"/>
    <x:col min="13" max="13" width="13" hidden="0" customWidth="1"/>
    <x:col min="14" max="14" width="13" hidden="0" customWidth="1"/>
    <x:col min="15" max="15" width="15" hidden="0" customWidth="1"/>
    <x:col min="16" max="16" width="30" hidden="0" customWidth="1"/>
    <x:col min="17" max="17" width="52" hidden="0" customWidth="1"/>
    <x:col min="18" max="18" width="55" hidden="0" customWidth="1"/>
    <x:col min="19" max="19" width="55" hidden="0" customWidth="1"/>
  </x:cols>
  <x:sheetData>
    <x:row r="1" ht="38" customHeight="1">
      <x:c r="A1" s="3" t="str">
        <x:v>敌人目录｜49 个可用于普通波次的稳定条目</x:v>
      </x:c>
      <x:c r="B1" s="3" t="str">
        <x:v>敌人目录｜49 个可用于普通波次的稳定条目</x:v>
      </x:c>
      <x:c r="C1" s="3" t="str">
        <x:v>敌人目录｜49 个可用于普通波次的稳定条目</x:v>
      </x:c>
      <x:c r="D1" s="3" t="str">
        <x:v>敌人目录｜49 个可用于普通波次的稳定条目</x:v>
      </x:c>
      <x:c r="E1" s="3" t="str">
        <x:v>敌人目录｜49 个可用于普通波次的稳定条目</x:v>
      </x:c>
      <x:c r="F1" s="3" t="str">
        <x:v>敌人目录｜49 个可用于普通波次的稳定条目</x:v>
      </x:c>
      <x:c r="G1" s="3" t="str">
        <x:v>敌人目录｜49 个可用于普通波次的稳定条目</x:v>
      </x:c>
      <x:c r="H1" s="3" t="str">
        <x:v>敌人目录｜49 个可用于普通波次的稳定条目</x:v>
      </x:c>
      <x:c r="I1" s="3" t="str">
        <x:v>敌人目录｜49 个可用于普通波次的稳定条目</x:v>
      </x:c>
      <x:c r="J1" s="3" t="str">
        <x:v>敌人目录｜49 个可用于普通波次的稳定条目</x:v>
      </x:c>
      <x:c r="K1" s="3" t="str">
        <x:v>敌人目录｜49 个可用于普通波次的稳定条目</x:v>
      </x:c>
      <x:c r="L1" s="3" t="str">
        <x:v>敌人目录｜49 个可用于普通波次的稳定条目</x:v>
      </x:c>
      <x:c r="M1" s="3" t="str">
        <x:v>敌人目录｜49 个可用于普通波次的稳定条目</x:v>
      </x:c>
      <x:c r="N1" s="3" t="str">
        <x:v>敌人目录｜49 个可用于普通波次的稳定条目</x:v>
      </x:c>
      <x:c r="O1" s="3" t="str">
        <x:v>敌人目录｜49 个可用于普通波次的稳定条目</x:v>
      </x:c>
      <x:c r="P1" s="3" t="str">
        <x:v>敌人目录｜49 个可用于普通波次的稳定条目</x:v>
      </x:c>
      <x:c r="Q1" s="3" t="str">
        <x:v>敌人目录｜49 个可用于普通波次的稳定条目</x:v>
      </x:c>
      <x:c r="R1" s="3" t="str">
        <x:v>敌人目录｜49 个可用于普通波次的稳定条目</x:v>
      </x:c>
      <x:c r="S1" s="3" t="str">
        <x:v>敌人目录｜49 个可用于普通波次的稳定条目</x:v>
      </x:c>
    </x:row>
    <x:row r="2" ht="38" customHeight="1">
      <x:c r="A2" s="57" t="str">
        <x:v>“计划默认息壤”可统一改变本工作簿内该敌人的塔防奖励；不会修改其他模式共用的 EnemyConfig。单波仍可再次覆盖。</x:v>
      </x:c>
      <x:c r="B2" s="57" t="str">
        <x:v>“计划默认息壤”可统一改变本工作簿内该敌人的塔防奖励；不会修改其他模式共用的 EnemyConfig。单波仍可再次覆盖。</x:v>
      </x:c>
      <x:c r="C2" s="57" t="str">
        <x:v>“计划默认息壤”可统一改变本工作簿内该敌人的塔防奖励；不会修改其他模式共用的 EnemyConfig。单波仍可再次覆盖。</x:v>
      </x:c>
      <x:c r="D2" s="57" t="str">
        <x:v>“计划默认息壤”可统一改变本工作簿内该敌人的塔防奖励；不会修改其他模式共用的 EnemyConfig。单波仍可再次覆盖。</x:v>
      </x:c>
      <x:c r="E2" s="57" t="str">
        <x:v>“计划默认息壤”可统一改变本工作簿内该敌人的塔防奖励；不会修改其他模式共用的 EnemyConfig。单波仍可再次覆盖。</x:v>
      </x:c>
      <x:c r="F2" s="57" t="str">
        <x:v>“计划默认息壤”可统一改变本工作簿内该敌人的塔防奖励；不会修改其他模式共用的 EnemyConfig。单波仍可再次覆盖。</x:v>
      </x:c>
      <x:c r="G2" s="57" t="str">
        <x:v>“计划默认息壤”可统一改变本工作簿内该敌人的塔防奖励；不会修改其他模式共用的 EnemyConfig。单波仍可再次覆盖。</x:v>
      </x:c>
      <x:c r="H2" s="57" t="str">
        <x:v>“计划默认息壤”可统一改变本工作簿内该敌人的塔防奖励；不会修改其他模式共用的 EnemyConfig。单波仍可再次覆盖。</x:v>
      </x:c>
      <x:c r="I2" s="57" t="str">
        <x:v>“计划默认息壤”可统一改变本工作簿内该敌人的塔防奖励；不会修改其他模式共用的 EnemyConfig。单波仍可再次覆盖。</x:v>
      </x:c>
      <x:c r="J2" s="57" t="str">
        <x:v>“计划默认息壤”可统一改变本工作簿内该敌人的塔防奖励；不会修改其他模式共用的 EnemyConfig。单波仍可再次覆盖。</x:v>
      </x:c>
      <x:c r="K2" s="57" t="str">
        <x:v>“计划默认息壤”可统一改变本工作簿内该敌人的塔防奖励；不会修改其他模式共用的 EnemyConfig。单波仍可再次覆盖。</x:v>
      </x:c>
      <x:c r="L2" s="57" t="str">
        <x:v>“计划默认息壤”可统一改变本工作簿内该敌人的塔防奖励；不会修改其他模式共用的 EnemyConfig。单波仍可再次覆盖。</x:v>
      </x:c>
      <x:c r="M2" s="57" t="str">
        <x:v>“计划默认息壤”可统一改变本工作簿内该敌人的塔防奖励；不会修改其他模式共用的 EnemyConfig。单波仍可再次覆盖。</x:v>
      </x:c>
      <x:c r="N2" s="57" t="str">
        <x:v>“计划默认息壤”可统一改变本工作簿内该敌人的塔防奖励；不会修改其他模式共用的 EnemyConfig。单波仍可再次覆盖。</x:v>
      </x:c>
      <x:c r="O2" s="57" t="str">
        <x:v>“计划默认息壤”可统一改变本工作簿内该敌人的塔防奖励；不会修改其他模式共用的 EnemyConfig。单波仍可再次覆盖。</x:v>
      </x:c>
      <x:c r="P2" s="57" t="str">
        <x:v>“计划默认息壤”可统一改变本工作簿内该敌人的塔防奖励；不会修改其他模式共用的 EnemyConfig。单波仍可再次覆盖。</x:v>
      </x:c>
      <x:c r="Q2" s="57" t="str">
        <x:v>“计划默认息壤”可统一改变本工作簿内该敌人的塔防奖励；不会修改其他模式共用的 EnemyConfig。单波仍可再次覆盖。</x:v>
      </x:c>
      <x:c r="R2" s="57" t="str">
        <x:v>“计划默认息壤”可统一改变本工作簿内该敌人的塔防奖励；不会修改其他模式共用的 EnemyConfig。单波仍可再次覆盖。</x:v>
      </x:c>
      <x:c r="S2" s="57" t="str">
        <x:v>“计划默认息壤”可统一改变本工作簿内该敌人的塔防奖励；不会修改其他模式共用的 EnemyConfig。单波仍可再次覆盖。</x:v>
      </x:c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</x:row>
    <x:row r="4" ht="30" customHeight="1">
      <x:c r="A4" s="63" t="str">
        <x:v>下拉显示项</x:v>
      </x:c>
      <x:c r="B4" s="63" t="str">
        <x:v>稳定ID</x:v>
      </x:c>
      <x:c r="C4" s="63" t="str">
        <x:v>名称</x:v>
      </x:c>
      <x:c r="D4" s="63" t="str">
        <x:v>家族</x:v>
      </x:c>
      <x:c r="E4" s="63" t="str">
        <x:v>等级</x:v>
      </x:c>
      <x:c r="F4" s="63" t="str">
        <x:v>正式波次已使用</x:v>
      </x:c>
      <x:c r="G4" s="63" t="str">
        <x:v>生命</x:v>
      </x:c>
      <x:c r="H4" s="63" t="str">
        <x:v>攻击</x:v>
      </x:c>
      <x:c r="I4" s="63" t="str">
        <x:v>物理防御</x:v>
      </x:c>
      <x:c r="J4" s="63" t="str">
        <x:v>法术防御</x:v>
      </x:c>
      <x:c r="K4" s="63" t="str">
        <x:v>移速</x:v>
      </x:c>
      <x:c r="L4" s="63" t="str">
        <x:v>Home伤害</x:v>
      </x:c>
      <x:c r="M4" s="63" t="str">
        <x:v>游戏默认息壤</x:v>
      </x:c>
      <x:c r="N4" s="63" t="str">
        <x:v>计划默认息壤</x:v>
      </x:c>
      <x:c r="O4" s="63" t="str">
        <x:v>掉落期望/击杀</x:v>
      </x:c>
      <x:c r="P4" s="63" t="str">
        <x:v>类别标签</x:v>
      </x:c>
      <x:c r="Q4" s="63" t="str">
        <x:v>独立掉落明细</x:v>
      </x:c>
      <x:c r="R4" s="63" t="str">
        <x:v>配置路径</x:v>
      </x:c>
      <x:c r="S4" s="63" t="str">
        <x:v>场景路径</x:v>
      </x:c>
    </x:row>
    <x:row r="5">
      <x:c r="A5" s="31"/>
      <x:c r="B5" s="31"/>
      <x:c r="C5" s="31"/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</x:row>
    <x:row r="6" ht="24" customHeight="1">
      <x:c r="A6" s="19" t="str">
        <x:v>yuanshi_insect_basic｜普通原石虫</x:v>
      </x:c>
      <x:c r="B6" s="19" t="str">
        <x:v>yuanshi_insect_basic</x:v>
      </x:c>
      <x:c r="C6" s="19" t="str">
        <x:v>普通原石虫</x:v>
      </x:c>
      <x:c r="D6" s="19" t="str">
        <x:v>原石虫</x:v>
      </x:c>
      <x:c r="E6" s="19" t="str">
        <x:v>普通</x:v>
      </x:c>
      <x:c r="F6" s="19" t="str">
        <x:v>是</x:v>
      </x:c>
      <x:c r="G6" s="19" t="n">
        <x:v>40</x:v>
      </x:c>
      <x:c r="H6" s="19" t="n">
        <x:v>10</x:v>
      </x:c>
      <x:c r="I6" s="19" t="n">
        <x:v>0</x:v>
      </x:c>
      <x:c r="J6" s="19" t="n">
        <x:v>0</x:v>
      </x:c>
      <x:c r="K6" s="19" t="n">
        <x:v>20</x:v>
      </x:c>
      <x:c r="L6" s="19" t="n">
        <x:v>1</x:v>
      </x:c>
      <x:c r="M6" s="19" t="n">
        <x:v>1</x:v>
      </x:c>
      <x:c r="N6" s="41" t="n">
        <x:v>1</x:v>
      </x:c>
      <x:c r="O6" s="64" t="n">
        <x:v>0.05</x:v>
      </x:c>
      <x:c r="P6" s="19" t="str">
        <x:v>yuanshi_insect</x:v>
      </x:c>
      <x:c r="Q6" s="53" t="str">
        <x:v>木头 2.0%；白色水晶 0.2%；树苗 1.0%；移速道具 0.4%；射速道具 0.4%；天妇罗道具 0.4%；生命药瓶 0.4%；雪狼破军 0.2%</x:v>
      </x:c>
      <x:c r="R6" s="53" t="str">
        <x:v>res://resources/config/enemies/yuanshi_insect_basic.tres</x:v>
      </x:c>
      <x:c r="S6" s="53" t="str">
        <x:v>res://scene/enemy/yuanshi_insect/yuanshi_insect_basic.tscn</x:v>
      </x:c>
    </x:row>
    <x:row r="7" ht="24" customHeight="1">
      <x:c r="A7" s="19" t="str">
        <x:v>yuanshi_insect_shell｜硬壳原石虫</x:v>
      </x:c>
      <x:c r="B7" s="19" t="str">
        <x:v>yuanshi_insect_shell</x:v>
      </x:c>
      <x:c r="C7" s="19" t="str">
        <x:v>硬壳原石虫</x:v>
      </x:c>
      <x:c r="D7" s="19" t="str">
        <x:v>原石虫</x:v>
      </x:c>
      <x:c r="E7" s="19" t="str">
        <x:v>普通</x:v>
      </x:c>
      <x:c r="F7" s="19" t="str">
        <x:v>是</x:v>
      </x:c>
      <x:c r="G7" s="19" t="n">
        <x:v>140</x:v>
      </x:c>
      <x:c r="H7" s="19" t="n">
        <x:v>14</x:v>
      </x:c>
      <x:c r="I7" s="19" t="n">
        <x:v>3</x:v>
      </x:c>
      <x:c r="J7" s="19" t="n">
        <x:v>0</x:v>
      </x:c>
      <x:c r="K7" s="19" t="n">
        <x:v>20</x:v>
      </x:c>
      <x:c r="L7" s="19" t="n">
        <x:v>2</x:v>
      </x:c>
      <x:c r="M7" s="19" t="n">
        <x:v>2</x:v>
      </x:c>
      <x:c r="N7" s="41" t="n">
        <x:v>2</x:v>
      </x:c>
      <x:c r="O7" s="64" t="n">
        <x:v>0.05</x:v>
      </x:c>
      <x:c r="P7" s="19" t="str">
        <x:v>yuanshi_insect</x:v>
      </x:c>
      <x:c r="Q7" s="53" t="str">
        <x:v>木头 2.0%；白色水晶 0.2%；树苗 1.0%；移速道具 0.4%；射速道具 0.4%；天妇罗道具 0.4%；生命药瓶 0.4%；雪狼破军 0.2%</x:v>
      </x:c>
      <x:c r="R7" s="53" t="str">
        <x:v>res://resources/config/enemies/yuanshi_insect_shell.tres</x:v>
      </x:c>
      <x:c r="S7" s="53" t="str">
        <x:v>res://scene/enemy/yuanshi_insect/yuanshi_insect_shell.tscn</x:v>
      </x:c>
    </x:row>
    <x:row r="8" ht="24" customHeight="1">
      <x:c r="A8" s="19" t="str">
        <x:v>yuanshi_insect_fast｜迅捷原石虫</x:v>
      </x:c>
      <x:c r="B8" s="19" t="str">
        <x:v>yuanshi_insect_fast</x:v>
      </x:c>
      <x:c r="C8" s="19" t="str">
        <x:v>迅捷原石虫</x:v>
      </x:c>
      <x:c r="D8" s="19" t="str">
        <x:v>原石虫</x:v>
      </x:c>
      <x:c r="E8" s="19" t="str">
        <x:v>普通</x:v>
      </x:c>
      <x:c r="F8" s="19" t="str">
        <x:v>是</x:v>
      </x:c>
      <x:c r="G8" s="19" t="n">
        <x:v>35</x:v>
      </x:c>
      <x:c r="H8" s="19" t="n">
        <x:v>10</x:v>
      </x:c>
      <x:c r="I8" s="19" t="n">
        <x:v>0</x:v>
      </x:c>
      <x:c r="J8" s="19" t="n">
        <x:v>0</x:v>
      </x:c>
      <x:c r="K8" s="19" t="n">
        <x:v>40</x:v>
      </x:c>
      <x:c r="L8" s="19" t="n">
        <x:v>1</x:v>
      </x:c>
      <x:c r="M8" s="19" t="n">
        <x:v>1</x:v>
      </x:c>
      <x:c r="N8" s="41" t="n">
        <x:v>1</x:v>
      </x:c>
      <x:c r="O8" s="64" t="n">
        <x:v>0.05</x:v>
      </x:c>
      <x:c r="P8" s="19" t="str">
        <x:v>yuanshi_insect</x:v>
      </x:c>
      <x:c r="Q8" s="53" t="str">
        <x:v>木头 2.0%；白色水晶 0.2%；树苗 1.0%；移速道具 0.4%；射速道具 0.4%；天妇罗道具 0.4%；生命药瓶 0.4%；雪狼破军 0.2%</x:v>
      </x:c>
      <x:c r="R8" s="53" t="str">
        <x:v>res://resources/config/enemies/yuanshi_insect_fast.tres</x:v>
      </x:c>
      <x:c r="S8" s="53" t="str">
        <x:v>res://scene/enemy/yuanshi_insect/yuanshi_insect_fast.tscn</x:v>
      </x:c>
    </x:row>
    <x:row r="9" ht="24" customHeight="1">
      <x:c r="A9" s="19" t="str">
        <x:v>yuanshi_insect_bomber｜自爆原石虫</x:v>
      </x:c>
      <x:c r="B9" s="19" t="str">
        <x:v>yuanshi_insect_bomber</x:v>
      </x:c>
      <x:c r="C9" s="19" t="str">
        <x:v>自爆原石虫</x:v>
      </x:c>
      <x:c r="D9" s="19" t="str">
        <x:v>原石虫</x:v>
      </x:c>
      <x:c r="E9" s="19" t="str">
        <x:v>普通</x:v>
      </x:c>
      <x:c r="F9" s="19" t="str">
        <x:v>是</x:v>
      </x:c>
      <x:c r="G9" s="19" t="n">
        <x:v>30</x:v>
      </x:c>
      <x:c r="H9" s="19" t="n">
        <x:v>10</x:v>
      </x:c>
      <x:c r="I9" s="19" t="n">
        <x:v>0</x:v>
      </x:c>
      <x:c r="J9" s="19" t="n">
        <x:v>0</x:v>
      </x:c>
      <x:c r="K9" s="19" t="n">
        <x:v>18</x:v>
      </x:c>
      <x:c r="L9" s="19" t="n">
        <x:v>1</x:v>
      </x:c>
      <x:c r="M9" s="19" t="n">
        <x:v>1</x:v>
      </x:c>
      <x:c r="N9" s="41" t="n">
        <x:v>1</x:v>
      </x:c>
      <x:c r="O9" s="64" t="n">
        <x:v>0.05</x:v>
      </x:c>
      <x:c r="P9" s="19" t="str">
        <x:v>yuanshi_insect</x:v>
      </x:c>
      <x:c r="Q9" s="53" t="str">
        <x:v>木头 2.0%；白色水晶 0.2%；树苗 1.0%；移速道具 0.4%；射速道具 0.4%；天妇罗道具 0.4%；生命药瓶 0.4%；雪狼破军 0.2%</x:v>
      </x:c>
      <x:c r="R9" s="53" t="str">
        <x:v>res://resources/config/enemies/yuanshi_insect_bomber.tres</x:v>
      </x:c>
      <x:c r="S9" s="53" t="str">
        <x:v>res://scene/enemy/yuanshi_insect/yuanshi_insect_bomber.tscn</x:v>
      </x:c>
    </x:row>
    <x:row r="10" ht="24" customHeight="1">
      <x:c r="A10" s="19" t="str">
        <x:v>yuanshi_insect_purple_bomber｜紫晶自爆原石虫</x:v>
      </x:c>
      <x:c r="B10" s="19" t="str">
        <x:v>yuanshi_insect_purple_bomber</x:v>
      </x:c>
      <x:c r="C10" s="19" t="str">
        <x:v>紫晶自爆原石虫</x:v>
      </x:c>
      <x:c r="D10" s="19" t="str">
        <x:v>原石虫</x:v>
      </x:c>
      <x:c r="E10" s="19" t="str">
        <x:v>普通</x:v>
      </x:c>
      <x:c r="F10" s="19" t="str">
        <x:v>是</x:v>
      </x:c>
      <x:c r="G10" s="19" t="n">
        <x:v>40</x:v>
      </x:c>
      <x:c r="H10" s="19" t="n">
        <x:v>10</x:v>
      </x:c>
      <x:c r="I10" s="19" t="n">
        <x:v>0</x:v>
      </x:c>
      <x:c r="J10" s="19" t="n">
        <x:v>0</x:v>
      </x:c>
      <x:c r="K10" s="19" t="n">
        <x:v>32</x:v>
      </x:c>
      <x:c r="L10" s="19" t="n">
        <x:v>1</x:v>
      </x:c>
      <x:c r="M10" s="19" t="n">
        <x:v>2</x:v>
      </x:c>
      <x:c r="N10" s="41" t="n">
        <x:v>2</x:v>
      </x:c>
      <x:c r="O10" s="64" t="n">
        <x:v>0.05</x:v>
      </x:c>
      <x:c r="P10" s="19" t="str">
        <x:v>yuanshi_insect</x:v>
      </x:c>
      <x:c r="Q10" s="53" t="str">
        <x:v>木头 2.0%；白色水晶 0.2%；树苗 1.0%；移速道具 0.4%；射速道具 0.4%；天妇罗道具 0.4%；生命药瓶 0.4%；雪狼破军 0.2%</x:v>
      </x:c>
      <x:c r="R10" s="53" t="str">
        <x:v>res://resources/config/enemies/yuanshi_insect_purple_bomber.tres</x:v>
      </x:c>
      <x:c r="S10" s="53" t="str">
        <x:v>res://scene/enemy/yuanshi_insect/yuanshi_insect_purple_bomber.tscn</x:v>
      </x:c>
    </x:row>
    <x:row r="11" ht="24" customHeight="1">
      <x:c r="A11" s="19" t="str">
        <x:v>yuanshi_insect_green_shell｜翠壳原石虫</x:v>
      </x:c>
      <x:c r="B11" s="19" t="str">
        <x:v>yuanshi_insect_green_shell</x:v>
      </x:c>
      <x:c r="C11" s="19" t="str">
        <x:v>翠壳原石虫</x:v>
      </x:c>
      <x:c r="D11" s="19" t="str">
        <x:v>原石虫</x:v>
      </x:c>
      <x:c r="E11" s="19" t="str">
        <x:v>普通</x:v>
      </x:c>
      <x:c r="F11" s="19" t="str">
        <x:v>是</x:v>
      </x:c>
      <x:c r="G11" s="19" t="n">
        <x:v>200</x:v>
      </x:c>
      <x:c r="H11" s="19" t="n">
        <x:v>20</x:v>
      </x:c>
      <x:c r="I11" s="19" t="n">
        <x:v>5</x:v>
      </x:c>
      <x:c r="J11" s="19" t="n">
        <x:v>0</x:v>
      </x:c>
      <x:c r="K11" s="19" t="n">
        <x:v>15</x:v>
      </x:c>
      <x:c r="L11" s="19" t="n">
        <x:v>5</x:v>
      </x:c>
      <x:c r="M11" s="19" t="n">
        <x:v>2</x:v>
      </x:c>
      <x:c r="N11" s="41" t="n">
        <x:v>2</x:v>
      </x:c>
      <x:c r="O11" s="64" t="n">
        <x:v>0.05</x:v>
      </x:c>
      <x:c r="P11" s="19" t="str">
        <x:v>yuanshi_insect</x:v>
      </x:c>
      <x:c r="Q11" s="53" t="str">
        <x:v>木头 2.0%；白色水晶 0.2%；树苗 1.0%；移速道具 0.4%；射速道具 0.4%；天妇罗道具 0.4%；生命药瓶 0.4%；雪狼破军 0.2%</x:v>
      </x:c>
      <x:c r="R11" s="53" t="str">
        <x:v>res://resources/config/enemies/yuanshi_insect_green_shell.tres</x:v>
      </x:c>
      <x:c r="S11" s="53" t="str">
        <x:v>res://scene/enemy/yuanshi_insect/yuanshi_insect_green_shell.tscn</x:v>
      </x:c>
    </x:row>
    <x:row r="12" ht="24" customHeight="1">
      <x:c r="A12" s="19" t="str">
        <x:v>yuanshi_insect_fire_ranged｜火焰弹原石虫</x:v>
      </x:c>
      <x:c r="B12" s="19" t="str">
        <x:v>yuanshi_insect_fire_ranged</x:v>
      </x:c>
      <x:c r="C12" s="19" t="str">
        <x:v>火焰弹原石虫</x:v>
      </x:c>
      <x:c r="D12" s="19" t="str">
        <x:v>原石虫</x:v>
      </x:c>
      <x:c r="E12" s="19" t="str">
        <x:v>普通</x:v>
      </x:c>
      <x:c r="F12" s="19" t="str">
        <x:v>是</x:v>
      </x:c>
      <x:c r="G12" s="19" t="n">
        <x:v>40</x:v>
      </x:c>
      <x:c r="H12" s="19" t="n">
        <x:v>25</x:v>
      </x:c>
      <x:c r="I12" s="19" t="n">
        <x:v>0</x:v>
      </x:c>
      <x:c r="J12" s="19" t="n">
        <x:v>0</x:v>
      </x:c>
      <x:c r="K12" s="19" t="n">
        <x:v>22</x:v>
      </x:c>
      <x:c r="L12" s="19" t="n">
        <x:v>2</x:v>
      </x:c>
      <x:c r="M12" s="19" t="n">
        <x:v>1</x:v>
      </x:c>
      <x:c r="N12" s="41" t="n">
        <x:v>1</x:v>
      </x:c>
      <x:c r="O12" s="64" t="n">
        <x:v>0.05</x:v>
      </x:c>
      <x:c r="P12" s="19" t="str">
        <x:v>yuanshi_insect</x:v>
      </x:c>
      <x:c r="Q12" s="53" t="str">
        <x:v>木头 2.0%；白色水晶 0.2%；树苗 1.0%；移速道具 0.4%；射速道具 0.4%；天妇罗道具 0.4%；生命药瓶 0.4%；雪狼破军 0.2%</x:v>
      </x:c>
      <x:c r="R12" s="53" t="str">
        <x:v>res://resources/config/enemies/yuanshi_insect_fire_ranged.tres</x:v>
      </x:c>
      <x:c r="S12" s="53" t="str">
        <x:v>res://scene/enemy/yuanshi_insect/yuanshi_insect_fire_ranged.tscn</x:v>
      </x:c>
    </x:row>
    <x:row r="13" ht="24" customHeight="1">
      <x:c r="A13" s="19" t="str">
        <x:v>yuanshi_insect_guardian｜守护者原石虫</x:v>
      </x:c>
      <x:c r="B13" s="19" t="str">
        <x:v>yuanshi_insect_guardian</x:v>
      </x:c>
      <x:c r="C13" s="19" t="str">
        <x:v>守护者原石虫</x:v>
      </x:c>
      <x:c r="D13" s="19" t="str">
        <x:v>原石虫</x:v>
      </x:c>
      <x:c r="E13" s="19" t="str">
        <x:v>普通</x:v>
      </x:c>
      <x:c r="F13" s="19" t="str">
        <x:v>是</x:v>
      </x:c>
      <x:c r="G13" s="19" t="n">
        <x:v>150</x:v>
      </x:c>
      <x:c r="H13" s="19" t="n">
        <x:v>10</x:v>
      </x:c>
      <x:c r="I13" s="19" t="n">
        <x:v>5</x:v>
      </x:c>
      <x:c r="J13" s="19" t="n">
        <x:v>0</x:v>
      </x:c>
      <x:c r="K13" s="19" t="n">
        <x:v>20</x:v>
      </x:c>
      <x:c r="L13" s="19" t="n">
        <x:v>5</x:v>
      </x:c>
      <x:c r="M13" s="19" t="n">
        <x:v>2</x:v>
      </x:c>
      <x:c r="N13" s="41" t="n">
        <x:v>2</x:v>
      </x:c>
      <x:c r="O13" s="64" t="n">
        <x:v>0.05</x:v>
      </x:c>
      <x:c r="P13" s="19" t="str">
        <x:v>yuanshi_insect</x:v>
      </x:c>
      <x:c r="Q13" s="53" t="str">
        <x:v>木头 2.0%；白色水晶 0.2%；树苗 1.0%；移速道具 0.4%；射速道具 0.4%；天妇罗道具 0.4%；生命药瓶 0.4%；雪狼破军 0.2%</x:v>
      </x:c>
      <x:c r="R13" s="53" t="str">
        <x:v>res://resources/config/enemies/yuanshi_insect_guardian.tres</x:v>
      </x:c>
      <x:c r="S13" s="53" t="str">
        <x:v>res://scene/enemy/yuanshi_insect/yuanshi_insect_guardian.tscn</x:v>
      </x:c>
    </x:row>
    <x:row r="14" ht="24" customHeight="1">
      <x:c r="A14" s="19" t="str">
        <x:v>stone_eroded_yuanshi_insect_basic｜被石头侵蚀的普通原石虫</x:v>
      </x:c>
      <x:c r="B14" s="19" t="str">
        <x:v>stone_eroded_yuanshi_insect_basic</x:v>
      </x:c>
      <x:c r="C14" s="19" t="str">
        <x:v>被石头侵蚀的普通原石虫</x:v>
      </x:c>
      <x:c r="D14" s="19" t="str">
        <x:v>原石虫</x:v>
      </x:c>
      <x:c r="E14" s="19" t="str">
        <x:v>普通</x:v>
      </x:c>
      <x:c r="F14" s="19" t="str">
        <x:v>否</x:v>
      </x:c>
      <x:c r="G14" s="19" t="n">
        <x:v>80</x:v>
      </x:c>
      <x:c r="H14" s="19" t="n">
        <x:v>10</x:v>
      </x:c>
      <x:c r="I14" s="19" t="n">
        <x:v>150</x:v>
      </x:c>
      <x:c r="J14" s="19" t="n">
        <x:v>0</x:v>
      </x:c>
      <x:c r="K14" s="19" t="n">
        <x:v>20</x:v>
      </x:c>
      <x:c r="L14" s="19" t="n">
        <x:v>1</x:v>
      </x:c>
      <x:c r="M14" s="19" t="n">
        <x:v>1</x:v>
      </x:c>
      <x:c r="N14" s="41" t="n">
        <x:v>1</x:v>
      </x:c>
      <x:c r="O14" s="64" t="n">
        <x:v>0.05</x:v>
      </x:c>
      <x:c r="P14" s="19" t="str">
        <x:v>yuanshi_insect, stone_eroded</x:v>
      </x:c>
      <x:c r="Q14" s="53" t="str">
        <x:v>木头 2.0%；白色水晶 0.2%；树苗 1.0%；移速道具 0.4%；射速道具 0.4%；天妇罗道具 0.4%；生命药瓶 0.4%；雪狼破军 0.2%</x:v>
      </x:c>
      <x:c r="R14" s="53" t="str">
        <x:v>res://resources/config/enemies/stone_eroded_yuanshi_insect_basic.tres</x:v>
      </x:c>
      <x:c r="S14" s="53" t="str">
        <x:v>res://scene/enemy/stone_eroded/stone_eroded_yuanshi_insect_basic.tscn</x:v>
      </x:c>
    </x:row>
    <x:row r="15" ht="24" customHeight="1">
      <x:c r="A15" s="19" t="str">
        <x:v>stone_eroded_yuanshi_insect_shell｜被石头侵蚀的硬壳原石虫</x:v>
      </x:c>
      <x:c r="B15" s="19" t="str">
        <x:v>stone_eroded_yuanshi_insect_shell</x:v>
      </x:c>
      <x:c r="C15" s="19" t="str">
        <x:v>被石头侵蚀的硬壳原石虫</x:v>
      </x:c>
      <x:c r="D15" s="19" t="str">
        <x:v>原石虫</x:v>
      </x:c>
      <x:c r="E15" s="19" t="str">
        <x:v>普通</x:v>
      </x:c>
      <x:c r="F15" s="19" t="str">
        <x:v>否</x:v>
      </x:c>
      <x:c r="G15" s="19" t="n">
        <x:v>280</x:v>
      </x:c>
      <x:c r="H15" s="19" t="n">
        <x:v>14</x:v>
      </x:c>
      <x:c r="I15" s="19" t="n">
        <x:v>150</x:v>
      </x:c>
      <x:c r="J15" s="19" t="n">
        <x:v>0</x:v>
      </x:c>
      <x:c r="K15" s="19" t="n">
        <x:v>20</x:v>
      </x:c>
      <x:c r="L15" s="19" t="n">
        <x:v>2</x:v>
      </x:c>
      <x:c r="M15" s="19" t="n">
        <x:v>2</x:v>
      </x:c>
      <x:c r="N15" s="41" t="n">
        <x:v>2</x:v>
      </x:c>
      <x:c r="O15" s="64" t="n">
        <x:v>0.05</x:v>
      </x:c>
      <x:c r="P15" s="19" t="str">
        <x:v>yuanshi_insect, stone_eroded</x:v>
      </x:c>
      <x:c r="Q15" s="53" t="str">
        <x:v>木头 2.0%；白色水晶 0.2%；树苗 1.0%；移速道具 0.4%；射速道具 0.4%；天妇罗道具 0.4%；生命药瓶 0.4%；雪狼破军 0.2%</x:v>
      </x:c>
      <x:c r="R15" s="53" t="str">
        <x:v>res://resources/config/enemies/stone_eroded_yuanshi_insect_shell.tres</x:v>
      </x:c>
      <x:c r="S15" s="53" t="str">
        <x:v>res://scene/enemy/stone_eroded/stone_eroded_yuanshi_insect_shell.tscn</x:v>
      </x:c>
    </x:row>
    <x:row r="16" ht="24" customHeight="1">
      <x:c r="A16" s="19" t="str">
        <x:v>stone_eroded_yuanshi_insect_fast｜被石头侵蚀的迅捷原石虫</x:v>
      </x:c>
      <x:c r="B16" s="19" t="str">
        <x:v>stone_eroded_yuanshi_insect_fast</x:v>
      </x:c>
      <x:c r="C16" s="19" t="str">
        <x:v>被石头侵蚀的迅捷原石虫</x:v>
      </x:c>
      <x:c r="D16" s="19" t="str">
        <x:v>原石虫</x:v>
      </x:c>
      <x:c r="E16" s="19" t="str">
        <x:v>普通</x:v>
      </x:c>
      <x:c r="F16" s="19" t="str">
        <x:v>否</x:v>
      </x:c>
      <x:c r="G16" s="19" t="n">
        <x:v>70</x:v>
      </x:c>
      <x:c r="H16" s="19" t="n">
        <x:v>10</x:v>
      </x:c>
      <x:c r="I16" s="19" t="n">
        <x:v>150</x:v>
      </x:c>
      <x:c r="J16" s="19" t="n">
        <x:v>0</x:v>
      </x:c>
      <x:c r="K16" s="19" t="n">
        <x:v>40</x:v>
      </x:c>
      <x:c r="L16" s="19" t="n">
        <x:v>1</x:v>
      </x:c>
      <x:c r="M16" s="19" t="n">
        <x:v>1</x:v>
      </x:c>
      <x:c r="N16" s="41" t="n">
        <x:v>1</x:v>
      </x:c>
      <x:c r="O16" s="64" t="n">
        <x:v>0.05</x:v>
      </x:c>
      <x:c r="P16" s="19" t="str">
        <x:v>yuanshi_insect, stone_eroded</x:v>
      </x:c>
      <x:c r="Q16" s="53" t="str">
        <x:v>木头 2.0%；白色水晶 0.2%；树苗 1.0%；移速道具 0.4%；射速道具 0.4%；天妇罗道具 0.4%；生命药瓶 0.4%；雪狼破军 0.2%</x:v>
      </x:c>
      <x:c r="R16" s="53" t="str">
        <x:v>res://resources/config/enemies/stone_eroded_yuanshi_insect_fast.tres</x:v>
      </x:c>
      <x:c r="S16" s="53" t="str">
        <x:v>res://scene/enemy/stone_eroded/stone_eroded_yuanshi_insect_fast.tscn</x:v>
      </x:c>
    </x:row>
    <x:row r="17" ht="24" customHeight="1">
      <x:c r="A17" s="19" t="str">
        <x:v>stone_eroded_yuanshi_insect_bomber｜被石头侵蚀的自爆原石虫</x:v>
      </x:c>
      <x:c r="B17" s="19" t="str">
        <x:v>stone_eroded_yuanshi_insect_bomber</x:v>
      </x:c>
      <x:c r="C17" s="19" t="str">
        <x:v>被石头侵蚀的自爆原石虫</x:v>
      </x:c>
      <x:c r="D17" s="19" t="str">
        <x:v>原石虫</x:v>
      </x:c>
      <x:c r="E17" s="19" t="str">
        <x:v>普通</x:v>
      </x:c>
      <x:c r="F17" s="19" t="str">
        <x:v>否</x:v>
      </x:c>
      <x:c r="G17" s="19" t="n">
        <x:v>60</x:v>
      </x:c>
      <x:c r="H17" s="19" t="n">
        <x:v>10</x:v>
      </x:c>
      <x:c r="I17" s="19" t="n">
        <x:v>150</x:v>
      </x:c>
      <x:c r="J17" s="19" t="n">
        <x:v>0</x:v>
      </x:c>
      <x:c r="K17" s="19" t="n">
        <x:v>18</x:v>
      </x:c>
      <x:c r="L17" s="19" t="n">
        <x:v>1</x:v>
      </x:c>
      <x:c r="M17" s="19" t="n">
        <x:v>1</x:v>
      </x:c>
      <x:c r="N17" s="41" t="n">
        <x:v>1</x:v>
      </x:c>
      <x:c r="O17" s="64" t="n">
        <x:v>0.05</x:v>
      </x:c>
      <x:c r="P17" s="19" t="str">
        <x:v>yuanshi_insect, stone_eroded</x:v>
      </x:c>
      <x:c r="Q17" s="53" t="str">
        <x:v>木头 2.0%；白色水晶 0.2%；树苗 1.0%；移速道具 0.4%；射速道具 0.4%；天妇罗道具 0.4%；生命药瓶 0.4%；雪狼破军 0.2%</x:v>
      </x:c>
      <x:c r="R17" s="53" t="str">
        <x:v>res://resources/config/enemies/stone_eroded_yuanshi_insect_bomber.tres</x:v>
      </x:c>
      <x:c r="S17" s="53" t="str">
        <x:v>res://scene/enemy/stone_eroded/stone_eroded_yuanshi_insect_bomber.tscn</x:v>
      </x:c>
    </x:row>
    <x:row r="18" ht="24" customHeight="1">
      <x:c r="A18" s="19" t="str">
        <x:v>stone_eroded_yuanshi_insect_purple_bomber｜被石头侵蚀的紫晶自爆原石虫</x:v>
      </x:c>
      <x:c r="B18" s="19" t="str">
        <x:v>stone_eroded_yuanshi_insect_purple_bomber</x:v>
      </x:c>
      <x:c r="C18" s="19" t="str">
        <x:v>被石头侵蚀的紫晶自爆原石虫</x:v>
      </x:c>
      <x:c r="D18" s="19" t="str">
        <x:v>原石虫</x:v>
      </x:c>
      <x:c r="E18" s="19" t="str">
        <x:v>普通</x:v>
      </x:c>
      <x:c r="F18" s="19" t="str">
        <x:v>否</x:v>
      </x:c>
      <x:c r="G18" s="19" t="n">
        <x:v>80</x:v>
      </x:c>
      <x:c r="H18" s="19" t="n">
        <x:v>10</x:v>
      </x:c>
      <x:c r="I18" s="19" t="n">
        <x:v>150</x:v>
      </x:c>
      <x:c r="J18" s="19" t="n">
        <x:v>0</x:v>
      </x:c>
      <x:c r="K18" s="19" t="n">
        <x:v>32</x:v>
      </x:c>
      <x:c r="L18" s="19" t="n">
        <x:v>1</x:v>
      </x:c>
      <x:c r="M18" s="19" t="n">
        <x:v>2</x:v>
      </x:c>
      <x:c r="N18" s="41" t="n">
        <x:v>2</x:v>
      </x:c>
      <x:c r="O18" s="64" t="n">
        <x:v>0.05</x:v>
      </x:c>
      <x:c r="P18" s="19" t="str">
        <x:v>yuanshi_insect, stone_eroded</x:v>
      </x:c>
      <x:c r="Q18" s="53" t="str">
        <x:v>木头 2.0%；白色水晶 0.2%；树苗 1.0%；移速道具 0.4%；射速道具 0.4%；天妇罗道具 0.4%；生命药瓶 0.4%；雪狼破军 0.2%</x:v>
      </x:c>
      <x:c r="R18" s="53" t="str">
        <x:v>res://resources/config/enemies/stone_eroded_yuanshi_insect_purple_bomber.tres</x:v>
      </x:c>
      <x:c r="S18" s="53" t="str">
        <x:v>res://scene/enemy/stone_eroded/stone_eroded_yuanshi_insect_purple_bomber.tscn</x:v>
      </x:c>
    </x:row>
    <x:row r="19" ht="24" customHeight="1">
      <x:c r="A19" s="19" t="str">
        <x:v>stone_eroded_yuanshi_insect_green_shell｜被石头侵蚀的翠壳原石虫</x:v>
      </x:c>
      <x:c r="B19" s="19" t="str">
        <x:v>stone_eroded_yuanshi_insect_green_shell</x:v>
      </x:c>
      <x:c r="C19" s="19" t="str">
        <x:v>被石头侵蚀的翠壳原石虫</x:v>
      </x:c>
      <x:c r="D19" s="19" t="str">
        <x:v>原石虫</x:v>
      </x:c>
      <x:c r="E19" s="19" t="str">
        <x:v>普通</x:v>
      </x:c>
      <x:c r="F19" s="19" t="str">
        <x:v>否</x:v>
      </x:c>
      <x:c r="G19" s="19" t="n">
        <x:v>400</x:v>
      </x:c>
      <x:c r="H19" s="19" t="n">
        <x:v>20</x:v>
      </x:c>
      <x:c r="I19" s="19" t="n">
        <x:v>150</x:v>
      </x:c>
      <x:c r="J19" s="19" t="n">
        <x:v>0</x:v>
      </x:c>
      <x:c r="K19" s="19" t="n">
        <x:v>15</x:v>
      </x:c>
      <x:c r="L19" s="19" t="n">
        <x:v>5</x:v>
      </x:c>
      <x:c r="M19" s="19" t="n">
        <x:v>2</x:v>
      </x:c>
      <x:c r="N19" s="41" t="n">
        <x:v>2</x:v>
      </x:c>
      <x:c r="O19" s="64" t="n">
        <x:v>0.05</x:v>
      </x:c>
      <x:c r="P19" s="19" t="str">
        <x:v>yuanshi_insect, stone_eroded</x:v>
      </x:c>
      <x:c r="Q19" s="53" t="str">
        <x:v>木头 2.0%；白色水晶 0.2%；树苗 1.0%；移速道具 0.4%；射速道具 0.4%；天妇罗道具 0.4%；生命药瓶 0.4%；雪狼破军 0.2%</x:v>
      </x:c>
      <x:c r="R19" s="53" t="str">
        <x:v>res://resources/config/enemies/stone_eroded_yuanshi_insect_green_shell.tres</x:v>
      </x:c>
      <x:c r="S19" s="53" t="str">
        <x:v>res://scene/enemy/stone_eroded/stone_eroded_yuanshi_insect_green_shell.tscn</x:v>
      </x:c>
    </x:row>
    <x:row r="20" ht="24" customHeight="1">
      <x:c r="A20" s="19" t="str">
        <x:v>stone_eroded_yuanshi_insect_fire_ranged｜被石头侵蚀的火焰弹原石虫</x:v>
      </x:c>
      <x:c r="B20" s="19" t="str">
        <x:v>stone_eroded_yuanshi_insect_fire_ranged</x:v>
      </x:c>
      <x:c r="C20" s="19" t="str">
        <x:v>被石头侵蚀的火焰弹原石虫</x:v>
      </x:c>
      <x:c r="D20" s="19" t="str">
        <x:v>原石虫</x:v>
      </x:c>
      <x:c r="E20" s="19" t="str">
        <x:v>普通</x:v>
      </x:c>
      <x:c r="F20" s="19" t="str">
        <x:v>否</x:v>
      </x:c>
      <x:c r="G20" s="19" t="n">
        <x:v>80</x:v>
      </x:c>
      <x:c r="H20" s="19" t="n">
        <x:v>25</x:v>
      </x:c>
      <x:c r="I20" s="19" t="n">
        <x:v>150</x:v>
      </x:c>
      <x:c r="J20" s="19" t="n">
        <x:v>0</x:v>
      </x:c>
      <x:c r="K20" s="19" t="n">
        <x:v>22</x:v>
      </x:c>
      <x:c r="L20" s="19" t="n">
        <x:v>2</x:v>
      </x:c>
      <x:c r="M20" s="19" t="n">
        <x:v>1</x:v>
      </x:c>
      <x:c r="N20" s="41" t="n">
        <x:v>1</x:v>
      </x:c>
      <x:c r="O20" s="64" t="n">
        <x:v>0.05</x:v>
      </x:c>
      <x:c r="P20" s="19" t="str">
        <x:v>yuanshi_insect, stone_eroded</x:v>
      </x:c>
      <x:c r="Q20" s="53" t="str">
        <x:v>木头 2.0%；白色水晶 0.2%；树苗 1.0%；移速道具 0.4%；射速道具 0.4%；天妇罗道具 0.4%；生命药瓶 0.4%；雪狼破军 0.2%</x:v>
      </x:c>
      <x:c r="R20" s="53" t="str">
        <x:v>res://resources/config/enemies/stone_eroded_yuanshi_insect_fire_ranged.tres</x:v>
      </x:c>
      <x:c r="S20" s="53" t="str">
        <x:v>res://scene/enemy/stone_eroded/stone_eroded_yuanshi_insect_fire_ranged.tscn</x:v>
      </x:c>
    </x:row>
    <x:row r="21" ht="24" customHeight="1">
      <x:c r="A21" s="19" t="str">
        <x:v>stone_eroded_yuanshi_insect_guardian｜被石头侵蚀的守护者原石虫</x:v>
      </x:c>
      <x:c r="B21" s="19" t="str">
        <x:v>stone_eroded_yuanshi_insect_guardian</x:v>
      </x:c>
      <x:c r="C21" s="19" t="str">
        <x:v>被石头侵蚀的守护者原石虫</x:v>
      </x:c>
      <x:c r="D21" s="19" t="str">
        <x:v>原石虫</x:v>
      </x:c>
      <x:c r="E21" s="19" t="str">
        <x:v>普通</x:v>
      </x:c>
      <x:c r="F21" s="19" t="str">
        <x:v>否</x:v>
      </x:c>
      <x:c r="G21" s="19" t="n">
        <x:v>300</x:v>
      </x:c>
      <x:c r="H21" s="19" t="n">
        <x:v>10</x:v>
      </x:c>
      <x:c r="I21" s="19" t="n">
        <x:v>150</x:v>
      </x:c>
      <x:c r="J21" s="19" t="n">
        <x:v>0</x:v>
      </x:c>
      <x:c r="K21" s="19" t="n">
        <x:v>20</x:v>
      </x:c>
      <x:c r="L21" s="19" t="n">
        <x:v>5</x:v>
      </x:c>
      <x:c r="M21" s="19" t="n">
        <x:v>2</x:v>
      </x:c>
      <x:c r="N21" s="41" t="n">
        <x:v>2</x:v>
      </x:c>
      <x:c r="O21" s="64" t="n">
        <x:v>0.05</x:v>
      </x:c>
      <x:c r="P21" s="19" t="str">
        <x:v>yuanshi_insect, stone_eroded</x:v>
      </x:c>
      <x:c r="Q21" s="53" t="str">
        <x:v>木头 2.0%；白色水晶 0.2%；树苗 1.0%；移速道具 0.4%；射速道具 0.4%；天妇罗道具 0.4%；生命药瓶 0.4%；雪狼破军 0.2%</x:v>
      </x:c>
      <x:c r="R21" s="53" t="str">
        <x:v>res://resources/config/enemies/stone_eroded_yuanshi_insect_guardian.tres</x:v>
      </x:c>
      <x:c r="S21" s="53" t="str">
        <x:v>res://scene/enemy/stone_eroded/stone_eroded_yuanshi_insect_guardian.tscn</x:v>
      </x:c>
    </x:row>
    <x:row r="22" ht="24" customHeight="1">
      <x:c r="A22" s="19" t="str">
        <x:v>slime_basic｜史莱姆</x:v>
      </x:c>
      <x:c r="B22" s="19" t="str">
        <x:v>slime_basic</x:v>
      </x:c>
      <x:c r="C22" s="19" t="str">
        <x:v>史莱姆</x:v>
      </x:c>
      <x:c r="D22" s="19" t="str">
        <x:v>史莱姆</x:v>
      </x:c>
      <x:c r="E22" s="19" t="str">
        <x:v>普通</x:v>
      </x:c>
      <x:c r="F22" s="19" t="str">
        <x:v>否</x:v>
      </x:c>
      <x:c r="G22" s="19" t="n">
        <x:v>100</x:v>
      </x:c>
      <x:c r="H22" s="19" t="n">
        <x:v>10</x:v>
      </x:c>
      <x:c r="I22" s="19" t="n">
        <x:v>0</x:v>
      </x:c>
      <x:c r="J22" s="19" t="n">
        <x:v>0</x:v>
      </x:c>
      <x:c r="K22" s="19" t="n">
        <x:v>20</x:v>
      </x:c>
      <x:c r="L22" s="19" t="n">
        <x:v>1</x:v>
      </x:c>
      <x:c r="M22" s="19" t="n">
        <x:v>1</x:v>
      </x:c>
      <x:c r="N22" s="41" t="n">
        <x:v>1</x:v>
      </x:c>
      <x:c r="O22" s="64" t="n">
        <x:v>0.07</x:v>
      </x:c>
      <x:c r="P22" s="19" t="str">
        <x:v>slime</x:v>
      </x:c>
      <x:c r="Q22" s="53" t="str">
        <x:v>木头 2.0%；白色水晶 0.2%；树苗 1.0%；凝胶 2.0%；移速道具 0.4%；射速道具 0.4%；天妇罗道具 0.4%；生命药瓶 0.4%；雪狼破军 0.2%</x:v>
      </x:c>
      <x:c r="R22" s="53" t="str">
        <x:v>res://resources/config/enemies/slime.tres</x:v>
      </x:c>
      <x:c r="S22" s="53" t="str">
        <x:v>res://scene/enemy/slime/slime_basic.tscn</x:v>
      </x:c>
    </x:row>
    <x:row r="23" ht="24" customHeight="1">
      <x:c r="A23" s="19" t="str">
        <x:v>slime_fire｜火焰史莱姆</x:v>
      </x:c>
      <x:c r="B23" s="19" t="str">
        <x:v>slime_fire</x:v>
      </x:c>
      <x:c r="C23" s="19" t="str">
        <x:v>火焰史莱姆</x:v>
      </x:c>
      <x:c r="D23" s="19" t="str">
        <x:v>史莱姆</x:v>
      </x:c>
      <x:c r="E23" s="19" t="str">
        <x:v>普通</x:v>
      </x:c>
      <x:c r="F23" s="19" t="str">
        <x:v>否</x:v>
      </x:c>
      <x:c r="G23" s="19" t="n">
        <x:v>200</x:v>
      </x:c>
      <x:c r="H23" s="19" t="n">
        <x:v>10</x:v>
      </x:c>
      <x:c r="I23" s="19" t="n">
        <x:v>0</x:v>
      </x:c>
      <x:c r="J23" s="19" t="n">
        <x:v>0</x:v>
      </x:c>
      <x:c r="K23" s="19" t="n">
        <x:v>20</x:v>
      </x:c>
      <x:c r="L23" s="19" t="n">
        <x:v>1</x:v>
      </x:c>
      <x:c r="M23" s="19" t="n">
        <x:v>1</x:v>
      </x:c>
      <x:c r="N23" s="41" t="n">
        <x:v>1</x:v>
      </x:c>
      <x:c r="O23" s="64" t="n">
        <x:v>0.07</x:v>
      </x:c>
      <x:c r="P23" s="19" t="str">
        <x:v>slime</x:v>
      </x:c>
      <x:c r="Q23" s="53" t="str">
        <x:v>木头 2.0%；白色水晶 0.2%；树苗 1.0%；凝胶 2.0%；移速道具 0.4%；射速道具 0.4%；天妇罗道具 0.4%；生命药瓶 0.4%；雪狼破军 0.2%</x:v>
      </x:c>
      <x:c r="R23" s="53" t="str">
        <x:v>res://resources/config/enemies/slime_fire.tres</x:v>
      </x:c>
      <x:c r="S23" s="53" t="str">
        <x:v>res://scene/enemy/slime/slime_fire.tscn</x:v>
      </x:c>
    </x:row>
    <x:row r="24" ht="24" customHeight="1">
      <x:c r="A24" s="19" t="str">
        <x:v>slime_frost｜寒冰史莱姆</x:v>
      </x:c>
      <x:c r="B24" s="19" t="str">
        <x:v>slime_frost</x:v>
      </x:c>
      <x:c r="C24" s="19" t="str">
        <x:v>寒冰史莱姆</x:v>
      </x:c>
      <x:c r="D24" s="19" t="str">
        <x:v>史莱姆</x:v>
      </x:c>
      <x:c r="E24" s="19" t="str">
        <x:v>普通</x:v>
      </x:c>
      <x:c r="F24" s="19" t="str">
        <x:v>否</x:v>
      </x:c>
      <x:c r="G24" s="19" t="n">
        <x:v>200</x:v>
      </x:c>
      <x:c r="H24" s="19" t="n">
        <x:v>10</x:v>
      </x:c>
      <x:c r="I24" s="19" t="n">
        <x:v>0</x:v>
      </x:c>
      <x:c r="J24" s="19" t="n">
        <x:v>0</x:v>
      </x:c>
      <x:c r="K24" s="19" t="n">
        <x:v>20</x:v>
      </x:c>
      <x:c r="L24" s="19" t="n">
        <x:v>1</x:v>
      </x:c>
      <x:c r="M24" s="19" t="n">
        <x:v>1</x:v>
      </x:c>
      <x:c r="N24" s="41" t="n">
        <x:v>1</x:v>
      </x:c>
      <x:c r="O24" s="64" t="n">
        <x:v>0.07</x:v>
      </x:c>
      <x:c r="P24" s="19" t="str">
        <x:v>slime</x:v>
      </x:c>
      <x:c r="Q24" s="53" t="str">
        <x:v>木头 2.0%；白色水晶 0.2%；树苗 1.0%；凝胶 2.0%；移速道具 0.4%；射速道具 0.4%；天妇罗道具 0.4%；生命药瓶 0.4%；雪狼破军 0.2%</x:v>
      </x:c>
      <x:c r="R24" s="53" t="str">
        <x:v>res://resources/config/enemies/slime_frost.tres</x:v>
      </x:c>
      <x:c r="S24" s="53" t="str">
        <x:v>res://scene/enemy/slime/slime_frost.tscn</x:v>
      </x:c>
    </x:row>
    <x:row r="25" ht="24" customHeight="1">
      <x:c r="A25" s="19" t="str">
        <x:v>slime_green｜绿色史莱姆</x:v>
      </x:c>
      <x:c r="B25" s="19" t="str">
        <x:v>slime_green</x:v>
      </x:c>
      <x:c r="C25" s="19" t="str">
        <x:v>绿色史莱姆</x:v>
      </x:c>
      <x:c r="D25" s="19" t="str">
        <x:v>史莱姆</x:v>
      </x:c>
      <x:c r="E25" s="19" t="str">
        <x:v>普通</x:v>
      </x:c>
      <x:c r="F25" s="19" t="str">
        <x:v>否</x:v>
      </x:c>
      <x:c r="G25" s="19" t="n">
        <x:v>300</x:v>
      </x:c>
      <x:c r="H25" s="19" t="n">
        <x:v>10</x:v>
      </x:c>
      <x:c r="I25" s="19" t="n">
        <x:v>50</x:v>
      </x:c>
      <x:c r="J25" s="19" t="n">
        <x:v>50</x:v>
      </x:c>
      <x:c r="K25" s="19" t="n">
        <x:v>20</x:v>
      </x:c>
      <x:c r="L25" s="19" t="n">
        <x:v>1</x:v>
      </x:c>
      <x:c r="M25" s="19" t="n">
        <x:v>1</x:v>
      </x:c>
      <x:c r="N25" s="41" t="n">
        <x:v>1</x:v>
      </x:c>
      <x:c r="O25" s="64" t="n">
        <x:v>0.07</x:v>
      </x:c>
      <x:c r="P25" s="19" t="str">
        <x:v>slime</x:v>
      </x:c>
      <x:c r="Q25" s="53" t="str">
        <x:v>木头 2.0%；白色水晶 0.2%；树苗 1.0%；凝胶 2.0%；移速道具 0.4%；射速道具 0.4%；天妇罗道具 0.4%；生命药瓶 0.4%；雪狼破军 0.2%</x:v>
      </x:c>
      <x:c r="R25" s="53" t="str">
        <x:v>res://resources/config/enemies/slime_green.tres</x:v>
      </x:c>
      <x:c r="S25" s="53" t="str">
        <x:v>res://scene/enemy/slime/slime_green.tscn</x:v>
      </x:c>
    </x:row>
    <x:row r="26" ht="24" customHeight="1">
      <x:c r="A26" s="19" t="str">
        <x:v>slime_golden｜黄金史莱姆</x:v>
      </x:c>
      <x:c r="B26" s="19" t="str">
        <x:v>slime_golden</x:v>
      </x:c>
      <x:c r="C26" s="19" t="str">
        <x:v>黄金史莱姆</x:v>
      </x:c>
      <x:c r="D26" s="19" t="str">
        <x:v>史莱姆</x:v>
      </x:c>
      <x:c r="E26" s="19" t="str">
        <x:v>普通</x:v>
      </x:c>
      <x:c r="F26" s="19" t="str">
        <x:v>否</x:v>
      </x:c>
      <x:c r="G26" s="19" t="n">
        <x:v>1000</x:v>
      </x:c>
      <x:c r="H26" s="19" t="n">
        <x:v>50</x:v>
      </x:c>
      <x:c r="I26" s="19" t="n">
        <x:v>0</x:v>
      </x:c>
      <x:c r="J26" s="19" t="n">
        <x:v>0</x:v>
      </x:c>
      <x:c r="K26" s="19" t="n">
        <x:v>20</x:v>
      </x:c>
      <x:c r="L26" s="19" t="n">
        <x:v>1</x:v>
      </x:c>
      <x:c r="M26" s="19" t="n">
        <x:v>1</x:v>
      </x:c>
      <x:c r="N26" s="41" t="n">
        <x:v>1</x:v>
      </x:c>
      <x:c r="O26" s="64" t="n">
        <x:v>0.07</x:v>
      </x:c>
      <x:c r="P26" s="19" t="str">
        <x:v>slime</x:v>
      </x:c>
      <x:c r="Q26" s="53" t="str">
        <x:v>木头 2.0%；白色水晶 0.2%；树苗 1.0%；凝胶 2.0%；移速道具 0.4%；射速道具 0.4%；天妇罗道具 0.4%；生命药瓶 0.4%；雪狼破军 0.2%</x:v>
      </x:c>
      <x:c r="R26" s="53" t="str">
        <x:v>res://resources/config/enemies/slime_golden.tres</x:v>
      </x:c>
      <x:c r="S26" s="53" t="str">
        <x:v>res://scene/enemy/slime/slime_golden.tscn</x:v>
      </x:c>
    </x:row>
    <x:row r="27" ht="24" customHeight="1">
      <x:c r="A27" s="19" t="str">
        <x:v>stone_eroded_slime｜被石头侵蚀的史莱姆</x:v>
      </x:c>
      <x:c r="B27" s="19" t="str">
        <x:v>stone_eroded_slime</x:v>
      </x:c>
      <x:c r="C27" s="19" t="str">
        <x:v>被石头侵蚀的史莱姆</x:v>
      </x:c>
      <x:c r="D27" s="19" t="str">
        <x:v>史莱姆</x:v>
      </x:c>
      <x:c r="E27" s="19" t="str">
        <x:v>普通</x:v>
      </x:c>
      <x:c r="F27" s="19" t="str">
        <x:v>否</x:v>
      </x:c>
      <x:c r="G27" s="19" t="n">
        <x:v>200</x:v>
      </x:c>
      <x:c r="H27" s="19" t="n">
        <x:v>10</x:v>
      </x:c>
      <x:c r="I27" s="19" t="n">
        <x:v>150</x:v>
      </x:c>
      <x:c r="J27" s="19" t="n">
        <x:v>0</x:v>
      </x:c>
      <x:c r="K27" s="19" t="n">
        <x:v>20</x:v>
      </x:c>
      <x:c r="L27" s="19" t="n">
        <x:v>1</x:v>
      </x:c>
      <x:c r="M27" s="19" t="n">
        <x:v>1</x:v>
      </x:c>
      <x:c r="N27" s="41" t="n">
        <x:v>1</x:v>
      </x:c>
      <x:c r="O27" s="64" t="n">
        <x:v>0.07</x:v>
      </x:c>
      <x:c r="P27" s="19" t="str">
        <x:v>slime, stone_eroded</x:v>
      </x:c>
      <x:c r="Q27" s="53" t="str">
        <x:v>木头 2.0%；白色水晶 0.2%；树苗 1.0%；凝胶 2.0%；移速道具 0.4%；射速道具 0.4%；天妇罗道具 0.4%；生命药瓶 0.4%；雪狼破军 0.2%</x:v>
      </x:c>
      <x:c r="R27" s="53" t="str">
        <x:v>res://resources/config/enemies/stone_eroded_slime.tres</x:v>
      </x:c>
      <x:c r="S27" s="53" t="str">
        <x:v>res://scene/enemy/stone_eroded/stone_eroded_slime.tscn</x:v>
      </x:c>
    </x:row>
    <x:row r="28" ht="24" customHeight="1">
      <x:c r="A28" s="19" t="str">
        <x:v>stone_eroded_slime_fire｜被石头侵蚀的火焰史莱姆</x:v>
      </x:c>
      <x:c r="B28" s="19" t="str">
        <x:v>stone_eroded_slime_fire</x:v>
      </x:c>
      <x:c r="C28" s="19" t="str">
        <x:v>被石头侵蚀的火焰史莱姆</x:v>
      </x:c>
      <x:c r="D28" s="19" t="str">
        <x:v>史莱姆</x:v>
      </x:c>
      <x:c r="E28" s="19" t="str">
        <x:v>普通</x:v>
      </x:c>
      <x:c r="F28" s="19" t="str">
        <x:v>否</x:v>
      </x:c>
      <x:c r="G28" s="19" t="n">
        <x:v>400</x:v>
      </x:c>
      <x:c r="H28" s="19" t="n">
        <x:v>10</x:v>
      </x:c>
      <x:c r="I28" s="19" t="n">
        <x:v>150</x:v>
      </x:c>
      <x:c r="J28" s="19" t="n">
        <x:v>0</x:v>
      </x:c>
      <x:c r="K28" s="19" t="n">
        <x:v>20</x:v>
      </x:c>
      <x:c r="L28" s="19" t="n">
        <x:v>1</x:v>
      </x:c>
      <x:c r="M28" s="19" t="n">
        <x:v>1</x:v>
      </x:c>
      <x:c r="N28" s="41" t="n">
        <x:v>1</x:v>
      </x:c>
      <x:c r="O28" s="64" t="n">
        <x:v>0.07</x:v>
      </x:c>
      <x:c r="P28" s="19" t="str">
        <x:v>slime, stone_eroded</x:v>
      </x:c>
      <x:c r="Q28" s="53" t="str">
        <x:v>木头 2.0%；白色水晶 0.2%；树苗 1.0%；凝胶 2.0%；移速道具 0.4%；射速道具 0.4%；天妇罗道具 0.4%；生命药瓶 0.4%；雪狼破军 0.2%</x:v>
      </x:c>
      <x:c r="R28" s="53" t="str">
        <x:v>res://resources/config/enemies/stone_eroded_slime_fire.tres</x:v>
      </x:c>
      <x:c r="S28" s="53" t="str">
        <x:v>res://scene/enemy/stone_eroded/stone_eroded_slime_fire.tscn</x:v>
      </x:c>
    </x:row>
    <x:row r="29" ht="24" customHeight="1">
      <x:c r="A29" s="19" t="str">
        <x:v>stone_eroded_slime_frost｜被石头侵蚀的寒冰史莱姆</x:v>
      </x:c>
      <x:c r="B29" s="19" t="str">
        <x:v>stone_eroded_slime_frost</x:v>
      </x:c>
      <x:c r="C29" s="19" t="str">
        <x:v>被石头侵蚀的寒冰史莱姆</x:v>
      </x:c>
      <x:c r="D29" s="19" t="str">
        <x:v>史莱姆</x:v>
      </x:c>
      <x:c r="E29" s="19" t="str">
        <x:v>普通</x:v>
      </x:c>
      <x:c r="F29" s="19" t="str">
        <x:v>否</x:v>
      </x:c>
      <x:c r="G29" s="19" t="n">
        <x:v>400</x:v>
      </x:c>
      <x:c r="H29" s="19" t="n">
        <x:v>10</x:v>
      </x:c>
      <x:c r="I29" s="19" t="n">
        <x:v>150</x:v>
      </x:c>
      <x:c r="J29" s="19" t="n">
        <x:v>0</x:v>
      </x:c>
      <x:c r="K29" s="19" t="n">
        <x:v>20</x:v>
      </x:c>
      <x:c r="L29" s="19" t="n">
        <x:v>1</x:v>
      </x:c>
      <x:c r="M29" s="19" t="n">
        <x:v>1</x:v>
      </x:c>
      <x:c r="N29" s="41" t="n">
        <x:v>1</x:v>
      </x:c>
      <x:c r="O29" s="64" t="n">
        <x:v>0.07</x:v>
      </x:c>
      <x:c r="P29" s="19" t="str">
        <x:v>slime, stone_eroded</x:v>
      </x:c>
      <x:c r="Q29" s="53" t="str">
        <x:v>木头 2.0%；白色水晶 0.2%；树苗 1.0%；凝胶 2.0%；移速道具 0.4%；射速道具 0.4%；天妇罗道具 0.4%；生命药瓶 0.4%；雪狼破军 0.2%</x:v>
      </x:c>
      <x:c r="R29" s="53" t="str">
        <x:v>res://resources/config/enemies/stone_eroded_slime_frost.tres</x:v>
      </x:c>
      <x:c r="S29" s="53" t="str">
        <x:v>res://scene/enemy/stone_eroded/stone_eroded_slime_frost.tscn</x:v>
      </x:c>
    </x:row>
    <x:row r="30" ht="24" customHeight="1">
      <x:c r="A30" s="19" t="str">
        <x:v>stone_eroded_slime_green｜被石头侵蚀的绿色史莱姆</x:v>
      </x:c>
      <x:c r="B30" s="19" t="str">
        <x:v>stone_eroded_slime_green</x:v>
      </x:c>
      <x:c r="C30" s="19" t="str">
        <x:v>被石头侵蚀的绿色史莱姆</x:v>
      </x:c>
      <x:c r="D30" s="19" t="str">
        <x:v>史莱姆</x:v>
      </x:c>
      <x:c r="E30" s="19" t="str">
        <x:v>普通</x:v>
      </x:c>
      <x:c r="F30" s="19" t="str">
        <x:v>否</x:v>
      </x:c>
      <x:c r="G30" s="19" t="n">
        <x:v>600</x:v>
      </x:c>
      <x:c r="H30" s="19" t="n">
        <x:v>10</x:v>
      </x:c>
      <x:c r="I30" s="19" t="n">
        <x:v>150</x:v>
      </x:c>
      <x:c r="J30" s="19" t="n">
        <x:v>50</x:v>
      </x:c>
      <x:c r="K30" s="19" t="n">
        <x:v>20</x:v>
      </x:c>
      <x:c r="L30" s="19" t="n">
        <x:v>1</x:v>
      </x:c>
      <x:c r="M30" s="19" t="n">
        <x:v>1</x:v>
      </x:c>
      <x:c r="N30" s="41" t="n">
        <x:v>1</x:v>
      </x:c>
      <x:c r="O30" s="64" t="n">
        <x:v>0.07</x:v>
      </x:c>
      <x:c r="P30" s="19" t="str">
        <x:v>slime, stone_eroded</x:v>
      </x:c>
      <x:c r="Q30" s="53" t="str">
        <x:v>木头 2.0%；白色水晶 0.2%；树苗 1.0%；凝胶 2.0%；移速道具 0.4%；射速道具 0.4%；天妇罗道具 0.4%；生命药瓶 0.4%；雪狼破军 0.2%</x:v>
      </x:c>
      <x:c r="R30" s="53" t="str">
        <x:v>res://resources/config/enemies/stone_eroded_slime_green.tres</x:v>
      </x:c>
      <x:c r="S30" s="53" t="str">
        <x:v>res://scene/enemy/stone_eroded/stone_eroded_slime_green.tscn</x:v>
      </x:c>
    </x:row>
    <x:row r="31" ht="24" customHeight="1">
      <x:c r="A31" s="19" t="str">
        <x:v>stone_eroded_slime_golden｜被石头侵蚀的黄金史莱姆</x:v>
      </x:c>
      <x:c r="B31" s="19" t="str">
        <x:v>stone_eroded_slime_golden</x:v>
      </x:c>
      <x:c r="C31" s="19" t="str">
        <x:v>被石头侵蚀的黄金史莱姆</x:v>
      </x:c>
      <x:c r="D31" s="19" t="str">
        <x:v>史莱姆</x:v>
      </x:c>
      <x:c r="E31" s="19" t="str">
        <x:v>普通</x:v>
      </x:c>
      <x:c r="F31" s="19" t="str">
        <x:v>否</x:v>
      </x:c>
      <x:c r="G31" s="19" t="n">
        <x:v>2000</x:v>
      </x:c>
      <x:c r="H31" s="19" t="n">
        <x:v>50</x:v>
      </x:c>
      <x:c r="I31" s="19" t="n">
        <x:v>150</x:v>
      </x:c>
      <x:c r="J31" s="19" t="n">
        <x:v>0</x:v>
      </x:c>
      <x:c r="K31" s="19" t="n">
        <x:v>20</x:v>
      </x:c>
      <x:c r="L31" s="19" t="n">
        <x:v>1</x:v>
      </x:c>
      <x:c r="M31" s="19" t="n">
        <x:v>1</x:v>
      </x:c>
      <x:c r="N31" s="41" t="n">
        <x:v>1</x:v>
      </x:c>
      <x:c r="O31" s="64" t="n">
        <x:v>0.07</x:v>
      </x:c>
      <x:c r="P31" s="19" t="str">
        <x:v>slime, stone_eroded</x:v>
      </x:c>
      <x:c r="Q31" s="53" t="str">
        <x:v>木头 2.0%；白色水晶 0.2%；树苗 1.0%；凝胶 2.0%；移速道具 0.4%；射速道具 0.4%；天妇罗道具 0.4%；生命药瓶 0.4%；雪狼破军 0.2%</x:v>
      </x:c>
      <x:c r="R31" s="53" t="str">
        <x:v>res://resources/config/enemies/stone_eroded_slime_golden.tres</x:v>
      </x:c>
      <x:c r="S31" s="53" t="str">
        <x:v>res://scene/enemy/stone_eroded/stone_eroded_slime_golden.tscn</x:v>
      </x:c>
    </x:row>
    <x:row r="32" ht="24" customHeight="1">
      <x:c r="A32" s="19" t="str">
        <x:v>capoo_knight｜骑士猫猫虫</x:v>
      </x:c>
      <x:c r="B32" s="19" t="str">
        <x:v>capoo_knight</x:v>
      </x:c>
      <x:c r="C32" s="19" t="str">
        <x:v>骑士猫猫虫</x:v>
      </x:c>
      <x:c r="D32" s="19" t="str">
        <x:v>猫猫虫</x:v>
      </x:c>
      <x:c r="E32" s="19" t="str">
        <x:v>普通</x:v>
      </x:c>
      <x:c r="F32" s="19" t="str">
        <x:v>是</x:v>
      </x:c>
      <x:c r="G32" s="19" t="n">
        <x:v>200</x:v>
      </x:c>
      <x:c r="H32" s="19" t="n">
        <x:v>28</x:v>
      </x:c>
      <x:c r="I32" s="19" t="n">
        <x:v>10</x:v>
      </x:c>
      <x:c r="J32" s="19" t="n">
        <x:v>0</x:v>
      </x:c>
      <x:c r="K32" s="19" t="n">
        <x:v>34</x:v>
      </x:c>
      <x:c r="L32" s="19" t="n">
        <x:v>5</x:v>
      </x:c>
      <x:c r="M32" s="19" t="n">
        <x:v>20</x:v>
      </x:c>
      <x:c r="N32" s="41" t="n">
        <x:v>20</x:v>
      </x:c>
      <x:c r="O32" s="64" t="n">
        <x:v>0.06</x:v>
      </x:c>
      <x:c r="P32" s="19" t="str">
        <x:v>capoo</x:v>
      </x:c>
      <x:c r="Q32" s="53" t="str">
        <x:v>木头 2.0%；白色水晶 0.2%；树苗 1.0%；卡普蓝晶 1.0%；移速道具 0.4%；射速道具 0.4%；天妇罗道具 0.4%；生命药瓶 0.4%；雪狼破军 0.2%</x:v>
      </x:c>
      <x:c r="R32" s="53" t="str">
        <x:v>res://resources/config/enemies/capoo_knight.tres</x:v>
      </x:c>
      <x:c r="S32" s="53" t="str">
        <x:v>res://scene/enemy/capoo/capoo_knight.tscn</x:v>
      </x:c>
    </x:row>
    <x:row r="33" ht="24" customHeight="1">
      <x:c r="A33" s="19" t="str">
        <x:v>capoo_knight_elite｜精英骑士猫猫虫</x:v>
      </x:c>
      <x:c r="B33" s="19" t="str">
        <x:v>capoo_knight_elite</x:v>
      </x:c>
      <x:c r="C33" s="19" t="str">
        <x:v>精英骑士猫猫虫</x:v>
      </x:c>
      <x:c r="D33" s="19" t="str">
        <x:v>猫猫虫</x:v>
      </x:c>
      <x:c r="E33" s="19" t="str">
        <x:v>精英</x:v>
      </x:c>
      <x:c r="F33" s="19" t="str">
        <x:v>否</x:v>
      </x:c>
      <x:c r="G33" s="19" t="n">
        <x:v>350</x:v>
      </x:c>
      <x:c r="H33" s="19" t="n">
        <x:v>28</x:v>
      </x:c>
      <x:c r="I33" s="19" t="n">
        <x:v>15</x:v>
      </x:c>
      <x:c r="J33" s="19" t="n">
        <x:v>0</x:v>
      </x:c>
      <x:c r="K33" s="19" t="n">
        <x:v>34</x:v>
      </x:c>
      <x:c r="L33" s="19" t="n">
        <x:v>8</x:v>
      </x:c>
      <x:c r="M33" s="19" t="n">
        <x:v>20</x:v>
      </x:c>
      <x:c r="N33" s="41" t="n">
        <x:v>20</x:v>
      </x:c>
      <x:c r="O33" s="64" t="n">
        <x:v>0.06</x:v>
      </x:c>
      <x:c r="P33" s="19" t="str">
        <x:v>capoo</x:v>
      </x:c>
      <x:c r="Q33" s="53" t="str">
        <x:v>木头 2.0%；白色水晶 0.2%；树苗 1.0%；卡普蓝晶 1.0%；移速道具 0.4%；射速道具 0.4%；天妇罗道具 0.4%；生命药瓶 0.4%；雪狼破军 0.2%</x:v>
      </x:c>
      <x:c r="R33" s="53" t="str">
        <x:v>res://resources/config/enemies/capoo_knight_elite.tres</x:v>
      </x:c>
      <x:c r="S33" s="53" t="str">
        <x:v>res://scene/enemy/capoo/capoo_knight_elite.tscn</x:v>
      </x:c>
    </x:row>
    <x:row r="34" ht="24" customHeight="1">
      <x:c r="A34" s="19" t="str">
        <x:v>capoo_swordsman｜剑客猫猫虫</x:v>
      </x:c>
      <x:c r="B34" s="19" t="str">
        <x:v>capoo_swordsman</x:v>
      </x:c>
      <x:c r="C34" s="19" t="str">
        <x:v>剑客猫猫虫</x:v>
      </x:c>
      <x:c r="D34" s="19" t="str">
        <x:v>猫猫虫</x:v>
      </x:c>
      <x:c r="E34" s="19" t="str">
        <x:v>普通</x:v>
      </x:c>
      <x:c r="F34" s="19" t="str">
        <x:v>否</x:v>
      </x:c>
      <x:c r="G34" s="19" t="n">
        <x:v>400</x:v>
      </x:c>
      <x:c r="H34" s="19" t="n">
        <x:v>24</x:v>
      </x:c>
      <x:c r="I34" s="19" t="n">
        <x:v>5</x:v>
      </x:c>
      <x:c r="J34" s="19" t="n">
        <x:v>0</x:v>
      </x:c>
      <x:c r="K34" s="19" t="n">
        <x:v>38</x:v>
      </x:c>
      <x:c r="L34" s="19" t="n">
        <x:v>5</x:v>
      </x:c>
      <x:c r="M34" s="19" t="n">
        <x:v>20</x:v>
      </x:c>
      <x:c r="N34" s="41" t="n">
        <x:v>20</x:v>
      </x:c>
      <x:c r="O34" s="64" t="n">
        <x:v>0.06</x:v>
      </x:c>
      <x:c r="P34" s="19" t="str">
        <x:v>capoo</x:v>
      </x:c>
      <x:c r="Q34" s="53" t="str">
        <x:v>木头 2.0%；白色水晶 0.2%；树苗 1.0%；卡普蓝晶 1.0%；移速道具 0.4%；射速道具 0.4%；天妇罗道具 0.4%；生命药瓶 0.4%；雪狼破军 0.2%</x:v>
      </x:c>
      <x:c r="R34" s="53" t="str">
        <x:v>res://resources/config/enemies/capoo_swordsman.tres</x:v>
      </x:c>
      <x:c r="S34" s="53" t="str">
        <x:v>res://scene/enemy/capoo/capoo_swordsman.tscn</x:v>
      </x:c>
    </x:row>
    <x:row r="35" ht="24" customHeight="1">
      <x:c r="A35" s="19" t="str">
        <x:v>capoo_smg｜冲锋枪 Capoo</x:v>
      </x:c>
      <x:c r="B35" s="19" t="str">
        <x:v>capoo_smg</x:v>
      </x:c>
      <x:c r="C35" s="19" t="str">
        <x:v>冲锋枪 Capoo</x:v>
      </x:c>
      <x:c r="D35" s="19" t="str">
        <x:v>猫猫虫</x:v>
      </x:c>
      <x:c r="E35" s="19" t="str">
        <x:v>普通</x:v>
      </x:c>
      <x:c r="F35" s="19" t="str">
        <x:v>否</x:v>
      </x:c>
      <x:c r="G35" s="19" t="n">
        <x:v>200</x:v>
      </x:c>
      <x:c r="H35" s="19" t="n">
        <x:v>30</x:v>
      </x:c>
      <x:c r="I35" s="19" t="n">
        <x:v>0</x:v>
      </x:c>
      <x:c r="J35" s="19" t="n">
        <x:v>0</x:v>
      </x:c>
      <x:c r="K35" s="19" t="n">
        <x:v>100</x:v>
      </x:c>
      <x:c r="L35" s="19" t="n">
        <x:v>2</x:v>
      </x:c>
      <x:c r="M35" s="19" t="n">
        <x:v>25</x:v>
      </x:c>
      <x:c r="N35" s="41" t="n">
        <x:v>25</x:v>
      </x:c>
      <x:c r="O35" s="64" t="n">
        <x:v>0.06</x:v>
      </x:c>
      <x:c r="P35" s="19" t="str">
        <x:v>capoo</x:v>
      </x:c>
      <x:c r="Q35" s="53" t="str">
        <x:v>木头 2.0%；白色水晶 0.2%；树苗 1.0%；卡普蓝晶 1.0%；移速道具 0.4%；射速道具 0.4%；天妇罗道具 0.4%；生命药瓶 0.4%；雪狼破军 0.2%</x:v>
      </x:c>
      <x:c r="R35" s="53" t="str">
        <x:v>res://resources/config/enemies/capoo_smg.tres</x:v>
      </x:c>
      <x:c r="S35" s="53" t="str">
        <x:v>res://scene/enemy/capoo/capoo_smg.tscn</x:v>
      </x:c>
    </x:row>
    <x:row r="36" ht="24" customHeight="1">
      <x:c r="A36" s="19" t="str">
        <x:v>capoo_ak47｜AK猫猫虫</x:v>
      </x:c>
      <x:c r="B36" s="19" t="str">
        <x:v>capoo_ak47</x:v>
      </x:c>
      <x:c r="C36" s="19" t="str">
        <x:v>AK猫猫虫</x:v>
      </x:c>
      <x:c r="D36" s="19" t="str">
        <x:v>猫猫虫</x:v>
      </x:c>
      <x:c r="E36" s="19" t="str">
        <x:v>普通</x:v>
      </x:c>
      <x:c r="F36" s="19" t="str">
        <x:v>是</x:v>
      </x:c>
      <x:c r="G36" s="19" t="n">
        <x:v>150</x:v>
      </x:c>
      <x:c r="H36" s="19" t="n">
        <x:v>20</x:v>
      </x:c>
      <x:c r="I36" s="19" t="n">
        <x:v>0</x:v>
      </x:c>
      <x:c r="J36" s="19" t="n">
        <x:v>0</x:v>
      </x:c>
      <x:c r="K36" s="19" t="n">
        <x:v>18</x:v>
      </x:c>
      <x:c r="L36" s="19" t="n">
        <x:v>2</x:v>
      </x:c>
      <x:c r="M36" s="19" t="n">
        <x:v>20</x:v>
      </x:c>
      <x:c r="N36" s="41" t="n">
        <x:v>20</x:v>
      </x:c>
      <x:c r="O36" s="64" t="n">
        <x:v>0.06</x:v>
      </x:c>
      <x:c r="P36" s="19" t="str">
        <x:v>capoo</x:v>
      </x:c>
      <x:c r="Q36" s="53" t="str">
        <x:v>木头 2.0%；白色水晶 0.2%；树苗 1.0%；卡普蓝晶 1.0%；移速道具 0.4%；射速道具 0.4%；天妇罗道具 0.4%；生命药瓶 0.4%；雪狼破军 0.2%</x:v>
      </x:c>
      <x:c r="R36" s="53" t="str">
        <x:v>res://resources/config/enemies/capoo_ak47.tres</x:v>
      </x:c>
      <x:c r="S36" s="53" t="str">
        <x:v>res://scene/enemy/capoo/capoo_ak47.tscn</x:v>
      </x:c>
    </x:row>
    <x:row r="37" ht="24" customHeight="1">
      <x:c r="A37" s="19" t="str">
        <x:v>capoo_rpg｜RPG猫猫虫</x:v>
      </x:c>
      <x:c r="B37" s="19" t="str">
        <x:v>capoo_rpg</x:v>
      </x:c>
      <x:c r="C37" s="19" t="str">
        <x:v>RPG猫猫虫</x:v>
      </x:c>
      <x:c r="D37" s="19" t="str">
        <x:v>猫猫虫</x:v>
      </x:c>
      <x:c r="E37" s="19" t="str">
        <x:v>普通</x:v>
      </x:c>
      <x:c r="F37" s="19" t="str">
        <x:v>是</x:v>
      </x:c>
      <x:c r="G37" s="19" t="n">
        <x:v>200</x:v>
      </x:c>
      <x:c r="H37" s="19" t="n">
        <x:v>20</x:v>
      </x:c>
      <x:c r="I37" s="19" t="n">
        <x:v>0</x:v>
      </x:c>
      <x:c r="J37" s="19" t="n">
        <x:v>0</x:v>
      </x:c>
      <x:c r="K37" s="19" t="n">
        <x:v>16</x:v>
      </x:c>
      <x:c r="L37" s="19" t="n">
        <x:v>5</x:v>
      </x:c>
      <x:c r="M37" s="19" t="n">
        <x:v>24</x:v>
      </x:c>
      <x:c r="N37" s="41" t="n">
        <x:v>24</x:v>
      </x:c>
      <x:c r="O37" s="64" t="n">
        <x:v>0.06</x:v>
      </x:c>
      <x:c r="P37" s="19" t="str">
        <x:v>capoo</x:v>
      </x:c>
      <x:c r="Q37" s="53" t="str">
        <x:v>木头 2.0%；白色水晶 0.2%；树苗 1.0%；卡普蓝晶 1.0%；移速道具 0.4%；射速道具 0.4%；天妇罗道具 0.4%；生命药瓶 0.4%；雪狼破军 0.2%</x:v>
      </x:c>
      <x:c r="R37" s="53" t="str">
        <x:v>res://resources/config/enemies/capoo_rpg.tres</x:v>
      </x:c>
      <x:c r="S37" s="53" t="str">
        <x:v>res://scene/enemy/capoo/capoo_rpg.tscn</x:v>
      </x:c>
    </x:row>
    <x:row r="38" ht="24" customHeight="1">
      <x:c r="A38" s="19" t="str">
        <x:v>capoo_mage｜法师 Capoo</x:v>
      </x:c>
      <x:c r="B38" s="19" t="str">
        <x:v>capoo_mage</x:v>
      </x:c>
      <x:c r="C38" s="19" t="str">
        <x:v>法师 Capoo</x:v>
      </x:c>
      <x:c r="D38" s="19" t="str">
        <x:v>猫猫虫</x:v>
      </x:c>
      <x:c r="E38" s="19" t="str">
        <x:v>普通</x:v>
      </x:c>
      <x:c r="F38" s="19" t="str">
        <x:v>是</x:v>
      </x:c>
      <x:c r="G38" s="19" t="n">
        <x:v>200</x:v>
      </x:c>
      <x:c r="H38" s="19" t="n">
        <x:v>35</x:v>
      </x:c>
      <x:c r="I38" s="19" t="n">
        <x:v>0</x:v>
      </x:c>
      <x:c r="J38" s="19" t="n">
        <x:v>0</x:v>
      </x:c>
      <x:c r="K38" s="19" t="n">
        <x:v>24</x:v>
      </x:c>
      <x:c r="L38" s="19" t="n">
        <x:v>5</x:v>
      </x:c>
      <x:c r="M38" s="19" t="n">
        <x:v>30</x:v>
      </x:c>
      <x:c r="N38" s="41" t="n">
        <x:v>30</x:v>
      </x:c>
      <x:c r="O38" s="64" t="n">
        <x:v>0.06</x:v>
      </x:c>
      <x:c r="P38" s="19" t="str">
        <x:v>capoo</x:v>
      </x:c>
      <x:c r="Q38" s="53" t="str">
        <x:v>木头 2.0%；白色水晶 0.2%；树苗 1.0%；卡普蓝晶 1.0%；移速道具 0.4%；射速道具 0.4%；天妇罗道具 0.4%；生命药瓶 0.4%；雪狼破军 0.2%</x:v>
      </x:c>
      <x:c r="R38" s="53" t="str">
        <x:v>res://resources/config/enemies/capoo_mage.tres</x:v>
      </x:c>
      <x:c r="S38" s="53" t="str">
        <x:v>res://scene/enemy/capoo/capoo_mage.tscn</x:v>
      </x:c>
    </x:row>
    <x:row r="39" ht="24" customHeight="1">
      <x:c r="A39" s="19" t="str">
        <x:v>capoo_sniper｜狙击手 Capoo</x:v>
      </x:c>
      <x:c r="B39" s="19" t="str">
        <x:v>capoo_sniper</x:v>
      </x:c>
      <x:c r="C39" s="19" t="str">
        <x:v>狙击手 Capoo</x:v>
      </x:c>
      <x:c r="D39" s="19" t="str">
        <x:v>猫猫虫</x:v>
      </x:c>
      <x:c r="E39" s="19" t="str">
        <x:v>普通</x:v>
      </x:c>
      <x:c r="F39" s="19" t="str">
        <x:v>否</x:v>
      </x:c>
      <x:c r="G39" s="19" t="n">
        <x:v>100</x:v>
      </x:c>
      <x:c r="H39" s="19" t="n">
        <x:v>200</x:v>
      </x:c>
      <x:c r="I39" s="19" t="n">
        <x:v>20</x:v>
      </x:c>
      <x:c r="J39" s="19" t="n">
        <x:v>0</x:v>
      </x:c>
      <x:c r="K39" s="19" t="n">
        <x:v>80</x:v>
      </x:c>
      <x:c r="L39" s="19" t="n">
        <x:v>2</x:v>
      </x:c>
      <x:c r="M39" s="19" t="n">
        <x:v>35</x:v>
      </x:c>
      <x:c r="N39" s="41" t="n">
        <x:v>35</x:v>
      </x:c>
      <x:c r="O39" s="64" t="n">
        <x:v>0.06</x:v>
      </x:c>
      <x:c r="P39" s="19" t="str">
        <x:v>capoo</x:v>
      </x:c>
      <x:c r="Q39" s="53" t="str">
        <x:v>木头 2.0%；白色水晶 0.2%；树苗 1.0%；卡普蓝晶 1.0%；移速道具 0.4%；射速道具 0.4%；天妇罗道具 0.4%；生命药瓶 0.4%；雪狼破军 0.2%</x:v>
      </x:c>
      <x:c r="R39" s="53" t="str">
        <x:v>res://resources/config/enemies/capoo_sniper.tres</x:v>
      </x:c>
      <x:c r="S39" s="53" t="str">
        <x:v>res://scene/enemy/capoo/capoo_sniper.tscn</x:v>
      </x:c>
    </x:row>
    <x:row r="40" ht="24" customHeight="1">
      <x:c r="A40" s="19" t="str">
        <x:v>stone_eroded_capoo_knight｜被石头侵蚀的骑士猫猫虫</x:v>
      </x:c>
      <x:c r="B40" s="19" t="str">
        <x:v>stone_eroded_capoo_knight</x:v>
      </x:c>
      <x:c r="C40" s="19" t="str">
        <x:v>被石头侵蚀的骑士猫猫虫</x:v>
      </x:c>
      <x:c r="D40" s="19" t="str">
        <x:v>猫猫虫</x:v>
      </x:c>
      <x:c r="E40" s="19" t="str">
        <x:v>普通</x:v>
      </x:c>
      <x:c r="F40" s="19" t="str">
        <x:v>否</x:v>
      </x:c>
      <x:c r="G40" s="19" t="n">
        <x:v>400</x:v>
      </x:c>
      <x:c r="H40" s="19" t="n">
        <x:v>28</x:v>
      </x:c>
      <x:c r="I40" s="19" t="n">
        <x:v>150</x:v>
      </x:c>
      <x:c r="J40" s="19" t="n">
        <x:v>0</x:v>
      </x:c>
      <x:c r="K40" s="19" t="n">
        <x:v>34</x:v>
      </x:c>
      <x:c r="L40" s="19" t="n">
        <x:v>5</x:v>
      </x:c>
      <x:c r="M40" s="19" t="n">
        <x:v>20</x:v>
      </x:c>
      <x:c r="N40" s="41" t="n">
        <x:v>20</x:v>
      </x:c>
      <x:c r="O40" s="64" t="n">
        <x:v>0.06</x:v>
      </x:c>
      <x:c r="P40" s="19" t="str">
        <x:v>capoo, stone_eroded</x:v>
      </x:c>
      <x:c r="Q40" s="53" t="str">
        <x:v>木头 2.0%；白色水晶 0.2%；树苗 1.0%；卡普蓝晶 1.0%；移速道具 0.4%；射速道具 0.4%；天妇罗道具 0.4%；生命药瓶 0.4%；雪狼破军 0.2%</x:v>
      </x:c>
      <x:c r="R40" s="53" t="str">
        <x:v>res://resources/config/enemies/stone_eroded_capoo_knight.tres</x:v>
      </x:c>
      <x:c r="S40" s="53" t="str">
        <x:v>res://scene/enemy/stone_eroded/stone_eroded_capoo_knight.tscn</x:v>
      </x:c>
    </x:row>
    <x:row r="41" ht="24" customHeight="1">
      <x:c r="A41" s="19" t="str">
        <x:v>stone_eroded_capoo_knight_elite｜被石头侵蚀的精英骑士猫猫虫</x:v>
      </x:c>
      <x:c r="B41" s="19" t="str">
        <x:v>stone_eroded_capoo_knight_elite</x:v>
      </x:c>
      <x:c r="C41" s="19" t="str">
        <x:v>被石头侵蚀的精英骑士猫猫虫</x:v>
      </x:c>
      <x:c r="D41" s="19" t="str">
        <x:v>猫猫虫</x:v>
      </x:c>
      <x:c r="E41" s="19" t="str">
        <x:v>精英</x:v>
      </x:c>
      <x:c r="F41" s="19" t="str">
        <x:v>否</x:v>
      </x:c>
      <x:c r="G41" s="19" t="n">
        <x:v>700</x:v>
      </x:c>
      <x:c r="H41" s="19" t="n">
        <x:v>28</x:v>
      </x:c>
      <x:c r="I41" s="19" t="n">
        <x:v>150</x:v>
      </x:c>
      <x:c r="J41" s="19" t="n">
        <x:v>0</x:v>
      </x:c>
      <x:c r="K41" s="19" t="n">
        <x:v>34</x:v>
      </x:c>
      <x:c r="L41" s="19" t="n">
        <x:v>8</x:v>
      </x:c>
      <x:c r="M41" s="19" t="n">
        <x:v>20</x:v>
      </x:c>
      <x:c r="N41" s="41" t="n">
        <x:v>20</x:v>
      </x:c>
      <x:c r="O41" s="64" t="n">
        <x:v>0.06</x:v>
      </x:c>
      <x:c r="P41" s="19" t="str">
        <x:v>capoo, stone_eroded</x:v>
      </x:c>
      <x:c r="Q41" s="53" t="str">
        <x:v>木头 2.0%；白色水晶 0.2%；树苗 1.0%；卡普蓝晶 1.0%；移速道具 0.4%；射速道具 0.4%；天妇罗道具 0.4%；生命药瓶 0.4%；雪狼破军 0.2%</x:v>
      </x:c>
      <x:c r="R41" s="53" t="str">
        <x:v>res://resources/config/enemies/stone_eroded_capoo_knight_elite.tres</x:v>
      </x:c>
      <x:c r="S41" s="53" t="str">
        <x:v>res://scene/enemy/stone_eroded/stone_eroded_capoo_knight_elite.tscn</x:v>
      </x:c>
    </x:row>
    <x:row r="42" ht="24" customHeight="1">
      <x:c r="A42" s="19" t="str">
        <x:v>stone_eroded_capoo_swordsman｜被石头侵蚀的剑客猫猫虫</x:v>
      </x:c>
      <x:c r="B42" s="19" t="str">
        <x:v>stone_eroded_capoo_swordsman</x:v>
      </x:c>
      <x:c r="C42" s="19" t="str">
        <x:v>被石头侵蚀的剑客猫猫虫</x:v>
      </x:c>
      <x:c r="D42" s="19" t="str">
        <x:v>猫猫虫</x:v>
      </x:c>
      <x:c r="E42" s="19" t="str">
        <x:v>普通</x:v>
      </x:c>
      <x:c r="F42" s="19" t="str">
        <x:v>否</x:v>
      </x:c>
      <x:c r="G42" s="19" t="n">
        <x:v>800</x:v>
      </x:c>
      <x:c r="H42" s="19" t="n">
        <x:v>24</x:v>
      </x:c>
      <x:c r="I42" s="19" t="n">
        <x:v>150</x:v>
      </x:c>
      <x:c r="J42" s="19" t="n">
        <x:v>0</x:v>
      </x:c>
      <x:c r="K42" s="19" t="n">
        <x:v>38</x:v>
      </x:c>
      <x:c r="L42" s="19" t="n">
        <x:v>5</x:v>
      </x:c>
      <x:c r="M42" s="19" t="n">
        <x:v>20</x:v>
      </x:c>
      <x:c r="N42" s="41" t="n">
        <x:v>20</x:v>
      </x:c>
      <x:c r="O42" s="64" t="n">
        <x:v>0.06</x:v>
      </x:c>
      <x:c r="P42" s="19" t="str">
        <x:v>capoo, stone_eroded</x:v>
      </x:c>
      <x:c r="Q42" s="53" t="str">
        <x:v>木头 2.0%；白色水晶 0.2%；树苗 1.0%；卡普蓝晶 1.0%；移速道具 0.4%；射速道具 0.4%；天妇罗道具 0.4%；生命药瓶 0.4%；雪狼破军 0.2%</x:v>
      </x:c>
      <x:c r="R42" s="53" t="str">
        <x:v>res://resources/config/enemies/stone_eroded_capoo_swordsman.tres</x:v>
      </x:c>
      <x:c r="S42" s="53" t="str">
        <x:v>res://scene/enemy/stone_eroded/stone_eroded_capoo_swordsman.tscn</x:v>
      </x:c>
    </x:row>
    <x:row r="43" ht="24" customHeight="1">
      <x:c r="A43" s="19" t="str">
        <x:v>stone_eroded_capoo_smg｜被石头侵蚀的冲锋枪 Capoo</x:v>
      </x:c>
      <x:c r="B43" s="19" t="str">
        <x:v>stone_eroded_capoo_smg</x:v>
      </x:c>
      <x:c r="C43" s="19" t="str">
        <x:v>被石头侵蚀的冲锋枪 Capoo</x:v>
      </x:c>
      <x:c r="D43" s="19" t="str">
        <x:v>猫猫虫</x:v>
      </x:c>
      <x:c r="E43" s="19" t="str">
        <x:v>普通</x:v>
      </x:c>
      <x:c r="F43" s="19" t="str">
        <x:v>否</x:v>
      </x:c>
      <x:c r="G43" s="19" t="n">
        <x:v>400</x:v>
      </x:c>
      <x:c r="H43" s="19" t="n">
        <x:v>30</x:v>
      </x:c>
      <x:c r="I43" s="19" t="n">
        <x:v>150</x:v>
      </x:c>
      <x:c r="J43" s="19" t="n">
        <x:v>0</x:v>
      </x:c>
      <x:c r="K43" s="19" t="n">
        <x:v>100</x:v>
      </x:c>
      <x:c r="L43" s="19" t="n">
        <x:v>2</x:v>
      </x:c>
      <x:c r="M43" s="19" t="n">
        <x:v>25</x:v>
      </x:c>
      <x:c r="N43" s="41" t="n">
        <x:v>25</x:v>
      </x:c>
      <x:c r="O43" s="64" t="n">
        <x:v>0.06</x:v>
      </x:c>
      <x:c r="P43" s="19" t="str">
        <x:v>capoo, stone_eroded</x:v>
      </x:c>
      <x:c r="Q43" s="53" t="str">
        <x:v>木头 2.0%；白色水晶 0.2%；树苗 1.0%；卡普蓝晶 1.0%；移速道具 0.4%；射速道具 0.4%；天妇罗道具 0.4%；生命药瓶 0.4%；雪狼破军 0.2%</x:v>
      </x:c>
      <x:c r="R43" s="53" t="str">
        <x:v>res://resources/config/enemies/stone_eroded_capoo_smg.tres</x:v>
      </x:c>
      <x:c r="S43" s="53" t="str">
        <x:v>res://scene/enemy/stone_eroded/stone_eroded_capoo_smg.tscn</x:v>
      </x:c>
    </x:row>
    <x:row r="44" ht="24" customHeight="1">
      <x:c r="A44" s="19" t="str">
        <x:v>stone_eroded_capoo_ak47｜被石头侵蚀的AK猫猫虫</x:v>
      </x:c>
      <x:c r="B44" s="19" t="str">
        <x:v>stone_eroded_capoo_ak47</x:v>
      </x:c>
      <x:c r="C44" s="19" t="str">
        <x:v>被石头侵蚀的AK猫猫虫</x:v>
      </x:c>
      <x:c r="D44" s="19" t="str">
        <x:v>猫猫虫</x:v>
      </x:c>
      <x:c r="E44" s="19" t="str">
        <x:v>普通</x:v>
      </x:c>
      <x:c r="F44" s="19" t="str">
        <x:v>否</x:v>
      </x:c>
      <x:c r="G44" s="19" t="n">
        <x:v>300</x:v>
      </x:c>
      <x:c r="H44" s="19" t="n">
        <x:v>20</x:v>
      </x:c>
      <x:c r="I44" s="19" t="n">
        <x:v>150</x:v>
      </x:c>
      <x:c r="J44" s="19" t="n">
        <x:v>0</x:v>
      </x:c>
      <x:c r="K44" s="19" t="n">
        <x:v>18</x:v>
      </x:c>
      <x:c r="L44" s="19" t="n">
        <x:v>2</x:v>
      </x:c>
      <x:c r="M44" s="19" t="n">
        <x:v>20</x:v>
      </x:c>
      <x:c r="N44" s="41" t="n">
        <x:v>20</x:v>
      </x:c>
      <x:c r="O44" s="64" t="n">
        <x:v>0.06</x:v>
      </x:c>
      <x:c r="P44" s="19" t="str">
        <x:v>capoo, stone_eroded</x:v>
      </x:c>
      <x:c r="Q44" s="53" t="str">
        <x:v>木头 2.0%；白色水晶 0.2%；树苗 1.0%；卡普蓝晶 1.0%；移速道具 0.4%；射速道具 0.4%；天妇罗道具 0.4%；生命药瓶 0.4%；雪狼破军 0.2%</x:v>
      </x:c>
      <x:c r="R44" s="53" t="str">
        <x:v>res://resources/config/enemies/stone_eroded_capoo_ak47.tres</x:v>
      </x:c>
      <x:c r="S44" s="53" t="str">
        <x:v>res://scene/enemy/stone_eroded/stone_eroded_capoo_ak47.tscn</x:v>
      </x:c>
    </x:row>
    <x:row r="45" ht="24" customHeight="1">
      <x:c r="A45" s="19" t="str">
        <x:v>stone_eroded_capoo_rpg｜被石头侵蚀的RPG猫猫虫</x:v>
      </x:c>
      <x:c r="B45" s="19" t="str">
        <x:v>stone_eroded_capoo_rpg</x:v>
      </x:c>
      <x:c r="C45" s="19" t="str">
        <x:v>被石头侵蚀的RPG猫猫虫</x:v>
      </x:c>
      <x:c r="D45" s="19" t="str">
        <x:v>猫猫虫</x:v>
      </x:c>
      <x:c r="E45" s="19" t="str">
        <x:v>普通</x:v>
      </x:c>
      <x:c r="F45" s="19" t="str">
        <x:v>否</x:v>
      </x:c>
      <x:c r="G45" s="19" t="n">
        <x:v>400</x:v>
      </x:c>
      <x:c r="H45" s="19" t="n">
        <x:v>20</x:v>
      </x:c>
      <x:c r="I45" s="19" t="n">
        <x:v>150</x:v>
      </x:c>
      <x:c r="J45" s="19" t="n">
        <x:v>0</x:v>
      </x:c>
      <x:c r="K45" s="19" t="n">
        <x:v>16</x:v>
      </x:c>
      <x:c r="L45" s="19" t="n">
        <x:v>5</x:v>
      </x:c>
      <x:c r="M45" s="19" t="n">
        <x:v>24</x:v>
      </x:c>
      <x:c r="N45" s="41" t="n">
        <x:v>24</x:v>
      </x:c>
      <x:c r="O45" s="64" t="n">
        <x:v>0.06</x:v>
      </x:c>
      <x:c r="P45" s="19" t="str">
        <x:v>capoo, stone_eroded</x:v>
      </x:c>
      <x:c r="Q45" s="53" t="str">
        <x:v>木头 2.0%；白色水晶 0.2%；树苗 1.0%；卡普蓝晶 1.0%；移速道具 0.4%；射速道具 0.4%；天妇罗道具 0.4%；生命药瓶 0.4%；雪狼破军 0.2%</x:v>
      </x:c>
      <x:c r="R45" s="53" t="str">
        <x:v>res://resources/config/enemies/stone_eroded_capoo_rpg.tres</x:v>
      </x:c>
      <x:c r="S45" s="53" t="str">
        <x:v>res://scene/enemy/stone_eroded/stone_eroded_capoo_rpg.tscn</x:v>
      </x:c>
    </x:row>
    <x:row r="46" ht="24" customHeight="1">
      <x:c r="A46" s="19" t="str">
        <x:v>stone_eroded_capoo_mage｜被石头侵蚀的法师 Capoo</x:v>
      </x:c>
      <x:c r="B46" s="19" t="str">
        <x:v>stone_eroded_capoo_mage</x:v>
      </x:c>
      <x:c r="C46" s="19" t="str">
        <x:v>被石头侵蚀的法师 Capoo</x:v>
      </x:c>
      <x:c r="D46" s="19" t="str">
        <x:v>猫猫虫</x:v>
      </x:c>
      <x:c r="E46" s="19" t="str">
        <x:v>普通</x:v>
      </x:c>
      <x:c r="F46" s="19" t="str">
        <x:v>否</x:v>
      </x:c>
      <x:c r="G46" s="19" t="n">
        <x:v>400</x:v>
      </x:c>
      <x:c r="H46" s="19" t="n">
        <x:v>35</x:v>
      </x:c>
      <x:c r="I46" s="19" t="n">
        <x:v>150</x:v>
      </x:c>
      <x:c r="J46" s="19" t="n">
        <x:v>0</x:v>
      </x:c>
      <x:c r="K46" s="19" t="n">
        <x:v>24</x:v>
      </x:c>
      <x:c r="L46" s="19" t="n">
        <x:v>5</x:v>
      </x:c>
      <x:c r="M46" s="19" t="n">
        <x:v>30</x:v>
      </x:c>
      <x:c r="N46" s="41" t="n">
        <x:v>30</x:v>
      </x:c>
      <x:c r="O46" s="64" t="n">
        <x:v>0.06</x:v>
      </x:c>
      <x:c r="P46" s="19" t="str">
        <x:v>capoo, stone_eroded</x:v>
      </x:c>
      <x:c r="Q46" s="53" t="str">
        <x:v>木头 2.0%；白色水晶 0.2%；树苗 1.0%；卡普蓝晶 1.0%；移速道具 0.4%；射速道具 0.4%；天妇罗道具 0.4%；生命药瓶 0.4%；雪狼破军 0.2%</x:v>
      </x:c>
      <x:c r="R46" s="53" t="str">
        <x:v>res://resources/config/enemies/stone_eroded_capoo_mage.tres</x:v>
      </x:c>
      <x:c r="S46" s="53" t="str">
        <x:v>res://scene/enemy/stone_eroded/stone_eroded_capoo_mage.tscn</x:v>
      </x:c>
    </x:row>
    <x:row r="47" ht="24" customHeight="1">
      <x:c r="A47" s="19" t="str">
        <x:v>stone_eroded_capoo_sniper｜被石头侵蚀的狙击手 Capoo</x:v>
      </x:c>
      <x:c r="B47" s="19" t="str">
        <x:v>stone_eroded_capoo_sniper</x:v>
      </x:c>
      <x:c r="C47" s="19" t="str">
        <x:v>被石头侵蚀的狙击手 Capoo</x:v>
      </x:c>
      <x:c r="D47" s="19" t="str">
        <x:v>猫猫虫</x:v>
      </x:c>
      <x:c r="E47" s="19" t="str">
        <x:v>普通</x:v>
      </x:c>
      <x:c r="F47" s="19" t="str">
        <x:v>否</x:v>
      </x:c>
      <x:c r="G47" s="19" t="n">
        <x:v>200</x:v>
      </x:c>
      <x:c r="H47" s="19" t="n">
        <x:v>200</x:v>
      </x:c>
      <x:c r="I47" s="19" t="n">
        <x:v>150</x:v>
      </x:c>
      <x:c r="J47" s="19" t="n">
        <x:v>0</x:v>
      </x:c>
      <x:c r="K47" s="19" t="n">
        <x:v>80</x:v>
      </x:c>
      <x:c r="L47" s="19" t="n">
        <x:v>2</x:v>
      </x:c>
      <x:c r="M47" s="19" t="n">
        <x:v>35</x:v>
      </x:c>
      <x:c r="N47" s="41" t="n">
        <x:v>35</x:v>
      </x:c>
      <x:c r="O47" s="64" t="n">
        <x:v>0.06</x:v>
      </x:c>
      <x:c r="P47" s="19" t="str">
        <x:v>capoo, stone_eroded</x:v>
      </x:c>
      <x:c r="Q47" s="53" t="str">
        <x:v>木头 2.0%；白色水晶 0.2%；树苗 1.0%；卡普蓝晶 1.0%；移速道具 0.4%；射速道具 0.4%；天妇罗道具 0.4%；生命药瓶 0.4%；雪狼破军 0.2%</x:v>
      </x:c>
      <x:c r="R47" s="53" t="str">
        <x:v>res://resources/config/enemies/stone_eroded_capoo_sniper.tres</x:v>
      </x:c>
      <x:c r="S47" s="53" t="str">
        <x:v>res://scene/enemy/stone_eroded/stone_eroded_capoo_sniper.tscn</x:v>
      </x:c>
    </x:row>
    <x:row r="48" ht="24" customHeight="1">
      <x:c r="A48" s="19" t="str">
        <x:v>fire_sorcerer｜火焰术士</x:v>
      </x:c>
      <x:c r="B48" s="19" t="str">
        <x:v>fire_sorcerer</x:v>
      </x:c>
      <x:c r="C48" s="19" t="str">
        <x:v>火焰术士</x:v>
      </x:c>
      <x:c r="D48" s="19" t="str">
        <x:v>术士</x:v>
      </x:c>
      <x:c r="E48" s="19" t="str">
        <x:v>普通</x:v>
      </x:c>
      <x:c r="F48" s="19" t="str">
        <x:v>否</x:v>
      </x:c>
      <x:c r="G48" s="19" t="n">
        <x:v>200</x:v>
      </x:c>
      <x:c r="H48" s="19" t="n">
        <x:v>40</x:v>
      </x:c>
      <x:c r="I48" s="19" t="n">
        <x:v>20</x:v>
      </x:c>
      <x:c r="J48" s="19" t="n">
        <x:v>80</x:v>
      </x:c>
      <x:c r="K48" s="19" t="n">
        <x:v>24</x:v>
      </x:c>
      <x:c r="L48" s="19" t="n">
        <x:v>5</x:v>
      </x:c>
      <x:c r="M48" s="19" t="n">
        <x:v>35</x:v>
      </x:c>
      <x:c r="N48" s="41" t="n">
        <x:v>35</x:v>
      </x:c>
      <x:c r="O48" s="64" t="n">
        <x:v>0.06</x:v>
      </x:c>
      <x:c r="P48" s="19" t="str">
        <x:v>sorcerer</x:v>
      </x:c>
      <x:c r="Q48" s="53" t="str">
        <x:v>木头 2.0%；白色水晶 0.2%；树苗 1.0%；术士紫晶粉 1.0%；移速道具 0.4%；射速道具 0.4%；天妇罗道具 0.4%；生命药瓶 0.4%；雪狼破军 0.2%</x:v>
      </x:c>
      <x:c r="R48" s="53" t="str">
        <x:v>res://resources/config/enemies/fire_sorcerer.tres</x:v>
      </x:c>
      <x:c r="S48" s="53" t="str">
        <x:v>res://scene/enemy/sorcerer/fire_sorcerer.tscn</x:v>
      </x:c>
    </x:row>
    <x:row r="49" ht="24" customHeight="1">
      <x:c r="A49" s="19" t="str">
        <x:v>fire_sorcerer_elite｜精英火焰术士</x:v>
      </x:c>
      <x:c r="B49" s="19" t="str">
        <x:v>fire_sorcerer_elite</x:v>
      </x:c>
      <x:c r="C49" s="19" t="str">
        <x:v>精英火焰术士</x:v>
      </x:c>
      <x:c r="D49" s="19" t="str">
        <x:v>术士</x:v>
      </x:c>
      <x:c r="E49" s="19" t="str">
        <x:v>精英</x:v>
      </x:c>
      <x:c r="F49" s="19" t="str">
        <x:v>否</x:v>
      </x:c>
      <x:c r="G49" s="19" t="n">
        <x:v>300</x:v>
      </x:c>
      <x:c r="H49" s="19" t="n">
        <x:v>70</x:v>
      </x:c>
      <x:c r="I49" s="19" t="n">
        <x:v>40</x:v>
      </x:c>
      <x:c r="J49" s="19" t="n">
        <x:v>80</x:v>
      </x:c>
      <x:c r="K49" s="19" t="n">
        <x:v>24</x:v>
      </x:c>
      <x:c r="L49" s="19" t="n">
        <x:v>5</x:v>
      </x:c>
      <x:c r="M49" s="19" t="n">
        <x:v>35</x:v>
      </x:c>
      <x:c r="N49" s="41" t="n">
        <x:v>35</x:v>
      </x:c>
      <x:c r="O49" s="64" t="n">
        <x:v>0.06</x:v>
      </x:c>
      <x:c r="P49" s="19" t="str">
        <x:v>sorcerer</x:v>
      </x:c>
      <x:c r="Q49" s="53" t="str">
        <x:v>木头 2.0%；白色水晶 0.2%；树苗 1.0%；术士紫晶粉 1.0%；移速道具 0.4%；射速道具 0.4%；天妇罗道具 0.4%；生命药瓶 0.4%；雪狼破军 0.2%</x:v>
      </x:c>
      <x:c r="R49" s="53" t="str">
        <x:v>res://resources/config/enemies/fire_sorcerer_elite.tres</x:v>
      </x:c>
      <x:c r="S49" s="53" t="str">
        <x:v>res://scene/enemy/sorcerer/fire_sorcerer_elite.tscn</x:v>
      </x:c>
    </x:row>
    <x:row r="50" ht="24" customHeight="1">
      <x:c r="A50" s="19" t="str">
        <x:v>frost_sorcerer｜寒冰术士</x:v>
      </x:c>
      <x:c r="B50" s="19" t="str">
        <x:v>frost_sorcerer</x:v>
      </x:c>
      <x:c r="C50" s="19" t="str">
        <x:v>寒冰术士</x:v>
      </x:c>
      <x:c r="D50" s="19" t="str">
        <x:v>术士</x:v>
      </x:c>
      <x:c r="E50" s="19" t="str">
        <x:v>普通</x:v>
      </x:c>
      <x:c r="F50" s="19" t="str">
        <x:v>否</x:v>
      </x:c>
      <x:c r="G50" s="19" t="n">
        <x:v>200</x:v>
      </x:c>
      <x:c r="H50" s="19" t="n">
        <x:v>50</x:v>
      </x:c>
      <x:c r="I50" s="19" t="n">
        <x:v>20</x:v>
      </x:c>
      <x:c r="J50" s="19" t="n">
        <x:v>80</x:v>
      </x:c>
      <x:c r="K50" s="19" t="n">
        <x:v>24</x:v>
      </x:c>
      <x:c r="L50" s="19" t="n">
        <x:v>5</x:v>
      </x:c>
      <x:c r="M50" s="19" t="n">
        <x:v>35</x:v>
      </x:c>
      <x:c r="N50" s="41" t="n">
        <x:v>35</x:v>
      </x:c>
      <x:c r="O50" s="64" t="n">
        <x:v>0.06</x:v>
      </x:c>
      <x:c r="P50" s="19" t="str">
        <x:v>sorcerer</x:v>
      </x:c>
      <x:c r="Q50" s="53" t="str">
        <x:v>木头 2.0%；白色水晶 0.2%；树苗 1.0%；术士紫晶粉 1.0%；移速道具 0.4%；射速道具 0.4%；天妇罗道具 0.4%；生命药瓶 0.4%；雪狼破军 0.2%</x:v>
      </x:c>
      <x:c r="R50" s="53" t="str">
        <x:v>res://resources/config/enemies/frost_sorcerer.tres</x:v>
      </x:c>
      <x:c r="S50" s="53" t="str">
        <x:v>res://scene/enemy/sorcerer/frost_sorcerer.tscn</x:v>
      </x:c>
    </x:row>
    <x:row r="51" ht="24" customHeight="1">
      <x:c r="A51" s="19" t="str">
        <x:v>frost_sorcerer_elite｜精英冰霜术士</x:v>
      </x:c>
      <x:c r="B51" s="19" t="str">
        <x:v>frost_sorcerer_elite</x:v>
      </x:c>
      <x:c r="C51" s="19" t="str">
        <x:v>精英冰霜术士</x:v>
      </x:c>
      <x:c r="D51" s="19" t="str">
        <x:v>术士</x:v>
      </x:c>
      <x:c r="E51" s="19" t="str">
        <x:v>精英</x:v>
      </x:c>
      <x:c r="F51" s="19" t="str">
        <x:v>否</x:v>
      </x:c>
      <x:c r="G51" s="19" t="n">
        <x:v>300</x:v>
      </x:c>
      <x:c r="H51" s="19" t="n">
        <x:v>80</x:v>
      </x:c>
      <x:c r="I51" s="19" t="n">
        <x:v>20</x:v>
      </x:c>
      <x:c r="J51" s="19" t="n">
        <x:v>80</x:v>
      </x:c>
      <x:c r="K51" s="19" t="n">
        <x:v>24</x:v>
      </x:c>
      <x:c r="L51" s="19" t="n">
        <x:v>5</x:v>
      </x:c>
      <x:c r="M51" s="19" t="n">
        <x:v>35</x:v>
      </x:c>
      <x:c r="N51" s="41" t="n">
        <x:v>35</x:v>
      </x:c>
      <x:c r="O51" s="64" t="n">
        <x:v>0.06</x:v>
      </x:c>
      <x:c r="P51" s="19" t="str">
        <x:v>sorcerer</x:v>
      </x:c>
      <x:c r="Q51" s="53" t="str">
        <x:v>木头 2.0%；白色水晶 0.2%；树苗 1.0%；术士紫晶粉 1.0%；移速道具 0.4%；射速道具 0.4%；天妇罗道具 0.4%；生命药瓶 0.4%；雪狼破军 0.2%</x:v>
      </x:c>
      <x:c r="R51" s="53" t="str">
        <x:v>res://resources/config/enemies/frost_sorcerer_elite.tres</x:v>
      </x:c>
      <x:c r="S51" s="53" t="str">
        <x:v>res://scene/enemy/sorcerer/frost_sorcerer_elite.tscn</x:v>
      </x:c>
    </x:row>
    <x:row r="52" ht="24" customHeight="1">
      <x:c r="A52" s="19" t="str">
        <x:v>lightning_sorcerer｜雷电术士</x:v>
      </x:c>
      <x:c r="B52" s="19" t="str">
        <x:v>lightning_sorcerer</x:v>
      </x:c>
      <x:c r="C52" s="19" t="str">
        <x:v>雷电术士</x:v>
      </x:c>
      <x:c r="D52" s="19" t="str">
        <x:v>术士</x:v>
      </x:c>
      <x:c r="E52" s="19" t="str">
        <x:v>普通</x:v>
      </x:c>
      <x:c r="F52" s="19" t="str">
        <x:v>否</x:v>
      </x:c>
      <x:c r="G52" s="19" t="n">
        <x:v>200</x:v>
      </x:c>
      <x:c r="H52" s="19" t="n">
        <x:v>50</x:v>
      </x:c>
      <x:c r="I52" s="19" t="n">
        <x:v>20</x:v>
      </x:c>
      <x:c r="J52" s="19" t="n">
        <x:v>80</x:v>
      </x:c>
      <x:c r="K52" s="19" t="n">
        <x:v>24</x:v>
      </x:c>
      <x:c r="L52" s="19" t="n">
        <x:v>5</x:v>
      </x:c>
      <x:c r="M52" s="19" t="n">
        <x:v>35</x:v>
      </x:c>
      <x:c r="N52" s="41" t="n">
        <x:v>35</x:v>
      </x:c>
      <x:c r="O52" s="64" t="n">
        <x:v>0.06</x:v>
      </x:c>
      <x:c r="P52" s="19" t="str">
        <x:v>sorcerer</x:v>
      </x:c>
      <x:c r="Q52" s="53" t="str">
        <x:v>木头 2.0%；白色水晶 0.2%；树苗 1.0%；术士紫晶粉 1.0%；移速道具 0.4%；射速道具 0.4%；天妇罗道具 0.4%；生命药瓶 0.4%；雪狼破军 0.2%</x:v>
      </x:c>
      <x:c r="R52" s="53" t="str">
        <x:v>res://resources/config/enemies/lightning_sorcerer.tres</x:v>
      </x:c>
      <x:c r="S52" s="53" t="str">
        <x:v>res://scene/enemy/sorcerer/lightning_sorcerer.tscn</x:v>
      </x:c>
    </x:row>
    <x:row r="53" ht="24" customHeight="1">
      <x:c r="A53" s="19" t="str">
        <x:v>stone_golem｜石头人</x:v>
      </x:c>
      <x:c r="B53" s="19" t="str">
        <x:v>stone_golem</x:v>
      </x:c>
      <x:c r="C53" s="19" t="str">
        <x:v>石头人</x:v>
      </x:c>
      <x:c r="D53" s="19" t="str">
        <x:v>人工造物</x:v>
      </x:c>
      <x:c r="E53" s="19" t="str">
        <x:v>普通</x:v>
      </x:c>
      <x:c r="F53" s="19" t="str">
        <x:v>是</x:v>
      </x:c>
      <x:c r="G53" s="19" t="n">
        <x:v>1000</x:v>
      </x:c>
      <x:c r="H53" s="19" t="n">
        <x:v>100</x:v>
      </x:c>
      <x:c r="I53" s="19" t="n">
        <x:v>50</x:v>
      </x:c>
      <x:c r="J53" s="19" t="n">
        <x:v>0</x:v>
      </x:c>
      <x:c r="K53" s="19" t="n">
        <x:v>15</x:v>
      </x:c>
      <x:c r="L53" s="19" t="n">
        <x:v>25</x:v>
      </x:c>
      <x:c r="M53" s="19" t="n">
        <x:v>50</x:v>
      </x:c>
      <x:c r="N53" s="41" t="n">
        <x:v>50</x:v>
      </x:c>
      <x:c r="O53" s="64" t="n">
        <x:v>0.55</x:v>
      </x:c>
      <x:c r="P53" s="19" t="str">
        <x:v>artificial_creation</x:v>
      </x:c>
      <x:c r="Q53" s="53" t="str">
        <x:v>木头 2.0%；白色水晶 0.2%；树苗 1.0%；小石块 50.0%；移速道具 0.4%；射速道具 0.4%；天妇罗道具 0.4%；生命药瓶 0.4%；雪狼破军 0.2%</x:v>
      </x:c>
      <x:c r="R53" s="53" t="str">
        <x:v>res://resources/config/enemies/stone_golem.tres</x:v>
      </x:c>
      <x:c r="S53" s="53" t="str">
        <x:v>res://scene/enemy/artificial_creation/stone_golem.tscn</x:v>
      </x:c>
    </x:row>
    <x:row r="54" ht="24" customHeight="1">
      <x:c r="A54" s="19" t="str">
        <x:v>stone_golem_elite｜精英石头人</x:v>
      </x:c>
      <x:c r="B54" s="19" t="str">
        <x:v>stone_golem_elite</x:v>
      </x:c>
      <x:c r="C54" s="19" t="str">
        <x:v>精英石头人</x:v>
      </x:c>
      <x:c r="D54" s="19" t="str">
        <x:v>人工造物</x:v>
      </x:c>
      <x:c r="E54" s="19" t="str">
        <x:v>精英</x:v>
      </x:c>
      <x:c r="F54" s="19" t="str">
        <x:v>否</x:v>
      </x:c>
      <x:c r="G54" s="19" t="n">
        <x:v>1800</x:v>
      </x:c>
      <x:c r="H54" s="19" t="n">
        <x:v>150</x:v>
      </x:c>
      <x:c r="I54" s="19" t="n">
        <x:v>75</x:v>
      </x:c>
      <x:c r="J54" s="19" t="n">
        <x:v>0</x:v>
      </x:c>
      <x:c r="K54" s="19" t="n">
        <x:v>15</x:v>
      </x:c>
      <x:c r="L54" s="19" t="n">
        <x:v>25</x:v>
      </x:c>
      <x:c r="M54" s="19" t="n">
        <x:v>50</x:v>
      </x:c>
      <x:c r="N54" s="41" t="n">
        <x:v>50</x:v>
      </x:c>
      <x:c r="O54" s="64" t="n">
        <x:v>0.55</x:v>
      </x:c>
      <x:c r="P54" s="19" t="str">
        <x:v>artificial_creation</x:v>
      </x:c>
      <x:c r="Q54" s="53" t="str">
        <x:v>木头 2.0%；白色水晶 0.2%；树苗 1.0%；小石块 50.0%；移速道具 0.4%；射速道具 0.4%；天妇罗道具 0.4%；生命药瓶 0.4%；雪狼破军 0.2%</x:v>
      </x:c>
      <x:c r="R54" s="53" t="str">
        <x:v>res://resources/config/enemies/stone_golem_elite.tres</x:v>
      </x:c>
      <x:c r="S54" s="53" t="str">
        <x:v>res://scene/enemy/artificial_creation/stone_golem_elite.tscn</x:v>
      </x:c>
    </x:row>
  </x:sheetData>
  <x:mergeCells>
    <x:mergeCell ref="A1:S1"/>
    <x:mergeCell ref="A2:S2"/>
  </x:mergeCells>
  <x:conditionalFormatting sqref="N6:N54">
    <x:cfRule type="expression" dxfId="2" priority="1">
      <x:formula>$N6&lt;&gt;$M6</x:formula>
    </x:cfRule>
  </x:conditionalFormatting>
  <x:conditionalFormatting sqref="A6:S54">
    <x:cfRule type="expression" dxfId="3" priority="2">
      <x:formula>$F6="否"</x:formula>
    </x:cfRule>
  </x:conditionalFormatting>
  <x:dataValidations count="1">
    <x:dataValidation type="whole" operator="between" sqref="N6:N54">
      <x:formula1>0</x:formula1>
      <x:formula2>999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2" hidden="0" customWidth="1"/>
    <x:col min="5" max="5" width="8" hidden="0" customWidth="1"/>
    <x:col min="6" max="6" width="12" hidden="0" customWidth="1"/>
    <x:col min="7" max="7" width="28" hidden="0" customWidth="1"/>
    <x:col min="8" max="8" width="18" hidden="0" customWidth="1"/>
    <x:col min="9" max="9" width="15" hidden="0" customWidth="1"/>
    <x:col min="10" max="10" width="20" hidden="0" customWidth="1"/>
    <x:col min="11" max="11" width="18" hidden="0" customWidth="1"/>
    <x:col min="12" max="12" width="55" hidden="0" customWidth="1"/>
    <x:col min="13" max="13" width="55" hidden="0" customWidth="1"/>
    <x:col min="14" max="14" width="8" hidden="0" customWidth="1"/>
    <x:col min="15" max="15" width="38" hidden="0" customWidth="1"/>
    <x:col min="16" max="16" width="34" hidden="0" customWidth="1"/>
    <x:col min="17" max="17" width="10" hidden="0" customWidth="1"/>
    <x:col min="18" max="18" width="28" hidden="0" customWidth="1"/>
    <x:col min="19" max="19" width="16" hidden="0" customWidth="1"/>
    <x:col min="20" max="20" width="14" hidden="0" customWidth="1"/>
  </x:cols>
  <x:sheetData>
    <x:row r="1" ht="38" customHeight="1">
      <x:c r="A1" s="95" t="str">
        <x:v>导入数据（机器读取区域，请勿编辑；公式会从四个日编辑页生成规范化记录）</x:v>
      </x:c>
      <x:c r="B1" s="95" t="str">
        <x:v>导入数据（机器读取区域，请勿编辑；公式会从四个日编辑页生成规范化记录）</x:v>
      </x:c>
      <x:c r="C1" s="95" t="str">
        <x:v>导入数据（机器读取区域，请勿编辑；公式会从四个日编辑页生成规范化记录）</x:v>
      </x:c>
      <x:c r="D1" s="95" t="str">
        <x:v>导入数据（机器读取区域，请勿编辑；公式会从四个日编辑页生成规范化记录）</x:v>
      </x:c>
      <x:c r="E1" s="95" t="str">
        <x:v>导入数据（机器读取区域，请勿编辑；公式会从四个日编辑页生成规范化记录）</x:v>
      </x:c>
      <x:c r="F1" s="95" t="str">
        <x:v>导入数据（机器读取区域，请勿编辑；公式会从四个日编辑页生成规范化记录）</x:v>
      </x:c>
      <x:c r="G1" s="95" t="str">
        <x:v>导入数据（机器读取区域，请勿编辑；公式会从四个日编辑页生成规范化记录）</x:v>
      </x:c>
      <x:c r="H1" s="95" t="str">
        <x:v>导入数据（机器读取区域，请勿编辑；公式会从四个日编辑页生成规范化记录）</x:v>
      </x:c>
      <x:c r="I1" s="95" t="str">
        <x:v>导入数据（机器读取区域，请勿编辑；公式会从四个日编辑页生成规范化记录）</x:v>
      </x:c>
      <x:c r="J1" s="95" t="str">
        <x:v>导入数据（机器读取区域，请勿编辑；公式会从四个日编辑页生成规范化记录）</x:v>
      </x:c>
      <x:c r="K1" s="95" t="str">
        <x:v>导入数据（机器读取区域，请勿编辑；公式会从四个日编辑页生成规范化记录）</x:v>
      </x:c>
      <x:c r="L1" s="95" t="str">
        <x:v>导入数据（机器读取区域，请勿编辑；公式会从四个日编辑页生成规范化记录）</x:v>
      </x:c>
      <x:c r="M1" s="95" t="str">
        <x:v>导入数据（机器读取区域，请勿编辑；公式会从四个日编辑页生成规范化记录）</x:v>
      </x:c>
      <x:c r="N1" s="95" t="str">
        <x:v>导入数据（机器读取区域，请勿编辑；公式会从四个日编辑页生成规范化记录）</x:v>
      </x:c>
      <x:c r="O1" s="95" t="str">
        <x:v>导入数据（机器读取区域，请勿编辑；公式会从四个日编辑页生成规范化记录）</x:v>
      </x:c>
      <x:c r="P1" s="95" t="str">
        <x:v>导入数据（机器读取区域，请勿编辑；公式会从四个日编辑页生成规范化记录）</x:v>
      </x:c>
      <x:c r="Q1" s="95" t="str">
        <x:v>导入数据（机器读取区域，请勿编辑；公式会从四个日编辑页生成规范化记录）</x:v>
      </x:c>
      <x:c r="R1" s="95" t="str">
        <x:v>导入数据（机器读取区域，请勿编辑；公式会从四个日编辑页生成规范化记录）</x:v>
      </x:c>
      <x:c r="S1" s="95" t="str">
        <x:v>导入数据（机器读取区域，请勿编辑；公式会从四个日编辑页生成规范化记录）</x:v>
      </x:c>
      <x:c r="T1" s="95" t="str">
        <x:v>导入数据（机器读取区域，请勿编辑；公式会从四个日编辑页生成规范化记录）</x:v>
      </x:c>
    </x:row>
    <x:row r="2" ht="22" customHeight="1">
      <x:c r="A2" s="19" t="str">
        <x:v>schema_version</x:v>
      </x:c>
      <x:c r="B2" s="19" t="n">
        <x:v>1</x:v>
      </x:c>
      <x:c r="C2" s="19" t="str">
        <x:v>campaign_id</x:v>
      </x:c>
      <x:c r="D2" s="19" t="str">
        <x:v>tower_defense_formal</x:v>
      </x:c>
      <x:c r="E2" s="19" t="str">
        <x:v>catalog_sha256</x:v>
      </x:c>
      <x:c r="F2" s="19" t="str">
        <x:v>b1fe8380d773e1597266e16f821f218f409f50807d0f37e8e2cf139bc0c16be8</x:v>
      </x:c>
      <x:c r="G2" s="19" t="str">
        <x:v>目标</x:v>
      </x:c>
      <x:c r="H2" s="19" t="str">
        <x:v>16波 + 铃兰Boss</x:v>
      </x:c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3" ht="22" customHeight="1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</x:row>
    <x:row r="4" ht="22" customHeight="1">
      <x:c r="A4" s="100" t="str">
        <x:v>schema_version</x:v>
      </x:c>
      <x:c r="B4" s="100" t="str">
        <x:v>campaign_id</x:v>
      </x:c>
      <x:c r="C4" s="100" t="str">
        <x:v>wave_id</x:v>
      </x:c>
      <x:c r="D4" s="100" t="str">
        <x:v>wave_number</x:v>
      </x:c>
      <x:c r="E4" s="100" t="str">
        <x:v>day</x:v>
      </x:c>
      <x:c r="F4" s="100" t="str">
        <x:v>wave_in_day</x:v>
      </x:c>
      <x:c r="G4" s="100" t="str">
        <x:v>display_name</x:v>
      </x:c>
      <x:c r="H4" s="100" t="str">
        <x:v>spawn_point_mask</x:v>
      </x:c>
      <x:c r="I4" s="100" t="str">
        <x:v>spawn_interval</x:v>
      </x:c>
      <x:c r="J4" s="100" t="str">
        <x:v>spawn_count_per_tick</x:v>
      </x:c>
      <x:c r="K4" s="100" t="str">
        <x:v>max_alive_enemies</x:v>
      </x:c>
      <x:c r="L4" s="100" t="str">
        <x:v>music_path</x:v>
      </x:c>
      <x:c r="M4" s="100" t="str">
        <x:v>post_wave_music_path</x:v>
      </x:c>
      <x:c r="N4" s="100" t="str">
        <x:v>slot</x:v>
      </x:c>
      <x:c r="O4" s="100" t="str">
        <x:v>enemy_selection</x:v>
      </x:c>
      <x:c r="P4" s="100" t="str">
        <x:v>enemy_id</x:v>
      </x:c>
      <x:c r="Q4" s="100" t="str">
        <x:v>count</x:v>
      </x:c>
      <x:c r="R4" s="100" t="str">
        <x:v>xirang_kill_reward_override</x:v>
      </x:c>
      <x:c r="S4" s="100" t="str">
        <x:v>row_validation</x:v>
      </x:c>
      <x:c r="T4" s="100" t="str">
        <x:v>wave_status</x:v>
      </x:c>
    </x:row>
    <x:row r="5" ht="22" customHeight="1">
      <x:c r="A5" s="19" t="n">
        <x:v>1</x:v>
      </x:c>
      <x:c r="B5" s="19" t="str">
        <x:v>tower_defense_formal</x:v>
      </x:c>
      <x:c r="C5" s="19" t="str">
        <x:v>wave_01</x:v>
      </x:c>
      <x:c r="D5" s="19" t="n">
        <x:v>1</x:v>
      </x:c>
      <x:c r="E5" s="19" t="n">
        <x:v>1</x:v>
      </x:c>
      <x:c r="F5" s="19" t="n">
        <x:v>1</x:v>
      </x:c>
      <x:c r="G5" s="19" t="str">
        <x:f>'第1日'!$B$3</x:f>
        <x:v>第1波 林地试探</x:v>
      </x:c>
      <x:c r="H5" s="19" t="n">
        <x:f>IF('第1日'!$B$4="开启",1,0)+IF('第1日'!$C$4="开启",2,0)+IF('第1日'!$D$4="开启",4,0)+IF('第1日'!$E$4="开启",8,0)+IF('第1日'!$F$4="开启",16,0)+IF('第1日'!$G$4="开启",32,0)</x:f>
        <x:v>63</x:v>
      </x:c>
      <x:c r="I5" s="19" t="n">
        <x:f>'第1日'!$H$3</x:f>
        <x:v>0.8</x:v>
      </x:c>
      <x:c r="J5" s="19" t="n">
        <x:f>'第1日'!$J$3</x:f>
        <x:v>1</x:v>
      </x:c>
      <x:c r="K5" s="19" t="n">
        <x:f>'第1日'!$L$3</x:f>
        <x:v>24</x:v>
      </x:c>
      <x:c r="L5" s="19" t="str">
        <x:v>res://resources/audio/shenmu_forest_combat.ogg</x:v>
      </x:c>
      <x:c r="M5" s="19" t="str">
        <x:v>res://resources/audio/shenmu_forest_intermission.ogg</x:v>
      </x:c>
      <x:c r="N5" s="19" t="n">
        <x:v>1</x:v>
      </x:c>
      <x:c r="O5" s="19" t="str">
        <x:f>'第1日'!$B$7</x:f>
        <x:v>yuanshi_insect_basic｜普通原石虫</x:v>
      </x:c>
      <x:c r="P5" s="19" t="str">
        <x:f>'第1日'!$E$7</x:f>
        <x:v>yuanshi_insect_basic</x:v>
      </x:c>
      <x:c r="Q5" s="19" t="n">
        <x:f>'第1日'!$C$7</x:f>
        <x:v>18</x:v>
      </x:c>
      <x:c r="R5" s="19" t="n">
        <x:f>IF(P5="","",IF(ISNUMBER('第1日'!$D$7),'第1日'!$D$7,IF(VLOOKUP(O5,'敌人目录'!$A$6:$S$54,14,FALSE)&lt;&gt;VLOOKUP(O5,'敌人目录'!$A$6:$S$54,13,FALSE),VLOOKUP(O5,'敌人目录'!$A$6:$S$54,14,FALSE),-1)))</x:f>
        <x:v>-1</x:v>
      </x:c>
      <x:c r="S5" s="19" t="str">
        <x:f>'第1日'!$U$7</x:f>
        <x:v>可导入</x:v>
      </x:c>
      <x:c r="T5" s="19" t="str">
        <x:f>'第1日'!$N$3</x:f>
        <x:v>可导入</x:v>
      </x:c>
    </x:row>
    <x:row r="6" ht="22" customHeight="1">
      <x:c r="A6" s="19" t="n">
        <x:v>1</x:v>
      </x:c>
      <x:c r="B6" s="19" t="str">
        <x:v>tower_defense_formal</x:v>
      </x:c>
      <x:c r="C6" s="19" t="str">
        <x:v>wave_01</x:v>
      </x:c>
      <x:c r="D6" s="19" t="n">
        <x:v>1</x:v>
      </x:c>
      <x:c r="E6" s="19" t="n">
        <x:v>1</x:v>
      </x:c>
      <x:c r="F6" s="19" t="n">
        <x:v>1</x:v>
      </x:c>
      <x:c r="G6" s="19" t="str">
        <x:f>'第1日'!$B$3</x:f>
        <x:v>第1波 林地试探</x:v>
      </x:c>
      <x:c r="H6" s="19" t="n">
        <x:f>IF('第1日'!$B$4="开启",1,0)+IF('第1日'!$C$4="开启",2,0)+IF('第1日'!$D$4="开启",4,0)+IF('第1日'!$E$4="开启",8,0)+IF('第1日'!$F$4="开启",16,0)+IF('第1日'!$G$4="开启",32,0)</x:f>
        <x:v>63</x:v>
      </x:c>
      <x:c r="I6" s="19" t="n">
        <x:f>'第1日'!$H$3</x:f>
        <x:v>0.8</x:v>
      </x:c>
      <x:c r="J6" s="19" t="n">
        <x:f>'第1日'!$J$3</x:f>
        <x:v>1</x:v>
      </x:c>
      <x:c r="K6" s="19" t="n">
        <x:f>'第1日'!$L$3</x:f>
        <x:v>24</x:v>
      </x:c>
      <x:c r="L6" s="19" t="str">
        <x:v>res://resources/audio/shenmu_forest_combat.ogg</x:v>
      </x:c>
      <x:c r="M6" s="19" t="str">
        <x:v>res://resources/audio/shenmu_forest_intermission.ogg</x:v>
      </x:c>
      <x:c r="N6" s="19" t="n">
        <x:v>2</x:v>
      </x:c>
      <x:c r="O6" s="19" t="str">
        <x:f>'第1日'!$B$8</x:f>
        <x:v>yuanshi_insect_shell｜硬壳原石虫</x:v>
      </x:c>
      <x:c r="P6" s="19" t="str">
        <x:f>'第1日'!$E$8</x:f>
        <x:v>yuanshi_insect_shell</x:v>
      </x:c>
      <x:c r="Q6" s="19" t="n">
        <x:f>'第1日'!$C$8</x:f>
        <x:v>6</x:v>
      </x:c>
      <x:c r="R6" s="19" t="n">
        <x:f>IF(P6="","",IF(ISNUMBER('第1日'!$D$8),'第1日'!$D$8,IF(VLOOKUP(O6,'敌人目录'!$A$6:$S$54,14,FALSE)&lt;&gt;VLOOKUP(O6,'敌人目录'!$A$6:$S$54,13,FALSE),VLOOKUP(O6,'敌人目录'!$A$6:$S$54,14,FALSE),-1)))</x:f>
        <x:v>-1</x:v>
      </x:c>
      <x:c r="S6" s="19" t="str">
        <x:f>'第1日'!$U$8</x:f>
        <x:v>可导入</x:v>
      </x:c>
      <x:c r="T6" s="19" t="str">
        <x:f>'第1日'!$N$3</x:f>
        <x:v>可导入</x:v>
      </x:c>
    </x:row>
    <x:row r="7" ht="22" customHeight="1">
      <x:c r="A7" s="19" t="n">
        <x:v>1</x:v>
      </x:c>
      <x:c r="B7" s="19" t="str">
        <x:v>tower_defense_formal</x:v>
      </x:c>
      <x:c r="C7" s="19" t="str">
        <x:v>wave_01</x:v>
      </x:c>
      <x:c r="D7" s="19" t="n">
        <x:v>1</x:v>
      </x:c>
      <x:c r="E7" s="19" t="n">
        <x:v>1</x:v>
      </x:c>
      <x:c r="F7" s="19" t="n">
        <x:v>1</x:v>
      </x:c>
      <x:c r="G7" s="19" t="str">
        <x:f>'第1日'!$B$3</x:f>
        <x:v>第1波 林地试探</x:v>
      </x:c>
      <x:c r="H7" s="19" t="n">
        <x:f>IF('第1日'!$B$4="开启",1,0)+IF('第1日'!$C$4="开启",2,0)+IF('第1日'!$D$4="开启",4,0)+IF('第1日'!$E$4="开启",8,0)+IF('第1日'!$F$4="开启",16,0)+IF('第1日'!$G$4="开启",32,0)</x:f>
        <x:v>63</x:v>
      </x:c>
      <x:c r="I7" s="19" t="n">
        <x:f>'第1日'!$H$3</x:f>
        <x:v>0.8</x:v>
      </x:c>
      <x:c r="J7" s="19" t="n">
        <x:f>'第1日'!$J$3</x:f>
        <x:v>1</x:v>
      </x:c>
      <x:c r="K7" s="19" t="n">
        <x:f>'第1日'!$L$3</x:f>
        <x:v>24</x:v>
      </x:c>
      <x:c r="L7" s="19" t="str">
        <x:v>res://resources/audio/shenmu_forest_combat.ogg</x:v>
      </x:c>
      <x:c r="M7" s="19" t="str">
        <x:v>res://resources/audio/shenmu_forest_intermission.ogg</x:v>
      </x:c>
      <x:c r="N7" s="19" t="n">
        <x:v>3</x:v>
      </x:c>
      <x:c r="O7" s="19" t="n">
        <x:f>'第1日'!$B$9</x:f>
        <x:v>0</x:v>
      </x:c>
      <x:c r="P7" s="19" t="str">
        <x:f>'第1日'!$E$9</x:f>
      </x:c>
      <x:c r="Q7" s="19" t="n">
        <x:f>'第1日'!$C$9</x:f>
        <x:v>0</x:v>
      </x:c>
      <x:c r="R7" s="19" t="str">
        <x:f>IF(P7="","",IF(ISNUMBER('第1日'!$D$9),'第1日'!$D$9,IF(VLOOKUP(O7,'敌人目录'!$A$6:$S$54,14,FALSE)&lt;&gt;VLOOKUP(O7,'敌人目录'!$A$6:$S$54,13,FALSE),VLOOKUP(O7,'敌人目录'!$A$6:$S$54,14,FALSE),-1)))</x:f>
      </x:c>
      <x:c r="S7" s="19" t="n">
        <x:f>'第1日'!$U$9</x:f>
        <x:v>0</x:v>
      </x:c>
      <x:c r="T7" s="19" t="str">
        <x:f>'第1日'!$N$3</x:f>
        <x:v>可导入</x:v>
      </x:c>
    </x:row>
    <x:row r="8" ht="22" customHeight="1">
      <x:c r="A8" s="19" t="n">
        <x:v>1</x:v>
      </x:c>
      <x:c r="B8" s="19" t="str">
        <x:v>tower_defense_formal</x:v>
      </x:c>
      <x:c r="C8" s="19" t="str">
        <x:v>wave_01</x:v>
      </x:c>
      <x:c r="D8" s="19" t="n">
        <x:v>1</x:v>
      </x:c>
      <x:c r="E8" s="19" t="n">
        <x:v>1</x:v>
      </x:c>
      <x:c r="F8" s="19" t="n">
        <x:v>1</x:v>
      </x:c>
      <x:c r="G8" s="19" t="str">
        <x:f>'第1日'!$B$3</x:f>
        <x:v>第1波 林地试探</x:v>
      </x:c>
      <x:c r="H8" s="19" t="n">
        <x:f>IF('第1日'!$B$4="开启",1,0)+IF('第1日'!$C$4="开启",2,0)+IF('第1日'!$D$4="开启",4,0)+IF('第1日'!$E$4="开启",8,0)+IF('第1日'!$F$4="开启",16,0)+IF('第1日'!$G$4="开启",32,0)</x:f>
        <x:v>63</x:v>
      </x:c>
      <x:c r="I8" s="19" t="n">
        <x:f>'第1日'!$H$3</x:f>
        <x:v>0.8</x:v>
      </x:c>
      <x:c r="J8" s="19" t="n">
        <x:f>'第1日'!$J$3</x:f>
        <x:v>1</x:v>
      </x:c>
      <x:c r="K8" s="19" t="n">
        <x:f>'第1日'!$L$3</x:f>
        <x:v>24</x:v>
      </x:c>
      <x:c r="L8" s="19" t="str">
        <x:v>res://resources/audio/shenmu_forest_combat.ogg</x:v>
      </x:c>
      <x:c r="M8" s="19" t="str">
        <x:v>res://resources/audio/shenmu_forest_intermission.ogg</x:v>
      </x:c>
      <x:c r="N8" s="19" t="n">
        <x:v>4</x:v>
      </x:c>
      <x:c r="O8" s="19" t="n">
        <x:f>'第1日'!$B$10</x:f>
        <x:v>0</x:v>
      </x:c>
      <x:c r="P8" s="19" t="str">
        <x:f>'第1日'!$E$10</x:f>
      </x:c>
      <x:c r="Q8" s="19" t="n">
        <x:f>'第1日'!$C$10</x:f>
        <x:v>0</x:v>
      </x:c>
      <x:c r="R8" s="19" t="str">
        <x:f>IF(P8="","",IF(ISNUMBER('第1日'!$D$10),'第1日'!$D$10,IF(VLOOKUP(O8,'敌人目录'!$A$6:$S$54,14,FALSE)&lt;&gt;VLOOKUP(O8,'敌人目录'!$A$6:$S$54,13,FALSE),VLOOKUP(O8,'敌人目录'!$A$6:$S$54,14,FALSE),-1)))</x:f>
      </x:c>
      <x:c r="S8" s="19" t="n">
        <x:f>'第1日'!$U$10</x:f>
        <x:v>0</x:v>
      </x:c>
      <x:c r="T8" s="19" t="str">
        <x:f>'第1日'!$N$3</x:f>
        <x:v>可导入</x:v>
      </x:c>
    </x:row>
    <x:row r="9" ht="22" customHeight="1">
      <x:c r="A9" s="19" t="n">
        <x:v>1</x:v>
      </x:c>
      <x:c r="B9" s="19" t="str">
        <x:v>tower_defense_formal</x:v>
      </x:c>
      <x:c r="C9" s="19" t="str">
        <x:v>wave_01</x:v>
      </x:c>
      <x:c r="D9" s="19" t="n">
        <x:v>1</x:v>
      </x:c>
      <x:c r="E9" s="19" t="n">
        <x:v>1</x:v>
      </x:c>
      <x:c r="F9" s="19" t="n">
        <x:v>1</x:v>
      </x:c>
      <x:c r="G9" s="19" t="str">
        <x:f>'第1日'!$B$3</x:f>
        <x:v>第1波 林地试探</x:v>
      </x:c>
      <x:c r="H9" s="19" t="n">
        <x:f>IF('第1日'!$B$4="开启",1,0)+IF('第1日'!$C$4="开启",2,0)+IF('第1日'!$D$4="开启",4,0)+IF('第1日'!$E$4="开启",8,0)+IF('第1日'!$F$4="开启",16,0)+IF('第1日'!$G$4="开启",32,0)</x:f>
        <x:v>63</x:v>
      </x:c>
      <x:c r="I9" s="19" t="n">
        <x:f>'第1日'!$H$3</x:f>
        <x:v>0.8</x:v>
      </x:c>
      <x:c r="J9" s="19" t="n">
        <x:f>'第1日'!$J$3</x:f>
        <x:v>1</x:v>
      </x:c>
      <x:c r="K9" s="19" t="n">
        <x:f>'第1日'!$L$3</x:f>
        <x:v>24</x:v>
      </x:c>
      <x:c r="L9" s="19" t="str">
        <x:v>res://resources/audio/shenmu_forest_combat.ogg</x:v>
      </x:c>
      <x:c r="M9" s="19" t="str">
        <x:v>res://resources/audio/shenmu_forest_intermission.ogg</x:v>
      </x:c>
      <x:c r="N9" s="19" t="n">
        <x:v>5</x:v>
      </x:c>
      <x:c r="O9" s="19" t="n">
        <x:f>'第1日'!$B$11</x:f>
        <x:v>0</x:v>
      </x:c>
      <x:c r="P9" s="19" t="str">
        <x:f>'第1日'!$E$11</x:f>
      </x:c>
      <x:c r="Q9" s="19" t="n">
        <x:f>'第1日'!$C$11</x:f>
        <x:v>0</x:v>
      </x:c>
      <x:c r="R9" s="19" t="str">
        <x:f>IF(P9="","",IF(ISNUMBER('第1日'!$D$11),'第1日'!$D$11,IF(VLOOKUP(O9,'敌人目录'!$A$6:$S$54,14,FALSE)&lt;&gt;VLOOKUP(O9,'敌人目录'!$A$6:$S$54,13,FALSE),VLOOKUP(O9,'敌人目录'!$A$6:$S$54,14,FALSE),-1)))</x:f>
      </x:c>
      <x:c r="S9" s="19" t="n">
        <x:f>'第1日'!$U$11</x:f>
        <x:v>0</x:v>
      </x:c>
      <x:c r="T9" s="19" t="str">
        <x:f>'第1日'!$N$3</x:f>
        <x:v>可导入</x:v>
      </x:c>
    </x:row>
    <x:row r="10" ht="22" customHeight="1">
      <x:c r="A10" s="19" t="n">
        <x:v>1</x:v>
      </x:c>
      <x:c r="B10" s="19" t="str">
        <x:v>tower_defense_formal</x:v>
      </x:c>
      <x:c r="C10" s="19" t="str">
        <x:v>wave_01</x:v>
      </x:c>
      <x:c r="D10" s="19" t="n">
        <x:v>1</x:v>
      </x:c>
      <x:c r="E10" s="19" t="n">
        <x:v>1</x:v>
      </x:c>
      <x:c r="F10" s="19" t="n">
        <x:v>1</x:v>
      </x:c>
      <x:c r="G10" s="19" t="str">
        <x:f>'第1日'!$B$3</x:f>
        <x:v>第1波 林地试探</x:v>
      </x:c>
      <x:c r="H10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0" s="19" t="n">
        <x:f>'第1日'!$H$3</x:f>
        <x:v>0.8</x:v>
      </x:c>
      <x:c r="J10" s="19" t="n">
        <x:f>'第1日'!$J$3</x:f>
        <x:v>1</x:v>
      </x:c>
      <x:c r="K10" s="19" t="n">
        <x:f>'第1日'!$L$3</x:f>
        <x:v>24</x:v>
      </x:c>
      <x:c r="L10" s="19" t="str">
        <x:v>res://resources/audio/shenmu_forest_combat.ogg</x:v>
      </x:c>
      <x:c r="M10" s="19" t="str">
        <x:v>res://resources/audio/shenmu_forest_intermission.ogg</x:v>
      </x:c>
      <x:c r="N10" s="19" t="n">
        <x:v>6</x:v>
      </x:c>
      <x:c r="O10" s="19" t="n">
        <x:f>'第1日'!$B$12</x:f>
        <x:v>0</x:v>
      </x:c>
      <x:c r="P10" s="19" t="str">
        <x:f>'第1日'!$E$12</x:f>
      </x:c>
      <x:c r="Q10" s="19" t="n">
        <x:f>'第1日'!$C$12</x:f>
        <x:v>0</x:v>
      </x:c>
      <x:c r="R10" s="19" t="str">
        <x:f>IF(P10="","",IF(ISNUMBER('第1日'!$D$12),'第1日'!$D$12,IF(VLOOKUP(O10,'敌人目录'!$A$6:$S$54,14,FALSE)&lt;&gt;VLOOKUP(O10,'敌人目录'!$A$6:$S$54,13,FALSE),VLOOKUP(O10,'敌人目录'!$A$6:$S$54,14,FALSE),-1)))</x:f>
      </x:c>
      <x:c r="S10" s="19" t="n">
        <x:f>'第1日'!$U$12</x:f>
        <x:v>0</x:v>
      </x:c>
      <x:c r="T10" s="19" t="str">
        <x:f>'第1日'!$N$3</x:f>
        <x:v>可导入</x:v>
      </x:c>
    </x:row>
    <x:row r="11" ht="22" customHeight="1">
      <x:c r="A11" s="19" t="n">
        <x:v>1</x:v>
      </x:c>
      <x:c r="B11" s="19" t="str">
        <x:v>tower_defense_formal</x:v>
      </x:c>
      <x:c r="C11" s="19" t="str">
        <x:v>wave_01</x:v>
      </x:c>
      <x:c r="D11" s="19" t="n">
        <x:v>1</x:v>
      </x:c>
      <x:c r="E11" s="19" t="n">
        <x:v>1</x:v>
      </x:c>
      <x:c r="F11" s="19" t="n">
        <x:v>1</x:v>
      </x:c>
      <x:c r="G11" s="19" t="str">
        <x:f>'第1日'!$B$3</x:f>
        <x:v>第1波 林地试探</x:v>
      </x:c>
      <x:c r="H11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1" s="19" t="n">
        <x:f>'第1日'!$H$3</x:f>
        <x:v>0.8</x:v>
      </x:c>
      <x:c r="J11" s="19" t="n">
        <x:f>'第1日'!$J$3</x:f>
        <x:v>1</x:v>
      </x:c>
      <x:c r="K11" s="19" t="n">
        <x:f>'第1日'!$L$3</x:f>
        <x:v>24</x:v>
      </x:c>
      <x:c r="L11" s="19" t="str">
        <x:v>res://resources/audio/shenmu_forest_combat.ogg</x:v>
      </x:c>
      <x:c r="M11" s="19" t="str">
        <x:v>res://resources/audio/shenmu_forest_intermission.ogg</x:v>
      </x:c>
      <x:c r="N11" s="19" t="n">
        <x:v>7</x:v>
      </x:c>
      <x:c r="O11" s="19" t="n">
        <x:f>'第1日'!$B$13</x:f>
        <x:v>0</x:v>
      </x:c>
      <x:c r="P11" s="19" t="str">
        <x:f>'第1日'!$E$13</x:f>
      </x:c>
      <x:c r="Q11" s="19" t="n">
        <x:f>'第1日'!$C$13</x:f>
        <x:v>0</x:v>
      </x:c>
      <x:c r="R11" s="19" t="str">
        <x:f>IF(P11="","",IF(ISNUMBER('第1日'!$D$13),'第1日'!$D$13,IF(VLOOKUP(O11,'敌人目录'!$A$6:$S$54,14,FALSE)&lt;&gt;VLOOKUP(O11,'敌人目录'!$A$6:$S$54,13,FALSE),VLOOKUP(O11,'敌人目录'!$A$6:$S$54,14,FALSE),-1)))</x:f>
      </x:c>
      <x:c r="S11" s="19" t="n">
        <x:f>'第1日'!$U$13</x:f>
        <x:v>0</x:v>
      </x:c>
      <x:c r="T11" s="19" t="str">
        <x:f>'第1日'!$N$3</x:f>
        <x:v>可导入</x:v>
      </x:c>
    </x:row>
    <x:row r="12" ht="22" customHeight="1">
      <x:c r="A12" s="19" t="n">
        <x:v>1</x:v>
      </x:c>
      <x:c r="B12" s="19" t="str">
        <x:v>tower_defense_formal</x:v>
      </x:c>
      <x:c r="C12" s="19" t="str">
        <x:v>wave_01</x:v>
      </x:c>
      <x:c r="D12" s="19" t="n">
        <x:v>1</x:v>
      </x:c>
      <x:c r="E12" s="19" t="n">
        <x:v>1</x:v>
      </x:c>
      <x:c r="F12" s="19" t="n">
        <x:v>1</x:v>
      </x:c>
      <x:c r="G12" s="19" t="str">
        <x:f>'第1日'!$B$3</x:f>
        <x:v>第1波 林地试探</x:v>
      </x:c>
      <x:c r="H12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2" s="19" t="n">
        <x:f>'第1日'!$H$3</x:f>
        <x:v>0.8</x:v>
      </x:c>
      <x:c r="J12" s="19" t="n">
        <x:f>'第1日'!$J$3</x:f>
        <x:v>1</x:v>
      </x:c>
      <x:c r="K12" s="19" t="n">
        <x:f>'第1日'!$L$3</x:f>
        <x:v>24</x:v>
      </x:c>
      <x:c r="L12" s="19" t="str">
        <x:v>res://resources/audio/shenmu_forest_combat.ogg</x:v>
      </x:c>
      <x:c r="M12" s="19" t="str">
        <x:v>res://resources/audio/shenmu_forest_intermission.ogg</x:v>
      </x:c>
      <x:c r="N12" s="19" t="n">
        <x:v>8</x:v>
      </x:c>
      <x:c r="O12" s="19" t="n">
        <x:f>'第1日'!$B$14</x:f>
        <x:v>0</x:v>
      </x:c>
      <x:c r="P12" s="19" t="str">
        <x:f>'第1日'!$E$14</x:f>
      </x:c>
      <x:c r="Q12" s="19" t="n">
        <x:f>'第1日'!$C$14</x:f>
        <x:v>0</x:v>
      </x:c>
      <x:c r="R12" s="19" t="str">
        <x:f>IF(P12="","",IF(ISNUMBER('第1日'!$D$14),'第1日'!$D$14,IF(VLOOKUP(O12,'敌人目录'!$A$6:$S$54,14,FALSE)&lt;&gt;VLOOKUP(O12,'敌人目录'!$A$6:$S$54,13,FALSE),VLOOKUP(O12,'敌人目录'!$A$6:$S$54,14,FALSE),-1)))</x:f>
      </x:c>
      <x:c r="S12" s="19" t="n">
        <x:f>'第1日'!$U$14</x:f>
        <x:v>0</x:v>
      </x:c>
      <x:c r="T12" s="19" t="str">
        <x:f>'第1日'!$N$3</x:f>
        <x:v>可导入</x:v>
      </x:c>
    </x:row>
    <x:row r="13" ht="22" customHeight="1">
      <x:c r="A13" s="19" t="n">
        <x:v>1</x:v>
      </x:c>
      <x:c r="B13" s="19" t="str">
        <x:v>tower_defense_formal</x:v>
      </x:c>
      <x:c r="C13" s="19" t="str">
        <x:v>wave_01</x:v>
      </x:c>
      <x:c r="D13" s="19" t="n">
        <x:v>1</x:v>
      </x:c>
      <x:c r="E13" s="19" t="n">
        <x:v>1</x:v>
      </x:c>
      <x:c r="F13" s="19" t="n">
        <x:v>1</x:v>
      </x:c>
      <x:c r="G13" s="19" t="str">
        <x:f>'第1日'!$B$3</x:f>
        <x:v>第1波 林地试探</x:v>
      </x:c>
      <x:c r="H13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3" s="19" t="n">
        <x:f>'第1日'!$H$3</x:f>
        <x:v>0.8</x:v>
      </x:c>
      <x:c r="J13" s="19" t="n">
        <x:f>'第1日'!$J$3</x:f>
        <x:v>1</x:v>
      </x:c>
      <x:c r="K13" s="19" t="n">
        <x:f>'第1日'!$L$3</x:f>
        <x:v>24</x:v>
      </x:c>
      <x:c r="L13" s="19" t="str">
        <x:v>res://resources/audio/shenmu_forest_combat.ogg</x:v>
      </x:c>
      <x:c r="M13" s="19" t="str">
        <x:v>res://resources/audio/shenmu_forest_intermission.ogg</x:v>
      </x:c>
      <x:c r="N13" s="19" t="n">
        <x:v>9</x:v>
      </x:c>
      <x:c r="O13" s="19" t="n">
        <x:f>'第1日'!$B$15</x:f>
        <x:v>0</x:v>
      </x:c>
      <x:c r="P13" s="19" t="str">
        <x:f>'第1日'!$E$15</x:f>
      </x:c>
      <x:c r="Q13" s="19" t="n">
        <x:f>'第1日'!$C$15</x:f>
        <x:v>0</x:v>
      </x:c>
      <x:c r="R13" s="19" t="str">
        <x:f>IF(P13="","",IF(ISNUMBER('第1日'!$D$15),'第1日'!$D$15,IF(VLOOKUP(O13,'敌人目录'!$A$6:$S$54,14,FALSE)&lt;&gt;VLOOKUP(O13,'敌人目录'!$A$6:$S$54,13,FALSE),VLOOKUP(O13,'敌人目录'!$A$6:$S$54,14,FALSE),-1)))</x:f>
      </x:c>
      <x:c r="S13" s="19" t="n">
        <x:f>'第1日'!$U$15</x:f>
        <x:v>0</x:v>
      </x:c>
      <x:c r="T13" s="19" t="str">
        <x:f>'第1日'!$N$3</x:f>
        <x:v>可导入</x:v>
      </x:c>
    </x:row>
    <x:row r="14" ht="22" customHeight="1">
      <x:c r="A14" s="19" t="n">
        <x:v>1</x:v>
      </x:c>
      <x:c r="B14" s="19" t="str">
        <x:v>tower_defense_formal</x:v>
      </x:c>
      <x:c r="C14" s="19" t="str">
        <x:v>wave_01</x:v>
      </x:c>
      <x:c r="D14" s="19" t="n">
        <x:v>1</x:v>
      </x:c>
      <x:c r="E14" s="19" t="n">
        <x:v>1</x:v>
      </x:c>
      <x:c r="F14" s="19" t="n">
        <x:v>1</x:v>
      </x:c>
      <x:c r="G14" s="19" t="str">
        <x:f>'第1日'!$B$3</x:f>
        <x:v>第1波 林地试探</x:v>
      </x:c>
      <x:c r="H14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4" s="19" t="n">
        <x:f>'第1日'!$H$3</x:f>
        <x:v>0.8</x:v>
      </x:c>
      <x:c r="J14" s="19" t="n">
        <x:f>'第1日'!$J$3</x:f>
        <x:v>1</x:v>
      </x:c>
      <x:c r="K14" s="19" t="n">
        <x:f>'第1日'!$L$3</x:f>
        <x:v>24</x:v>
      </x:c>
      <x:c r="L14" s="19" t="str">
        <x:v>res://resources/audio/shenmu_forest_combat.ogg</x:v>
      </x:c>
      <x:c r="M14" s="19" t="str">
        <x:v>res://resources/audio/shenmu_forest_intermission.ogg</x:v>
      </x:c>
      <x:c r="N14" s="19" t="n">
        <x:v>10</x:v>
      </x:c>
      <x:c r="O14" s="19" t="n">
        <x:f>'第1日'!$B$16</x:f>
        <x:v>0</x:v>
      </x:c>
      <x:c r="P14" s="19" t="str">
        <x:f>'第1日'!$E$16</x:f>
      </x:c>
      <x:c r="Q14" s="19" t="n">
        <x:f>'第1日'!$C$16</x:f>
        <x:v>0</x:v>
      </x:c>
      <x:c r="R14" s="19" t="str">
        <x:f>IF(P14="","",IF(ISNUMBER('第1日'!$D$16),'第1日'!$D$16,IF(VLOOKUP(O14,'敌人目录'!$A$6:$S$54,14,FALSE)&lt;&gt;VLOOKUP(O14,'敌人目录'!$A$6:$S$54,13,FALSE),VLOOKUP(O14,'敌人目录'!$A$6:$S$54,14,FALSE),-1)))</x:f>
      </x:c>
      <x:c r="S14" s="19" t="n">
        <x:f>'第1日'!$U$16</x:f>
        <x:v>0</x:v>
      </x:c>
      <x:c r="T14" s="19" t="str">
        <x:f>'第1日'!$N$3</x:f>
        <x:v>可导入</x:v>
      </x:c>
    </x:row>
    <x:row r="15" ht="22" customHeight="1">
      <x:c r="A15" s="19" t="n">
        <x:v>1</x:v>
      </x:c>
      <x:c r="B15" s="19" t="str">
        <x:v>tower_defense_formal</x:v>
      </x:c>
      <x:c r="C15" s="19" t="str">
        <x:v>wave_01</x:v>
      </x:c>
      <x:c r="D15" s="19" t="n">
        <x:v>1</x:v>
      </x:c>
      <x:c r="E15" s="19" t="n">
        <x:v>1</x:v>
      </x:c>
      <x:c r="F15" s="19" t="n">
        <x:v>1</x:v>
      </x:c>
      <x:c r="G15" s="19" t="str">
        <x:f>'第1日'!$B$3</x:f>
        <x:v>第1波 林地试探</x:v>
      </x:c>
      <x:c r="H15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5" s="19" t="n">
        <x:f>'第1日'!$H$3</x:f>
        <x:v>0.8</x:v>
      </x:c>
      <x:c r="J15" s="19" t="n">
        <x:f>'第1日'!$J$3</x:f>
        <x:v>1</x:v>
      </x:c>
      <x:c r="K15" s="19" t="n">
        <x:f>'第1日'!$L$3</x:f>
        <x:v>24</x:v>
      </x:c>
      <x:c r="L15" s="19" t="str">
        <x:v>res://resources/audio/shenmu_forest_combat.ogg</x:v>
      </x:c>
      <x:c r="M15" s="19" t="str">
        <x:v>res://resources/audio/shenmu_forest_intermission.ogg</x:v>
      </x:c>
      <x:c r="N15" s="19" t="n">
        <x:v>11</x:v>
      </x:c>
      <x:c r="O15" s="19" t="n">
        <x:f>'第1日'!$B$17</x:f>
        <x:v>0</x:v>
      </x:c>
      <x:c r="P15" s="19" t="str">
        <x:f>'第1日'!$E$17</x:f>
      </x:c>
      <x:c r="Q15" s="19" t="n">
        <x:f>'第1日'!$C$17</x:f>
        <x:v>0</x:v>
      </x:c>
      <x:c r="R15" s="19" t="str">
        <x:f>IF(P15="","",IF(ISNUMBER('第1日'!$D$17),'第1日'!$D$17,IF(VLOOKUP(O15,'敌人目录'!$A$6:$S$54,14,FALSE)&lt;&gt;VLOOKUP(O15,'敌人目录'!$A$6:$S$54,13,FALSE),VLOOKUP(O15,'敌人目录'!$A$6:$S$54,14,FALSE),-1)))</x:f>
      </x:c>
      <x:c r="S15" s="19" t="n">
        <x:f>'第1日'!$U$17</x:f>
        <x:v>0</x:v>
      </x:c>
      <x:c r="T15" s="19" t="str">
        <x:f>'第1日'!$N$3</x:f>
        <x:v>可导入</x:v>
      </x:c>
    </x:row>
    <x:row r="16" ht="22" customHeight="1">
      <x:c r="A16" s="19" t="n">
        <x:v>1</x:v>
      </x:c>
      <x:c r="B16" s="19" t="str">
        <x:v>tower_defense_formal</x:v>
      </x:c>
      <x:c r="C16" s="19" t="str">
        <x:v>wave_01</x:v>
      </x:c>
      <x:c r="D16" s="19" t="n">
        <x:v>1</x:v>
      </x:c>
      <x:c r="E16" s="19" t="n">
        <x:v>1</x:v>
      </x:c>
      <x:c r="F16" s="19" t="n">
        <x:v>1</x:v>
      </x:c>
      <x:c r="G16" s="19" t="str">
        <x:f>'第1日'!$B$3</x:f>
        <x:v>第1波 林地试探</x:v>
      </x:c>
      <x:c r="H16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6" s="19" t="n">
        <x:f>'第1日'!$H$3</x:f>
        <x:v>0.8</x:v>
      </x:c>
      <x:c r="J16" s="19" t="n">
        <x:f>'第1日'!$J$3</x:f>
        <x:v>1</x:v>
      </x:c>
      <x:c r="K16" s="19" t="n">
        <x:f>'第1日'!$L$3</x:f>
        <x:v>24</x:v>
      </x:c>
      <x:c r="L16" s="19" t="str">
        <x:v>res://resources/audio/shenmu_forest_combat.ogg</x:v>
      </x:c>
      <x:c r="M16" s="19" t="str">
        <x:v>res://resources/audio/shenmu_forest_intermission.ogg</x:v>
      </x:c>
      <x:c r="N16" s="19" t="n">
        <x:v>12</x:v>
      </x:c>
      <x:c r="O16" s="19" t="n">
        <x:f>'第1日'!$B$18</x:f>
        <x:v>0</x:v>
      </x:c>
      <x:c r="P16" s="19" t="str">
        <x:f>'第1日'!$E$18</x:f>
      </x:c>
      <x:c r="Q16" s="19" t="n">
        <x:f>'第1日'!$C$18</x:f>
        <x:v>0</x:v>
      </x:c>
      <x:c r="R16" s="19" t="str">
        <x:f>IF(P16="","",IF(ISNUMBER('第1日'!$D$18),'第1日'!$D$18,IF(VLOOKUP(O16,'敌人目录'!$A$6:$S$54,14,FALSE)&lt;&gt;VLOOKUP(O16,'敌人目录'!$A$6:$S$54,13,FALSE),VLOOKUP(O16,'敌人目录'!$A$6:$S$54,14,FALSE),-1)))</x:f>
      </x:c>
      <x:c r="S16" s="19" t="n">
        <x:f>'第1日'!$U$18</x:f>
        <x:v>0</x:v>
      </x:c>
      <x:c r="T16" s="19" t="str">
        <x:f>'第1日'!$N$3</x:f>
        <x:v>可导入</x:v>
      </x:c>
    </x:row>
    <x:row r="17" ht="22" customHeight="1">
      <x:c r="A17" s="19" t="n">
        <x:v>1</x:v>
      </x:c>
      <x:c r="B17" s="19" t="str">
        <x:v>tower_defense_formal</x:v>
      </x:c>
      <x:c r="C17" s="19" t="str">
        <x:v>wave_01</x:v>
      </x:c>
      <x:c r="D17" s="19" t="n">
        <x:v>1</x:v>
      </x:c>
      <x:c r="E17" s="19" t="n">
        <x:v>1</x:v>
      </x:c>
      <x:c r="F17" s="19" t="n">
        <x:v>1</x:v>
      </x:c>
      <x:c r="G17" s="19" t="str">
        <x:f>'第1日'!$B$3</x:f>
        <x:v>第1波 林地试探</x:v>
      </x:c>
      <x:c r="H17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7" s="19" t="n">
        <x:f>'第1日'!$H$3</x:f>
        <x:v>0.8</x:v>
      </x:c>
      <x:c r="J17" s="19" t="n">
        <x:f>'第1日'!$J$3</x:f>
        <x:v>1</x:v>
      </x:c>
      <x:c r="K17" s="19" t="n">
        <x:f>'第1日'!$L$3</x:f>
        <x:v>24</x:v>
      </x:c>
      <x:c r="L17" s="19" t="str">
        <x:v>res://resources/audio/shenmu_forest_combat.ogg</x:v>
      </x:c>
      <x:c r="M17" s="19" t="str">
        <x:v>res://resources/audio/shenmu_forest_intermission.ogg</x:v>
      </x:c>
      <x:c r="N17" s="19" t="n">
        <x:v>13</x:v>
      </x:c>
      <x:c r="O17" s="19" t="n">
        <x:f>'第1日'!$B$19</x:f>
        <x:v>0</x:v>
      </x:c>
      <x:c r="P17" s="19" t="str">
        <x:f>'第1日'!$E$19</x:f>
      </x:c>
      <x:c r="Q17" s="19" t="n">
        <x:f>'第1日'!$C$19</x:f>
        <x:v>0</x:v>
      </x:c>
      <x:c r="R17" s="19" t="str">
        <x:f>IF(P17="","",IF(ISNUMBER('第1日'!$D$19),'第1日'!$D$19,IF(VLOOKUP(O17,'敌人目录'!$A$6:$S$54,14,FALSE)&lt;&gt;VLOOKUP(O17,'敌人目录'!$A$6:$S$54,13,FALSE),VLOOKUP(O17,'敌人目录'!$A$6:$S$54,14,FALSE),-1)))</x:f>
      </x:c>
      <x:c r="S17" s="19" t="n">
        <x:f>'第1日'!$U$19</x:f>
        <x:v>0</x:v>
      </x:c>
      <x:c r="T17" s="19" t="str">
        <x:f>'第1日'!$N$3</x:f>
        <x:v>可导入</x:v>
      </x:c>
    </x:row>
    <x:row r="18" ht="22" customHeight="1">
      <x:c r="A18" s="19" t="n">
        <x:v>1</x:v>
      </x:c>
      <x:c r="B18" s="19" t="str">
        <x:v>tower_defense_formal</x:v>
      </x:c>
      <x:c r="C18" s="19" t="str">
        <x:v>wave_01</x:v>
      </x:c>
      <x:c r="D18" s="19" t="n">
        <x:v>1</x:v>
      </x:c>
      <x:c r="E18" s="19" t="n">
        <x:v>1</x:v>
      </x:c>
      <x:c r="F18" s="19" t="n">
        <x:v>1</x:v>
      </x:c>
      <x:c r="G18" s="19" t="str">
        <x:f>'第1日'!$B$3</x:f>
        <x:v>第1波 林地试探</x:v>
      </x:c>
      <x:c r="H18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8" s="19" t="n">
        <x:f>'第1日'!$H$3</x:f>
        <x:v>0.8</x:v>
      </x:c>
      <x:c r="J18" s="19" t="n">
        <x:f>'第1日'!$J$3</x:f>
        <x:v>1</x:v>
      </x:c>
      <x:c r="K18" s="19" t="n">
        <x:f>'第1日'!$L$3</x:f>
        <x:v>24</x:v>
      </x:c>
      <x:c r="L18" s="19" t="str">
        <x:v>res://resources/audio/shenmu_forest_combat.ogg</x:v>
      </x:c>
      <x:c r="M18" s="19" t="str">
        <x:v>res://resources/audio/shenmu_forest_intermission.ogg</x:v>
      </x:c>
      <x:c r="N18" s="19" t="n">
        <x:v>14</x:v>
      </x:c>
      <x:c r="O18" s="19" t="n">
        <x:f>'第1日'!$B$20</x:f>
        <x:v>0</x:v>
      </x:c>
      <x:c r="P18" s="19" t="str">
        <x:f>'第1日'!$E$20</x:f>
      </x:c>
      <x:c r="Q18" s="19" t="n">
        <x:f>'第1日'!$C$20</x:f>
        <x:v>0</x:v>
      </x:c>
      <x:c r="R18" s="19" t="str">
        <x:f>IF(P18="","",IF(ISNUMBER('第1日'!$D$20),'第1日'!$D$20,IF(VLOOKUP(O18,'敌人目录'!$A$6:$S$54,14,FALSE)&lt;&gt;VLOOKUP(O18,'敌人目录'!$A$6:$S$54,13,FALSE),VLOOKUP(O18,'敌人目录'!$A$6:$S$54,14,FALSE),-1)))</x:f>
      </x:c>
      <x:c r="S18" s="19" t="n">
        <x:f>'第1日'!$U$20</x:f>
        <x:v>0</x:v>
      </x:c>
      <x:c r="T18" s="19" t="str">
        <x:f>'第1日'!$N$3</x:f>
        <x:v>可导入</x:v>
      </x:c>
    </x:row>
    <x:row r="19" ht="22" customHeight="1">
      <x:c r="A19" s="19" t="n">
        <x:v>1</x:v>
      </x:c>
      <x:c r="B19" s="19" t="str">
        <x:v>tower_defense_formal</x:v>
      </x:c>
      <x:c r="C19" s="19" t="str">
        <x:v>wave_01</x:v>
      </x:c>
      <x:c r="D19" s="19" t="n">
        <x:v>1</x:v>
      </x:c>
      <x:c r="E19" s="19" t="n">
        <x:v>1</x:v>
      </x:c>
      <x:c r="F19" s="19" t="n">
        <x:v>1</x:v>
      </x:c>
      <x:c r="G19" s="19" t="str">
        <x:f>'第1日'!$B$3</x:f>
        <x:v>第1波 林地试探</x:v>
      </x:c>
      <x:c r="H19" s="19" t="n">
        <x:f>IF('第1日'!$B$4="开启",1,0)+IF('第1日'!$C$4="开启",2,0)+IF('第1日'!$D$4="开启",4,0)+IF('第1日'!$E$4="开启",8,0)+IF('第1日'!$F$4="开启",16,0)+IF('第1日'!$G$4="开启",32,0)</x:f>
        <x:v>63</x:v>
      </x:c>
      <x:c r="I19" s="19" t="n">
        <x:f>'第1日'!$H$3</x:f>
        <x:v>0.8</x:v>
      </x:c>
      <x:c r="J19" s="19" t="n">
        <x:f>'第1日'!$J$3</x:f>
        <x:v>1</x:v>
      </x:c>
      <x:c r="K19" s="19" t="n">
        <x:f>'第1日'!$L$3</x:f>
        <x:v>24</x:v>
      </x:c>
      <x:c r="L19" s="19" t="str">
        <x:v>res://resources/audio/shenmu_forest_combat.ogg</x:v>
      </x:c>
      <x:c r="M19" s="19" t="str">
        <x:v>res://resources/audio/shenmu_forest_intermission.ogg</x:v>
      </x:c>
      <x:c r="N19" s="19" t="n">
        <x:v>15</x:v>
      </x:c>
      <x:c r="O19" s="19" t="n">
        <x:f>'第1日'!$B$21</x:f>
        <x:v>0</x:v>
      </x:c>
      <x:c r="P19" s="19" t="str">
        <x:f>'第1日'!$E$21</x:f>
      </x:c>
      <x:c r="Q19" s="19" t="n">
        <x:f>'第1日'!$C$21</x:f>
        <x:v>0</x:v>
      </x:c>
      <x:c r="R19" s="19" t="str">
        <x:f>IF(P19="","",IF(ISNUMBER('第1日'!$D$21),'第1日'!$D$21,IF(VLOOKUP(O19,'敌人目录'!$A$6:$S$54,14,FALSE)&lt;&gt;VLOOKUP(O19,'敌人目录'!$A$6:$S$54,13,FALSE),VLOOKUP(O19,'敌人目录'!$A$6:$S$54,14,FALSE),-1)))</x:f>
      </x:c>
      <x:c r="S19" s="19" t="n">
        <x:f>'第1日'!$U$21</x:f>
        <x:v>0</x:v>
      </x:c>
      <x:c r="T19" s="19" t="str">
        <x:f>'第1日'!$N$3</x:f>
        <x:v>可导入</x:v>
      </x:c>
    </x:row>
    <x:row r="20" ht="22" customHeight="1">
      <x:c r="A20" s="19" t="n">
        <x:v>1</x:v>
      </x:c>
      <x:c r="B20" s="19" t="str">
        <x:v>tower_defense_formal</x:v>
      </x:c>
      <x:c r="C20" s="19" t="str">
        <x:v>wave_01</x:v>
      </x:c>
      <x:c r="D20" s="19" t="n">
        <x:v>1</x:v>
      </x:c>
      <x:c r="E20" s="19" t="n">
        <x:v>1</x:v>
      </x:c>
      <x:c r="F20" s="19" t="n">
        <x:v>1</x:v>
      </x:c>
      <x:c r="G20" s="19" t="str">
        <x:f>'第1日'!$B$3</x:f>
        <x:v>第1波 林地试探</x:v>
      </x:c>
      <x:c r="H20" s="19" t="n">
        <x:f>IF('第1日'!$B$4="开启",1,0)+IF('第1日'!$C$4="开启",2,0)+IF('第1日'!$D$4="开启",4,0)+IF('第1日'!$E$4="开启",8,0)+IF('第1日'!$F$4="开启",16,0)+IF('第1日'!$G$4="开启",32,0)</x:f>
        <x:v>63</x:v>
      </x:c>
      <x:c r="I20" s="19" t="n">
        <x:f>'第1日'!$H$3</x:f>
        <x:v>0.8</x:v>
      </x:c>
      <x:c r="J20" s="19" t="n">
        <x:f>'第1日'!$J$3</x:f>
        <x:v>1</x:v>
      </x:c>
      <x:c r="K20" s="19" t="n">
        <x:f>'第1日'!$L$3</x:f>
        <x:v>24</x:v>
      </x:c>
      <x:c r="L20" s="19" t="str">
        <x:v>res://resources/audio/shenmu_forest_combat.ogg</x:v>
      </x:c>
      <x:c r="M20" s="19" t="str">
        <x:v>res://resources/audio/shenmu_forest_intermission.ogg</x:v>
      </x:c>
      <x:c r="N20" s="19" t="n">
        <x:v>16</x:v>
      </x:c>
      <x:c r="O20" s="19" t="n">
        <x:f>'第1日'!$B$22</x:f>
        <x:v>0</x:v>
      </x:c>
      <x:c r="P20" s="19" t="str">
        <x:f>'第1日'!$E$22</x:f>
      </x:c>
      <x:c r="Q20" s="19" t="n">
        <x:f>'第1日'!$C$22</x:f>
        <x:v>0</x:v>
      </x:c>
      <x:c r="R20" s="19" t="str">
        <x:f>IF(P20="","",IF(ISNUMBER('第1日'!$D$22),'第1日'!$D$22,IF(VLOOKUP(O20,'敌人目录'!$A$6:$S$54,14,FALSE)&lt;&gt;VLOOKUP(O20,'敌人目录'!$A$6:$S$54,13,FALSE),VLOOKUP(O20,'敌人目录'!$A$6:$S$54,14,FALSE),-1)))</x:f>
      </x:c>
      <x:c r="S20" s="19" t="n">
        <x:f>'第1日'!$U$22</x:f>
        <x:v>0</x:v>
      </x:c>
      <x:c r="T20" s="19" t="str">
        <x:f>'第1日'!$N$3</x:f>
        <x:v>可导入</x:v>
      </x:c>
    </x:row>
    <x:row r="21" ht="22" customHeight="1">
      <x:c r="A21" s="19" t="n">
        <x:v>1</x:v>
      </x:c>
      <x:c r="B21" s="19" t="str">
        <x:v>tower_defense_formal</x:v>
      </x:c>
      <x:c r="C21" s="19" t="str">
        <x:v>wave_01</x:v>
      </x:c>
      <x:c r="D21" s="19" t="n">
        <x:v>1</x:v>
      </x:c>
      <x:c r="E21" s="19" t="n">
        <x:v>1</x:v>
      </x:c>
      <x:c r="F21" s="19" t="n">
        <x:v>1</x:v>
      </x:c>
      <x:c r="G21" s="19" t="str">
        <x:f>'第1日'!$B$3</x:f>
        <x:v>第1波 林地试探</x:v>
      </x:c>
      <x:c r="H21" s="19" t="n">
        <x:f>IF('第1日'!$B$4="开启",1,0)+IF('第1日'!$C$4="开启",2,0)+IF('第1日'!$D$4="开启",4,0)+IF('第1日'!$E$4="开启",8,0)+IF('第1日'!$F$4="开启",16,0)+IF('第1日'!$G$4="开启",32,0)</x:f>
        <x:v>63</x:v>
      </x:c>
      <x:c r="I21" s="19" t="n">
        <x:f>'第1日'!$H$3</x:f>
        <x:v>0.8</x:v>
      </x:c>
      <x:c r="J21" s="19" t="n">
        <x:f>'第1日'!$J$3</x:f>
        <x:v>1</x:v>
      </x:c>
      <x:c r="K21" s="19" t="n">
        <x:f>'第1日'!$L$3</x:f>
        <x:v>24</x:v>
      </x:c>
      <x:c r="L21" s="19" t="str">
        <x:v>res://resources/audio/shenmu_forest_combat.ogg</x:v>
      </x:c>
      <x:c r="M21" s="19" t="str">
        <x:v>res://resources/audio/shenmu_forest_intermission.ogg</x:v>
      </x:c>
      <x:c r="N21" s="19" t="n">
        <x:v>17</x:v>
      </x:c>
      <x:c r="O21" s="19" t="n">
        <x:f>'第1日'!$B$23</x:f>
        <x:v>0</x:v>
      </x:c>
      <x:c r="P21" s="19" t="str">
        <x:f>'第1日'!$E$23</x:f>
      </x:c>
      <x:c r="Q21" s="19" t="n">
        <x:f>'第1日'!$C$23</x:f>
        <x:v>0</x:v>
      </x:c>
      <x:c r="R21" s="19" t="str">
        <x:f>IF(P21="","",IF(ISNUMBER('第1日'!$D$23),'第1日'!$D$23,IF(VLOOKUP(O21,'敌人目录'!$A$6:$S$54,14,FALSE)&lt;&gt;VLOOKUP(O21,'敌人目录'!$A$6:$S$54,13,FALSE),VLOOKUP(O21,'敌人目录'!$A$6:$S$54,14,FALSE),-1)))</x:f>
      </x:c>
      <x:c r="S21" s="19" t="n">
        <x:f>'第1日'!$U$23</x:f>
        <x:v>0</x:v>
      </x:c>
      <x:c r="T21" s="19" t="str">
        <x:f>'第1日'!$N$3</x:f>
        <x:v>可导入</x:v>
      </x:c>
    </x:row>
    <x:row r="22" ht="22" customHeight="1">
      <x:c r="A22" s="19" t="n">
        <x:v>1</x:v>
      </x:c>
      <x:c r="B22" s="19" t="str">
        <x:v>tower_defense_formal</x:v>
      </x:c>
      <x:c r="C22" s="19" t="str">
        <x:v>wave_01</x:v>
      </x:c>
      <x:c r="D22" s="19" t="n">
        <x:v>1</x:v>
      </x:c>
      <x:c r="E22" s="19" t="n">
        <x:v>1</x:v>
      </x:c>
      <x:c r="F22" s="19" t="n">
        <x:v>1</x:v>
      </x:c>
      <x:c r="G22" s="19" t="str">
        <x:f>'第1日'!$B$3</x:f>
        <x:v>第1波 林地试探</x:v>
      </x:c>
      <x:c r="H22" s="19" t="n">
        <x:f>IF('第1日'!$B$4="开启",1,0)+IF('第1日'!$C$4="开启",2,0)+IF('第1日'!$D$4="开启",4,0)+IF('第1日'!$E$4="开启",8,0)+IF('第1日'!$F$4="开启",16,0)+IF('第1日'!$G$4="开启",32,0)</x:f>
        <x:v>63</x:v>
      </x:c>
      <x:c r="I22" s="19" t="n">
        <x:f>'第1日'!$H$3</x:f>
        <x:v>0.8</x:v>
      </x:c>
      <x:c r="J22" s="19" t="n">
        <x:f>'第1日'!$J$3</x:f>
        <x:v>1</x:v>
      </x:c>
      <x:c r="K22" s="19" t="n">
        <x:f>'第1日'!$L$3</x:f>
        <x:v>24</x:v>
      </x:c>
      <x:c r="L22" s="19" t="str">
        <x:v>res://resources/audio/shenmu_forest_combat.ogg</x:v>
      </x:c>
      <x:c r="M22" s="19" t="str">
        <x:v>res://resources/audio/shenmu_forest_intermission.ogg</x:v>
      </x:c>
      <x:c r="N22" s="19" t="n">
        <x:v>18</x:v>
      </x:c>
      <x:c r="O22" s="19" t="n">
        <x:f>'第1日'!$B$24</x:f>
        <x:v>0</x:v>
      </x:c>
      <x:c r="P22" s="19" t="n">
        <x:f>'第1日'!$E$24</x:f>
        <x:v>0</x:v>
      </x:c>
      <x:c r="Q22" s="19" t="n">
        <x:f>'第1日'!$C$24</x:f>
        <x:v>0</x:v>
      </x:c>
      <x:c r="R22" s="19" t="str">
        <x:f>IF(P22="","",IF(ISNUMBER('第1日'!$D$24),'第1日'!$D$24,IF(VLOOKUP(O22,'敌人目录'!$A$6:$S$54,14,FALSE)&lt;&gt;VLOOKUP(O22,'敌人目录'!$A$6:$S$54,13,FALSE),VLOOKUP(O22,'敌人目录'!$A$6:$S$54,14,FALSE),-1)))</x:f>
      </x:c>
      <x:c r="S22" s="19" t="n">
        <x:f>'第1日'!$U$24</x:f>
        <x:v>0</x:v>
      </x:c>
      <x:c r="T22" s="19" t="str">
        <x:f>'第1日'!$N$3</x:f>
        <x:v>可导入</x:v>
      </x:c>
    </x:row>
    <x:row r="23" ht="22" customHeight="1">
      <x:c r="A23" s="19" t="n">
        <x:v>1</x:v>
      </x:c>
      <x:c r="B23" s="19" t="str">
        <x:v>tower_defense_formal</x:v>
      </x:c>
      <x:c r="C23" s="19" t="str">
        <x:v>wave_02</x:v>
      </x:c>
      <x:c r="D23" s="19" t="n">
        <x:v>2</x:v>
      </x:c>
      <x:c r="E23" s="19" t="n">
        <x:v>1</x:v>
      </x:c>
      <x:c r="F23" s="19" t="n">
        <x:v>2</x:v>
      </x:c>
      <x:c r="G23" s="19" t="str">
        <x:f>'第1日'!$B$32</x:f>
        <x:v>第2波 迅影与硬壳</x:v>
      </x:c>
      <x:c r="H23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23" s="19" t="n">
        <x:f>'第1日'!$H$32</x:f>
        <x:v>0.7</x:v>
      </x:c>
      <x:c r="J23" s="19" t="n">
        <x:f>'第1日'!$J$32</x:f>
        <x:v>1</x:v>
      </x:c>
      <x:c r="K23" s="19" t="n">
        <x:f>'第1日'!$L$32</x:f>
        <x:v>32</x:v>
      </x:c>
      <x:c r="L23" s="19" t="str">
        <x:v>res://resources/audio/shenmu_forest_combat.ogg</x:v>
      </x:c>
      <x:c r="M23" s="19" t="str">
        <x:v>res://resources/audio/shenmu_forest_intermission.ogg</x:v>
      </x:c>
      <x:c r="N23" s="19" t="n">
        <x:v>1</x:v>
      </x:c>
      <x:c r="O23" s="19" t="str">
        <x:f>'第1日'!$B$36</x:f>
        <x:v>yuanshi_insect_basic｜普通原石虫</x:v>
      </x:c>
      <x:c r="P23" s="19" t="str">
        <x:f>'第1日'!$E$36</x:f>
        <x:v>yuanshi_insect_basic</x:v>
      </x:c>
      <x:c r="Q23" s="19" t="n">
        <x:f>'第1日'!$C$36</x:f>
        <x:v>22</x:v>
      </x:c>
      <x:c r="R23" s="19" t="n">
        <x:f>IF(P23="","",IF(ISNUMBER('第1日'!$D$36),'第1日'!$D$36,IF(VLOOKUP(O23,'敌人目录'!$A$6:$S$54,14,FALSE)&lt;&gt;VLOOKUP(O23,'敌人目录'!$A$6:$S$54,13,FALSE),VLOOKUP(O23,'敌人目录'!$A$6:$S$54,14,FALSE),-1)))</x:f>
        <x:v>-1</x:v>
      </x:c>
      <x:c r="S23" s="19" t="str">
        <x:f>'第1日'!$U$36</x:f>
        <x:v>可导入</x:v>
      </x:c>
      <x:c r="T23" s="19" t="str">
        <x:f>'第1日'!$N$32</x:f>
        <x:v>可导入</x:v>
      </x:c>
    </x:row>
    <x:row r="24" ht="22" customHeight="1">
      <x:c r="A24" s="19" t="n">
        <x:v>1</x:v>
      </x:c>
      <x:c r="B24" s="19" t="str">
        <x:v>tower_defense_formal</x:v>
      </x:c>
      <x:c r="C24" s="19" t="str">
        <x:v>wave_02</x:v>
      </x:c>
      <x:c r="D24" s="19" t="n">
        <x:v>2</x:v>
      </x:c>
      <x:c r="E24" s="19" t="n">
        <x:v>1</x:v>
      </x:c>
      <x:c r="F24" s="19" t="n">
        <x:v>2</x:v>
      </x:c>
      <x:c r="G24" s="19" t="str">
        <x:f>'第1日'!$B$32</x:f>
        <x:v>第2波 迅影与硬壳</x:v>
      </x:c>
      <x:c r="H24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24" s="19" t="n">
        <x:f>'第1日'!$H$32</x:f>
        <x:v>0.7</x:v>
      </x:c>
      <x:c r="J24" s="19" t="n">
        <x:f>'第1日'!$J$32</x:f>
        <x:v>1</x:v>
      </x:c>
      <x:c r="K24" s="19" t="n">
        <x:f>'第1日'!$L$32</x:f>
        <x:v>32</x:v>
      </x:c>
      <x:c r="L24" s="19" t="str">
        <x:v>res://resources/audio/shenmu_forest_combat.ogg</x:v>
      </x:c>
      <x:c r="M24" s="19" t="str">
        <x:v>res://resources/audio/shenmu_forest_intermission.ogg</x:v>
      </x:c>
      <x:c r="N24" s="19" t="n">
        <x:v>2</x:v>
      </x:c>
      <x:c r="O24" s="19" t="str">
        <x:f>'第1日'!$B$37</x:f>
        <x:v>yuanshi_insect_fast｜迅捷原石虫</x:v>
      </x:c>
      <x:c r="P24" s="19" t="str">
        <x:f>'第1日'!$E$37</x:f>
        <x:v>yuanshi_insect_fast</x:v>
      </x:c>
      <x:c r="Q24" s="19" t="n">
        <x:f>'第1日'!$C$37</x:f>
        <x:v>8</x:v>
      </x:c>
      <x:c r="R24" s="19" t="n">
        <x:f>IF(P24="","",IF(ISNUMBER('第1日'!$D$37),'第1日'!$D$37,IF(VLOOKUP(O24,'敌人目录'!$A$6:$S$54,14,FALSE)&lt;&gt;VLOOKUP(O24,'敌人目录'!$A$6:$S$54,13,FALSE),VLOOKUP(O24,'敌人目录'!$A$6:$S$54,14,FALSE),-1)))</x:f>
        <x:v>-1</x:v>
      </x:c>
      <x:c r="S24" s="19" t="str">
        <x:f>'第1日'!$U$37</x:f>
        <x:v>可导入</x:v>
      </x:c>
      <x:c r="T24" s="19" t="str">
        <x:f>'第1日'!$N$32</x:f>
        <x:v>可导入</x:v>
      </x:c>
    </x:row>
    <x:row r="25" ht="22" customHeight="1">
      <x:c r="A25" s="19" t="n">
        <x:v>1</x:v>
      </x:c>
      <x:c r="B25" s="19" t="str">
        <x:v>tower_defense_formal</x:v>
      </x:c>
      <x:c r="C25" s="19" t="str">
        <x:v>wave_02</x:v>
      </x:c>
      <x:c r="D25" s="19" t="n">
        <x:v>2</x:v>
      </x:c>
      <x:c r="E25" s="19" t="n">
        <x:v>1</x:v>
      </x:c>
      <x:c r="F25" s="19" t="n">
        <x:v>2</x:v>
      </x:c>
      <x:c r="G25" s="19" t="str">
        <x:f>'第1日'!$B$32</x:f>
        <x:v>第2波 迅影与硬壳</x:v>
      </x:c>
      <x:c r="H25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25" s="19" t="n">
        <x:f>'第1日'!$H$32</x:f>
        <x:v>0.7</x:v>
      </x:c>
      <x:c r="J25" s="19" t="n">
        <x:f>'第1日'!$J$32</x:f>
        <x:v>1</x:v>
      </x:c>
      <x:c r="K25" s="19" t="n">
        <x:f>'第1日'!$L$32</x:f>
        <x:v>32</x:v>
      </x:c>
      <x:c r="L25" s="19" t="str">
        <x:v>res://resources/audio/shenmu_forest_combat.ogg</x:v>
      </x:c>
      <x:c r="M25" s="19" t="str">
        <x:v>res://resources/audio/shenmu_forest_intermission.ogg</x:v>
      </x:c>
      <x:c r="N25" s="19" t="n">
        <x:v>3</x:v>
      </x:c>
      <x:c r="O25" s="19" t="str">
        <x:f>'第1日'!$B$38</x:f>
        <x:v>yuanshi_insect_shell｜硬壳原石虫</x:v>
      </x:c>
      <x:c r="P25" s="19" t="str">
        <x:f>'第1日'!$E$38</x:f>
        <x:v>yuanshi_insect_shell</x:v>
      </x:c>
      <x:c r="Q25" s="19" t="n">
        <x:f>'第1日'!$C$38</x:f>
        <x:v>6</x:v>
      </x:c>
      <x:c r="R25" s="19" t="n">
        <x:f>IF(P25="","",IF(ISNUMBER('第1日'!$D$38),'第1日'!$D$38,IF(VLOOKUP(O25,'敌人目录'!$A$6:$S$54,14,FALSE)&lt;&gt;VLOOKUP(O25,'敌人目录'!$A$6:$S$54,13,FALSE),VLOOKUP(O25,'敌人目录'!$A$6:$S$54,14,FALSE),-1)))</x:f>
        <x:v>-1</x:v>
      </x:c>
      <x:c r="S25" s="19" t="str">
        <x:f>'第1日'!$U$38</x:f>
        <x:v>可导入</x:v>
      </x:c>
      <x:c r="T25" s="19" t="str">
        <x:f>'第1日'!$N$32</x:f>
        <x:v>可导入</x:v>
      </x:c>
    </x:row>
    <x:row r="26" ht="22" customHeight="1">
      <x:c r="A26" s="19" t="n">
        <x:v>1</x:v>
      </x:c>
      <x:c r="B26" s="19" t="str">
        <x:v>tower_defense_formal</x:v>
      </x:c>
      <x:c r="C26" s="19" t="str">
        <x:v>wave_02</x:v>
      </x:c>
      <x:c r="D26" s="19" t="n">
        <x:v>2</x:v>
      </x:c>
      <x:c r="E26" s="19" t="n">
        <x:v>1</x:v>
      </x:c>
      <x:c r="F26" s="19" t="n">
        <x:v>2</x:v>
      </x:c>
      <x:c r="G26" s="19" t="str">
        <x:f>'第1日'!$B$32</x:f>
        <x:v>第2波 迅影与硬壳</x:v>
      </x:c>
      <x:c r="H26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26" s="19" t="n">
        <x:f>'第1日'!$H$32</x:f>
        <x:v>0.7</x:v>
      </x:c>
      <x:c r="J26" s="19" t="n">
        <x:f>'第1日'!$J$32</x:f>
        <x:v>1</x:v>
      </x:c>
      <x:c r="K26" s="19" t="n">
        <x:f>'第1日'!$L$32</x:f>
        <x:v>32</x:v>
      </x:c>
      <x:c r="L26" s="19" t="str">
        <x:v>res://resources/audio/shenmu_forest_combat.ogg</x:v>
      </x:c>
      <x:c r="M26" s="19" t="str">
        <x:v>res://resources/audio/shenmu_forest_intermission.ogg</x:v>
      </x:c>
      <x:c r="N26" s="19" t="n">
        <x:v>4</x:v>
      </x:c>
      <x:c r="O26" s="19" t="n">
        <x:f>'第1日'!$B$39</x:f>
        <x:v>0</x:v>
      </x:c>
      <x:c r="P26" s="19" t="str">
        <x:f>'第1日'!$E$39</x:f>
      </x:c>
      <x:c r="Q26" s="19" t="n">
        <x:f>'第1日'!$C$39</x:f>
        <x:v>0</x:v>
      </x:c>
      <x:c r="R26" s="19" t="str">
        <x:f>IF(P26="","",IF(ISNUMBER('第1日'!$D$39),'第1日'!$D$39,IF(VLOOKUP(O26,'敌人目录'!$A$6:$S$54,14,FALSE)&lt;&gt;VLOOKUP(O26,'敌人目录'!$A$6:$S$54,13,FALSE),VLOOKUP(O26,'敌人目录'!$A$6:$S$54,14,FALSE),-1)))</x:f>
      </x:c>
      <x:c r="S26" s="19" t="n">
        <x:f>'第1日'!$U$39</x:f>
        <x:v>0</x:v>
      </x:c>
      <x:c r="T26" s="19" t="str">
        <x:f>'第1日'!$N$32</x:f>
        <x:v>可导入</x:v>
      </x:c>
    </x:row>
    <x:row r="27" ht="22" customHeight="1">
      <x:c r="A27" s="19" t="n">
        <x:v>1</x:v>
      </x:c>
      <x:c r="B27" s="19" t="str">
        <x:v>tower_defense_formal</x:v>
      </x:c>
      <x:c r="C27" s="19" t="str">
        <x:v>wave_02</x:v>
      </x:c>
      <x:c r="D27" s="19" t="n">
        <x:v>2</x:v>
      </x:c>
      <x:c r="E27" s="19" t="n">
        <x:v>1</x:v>
      </x:c>
      <x:c r="F27" s="19" t="n">
        <x:v>2</x:v>
      </x:c>
      <x:c r="G27" s="19" t="str">
        <x:f>'第1日'!$B$32</x:f>
        <x:v>第2波 迅影与硬壳</x:v>
      </x:c>
      <x:c r="H27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27" s="19" t="n">
        <x:f>'第1日'!$H$32</x:f>
        <x:v>0.7</x:v>
      </x:c>
      <x:c r="J27" s="19" t="n">
        <x:f>'第1日'!$J$32</x:f>
        <x:v>1</x:v>
      </x:c>
      <x:c r="K27" s="19" t="n">
        <x:f>'第1日'!$L$32</x:f>
        <x:v>32</x:v>
      </x:c>
      <x:c r="L27" s="19" t="str">
        <x:v>res://resources/audio/shenmu_forest_combat.ogg</x:v>
      </x:c>
      <x:c r="M27" s="19" t="str">
        <x:v>res://resources/audio/shenmu_forest_intermission.ogg</x:v>
      </x:c>
      <x:c r="N27" s="19" t="n">
        <x:v>5</x:v>
      </x:c>
      <x:c r="O27" s="19" t="n">
        <x:f>'第1日'!$B$40</x:f>
        <x:v>0</x:v>
      </x:c>
      <x:c r="P27" s="19" t="str">
        <x:f>'第1日'!$E$40</x:f>
      </x:c>
      <x:c r="Q27" s="19" t="n">
        <x:f>'第1日'!$C$40</x:f>
        <x:v>0</x:v>
      </x:c>
      <x:c r="R27" s="19" t="str">
        <x:f>IF(P27="","",IF(ISNUMBER('第1日'!$D$40),'第1日'!$D$40,IF(VLOOKUP(O27,'敌人目录'!$A$6:$S$54,14,FALSE)&lt;&gt;VLOOKUP(O27,'敌人目录'!$A$6:$S$54,13,FALSE),VLOOKUP(O27,'敌人目录'!$A$6:$S$54,14,FALSE),-1)))</x:f>
      </x:c>
      <x:c r="S27" s="19" t="n">
        <x:f>'第1日'!$U$40</x:f>
        <x:v>0</x:v>
      </x:c>
      <x:c r="T27" s="19" t="str">
        <x:f>'第1日'!$N$32</x:f>
        <x:v>可导入</x:v>
      </x:c>
    </x:row>
    <x:row r="28" ht="22" customHeight="1">
      <x:c r="A28" s="19" t="n">
        <x:v>1</x:v>
      </x:c>
      <x:c r="B28" s="19" t="str">
        <x:v>tower_defense_formal</x:v>
      </x:c>
      <x:c r="C28" s="19" t="str">
        <x:v>wave_02</x:v>
      </x:c>
      <x:c r="D28" s="19" t="n">
        <x:v>2</x:v>
      </x:c>
      <x:c r="E28" s="19" t="n">
        <x:v>1</x:v>
      </x:c>
      <x:c r="F28" s="19" t="n">
        <x:v>2</x:v>
      </x:c>
      <x:c r="G28" s="19" t="str">
        <x:f>'第1日'!$B$32</x:f>
        <x:v>第2波 迅影与硬壳</x:v>
      </x:c>
      <x:c r="H28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28" s="19" t="n">
        <x:f>'第1日'!$H$32</x:f>
        <x:v>0.7</x:v>
      </x:c>
      <x:c r="J28" s="19" t="n">
        <x:f>'第1日'!$J$32</x:f>
        <x:v>1</x:v>
      </x:c>
      <x:c r="K28" s="19" t="n">
        <x:f>'第1日'!$L$32</x:f>
        <x:v>32</x:v>
      </x:c>
      <x:c r="L28" s="19" t="str">
        <x:v>res://resources/audio/shenmu_forest_combat.ogg</x:v>
      </x:c>
      <x:c r="M28" s="19" t="str">
        <x:v>res://resources/audio/shenmu_forest_intermission.ogg</x:v>
      </x:c>
      <x:c r="N28" s="19" t="n">
        <x:v>6</x:v>
      </x:c>
      <x:c r="O28" s="19" t="n">
        <x:f>'第1日'!$B$41</x:f>
        <x:v>0</x:v>
      </x:c>
      <x:c r="P28" s="19" t="str">
        <x:f>'第1日'!$E$41</x:f>
      </x:c>
      <x:c r="Q28" s="19" t="n">
        <x:f>'第1日'!$C$41</x:f>
        <x:v>0</x:v>
      </x:c>
      <x:c r="R28" s="19" t="str">
        <x:f>IF(P28="","",IF(ISNUMBER('第1日'!$D$41),'第1日'!$D$41,IF(VLOOKUP(O28,'敌人目录'!$A$6:$S$54,14,FALSE)&lt;&gt;VLOOKUP(O28,'敌人目录'!$A$6:$S$54,13,FALSE),VLOOKUP(O28,'敌人目录'!$A$6:$S$54,14,FALSE),-1)))</x:f>
      </x:c>
      <x:c r="S28" s="19" t="n">
        <x:f>'第1日'!$U$41</x:f>
        <x:v>0</x:v>
      </x:c>
      <x:c r="T28" s="19" t="str">
        <x:f>'第1日'!$N$32</x:f>
        <x:v>可导入</x:v>
      </x:c>
    </x:row>
    <x:row r="29" ht="22" customHeight="1">
      <x:c r="A29" s="19" t="n">
        <x:v>1</x:v>
      </x:c>
      <x:c r="B29" s="19" t="str">
        <x:v>tower_defense_formal</x:v>
      </x:c>
      <x:c r="C29" s="19" t="str">
        <x:v>wave_02</x:v>
      </x:c>
      <x:c r="D29" s="19" t="n">
        <x:v>2</x:v>
      </x:c>
      <x:c r="E29" s="19" t="n">
        <x:v>1</x:v>
      </x:c>
      <x:c r="F29" s="19" t="n">
        <x:v>2</x:v>
      </x:c>
      <x:c r="G29" s="19" t="str">
        <x:f>'第1日'!$B$32</x:f>
        <x:v>第2波 迅影与硬壳</x:v>
      </x:c>
      <x:c r="H29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29" s="19" t="n">
        <x:f>'第1日'!$H$32</x:f>
        <x:v>0.7</x:v>
      </x:c>
      <x:c r="J29" s="19" t="n">
        <x:f>'第1日'!$J$32</x:f>
        <x:v>1</x:v>
      </x:c>
      <x:c r="K29" s="19" t="n">
        <x:f>'第1日'!$L$32</x:f>
        <x:v>32</x:v>
      </x:c>
      <x:c r="L29" s="19" t="str">
        <x:v>res://resources/audio/shenmu_forest_combat.ogg</x:v>
      </x:c>
      <x:c r="M29" s="19" t="str">
        <x:v>res://resources/audio/shenmu_forest_intermission.ogg</x:v>
      </x:c>
      <x:c r="N29" s="19" t="n">
        <x:v>7</x:v>
      </x:c>
      <x:c r="O29" s="19" t="n">
        <x:f>'第1日'!$B$42</x:f>
        <x:v>0</x:v>
      </x:c>
      <x:c r="P29" s="19" t="str">
        <x:f>'第1日'!$E$42</x:f>
      </x:c>
      <x:c r="Q29" s="19" t="n">
        <x:f>'第1日'!$C$42</x:f>
        <x:v>0</x:v>
      </x:c>
      <x:c r="R29" s="19" t="str">
        <x:f>IF(P29="","",IF(ISNUMBER('第1日'!$D$42),'第1日'!$D$42,IF(VLOOKUP(O29,'敌人目录'!$A$6:$S$54,14,FALSE)&lt;&gt;VLOOKUP(O29,'敌人目录'!$A$6:$S$54,13,FALSE),VLOOKUP(O29,'敌人目录'!$A$6:$S$54,14,FALSE),-1)))</x:f>
      </x:c>
      <x:c r="S29" s="19" t="n">
        <x:f>'第1日'!$U$42</x:f>
        <x:v>0</x:v>
      </x:c>
      <x:c r="T29" s="19" t="str">
        <x:f>'第1日'!$N$32</x:f>
        <x:v>可导入</x:v>
      </x:c>
    </x:row>
    <x:row r="30" ht="22" customHeight="1">
      <x:c r="A30" s="19" t="n">
        <x:v>1</x:v>
      </x:c>
      <x:c r="B30" s="19" t="str">
        <x:v>tower_defense_formal</x:v>
      </x:c>
      <x:c r="C30" s="19" t="str">
        <x:v>wave_02</x:v>
      </x:c>
      <x:c r="D30" s="19" t="n">
        <x:v>2</x:v>
      </x:c>
      <x:c r="E30" s="19" t="n">
        <x:v>1</x:v>
      </x:c>
      <x:c r="F30" s="19" t="n">
        <x:v>2</x:v>
      </x:c>
      <x:c r="G30" s="19" t="str">
        <x:f>'第1日'!$B$32</x:f>
        <x:v>第2波 迅影与硬壳</x:v>
      </x:c>
      <x:c r="H30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0" s="19" t="n">
        <x:f>'第1日'!$H$32</x:f>
        <x:v>0.7</x:v>
      </x:c>
      <x:c r="J30" s="19" t="n">
        <x:f>'第1日'!$J$32</x:f>
        <x:v>1</x:v>
      </x:c>
      <x:c r="K30" s="19" t="n">
        <x:f>'第1日'!$L$32</x:f>
        <x:v>32</x:v>
      </x:c>
      <x:c r="L30" s="19" t="str">
        <x:v>res://resources/audio/shenmu_forest_combat.ogg</x:v>
      </x:c>
      <x:c r="M30" s="19" t="str">
        <x:v>res://resources/audio/shenmu_forest_intermission.ogg</x:v>
      </x:c>
      <x:c r="N30" s="19" t="n">
        <x:v>8</x:v>
      </x:c>
      <x:c r="O30" s="19" t="n">
        <x:f>'第1日'!$B$43</x:f>
        <x:v>0</x:v>
      </x:c>
      <x:c r="P30" s="19" t="str">
        <x:f>'第1日'!$E$43</x:f>
      </x:c>
      <x:c r="Q30" s="19" t="n">
        <x:f>'第1日'!$C$43</x:f>
        <x:v>0</x:v>
      </x:c>
      <x:c r="R30" s="19" t="str">
        <x:f>IF(P30="","",IF(ISNUMBER('第1日'!$D$43),'第1日'!$D$43,IF(VLOOKUP(O30,'敌人目录'!$A$6:$S$54,14,FALSE)&lt;&gt;VLOOKUP(O30,'敌人目录'!$A$6:$S$54,13,FALSE),VLOOKUP(O30,'敌人目录'!$A$6:$S$54,14,FALSE),-1)))</x:f>
      </x:c>
      <x:c r="S30" s="19" t="n">
        <x:f>'第1日'!$U$43</x:f>
        <x:v>0</x:v>
      </x:c>
      <x:c r="T30" s="19" t="str">
        <x:f>'第1日'!$N$32</x:f>
        <x:v>可导入</x:v>
      </x:c>
    </x:row>
    <x:row r="31" ht="22" customHeight="1">
      <x:c r="A31" s="19" t="n">
        <x:v>1</x:v>
      </x:c>
      <x:c r="B31" s="19" t="str">
        <x:v>tower_defense_formal</x:v>
      </x:c>
      <x:c r="C31" s="19" t="str">
        <x:v>wave_02</x:v>
      </x:c>
      <x:c r="D31" s="19" t="n">
        <x:v>2</x:v>
      </x:c>
      <x:c r="E31" s="19" t="n">
        <x:v>1</x:v>
      </x:c>
      <x:c r="F31" s="19" t="n">
        <x:v>2</x:v>
      </x:c>
      <x:c r="G31" s="19" t="str">
        <x:f>'第1日'!$B$32</x:f>
        <x:v>第2波 迅影与硬壳</x:v>
      </x:c>
      <x:c r="H31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1" s="19" t="n">
        <x:f>'第1日'!$H$32</x:f>
        <x:v>0.7</x:v>
      </x:c>
      <x:c r="J31" s="19" t="n">
        <x:f>'第1日'!$J$32</x:f>
        <x:v>1</x:v>
      </x:c>
      <x:c r="K31" s="19" t="n">
        <x:f>'第1日'!$L$32</x:f>
        <x:v>32</x:v>
      </x:c>
      <x:c r="L31" s="19" t="str">
        <x:v>res://resources/audio/shenmu_forest_combat.ogg</x:v>
      </x:c>
      <x:c r="M31" s="19" t="str">
        <x:v>res://resources/audio/shenmu_forest_intermission.ogg</x:v>
      </x:c>
      <x:c r="N31" s="19" t="n">
        <x:v>9</x:v>
      </x:c>
      <x:c r="O31" s="19" t="n">
        <x:f>'第1日'!$B$44</x:f>
        <x:v>0</x:v>
      </x:c>
      <x:c r="P31" s="19" t="str">
        <x:f>'第1日'!$E$44</x:f>
      </x:c>
      <x:c r="Q31" s="19" t="n">
        <x:f>'第1日'!$C$44</x:f>
        <x:v>0</x:v>
      </x:c>
      <x:c r="R31" s="19" t="str">
        <x:f>IF(P31="","",IF(ISNUMBER('第1日'!$D$44),'第1日'!$D$44,IF(VLOOKUP(O31,'敌人目录'!$A$6:$S$54,14,FALSE)&lt;&gt;VLOOKUP(O31,'敌人目录'!$A$6:$S$54,13,FALSE),VLOOKUP(O31,'敌人目录'!$A$6:$S$54,14,FALSE),-1)))</x:f>
      </x:c>
      <x:c r="S31" s="19" t="n">
        <x:f>'第1日'!$U$44</x:f>
        <x:v>0</x:v>
      </x:c>
      <x:c r="T31" s="19" t="str">
        <x:f>'第1日'!$N$32</x:f>
        <x:v>可导入</x:v>
      </x:c>
    </x:row>
    <x:row r="32" ht="22" customHeight="1">
      <x:c r="A32" s="19" t="n">
        <x:v>1</x:v>
      </x:c>
      <x:c r="B32" s="19" t="str">
        <x:v>tower_defense_formal</x:v>
      </x:c>
      <x:c r="C32" s="19" t="str">
        <x:v>wave_02</x:v>
      </x:c>
      <x:c r="D32" s="19" t="n">
        <x:v>2</x:v>
      </x:c>
      <x:c r="E32" s="19" t="n">
        <x:v>1</x:v>
      </x:c>
      <x:c r="F32" s="19" t="n">
        <x:v>2</x:v>
      </x:c>
      <x:c r="G32" s="19" t="str">
        <x:f>'第1日'!$B$32</x:f>
        <x:v>第2波 迅影与硬壳</x:v>
      </x:c>
      <x:c r="H32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2" s="19" t="n">
        <x:f>'第1日'!$H$32</x:f>
        <x:v>0.7</x:v>
      </x:c>
      <x:c r="J32" s="19" t="n">
        <x:f>'第1日'!$J$32</x:f>
        <x:v>1</x:v>
      </x:c>
      <x:c r="K32" s="19" t="n">
        <x:f>'第1日'!$L$32</x:f>
        <x:v>32</x:v>
      </x:c>
      <x:c r="L32" s="19" t="str">
        <x:v>res://resources/audio/shenmu_forest_combat.ogg</x:v>
      </x:c>
      <x:c r="M32" s="19" t="str">
        <x:v>res://resources/audio/shenmu_forest_intermission.ogg</x:v>
      </x:c>
      <x:c r="N32" s="19" t="n">
        <x:v>10</x:v>
      </x:c>
      <x:c r="O32" s="19" t="n">
        <x:f>'第1日'!$B$45</x:f>
        <x:v>0</x:v>
      </x:c>
      <x:c r="P32" s="19" t="str">
        <x:f>'第1日'!$E$45</x:f>
      </x:c>
      <x:c r="Q32" s="19" t="n">
        <x:f>'第1日'!$C$45</x:f>
        <x:v>0</x:v>
      </x:c>
      <x:c r="R32" s="19" t="str">
        <x:f>IF(P32="","",IF(ISNUMBER('第1日'!$D$45),'第1日'!$D$45,IF(VLOOKUP(O32,'敌人目录'!$A$6:$S$54,14,FALSE)&lt;&gt;VLOOKUP(O32,'敌人目录'!$A$6:$S$54,13,FALSE),VLOOKUP(O32,'敌人目录'!$A$6:$S$54,14,FALSE),-1)))</x:f>
      </x:c>
      <x:c r="S32" s="19" t="n">
        <x:f>'第1日'!$U$45</x:f>
        <x:v>0</x:v>
      </x:c>
      <x:c r="T32" s="19" t="str">
        <x:f>'第1日'!$N$32</x:f>
        <x:v>可导入</x:v>
      </x:c>
    </x:row>
    <x:row r="33" ht="22" customHeight="1">
      <x:c r="A33" s="19" t="n">
        <x:v>1</x:v>
      </x:c>
      <x:c r="B33" s="19" t="str">
        <x:v>tower_defense_formal</x:v>
      </x:c>
      <x:c r="C33" s="19" t="str">
        <x:v>wave_02</x:v>
      </x:c>
      <x:c r="D33" s="19" t="n">
        <x:v>2</x:v>
      </x:c>
      <x:c r="E33" s="19" t="n">
        <x:v>1</x:v>
      </x:c>
      <x:c r="F33" s="19" t="n">
        <x:v>2</x:v>
      </x:c>
      <x:c r="G33" s="19" t="str">
        <x:f>'第1日'!$B$32</x:f>
        <x:v>第2波 迅影与硬壳</x:v>
      </x:c>
      <x:c r="H33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3" s="19" t="n">
        <x:f>'第1日'!$H$32</x:f>
        <x:v>0.7</x:v>
      </x:c>
      <x:c r="J33" s="19" t="n">
        <x:f>'第1日'!$J$32</x:f>
        <x:v>1</x:v>
      </x:c>
      <x:c r="K33" s="19" t="n">
        <x:f>'第1日'!$L$32</x:f>
        <x:v>32</x:v>
      </x:c>
      <x:c r="L33" s="19" t="str">
        <x:v>res://resources/audio/shenmu_forest_combat.ogg</x:v>
      </x:c>
      <x:c r="M33" s="19" t="str">
        <x:v>res://resources/audio/shenmu_forest_intermission.ogg</x:v>
      </x:c>
      <x:c r="N33" s="19" t="n">
        <x:v>11</x:v>
      </x:c>
      <x:c r="O33" s="19" t="n">
        <x:f>'第1日'!$B$46</x:f>
        <x:v>0</x:v>
      </x:c>
      <x:c r="P33" s="19" t="str">
        <x:f>'第1日'!$E$46</x:f>
      </x:c>
      <x:c r="Q33" s="19" t="n">
        <x:f>'第1日'!$C$46</x:f>
        <x:v>0</x:v>
      </x:c>
      <x:c r="R33" s="19" t="str">
        <x:f>IF(P33="","",IF(ISNUMBER('第1日'!$D$46),'第1日'!$D$46,IF(VLOOKUP(O33,'敌人目录'!$A$6:$S$54,14,FALSE)&lt;&gt;VLOOKUP(O33,'敌人目录'!$A$6:$S$54,13,FALSE),VLOOKUP(O33,'敌人目录'!$A$6:$S$54,14,FALSE),-1)))</x:f>
      </x:c>
      <x:c r="S33" s="19" t="n">
        <x:f>'第1日'!$U$46</x:f>
        <x:v>0</x:v>
      </x:c>
      <x:c r="T33" s="19" t="str">
        <x:f>'第1日'!$N$32</x:f>
        <x:v>可导入</x:v>
      </x:c>
    </x:row>
    <x:row r="34" ht="22" customHeight="1">
      <x:c r="A34" s="19" t="n">
        <x:v>1</x:v>
      </x:c>
      <x:c r="B34" s="19" t="str">
        <x:v>tower_defense_formal</x:v>
      </x:c>
      <x:c r="C34" s="19" t="str">
        <x:v>wave_02</x:v>
      </x:c>
      <x:c r="D34" s="19" t="n">
        <x:v>2</x:v>
      </x:c>
      <x:c r="E34" s="19" t="n">
        <x:v>1</x:v>
      </x:c>
      <x:c r="F34" s="19" t="n">
        <x:v>2</x:v>
      </x:c>
      <x:c r="G34" s="19" t="str">
        <x:f>'第1日'!$B$32</x:f>
        <x:v>第2波 迅影与硬壳</x:v>
      </x:c>
      <x:c r="H34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4" s="19" t="n">
        <x:f>'第1日'!$H$32</x:f>
        <x:v>0.7</x:v>
      </x:c>
      <x:c r="J34" s="19" t="n">
        <x:f>'第1日'!$J$32</x:f>
        <x:v>1</x:v>
      </x:c>
      <x:c r="K34" s="19" t="n">
        <x:f>'第1日'!$L$32</x:f>
        <x:v>32</x:v>
      </x:c>
      <x:c r="L34" s="19" t="str">
        <x:v>res://resources/audio/shenmu_forest_combat.ogg</x:v>
      </x:c>
      <x:c r="M34" s="19" t="str">
        <x:v>res://resources/audio/shenmu_forest_intermission.ogg</x:v>
      </x:c>
      <x:c r="N34" s="19" t="n">
        <x:v>12</x:v>
      </x:c>
      <x:c r="O34" s="19" t="n">
        <x:f>'第1日'!$B$47</x:f>
        <x:v>0</x:v>
      </x:c>
      <x:c r="P34" s="19" t="str">
        <x:f>'第1日'!$E$47</x:f>
      </x:c>
      <x:c r="Q34" s="19" t="n">
        <x:f>'第1日'!$C$47</x:f>
        <x:v>0</x:v>
      </x:c>
      <x:c r="R34" s="19" t="str">
        <x:f>IF(P34="","",IF(ISNUMBER('第1日'!$D$47),'第1日'!$D$47,IF(VLOOKUP(O34,'敌人目录'!$A$6:$S$54,14,FALSE)&lt;&gt;VLOOKUP(O34,'敌人目录'!$A$6:$S$54,13,FALSE),VLOOKUP(O34,'敌人目录'!$A$6:$S$54,14,FALSE),-1)))</x:f>
      </x:c>
      <x:c r="S34" s="19" t="n">
        <x:f>'第1日'!$U$47</x:f>
        <x:v>0</x:v>
      </x:c>
      <x:c r="T34" s="19" t="str">
        <x:f>'第1日'!$N$32</x:f>
        <x:v>可导入</x:v>
      </x:c>
    </x:row>
    <x:row r="35" ht="22" customHeight="1">
      <x:c r="A35" s="19" t="n">
        <x:v>1</x:v>
      </x:c>
      <x:c r="B35" s="19" t="str">
        <x:v>tower_defense_formal</x:v>
      </x:c>
      <x:c r="C35" s="19" t="str">
        <x:v>wave_02</x:v>
      </x:c>
      <x:c r="D35" s="19" t="n">
        <x:v>2</x:v>
      </x:c>
      <x:c r="E35" s="19" t="n">
        <x:v>1</x:v>
      </x:c>
      <x:c r="F35" s="19" t="n">
        <x:v>2</x:v>
      </x:c>
      <x:c r="G35" s="19" t="str">
        <x:f>'第1日'!$B$32</x:f>
        <x:v>第2波 迅影与硬壳</x:v>
      </x:c>
      <x:c r="H35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5" s="19" t="n">
        <x:f>'第1日'!$H$32</x:f>
        <x:v>0.7</x:v>
      </x:c>
      <x:c r="J35" s="19" t="n">
        <x:f>'第1日'!$J$32</x:f>
        <x:v>1</x:v>
      </x:c>
      <x:c r="K35" s="19" t="n">
        <x:f>'第1日'!$L$32</x:f>
        <x:v>32</x:v>
      </x:c>
      <x:c r="L35" s="19" t="str">
        <x:v>res://resources/audio/shenmu_forest_combat.ogg</x:v>
      </x:c>
      <x:c r="M35" s="19" t="str">
        <x:v>res://resources/audio/shenmu_forest_intermission.ogg</x:v>
      </x:c>
      <x:c r="N35" s="19" t="n">
        <x:v>13</x:v>
      </x:c>
      <x:c r="O35" s="19" t="n">
        <x:f>'第1日'!$B$48</x:f>
        <x:v>0</x:v>
      </x:c>
      <x:c r="P35" s="19" t="str">
        <x:f>'第1日'!$E$48</x:f>
      </x:c>
      <x:c r="Q35" s="19" t="n">
        <x:f>'第1日'!$C$48</x:f>
        <x:v>0</x:v>
      </x:c>
      <x:c r="R35" s="19" t="str">
        <x:f>IF(P35="","",IF(ISNUMBER('第1日'!$D$48),'第1日'!$D$48,IF(VLOOKUP(O35,'敌人目录'!$A$6:$S$54,14,FALSE)&lt;&gt;VLOOKUP(O35,'敌人目录'!$A$6:$S$54,13,FALSE),VLOOKUP(O35,'敌人目录'!$A$6:$S$54,14,FALSE),-1)))</x:f>
      </x:c>
      <x:c r="S35" s="19" t="n">
        <x:f>'第1日'!$U$48</x:f>
        <x:v>0</x:v>
      </x:c>
      <x:c r="T35" s="19" t="str">
        <x:f>'第1日'!$N$32</x:f>
        <x:v>可导入</x:v>
      </x:c>
    </x:row>
    <x:row r="36" ht="22" customHeight="1">
      <x:c r="A36" s="19" t="n">
        <x:v>1</x:v>
      </x:c>
      <x:c r="B36" s="19" t="str">
        <x:v>tower_defense_formal</x:v>
      </x:c>
      <x:c r="C36" s="19" t="str">
        <x:v>wave_02</x:v>
      </x:c>
      <x:c r="D36" s="19" t="n">
        <x:v>2</x:v>
      </x:c>
      <x:c r="E36" s="19" t="n">
        <x:v>1</x:v>
      </x:c>
      <x:c r="F36" s="19" t="n">
        <x:v>2</x:v>
      </x:c>
      <x:c r="G36" s="19" t="str">
        <x:f>'第1日'!$B$32</x:f>
        <x:v>第2波 迅影与硬壳</x:v>
      </x:c>
      <x:c r="H36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6" s="19" t="n">
        <x:f>'第1日'!$H$32</x:f>
        <x:v>0.7</x:v>
      </x:c>
      <x:c r="J36" s="19" t="n">
        <x:f>'第1日'!$J$32</x:f>
        <x:v>1</x:v>
      </x:c>
      <x:c r="K36" s="19" t="n">
        <x:f>'第1日'!$L$32</x:f>
        <x:v>32</x:v>
      </x:c>
      <x:c r="L36" s="19" t="str">
        <x:v>res://resources/audio/shenmu_forest_combat.ogg</x:v>
      </x:c>
      <x:c r="M36" s="19" t="str">
        <x:v>res://resources/audio/shenmu_forest_intermission.ogg</x:v>
      </x:c>
      <x:c r="N36" s="19" t="n">
        <x:v>14</x:v>
      </x:c>
      <x:c r="O36" s="19" t="n">
        <x:f>'第1日'!$B$49</x:f>
        <x:v>0</x:v>
      </x:c>
      <x:c r="P36" s="19" t="str">
        <x:f>'第1日'!$E$49</x:f>
      </x:c>
      <x:c r="Q36" s="19" t="n">
        <x:f>'第1日'!$C$49</x:f>
        <x:v>0</x:v>
      </x:c>
      <x:c r="R36" s="19" t="str">
        <x:f>IF(P36="","",IF(ISNUMBER('第1日'!$D$49),'第1日'!$D$49,IF(VLOOKUP(O36,'敌人目录'!$A$6:$S$54,14,FALSE)&lt;&gt;VLOOKUP(O36,'敌人目录'!$A$6:$S$54,13,FALSE),VLOOKUP(O36,'敌人目录'!$A$6:$S$54,14,FALSE),-1)))</x:f>
      </x:c>
      <x:c r="S36" s="19" t="n">
        <x:f>'第1日'!$U$49</x:f>
        <x:v>0</x:v>
      </x:c>
      <x:c r="T36" s="19" t="str">
        <x:f>'第1日'!$N$32</x:f>
        <x:v>可导入</x:v>
      </x:c>
    </x:row>
    <x:row r="37" ht="22" customHeight="1">
      <x:c r="A37" s="19" t="n">
        <x:v>1</x:v>
      </x:c>
      <x:c r="B37" s="19" t="str">
        <x:v>tower_defense_formal</x:v>
      </x:c>
      <x:c r="C37" s="19" t="str">
        <x:v>wave_02</x:v>
      </x:c>
      <x:c r="D37" s="19" t="n">
        <x:v>2</x:v>
      </x:c>
      <x:c r="E37" s="19" t="n">
        <x:v>1</x:v>
      </x:c>
      <x:c r="F37" s="19" t="n">
        <x:v>2</x:v>
      </x:c>
      <x:c r="G37" s="19" t="str">
        <x:f>'第1日'!$B$32</x:f>
        <x:v>第2波 迅影与硬壳</x:v>
      </x:c>
      <x:c r="H37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7" s="19" t="n">
        <x:f>'第1日'!$H$32</x:f>
        <x:v>0.7</x:v>
      </x:c>
      <x:c r="J37" s="19" t="n">
        <x:f>'第1日'!$J$32</x:f>
        <x:v>1</x:v>
      </x:c>
      <x:c r="K37" s="19" t="n">
        <x:f>'第1日'!$L$32</x:f>
        <x:v>32</x:v>
      </x:c>
      <x:c r="L37" s="19" t="str">
        <x:v>res://resources/audio/shenmu_forest_combat.ogg</x:v>
      </x:c>
      <x:c r="M37" s="19" t="str">
        <x:v>res://resources/audio/shenmu_forest_intermission.ogg</x:v>
      </x:c>
      <x:c r="N37" s="19" t="n">
        <x:v>15</x:v>
      </x:c>
      <x:c r="O37" s="19" t="n">
        <x:f>'第1日'!$B$50</x:f>
        <x:v>0</x:v>
      </x:c>
      <x:c r="P37" s="19" t="str">
        <x:f>'第1日'!$E$50</x:f>
      </x:c>
      <x:c r="Q37" s="19" t="n">
        <x:f>'第1日'!$C$50</x:f>
        <x:v>0</x:v>
      </x:c>
      <x:c r="R37" s="19" t="str">
        <x:f>IF(P37="","",IF(ISNUMBER('第1日'!$D$50),'第1日'!$D$50,IF(VLOOKUP(O37,'敌人目录'!$A$6:$S$54,14,FALSE)&lt;&gt;VLOOKUP(O37,'敌人目录'!$A$6:$S$54,13,FALSE),VLOOKUP(O37,'敌人目录'!$A$6:$S$54,14,FALSE),-1)))</x:f>
      </x:c>
      <x:c r="S37" s="19" t="n">
        <x:f>'第1日'!$U$50</x:f>
        <x:v>0</x:v>
      </x:c>
      <x:c r="T37" s="19" t="str">
        <x:f>'第1日'!$N$32</x:f>
        <x:v>可导入</x:v>
      </x:c>
    </x:row>
    <x:row r="38" ht="22" customHeight="1">
      <x:c r="A38" s="19" t="n">
        <x:v>1</x:v>
      </x:c>
      <x:c r="B38" s="19" t="str">
        <x:v>tower_defense_formal</x:v>
      </x:c>
      <x:c r="C38" s="19" t="str">
        <x:v>wave_02</x:v>
      </x:c>
      <x:c r="D38" s="19" t="n">
        <x:v>2</x:v>
      </x:c>
      <x:c r="E38" s="19" t="n">
        <x:v>1</x:v>
      </x:c>
      <x:c r="F38" s="19" t="n">
        <x:v>2</x:v>
      </x:c>
      <x:c r="G38" s="19" t="str">
        <x:f>'第1日'!$B$32</x:f>
        <x:v>第2波 迅影与硬壳</x:v>
      </x:c>
      <x:c r="H38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8" s="19" t="n">
        <x:f>'第1日'!$H$32</x:f>
        <x:v>0.7</x:v>
      </x:c>
      <x:c r="J38" s="19" t="n">
        <x:f>'第1日'!$J$32</x:f>
        <x:v>1</x:v>
      </x:c>
      <x:c r="K38" s="19" t="n">
        <x:f>'第1日'!$L$32</x:f>
        <x:v>32</x:v>
      </x:c>
      <x:c r="L38" s="19" t="str">
        <x:v>res://resources/audio/shenmu_forest_combat.ogg</x:v>
      </x:c>
      <x:c r="M38" s="19" t="str">
        <x:v>res://resources/audio/shenmu_forest_intermission.ogg</x:v>
      </x:c>
      <x:c r="N38" s="19" t="n">
        <x:v>16</x:v>
      </x:c>
      <x:c r="O38" s="19" t="n">
        <x:f>'第1日'!$B$51</x:f>
        <x:v>0</x:v>
      </x:c>
      <x:c r="P38" s="19" t="str">
        <x:f>'第1日'!$E$51</x:f>
      </x:c>
      <x:c r="Q38" s="19" t="n">
        <x:f>'第1日'!$C$51</x:f>
        <x:v>0</x:v>
      </x:c>
      <x:c r="R38" s="19" t="str">
        <x:f>IF(P38="","",IF(ISNUMBER('第1日'!$D$51),'第1日'!$D$51,IF(VLOOKUP(O38,'敌人目录'!$A$6:$S$54,14,FALSE)&lt;&gt;VLOOKUP(O38,'敌人目录'!$A$6:$S$54,13,FALSE),VLOOKUP(O38,'敌人目录'!$A$6:$S$54,14,FALSE),-1)))</x:f>
      </x:c>
      <x:c r="S38" s="19" t="n">
        <x:f>'第1日'!$U$51</x:f>
        <x:v>0</x:v>
      </x:c>
      <x:c r="T38" s="19" t="str">
        <x:f>'第1日'!$N$32</x:f>
        <x:v>可导入</x:v>
      </x:c>
    </x:row>
    <x:row r="39" ht="22" customHeight="1">
      <x:c r="A39" s="19" t="n">
        <x:v>1</x:v>
      </x:c>
      <x:c r="B39" s="19" t="str">
        <x:v>tower_defense_formal</x:v>
      </x:c>
      <x:c r="C39" s="19" t="str">
        <x:v>wave_02</x:v>
      </x:c>
      <x:c r="D39" s="19" t="n">
        <x:v>2</x:v>
      </x:c>
      <x:c r="E39" s="19" t="n">
        <x:v>1</x:v>
      </x:c>
      <x:c r="F39" s="19" t="n">
        <x:v>2</x:v>
      </x:c>
      <x:c r="G39" s="19" t="str">
        <x:f>'第1日'!$B$32</x:f>
        <x:v>第2波 迅影与硬壳</x:v>
      </x:c>
      <x:c r="H39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39" s="19" t="n">
        <x:f>'第1日'!$H$32</x:f>
        <x:v>0.7</x:v>
      </x:c>
      <x:c r="J39" s="19" t="n">
        <x:f>'第1日'!$J$32</x:f>
        <x:v>1</x:v>
      </x:c>
      <x:c r="K39" s="19" t="n">
        <x:f>'第1日'!$L$32</x:f>
        <x:v>32</x:v>
      </x:c>
      <x:c r="L39" s="19" t="str">
        <x:v>res://resources/audio/shenmu_forest_combat.ogg</x:v>
      </x:c>
      <x:c r="M39" s="19" t="str">
        <x:v>res://resources/audio/shenmu_forest_intermission.ogg</x:v>
      </x:c>
      <x:c r="N39" s="19" t="n">
        <x:v>17</x:v>
      </x:c>
      <x:c r="O39" s="19" t="n">
        <x:f>'第1日'!$B$52</x:f>
        <x:v>0</x:v>
      </x:c>
      <x:c r="P39" s="19" t="str">
        <x:f>'第1日'!$E$52</x:f>
      </x:c>
      <x:c r="Q39" s="19" t="n">
        <x:f>'第1日'!$C$52</x:f>
        <x:v>0</x:v>
      </x:c>
      <x:c r="R39" s="19" t="str">
        <x:f>IF(P39="","",IF(ISNUMBER('第1日'!$D$52),'第1日'!$D$52,IF(VLOOKUP(O39,'敌人目录'!$A$6:$S$54,14,FALSE)&lt;&gt;VLOOKUP(O39,'敌人目录'!$A$6:$S$54,13,FALSE),VLOOKUP(O39,'敌人目录'!$A$6:$S$54,14,FALSE),-1)))</x:f>
      </x:c>
      <x:c r="S39" s="19" t="n">
        <x:f>'第1日'!$U$52</x:f>
        <x:v>0</x:v>
      </x:c>
      <x:c r="T39" s="19" t="str">
        <x:f>'第1日'!$N$32</x:f>
        <x:v>可导入</x:v>
      </x:c>
    </x:row>
    <x:row r="40" ht="22" customHeight="1">
      <x:c r="A40" s="19" t="n">
        <x:v>1</x:v>
      </x:c>
      <x:c r="B40" s="19" t="str">
        <x:v>tower_defense_formal</x:v>
      </x:c>
      <x:c r="C40" s="19" t="str">
        <x:v>wave_02</x:v>
      </x:c>
      <x:c r="D40" s="19" t="n">
        <x:v>2</x:v>
      </x:c>
      <x:c r="E40" s="19" t="n">
        <x:v>1</x:v>
      </x:c>
      <x:c r="F40" s="19" t="n">
        <x:v>2</x:v>
      </x:c>
      <x:c r="G40" s="19" t="str">
        <x:f>'第1日'!$B$32</x:f>
        <x:v>第2波 迅影与硬壳</x:v>
      </x:c>
      <x:c r="H40" s="19" t="n">
        <x:f>IF('第1日'!$B$33="开启",1,0)+IF('第1日'!$C$33="开启",2,0)+IF('第1日'!$D$33="开启",4,0)+IF('第1日'!$E$33="开启",8,0)+IF('第1日'!$F$33="开启",16,0)+IF('第1日'!$G$33="开启",32,0)</x:f>
        <x:v>63</x:v>
      </x:c>
      <x:c r="I40" s="19" t="n">
        <x:f>'第1日'!$H$32</x:f>
        <x:v>0.7</x:v>
      </x:c>
      <x:c r="J40" s="19" t="n">
        <x:f>'第1日'!$J$32</x:f>
        <x:v>1</x:v>
      </x:c>
      <x:c r="K40" s="19" t="n">
        <x:f>'第1日'!$L$32</x:f>
        <x:v>32</x:v>
      </x:c>
      <x:c r="L40" s="19" t="str">
        <x:v>res://resources/audio/shenmu_forest_combat.ogg</x:v>
      </x:c>
      <x:c r="M40" s="19" t="str">
        <x:v>res://resources/audio/shenmu_forest_intermission.ogg</x:v>
      </x:c>
      <x:c r="N40" s="19" t="n">
        <x:v>18</x:v>
      </x:c>
      <x:c r="O40" s="19" t="n">
        <x:f>'第1日'!$B$53</x:f>
        <x:v>0</x:v>
      </x:c>
      <x:c r="P40" s="19" t="n">
        <x:f>'第1日'!$E$53</x:f>
        <x:v>0</x:v>
      </x:c>
      <x:c r="Q40" s="19" t="n">
        <x:f>'第1日'!$C$53</x:f>
        <x:v>0</x:v>
      </x:c>
      <x:c r="R40" s="19" t="str">
        <x:f>IF(P40="","",IF(ISNUMBER('第1日'!$D$53),'第1日'!$D$53,IF(VLOOKUP(O40,'敌人目录'!$A$6:$S$54,14,FALSE)&lt;&gt;VLOOKUP(O40,'敌人目录'!$A$6:$S$54,13,FALSE),VLOOKUP(O40,'敌人目录'!$A$6:$S$54,14,FALSE),-1)))</x:f>
      </x:c>
      <x:c r="S40" s="19" t="n">
        <x:f>'第1日'!$U$53</x:f>
        <x:v>0</x:v>
      </x:c>
      <x:c r="T40" s="19" t="str">
        <x:f>'第1日'!$N$32</x:f>
        <x:v>可导入</x:v>
      </x:c>
    </x:row>
    <x:row r="41" ht="22" customHeight="1">
      <x:c r="A41" s="19" t="n">
        <x:v>1</x:v>
      </x:c>
      <x:c r="B41" s="19" t="str">
        <x:v>tower_defense_formal</x:v>
      </x:c>
      <x:c r="C41" s="19" t="str">
        <x:v>wave_03</x:v>
      </x:c>
      <x:c r="D41" s="19" t="n">
        <x:v>3</x:v>
      </x:c>
      <x:c r="E41" s="19" t="n">
        <x:v>1</x:v>
      </x:c>
      <x:c r="F41" s="19" t="n">
        <x:v>3</x:v>
      </x:c>
      <x:c r="G41" s="19" t="str">
        <x:f>'第1日'!$B$61</x:f>
        <x:v>第3波 火线初现</x:v>
      </x:c>
      <x:c r="H41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1" s="19" t="n">
        <x:f>'第1日'!$H$61</x:f>
        <x:v>0.6</x:v>
      </x:c>
      <x:c r="J41" s="19" t="n">
        <x:f>'第1日'!$J$61</x:f>
        <x:v>1</x:v>
      </x:c>
      <x:c r="K41" s="19" t="n">
        <x:f>'第1日'!$L$61</x:f>
        <x:v>36</x:v>
      </x:c>
      <x:c r="L41" s="19" t="str">
        <x:v>res://resources/audio/shenmu_forest_combat.ogg</x:v>
      </x:c>
      <x:c r="M41" s="19" t="str">
        <x:v>res://resources/audio/shenmu_forest_intermission.ogg</x:v>
      </x:c>
      <x:c r="N41" s="19" t="n">
        <x:v>1</x:v>
      </x:c>
      <x:c r="O41" s="19" t="str">
        <x:f>'第1日'!$B$65</x:f>
        <x:v>yuanshi_insect_basic｜普通原石虫</x:v>
      </x:c>
      <x:c r="P41" s="19" t="str">
        <x:f>'第1日'!$E$65</x:f>
        <x:v>yuanshi_insect_basic</x:v>
      </x:c>
      <x:c r="Q41" s="19" t="n">
        <x:f>'第1日'!$C$65</x:f>
        <x:v>24</x:v>
      </x:c>
      <x:c r="R41" s="19" t="n">
        <x:f>IF(P41="","",IF(ISNUMBER('第1日'!$D$65),'第1日'!$D$65,IF(VLOOKUP(O41,'敌人目录'!$A$6:$S$54,14,FALSE)&lt;&gt;VLOOKUP(O41,'敌人目录'!$A$6:$S$54,13,FALSE),VLOOKUP(O41,'敌人目录'!$A$6:$S$54,14,FALSE),-1)))</x:f>
        <x:v>-1</x:v>
      </x:c>
      <x:c r="S41" s="19" t="str">
        <x:f>'第1日'!$U$65</x:f>
        <x:v>可导入</x:v>
      </x:c>
      <x:c r="T41" s="19" t="str">
        <x:f>'第1日'!$N$61</x:f>
        <x:v>可导入</x:v>
      </x:c>
    </x:row>
    <x:row r="42" ht="22" customHeight="1">
      <x:c r="A42" s="19" t="n">
        <x:v>1</x:v>
      </x:c>
      <x:c r="B42" s="19" t="str">
        <x:v>tower_defense_formal</x:v>
      </x:c>
      <x:c r="C42" s="19" t="str">
        <x:v>wave_03</x:v>
      </x:c>
      <x:c r="D42" s="19" t="n">
        <x:v>3</x:v>
      </x:c>
      <x:c r="E42" s="19" t="n">
        <x:v>1</x:v>
      </x:c>
      <x:c r="F42" s="19" t="n">
        <x:v>3</x:v>
      </x:c>
      <x:c r="G42" s="19" t="str">
        <x:f>'第1日'!$B$61</x:f>
        <x:v>第3波 火线初现</x:v>
      </x:c>
      <x:c r="H42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2" s="19" t="n">
        <x:f>'第1日'!$H$61</x:f>
        <x:v>0.6</x:v>
      </x:c>
      <x:c r="J42" s="19" t="n">
        <x:f>'第1日'!$J$61</x:f>
        <x:v>1</x:v>
      </x:c>
      <x:c r="K42" s="19" t="n">
        <x:f>'第1日'!$L$61</x:f>
        <x:v>36</x:v>
      </x:c>
      <x:c r="L42" s="19" t="str">
        <x:v>res://resources/audio/shenmu_forest_combat.ogg</x:v>
      </x:c>
      <x:c r="M42" s="19" t="str">
        <x:v>res://resources/audio/shenmu_forest_intermission.ogg</x:v>
      </x:c>
      <x:c r="N42" s="19" t="n">
        <x:v>2</x:v>
      </x:c>
      <x:c r="O42" s="19" t="str">
        <x:f>'第1日'!$B$66</x:f>
        <x:v>yuanshi_insect_fast｜迅捷原石虫</x:v>
      </x:c>
      <x:c r="P42" s="19" t="str">
        <x:f>'第1日'!$E$66</x:f>
        <x:v>yuanshi_insect_fast</x:v>
      </x:c>
      <x:c r="Q42" s="19" t="n">
        <x:f>'第1日'!$C$66</x:f>
        <x:v>12</x:v>
      </x:c>
      <x:c r="R42" s="19" t="n">
        <x:f>IF(P42="","",IF(ISNUMBER('第1日'!$D$66),'第1日'!$D$66,IF(VLOOKUP(O42,'敌人目录'!$A$6:$S$54,14,FALSE)&lt;&gt;VLOOKUP(O42,'敌人目录'!$A$6:$S$54,13,FALSE),VLOOKUP(O42,'敌人目录'!$A$6:$S$54,14,FALSE),-1)))</x:f>
        <x:v>-1</x:v>
      </x:c>
      <x:c r="S42" s="19" t="str">
        <x:f>'第1日'!$U$66</x:f>
        <x:v>可导入</x:v>
      </x:c>
      <x:c r="T42" s="19" t="str">
        <x:f>'第1日'!$N$61</x:f>
        <x:v>可导入</x:v>
      </x:c>
    </x:row>
    <x:row r="43" ht="22" customHeight="1">
      <x:c r="A43" s="19" t="n">
        <x:v>1</x:v>
      </x:c>
      <x:c r="B43" s="19" t="str">
        <x:v>tower_defense_formal</x:v>
      </x:c>
      <x:c r="C43" s="19" t="str">
        <x:v>wave_03</x:v>
      </x:c>
      <x:c r="D43" s="19" t="n">
        <x:v>3</x:v>
      </x:c>
      <x:c r="E43" s="19" t="n">
        <x:v>1</x:v>
      </x:c>
      <x:c r="F43" s="19" t="n">
        <x:v>3</x:v>
      </x:c>
      <x:c r="G43" s="19" t="str">
        <x:f>'第1日'!$B$61</x:f>
        <x:v>第3波 火线初现</x:v>
      </x:c>
      <x:c r="H43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3" s="19" t="n">
        <x:f>'第1日'!$H$61</x:f>
        <x:v>0.6</x:v>
      </x:c>
      <x:c r="J43" s="19" t="n">
        <x:f>'第1日'!$J$61</x:f>
        <x:v>1</x:v>
      </x:c>
      <x:c r="K43" s="19" t="n">
        <x:f>'第1日'!$L$61</x:f>
        <x:v>36</x:v>
      </x:c>
      <x:c r="L43" s="19" t="str">
        <x:v>res://resources/audio/shenmu_forest_combat.ogg</x:v>
      </x:c>
      <x:c r="M43" s="19" t="str">
        <x:v>res://resources/audio/shenmu_forest_intermission.ogg</x:v>
      </x:c>
      <x:c r="N43" s="19" t="n">
        <x:v>3</x:v>
      </x:c>
      <x:c r="O43" s="19" t="str">
        <x:f>'第1日'!$B$67</x:f>
        <x:v>yuanshi_insect_bomber｜自爆原石虫</x:v>
      </x:c>
      <x:c r="P43" s="19" t="str">
        <x:f>'第1日'!$E$67</x:f>
        <x:v>yuanshi_insect_bomber</x:v>
      </x:c>
      <x:c r="Q43" s="19" t="n">
        <x:f>'第1日'!$C$67</x:f>
        <x:v>8</x:v>
      </x:c>
      <x:c r="R43" s="19" t="n">
        <x:f>IF(P43="","",IF(ISNUMBER('第1日'!$D$67),'第1日'!$D$67,IF(VLOOKUP(O43,'敌人目录'!$A$6:$S$54,14,FALSE)&lt;&gt;VLOOKUP(O43,'敌人目录'!$A$6:$S$54,13,FALSE),VLOOKUP(O43,'敌人目录'!$A$6:$S$54,14,FALSE),-1)))</x:f>
        <x:v>-1</x:v>
      </x:c>
      <x:c r="S43" s="19" t="str">
        <x:f>'第1日'!$U$67</x:f>
        <x:v>可导入</x:v>
      </x:c>
      <x:c r="T43" s="19" t="str">
        <x:f>'第1日'!$N$61</x:f>
        <x:v>可导入</x:v>
      </x:c>
    </x:row>
    <x:row r="44" ht="22" customHeight="1">
      <x:c r="A44" s="19" t="n">
        <x:v>1</x:v>
      </x:c>
      <x:c r="B44" s="19" t="str">
        <x:v>tower_defense_formal</x:v>
      </x:c>
      <x:c r="C44" s="19" t="str">
        <x:v>wave_03</x:v>
      </x:c>
      <x:c r="D44" s="19" t="n">
        <x:v>3</x:v>
      </x:c>
      <x:c r="E44" s="19" t="n">
        <x:v>1</x:v>
      </x:c>
      <x:c r="F44" s="19" t="n">
        <x:v>3</x:v>
      </x:c>
      <x:c r="G44" s="19" t="str">
        <x:f>'第1日'!$B$61</x:f>
        <x:v>第3波 火线初现</x:v>
      </x:c>
      <x:c r="H44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4" s="19" t="n">
        <x:f>'第1日'!$H$61</x:f>
        <x:v>0.6</x:v>
      </x:c>
      <x:c r="J44" s="19" t="n">
        <x:f>'第1日'!$J$61</x:f>
        <x:v>1</x:v>
      </x:c>
      <x:c r="K44" s="19" t="n">
        <x:f>'第1日'!$L$61</x:f>
        <x:v>36</x:v>
      </x:c>
      <x:c r="L44" s="19" t="str">
        <x:v>res://resources/audio/shenmu_forest_combat.ogg</x:v>
      </x:c>
      <x:c r="M44" s="19" t="str">
        <x:v>res://resources/audio/shenmu_forest_intermission.ogg</x:v>
      </x:c>
      <x:c r="N44" s="19" t="n">
        <x:v>4</x:v>
      </x:c>
      <x:c r="O44" s="19" t="str">
        <x:f>'第1日'!$B$68</x:f>
        <x:v>yuanshi_insect_fire_ranged｜火焰弹原石虫</x:v>
      </x:c>
      <x:c r="P44" s="19" t="str">
        <x:f>'第1日'!$E$68</x:f>
        <x:v>yuanshi_insect_fire_ranged</x:v>
      </x:c>
      <x:c r="Q44" s="19" t="n">
        <x:f>'第1日'!$C$68</x:f>
        <x:v>4</x:v>
      </x:c>
      <x:c r="R44" s="19" t="n">
        <x:f>IF(P44="","",IF(ISNUMBER('第1日'!$D$68),'第1日'!$D$68,IF(VLOOKUP(O44,'敌人目录'!$A$6:$S$54,14,FALSE)&lt;&gt;VLOOKUP(O44,'敌人目录'!$A$6:$S$54,13,FALSE),VLOOKUP(O44,'敌人目录'!$A$6:$S$54,14,FALSE),-1)))</x:f>
        <x:v>-1</x:v>
      </x:c>
      <x:c r="S44" s="19" t="str">
        <x:f>'第1日'!$U$68</x:f>
        <x:v>可导入</x:v>
      </x:c>
      <x:c r="T44" s="19" t="str">
        <x:f>'第1日'!$N$61</x:f>
        <x:v>可导入</x:v>
      </x:c>
    </x:row>
    <x:row r="45" ht="22" customHeight="1">
      <x:c r="A45" s="19" t="n">
        <x:v>1</x:v>
      </x:c>
      <x:c r="B45" s="19" t="str">
        <x:v>tower_defense_formal</x:v>
      </x:c>
      <x:c r="C45" s="19" t="str">
        <x:v>wave_03</x:v>
      </x:c>
      <x:c r="D45" s="19" t="n">
        <x:v>3</x:v>
      </x:c>
      <x:c r="E45" s="19" t="n">
        <x:v>1</x:v>
      </x:c>
      <x:c r="F45" s="19" t="n">
        <x:v>3</x:v>
      </x:c>
      <x:c r="G45" s="19" t="str">
        <x:f>'第1日'!$B$61</x:f>
        <x:v>第3波 火线初现</x:v>
      </x:c>
      <x:c r="H45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5" s="19" t="n">
        <x:f>'第1日'!$H$61</x:f>
        <x:v>0.6</x:v>
      </x:c>
      <x:c r="J45" s="19" t="n">
        <x:f>'第1日'!$J$61</x:f>
        <x:v>1</x:v>
      </x:c>
      <x:c r="K45" s="19" t="n">
        <x:f>'第1日'!$L$61</x:f>
        <x:v>36</x:v>
      </x:c>
      <x:c r="L45" s="19" t="str">
        <x:v>res://resources/audio/shenmu_forest_combat.ogg</x:v>
      </x:c>
      <x:c r="M45" s="19" t="str">
        <x:v>res://resources/audio/shenmu_forest_intermission.ogg</x:v>
      </x:c>
      <x:c r="N45" s="19" t="n">
        <x:v>5</x:v>
      </x:c>
      <x:c r="O45" s="19" t="n">
        <x:f>'第1日'!$B$69</x:f>
        <x:v>0</x:v>
      </x:c>
      <x:c r="P45" s="19" t="str">
        <x:f>'第1日'!$E$69</x:f>
      </x:c>
      <x:c r="Q45" s="19" t="n">
        <x:f>'第1日'!$C$69</x:f>
        <x:v>0</x:v>
      </x:c>
      <x:c r="R45" s="19" t="str">
        <x:f>IF(P45="","",IF(ISNUMBER('第1日'!$D$69),'第1日'!$D$69,IF(VLOOKUP(O45,'敌人目录'!$A$6:$S$54,14,FALSE)&lt;&gt;VLOOKUP(O45,'敌人目录'!$A$6:$S$54,13,FALSE),VLOOKUP(O45,'敌人目录'!$A$6:$S$54,14,FALSE),-1)))</x:f>
      </x:c>
      <x:c r="S45" s="19" t="n">
        <x:f>'第1日'!$U$69</x:f>
        <x:v>0</x:v>
      </x:c>
      <x:c r="T45" s="19" t="str">
        <x:f>'第1日'!$N$61</x:f>
        <x:v>可导入</x:v>
      </x:c>
    </x:row>
    <x:row r="46" ht="22" customHeight="1">
      <x:c r="A46" s="19" t="n">
        <x:v>1</x:v>
      </x:c>
      <x:c r="B46" s="19" t="str">
        <x:v>tower_defense_formal</x:v>
      </x:c>
      <x:c r="C46" s="19" t="str">
        <x:v>wave_03</x:v>
      </x:c>
      <x:c r="D46" s="19" t="n">
        <x:v>3</x:v>
      </x:c>
      <x:c r="E46" s="19" t="n">
        <x:v>1</x:v>
      </x:c>
      <x:c r="F46" s="19" t="n">
        <x:v>3</x:v>
      </x:c>
      <x:c r="G46" s="19" t="str">
        <x:f>'第1日'!$B$61</x:f>
        <x:v>第3波 火线初现</x:v>
      </x:c>
      <x:c r="H46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6" s="19" t="n">
        <x:f>'第1日'!$H$61</x:f>
        <x:v>0.6</x:v>
      </x:c>
      <x:c r="J46" s="19" t="n">
        <x:f>'第1日'!$J$61</x:f>
        <x:v>1</x:v>
      </x:c>
      <x:c r="K46" s="19" t="n">
        <x:f>'第1日'!$L$61</x:f>
        <x:v>36</x:v>
      </x:c>
      <x:c r="L46" s="19" t="str">
        <x:v>res://resources/audio/shenmu_forest_combat.ogg</x:v>
      </x:c>
      <x:c r="M46" s="19" t="str">
        <x:v>res://resources/audio/shenmu_forest_intermission.ogg</x:v>
      </x:c>
      <x:c r="N46" s="19" t="n">
        <x:v>6</x:v>
      </x:c>
      <x:c r="O46" s="19" t="n">
        <x:f>'第1日'!$B$70</x:f>
        <x:v>0</x:v>
      </x:c>
      <x:c r="P46" s="19" t="str">
        <x:f>'第1日'!$E$70</x:f>
      </x:c>
      <x:c r="Q46" s="19" t="n">
        <x:f>'第1日'!$C$70</x:f>
        <x:v>0</x:v>
      </x:c>
      <x:c r="R46" s="19" t="str">
        <x:f>IF(P46="","",IF(ISNUMBER('第1日'!$D$70),'第1日'!$D$70,IF(VLOOKUP(O46,'敌人目录'!$A$6:$S$54,14,FALSE)&lt;&gt;VLOOKUP(O46,'敌人目录'!$A$6:$S$54,13,FALSE),VLOOKUP(O46,'敌人目录'!$A$6:$S$54,14,FALSE),-1)))</x:f>
      </x:c>
      <x:c r="S46" s="19" t="n">
        <x:f>'第1日'!$U$70</x:f>
        <x:v>0</x:v>
      </x:c>
      <x:c r="T46" s="19" t="str">
        <x:f>'第1日'!$N$61</x:f>
        <x:v>可导入</x:v>
      </x:c>
    </x:row>
    <x:row r="47" ht="22" customHeight="1">
      <x:c r="A47" s="19" t="n">
        <x:v>1</x:v>
      </x:c>
      <x:c r="B47" s="19" t="str">
        <x:v>tower_defense_formal</x:v>
      </x:c>
      <x:c r="C47" s="19" t="str">
        <x:v>wave_03</x:v>
      </x:c>
      <x:c r="D47" s="19" t="n">
        <x:v>3</x:v>
      </x:c>
      <x:c r="E47" s="19" t="n">
        <x:v>1</x:v>
      </x:c>
      <x:c r="F47" s="19" t="n">
        <x:v>3</x:v>
      </x:c>
      <x:c r="G47" s="19" t="str">
        <x:f>'第1日'!$B$61</x:f>
        <x:v>第3波 火线初现</x:v>
      </x:c>
      <x:c r="H47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7" s="19" t="n">
        <x:f>'第1日'!$H$61</x:f>
        <x:v>0.6</x:v>
      </x:c>
      <x:c r="J47" s="19" t="n">
        <x:f>'第1日'!$J$61</x:f>
        <x:v>1</x:v>
      </x:c>
      <x:c r="K47" s="19" t="n">
        <x:f>'第1日'!$L$61</x:f>
        <x:v>36</x:v>
      </x:c>
      <x:c r="L47" s="19" t="str">
        <x:v>res://resources/audio/shenmu_forest_combat.ogg</x:v>
      </x:c>
      <x:c r="M47" s="19" t="str">
        <x:v>res://resources/audio/shenmu_forest_intermission.ogg</x:v>
      </x:c>
      <x:c r="N47" s="19" t="n">
        <x:v>7</x:v>
      </x:c>
      <x:c r="O47" s="19" t="n">
        <x:f>'第1日'!$B$71</x:f>
        <x:v>0</x:v>
      </x:c>
      <x:c r="P47" s="19" t="str">
        <x:f>'第1日'!$E$71</x:f>
      </x:c>
      <x:c r="Q47" s="19" t="n">
        <x:f>'第1日'!$C$71</x:f>
        <x:v>0</x:v>
      </x:c>
      <x:c r="R47" s="19" t="str">
        <x:f>IF(P47="","",IF(ISNUMBER('第1日'!$D$71),'第1日'!$D$71,IF(VLOOKUP(O47,'敌人目录'!$A$6:$S$54,14,FALSE)&lt;&gt;VLOOKUP(O47,'敌人目录'!$A$6:$S$54,13,FALSE),VLOOKUP(O47,'敌人目录'!$A$6:$S$54,14,FALSE),-1)))</x:f>
      </x:c>
      <x:c r="S47" s="19" t="n">
        <x:f>'第1日'!$U$71</x:f>
        <x:v>0</x:v>
      </x:c>
      <x:c r="T47" s="19" t="str">
        <x:f>'第1日'!$N$61</x:f>
        <x:v>可导入</x:v>
      </x:c>
    </x:row>
    <x:row r="48" ht="22" customHeight="1">
      <x:c r="A48" s="19" t="n">
        <x:v>1</x:v>
      </x:c>
      <x:c r="B48" s="19" t="str">
        <x:v>tower_defense_formal</x:v>
      </x:c>
      <x:c r="C48" s="19" t="str">
        <x:v>wave_03</x:v>
      </x:c>
      <x:c r="D48" s="19" t="n">
        <x:v>3</x:v>
      </x:c>
      <x:c r="E48" s="19" t="n">
        <x:v>1</x:v>
      </x:c>
      <x:c r="F48" s="19" t="n">
        <x:v>3</x:v>
      </x:c>
      <x:c r="G48" s="19" t="str">
        <x:f>'第1日'!$B$61</x:f>
        <x:v>第3波 火线初现</x:v>
      </x:c>
      <x:c r="H48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8" s="19" t="n">
        <x:f>'第1日'!$H$61</x:f>
        <x:v>0.6</x:v>
      </x:c>
      <x:c r="J48" s="19" t="n">
        <x:f>'第1日'!$J$61</x:f>
        <x:v>1</x:v>
      </x:c>
      <x:c r="K48" s="19" t="n">
        <x:f>'第1日'!$L$61</x:f>
        <x:v>36</x:v>
      </x:c>
      <x:c r="L48" s="19" t="str">
        <x:v>res://resources/audio/shenmu_forest_combat.ogg</x:v>
      </x:c>
      <x:c r="M48" s="19" t="str">
        <x:v>res://resources/audio/shenmu_forest_intermission.ogg</x:v>
      </x:c>
      <x:c r="N48" s="19" t="n">
        <x:v>8</x:v>
      </x:c>
      <x:c r="O48" s="19" t="n">
        <x:f>'第1日'!$B$72</x:f>
        <x:v>0</x:v>
      </x:c>
      <x:c r="P48" s="19" t="str">
        <x:f>'第1日'!$E$72</x:f>
      </x:c>
      <x:c r="Q48" s="19" t="n">
        <x:f>'第1日'!$C$72</x:f>
        <x:v>0</x:v>
      </x:c>
      <x:c r="R48" s="19" t="str">
        <x:f>IF(P48="","",IF(ISNUMBER('第1日'!$D$72),'第1日'!$D$72,IF(VLOOKUP(O48,'敌人目录'!$A$6:$S$54,14,FALSE)&lt;&gt;VLOOKUP(O48,'敌人目录'!$A$6:$S$54,13,FALSE),VLOOKUP(O48,'敌人目录'!$A$6:$S$54,14,FALSE),-1)))</x:f>
      </x:c>
      <x:c r="S48" s="19" t="n">
        <x:f>'第1日'!$U$72</x:f>
        <x:v>0</x:v>
      </x:c>
      <x:c r="T48" s="19" t="str">
        <x:f>'第1日'!$N$61</x:f>
        <x:v>可导入</x:v>
      </x:c>
    </x:row>
    <x:row r="49" ht="22" customHeight="1">
      <x:c r="A49" s="19" t="n">
        <x:v>1</x:v>
      </x:c>
      <x:c r="B49" s="19" t="str">
        <x:v>tower_defense_formal</x:v>
      </x:c>
      <x:c r="C49" s="19" t="str">
        <x:v>wave_03</x:v>
      </x:c>
      <x:c r="D49" s="19" t="n">
        <x:v>3</x:v>
      </x:c>
      <x:c r="E49" s="19" t="n">
        <x:v>1</x:v>
      </x:c>
      <x:c r="F49" s="19" t="n">
        <x:v>3</x:v>
      </x:c>
      <x:c r="G49" s="19" t="str">
        <x:f>'第1日'!$B$61</x:f>
        <x:v>第3波 火线初现</x:v>
      </x:c>
      <x:c r="H49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49" s="19" t="n">
        <x:f>'第1日'!$H$61</x:f>
        <x:v>0.6</x:v>
      </x:c>
      <x:c r="J49" s="19" t="n">
        <x:f>'第1日'!$J$61</x:f>
        <x:v>1</x:v>
      </x:c>
      <x:c r="K49" s="19" t="n">
        <x:f>'第1日'!$L$61</x:f>
        <x:v>36</x:v>
      </x:c>
      <x:c r="L49" s="19" t="str">
        <x:v>res://resources/audio/shenmu_forest_combat.ogg</x:v>
      </x:c>
      <x:c r="M49" s="19" t="str">
        <x:v>res://resources/audio/shenmu_forest_intermission.ogg</x:v>
      </x:c>
      <x:c r="N49" s="19" t="n">
        <x:v>9</x:v>
      </x:c>
      <x:c r="O49" s="19" t="n">
        <x:f>'第1日'!$B$73</x:f>
        <x:v>0</x:v>
      </x:c>
      <x:c r="P49" s="19" t="str">
        <x:f>'第1日'!$E$73</x:f>
      </x:c>
      <x:c r="Q49" s="19" t="n">
        <x:f>'第1日'!$C$73</x:f>
        <x:v>0</x:v>
      </x:c>
      <x:c r="R49" s="19" t="str">
        <x:f>IF(P49="","",IF(ISNUMBER('第1日'!$D$73),'第1日'!$D$73,IF(VLOOKUP(O49,'敌人目录'!$A$6:$S$54,14,FALSE)&lt;&gt;VLOOKUP(O49,'敌人目录'!$A$6:$S$54,13,FALSE),VLOOKUP(O49,'敌人目录'!$A$6:$S$54,14,FALSE),-1)))</x:f>
      </x:c>
      <x:c r="S49" s="19" t="n">
        <x:f>'第1日'!$U$73</x:f>
        <x:v>0</x:v>
      </x:c>
      <x:c r="T49" s="19" t="str">
        <x:f>'第1日'!$N$61</x:f>
        <x:v>可导入</x:v>
      </x:c>
    </x:row>
    <x:row r="50" ht="22" customHeight="1">
      <x:c r="A50" s="19" t="n">
        <x:v>1</x:v>
      </x:c>
      <x:c r="B50" s="19" t="str">
        <x:v>tower_defense_formal</x:v>
      </x:c>
      <x:c r="C50" s="19" t="str">
        <x:v>wave_03</x:v>
      </x:c>
      <x:c r="D50" s="19" t="n">
        <x:v>3</x:v>
      </x:c>
      <x:c r="E50" s="19" t="n">
        <x:v>1</x:v>
      </x:c>
      <x:c r="F50" s="19" t="n">
        <x:v>3</x:v>
      </x:c>
      <x:c r="G50" s="19" t="str">
        <x:f>'第1日'!$B$61</x:f>
        <x:v>第3波 火线初现</x:v>
      </x:c>
      <x:c r="H50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0" s="19" t="n">
        <x:f>'第1日'!$H$61</x:f>
        <x:v>0.6</x:v>
      </x:c>
      <x:c r="J50" s="19" t="n">
        <x:f>'第1日'!$J$61</x:f>
        <x:v>1</x:v>
      </x:c>
      <x:c r="K50" s="19" t="n">
        <x:f>'第1日'!$L$61</x:f>
        <x:v>36</x:v>
      </x:c>
      <x:c r="L50" s="19" t="str">
        <x:v>res://resources/audio/shenmu_forest_combat.ogg</x:v>
      </x:c>
      <x:c r="M50" s="19" t="str">
        <x:v>res://resources/audio/shenmu_forest_intermission.ogg</x:v>
      </x:c>
      <x:c r="N50" s="19" t="n">
        <x:v>10</x:v>
      </x:c>
      <x:c r="O50" s="19" t="n">
        <x:f>'第1日'!$B$74</x:f>
        <x:v>0</x:v>
      </x:c>
      <x:c r="P50" s="19" t="str">
        <x:f>'第1日'!$E$74</x:f>
      </x:c>
      <x:c r="Q50" s="19" t="n">
        <x:f>'第1日'!$C$74</x:f>
        <x:v>0</x:v>
      </x:c>
      <x:c r="R50" s="19" t="str">
        <x:f>IF(P50="","",IF(ISNUMBER('第1日'!$D$74),'第1日'!$D$74,IF(VLOOKUP(O50,'敌人目录'!$A$6:$S$54,14,FALSE)&lt;&gt;VLOOKUP(O50,'敌人目录'!$A$6:$S$54,13,FALSE),VLOOKUP(O50,'敌人目录'!$A$6:$S$54,14,FALSE),-1)))</x:f>
      </x:c>
      <x:c r="S50" s="19" t="n">
        <x:f>'第1日'!$U$74</x:f>
        <x:v>0</x:v>
      </x:c>
      <x:c r="T50" s="19" t="str">
        <x:f>'第1日'!$N$61</x:f>
        <x:v>可导入</x:v>
      </x:c>
    </x:row>
    <x:row r="51" ht="22" customHeight="1">
      <x:c r="A51" s="19" t="n">
        <x:v>1</x:v>
      </x:c>
      <x:c r="B51" s="19" t="str">
        <x:v>tower_defense_formal</x:v>
      </x:c>
      <x:c r="C51" s="19" t="str">
        <x:v>wave_03</x:v>
      </x:c>
      <x:c r="D51" s="19" t="n">
        <x:v>3</x:v>
      </x:c>
      <x:c r="E51" s="19" t="n">
        <x:v>1</x:v>
      </x:c>
      <x:c r="F51" s="19" t="n">
        <x:v>3</x:v>
      </x:c>
      <x:c r="G51" s="19" t="str">
        <x:f>'第1日'!$B$61</x:f>
        <x:v>第3波 火线初现</x:v>
      </x:c>
      <x:c r="H51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1" s="19" t="n">
        <x:f>'第1日'!$H$61</x:f>
        <x:v>0.6</x:v>
      </x:c>
      <x:c r="J51" s="19" t="n">
        <x:f>'第1日'!$J$61</x:f>
        <x:v>1</x:v>
      </x:c>
      <x:c r="K51" s="19" t="n">
        <x:f>'第1日'!$L$61</x:f>
        <x:v>36</x:v>
      </x:c>
      <x:c r="L51" s="19" t="str">
        <x:v>res://resources/audio/shenmu_forest_combat.ogg</x:v>
      </x:c>
      <x:c r="M51" s="19" t="str">
        <x:v>res://resources/audio/shenmu_forest_intermission.ogg</x:v>
      </x:c>
      <x:c r="N51" s="19" t="n">
        <x:v>11</x:v>
      </x:c>
      <x:c r="O51" s="19" t="n">
        <x:f>'第1日'!$B$75</x:f>
        <x:v>0</x:v>
      </x:c>
      <x:c r="P51" s="19" t="str">
        <x:f>'第1日'!$E$75</x:f>
      </x:c>
      <x:c r="Q51" s="19" t="n">
        <x:f>'第1日'!$C$75</x:f>
        <x:v>0</x:v>
      </x:c>
      <x:c r="R51" s="19" t="str">
        <x:f>IF(P51="","",IF(ISNUMBER('第1日'!$D$75),'第1日'!$D$75,IF(VLOOKUP(O51,'敌人目录'!$A$6:$S$54,14,FALSE)&lt;&gt;VLOOKUP(O51,'敌人目录'!$A$6:$S$54,13,FALSE),VLOOKUP(O51,'敌人目录'!$A$6:$S$54,14,FALSE),-1)))</x:f>
      </x:c>
      <x:c r="S51" s="19" t="n">
        <x:f>'第1日'!$U$75</x:f>
        <x:v>0</x:v>
      </x:c>
      <x:c r="T51" s="19" t="str">
        <x:f>'第1日'!$N$61</x:f>
        <x:v>可导入</x:v>
      </x:c>
    </x:row>
    <x:row r="52" ht="22" customHeight="1">
      <x:c r="A52" s="19" t="n">
        <x:v>1</x:v>
      </x:c>
      <x:c r="B52" s="19" t="str">
        <x:v>tower_defense_formal</x:v>
      </x:c>
      <x:c r="C52" s="19" t="str">
        <x:v>wave_03</x:v>
      </x:c>
      <x:c r="D52" s="19" t="n">
        <x:v>3</x:v>
      </x:c>
      <x:c r="E52" s="19" t="n">
        <x:v>1</x:v>
      </x:c>
      <x:c r="F52" s="19" t="n">
        <x:v>3</x:v>
      </x:c>
      <x:c r="G52" s="19" t="str">
        <x:f>'第1日'!$B$61</x:f>
        <x:v>第3波 火线初现</x:v>
      </x:c>
      <x:c r="H52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2" s="19" t="n">
        <x:f>'第1日'!$H$61</x:f>
        <x:v>0.6</x:v>
      </x:c>
      <x:c r="J52" s="19" t="n">
        <x:f>'第1日'!$J$61</x:f>
        <x:v>1</x:v>
      </x:c>
      <x:c r="K52" s="19" t="n">
        <x:f>'第1日'!$L$61</x:f>
        <x:v>36</x:v>
      </x:c>
      <x:c r="L52" s="19" t="str">
        <x:v>res://resources/audio/shenmu_forest_combat.ogg</x:v>
      </x:c>
      <x:c r="M52" s="19" t="str">
        <x:v>res://resources/audio/shenmu_forest_intermission.ogg</x:v>
      </x:c>
      <x:c r="N52" s="19" t="n">
        <x:v>12</x:v>
      </x:c>
      <x:c r="O52" s="19" t="n">
        <x:f>'第1日'!$B$76</x:f>
        <x:v>0</x:v>
      </x:c>
      <x:c r="P52" s="19" t="str">
        <x:f>'第1日'!$E$76</x:f>
      </x:c>
      <x:c r="Q52" s="19" t="n">
        <x:f>'第1日'!$C$76</x:f>
        <x:v>0</x:v>
      </x:c>
      <x:c r="R52" s="19" t="str">
        <x:f>IF(P52="","",IF(ISNUMBER('第1日'!$D$76),'第1日'!$D$76,IF(VLOOKUP(O52,'敌人目录'!$A$6:$S$54,14,FALSE)&lt;&gt;VLOOKUP(O52,'敌人目录'!$A$6:$S$54,13,FALSE),VLOOKUP(O52,'敌人目录'!$A$6:$S$54,14,FALSE),-1)))</x:f>
      </x:c>
      <x:c r="S52" s="19" t="n">
        <x:f>'第1日'!$U$76</x:f>
        <x:v>0</x:v>
      </x:c>
      <x:c r="T52" s="19" t="str">
        <x:f>'第1日'!$N$61</x:f>
        <x:v>可导入</x:v>
      </x:c>
    </x:row>
    <x:row r="53" ht="22" customHeight="1">
      <x:c r="A53" s="19" t="n">
        <x:v>1</x:v>
      </x:c>
      <x:c r="B53" s="19" t="str">
        <x:v>tower_defense_formal</x:v>
      </x:c>
      <x:c r="C53" s="19" t="str">
        <x:v>wave_03</x:v>
      </x:c>
      <x:c r="D53" s="19" t="n">
        <x:v>3</x:v>
      </x:c>
      <x:c r="E53" s="19" t="n">
        <x:v>1</x:v>
      </x:c>
      <x:c r="F53" s="19" t="n">
        <x:v>3</x:v>
      </x:c>
      <x:c r="G53" s="19" t="str">
        <x:f>'第1日'!$B$61</x:f>
        <x:v>第3波 火线初现</x:v>
      </x:c>
      <x:c r="H53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3" s="19" t="n">
        <x:f>'第1日'!$H$61</x:f>
        <x:v>0.6</x:v>
      </x:c>
      <x:c r="J53" s="19" t="n">
        <x:f>'第1日'!$J$61</x:f>
        <x:v>1</x:v>
      </x:c>
      <x:c r="K53" s="19" t="n">
        <x:f>'第1日'!$L$61</x:f>
        <x:v>36</x:v>
      </x:c>
      <x:c r="L53" s="19" t="str">
        <x:v>res://resources/audio/shenmu_forest_combat.ogg</x:v>
      </x:c>
      <x:c r="M53" s="19" t="str">
        <x:v>res://resources/audio/shenmu_forest_intermission.ogg</x:v>
      </x:c>
      <x:c r="N53" s="19" t="n">
        <x:v>13</x:v>
      </x:c>
      <x:c r="O53" s="19" t="n">
        <x:f>'第1日'!$B$77</x:f>
        <x:v>0</x:v>
      </x:c>
      <x:c r="P53" s="19" t="str">
        <x:f>'第1日'!$E$77</x:f>
      </x:c>
      <x:c r="Q53" s="19" t="n">
        <x:f>'第1日'!$C$77</x:f>
        <x:v>0</x:v>
      </x:c>
      <x:c r="R53" s="19" t="str">
        <x:f>IF(P53="","",IF(ISNUMBER('第1日'!$D$77),'第1日'!$D$77,IF(VLOOKUP(O53,'敌人目录'!$A$6:$S$54,14,FALSE)&lt;&gt;VLOOKUP(O53,'敌人目录'!$A$6:$S$54,13,FALSE),VLOOKUP(O53,'敌人目录'!$A$6:$S$54,14,FALSE),-1)))</x:f>
      </x:c>
      <x:c r="S53" s="19" t="n">
        <x:f>'第1日'!$U$77</x:f>
        <x:v>0</x:v>
      </x:c>
      <x:c r="T53" s="19" t="str">
        <x:f>'第1日'!$N$61</x:f>
        <x:v>可导入</x:v>
      </x:c>
    </x:row>
    <x:row r="54" ht="22" customHeight="1">
      <x:c r="A54" s="19" t="n">
        <x:v>1</x:v>
      </x:c>
      <x:c r="B54" s="19" t="str">
        <x:v>tower_defense_formal</x:v>
      </x:c>
      <x:c r="C54" s="19" t="str">
        <x:v>wave_03</x:v>
      </x:c>
      <x:c r="D54" s="19" t="n">
        <x:v>3</x:v>
      </x:c>
      <x:c r="E54" s="19" t="n">
        <x:v>1</x:v>
      </x:c>
      <x:c r="F54" s="19" t="n">
        <x:v>3</x:v>
      </x:c>
      <x:c r="G54" s="19" t="str">
        <x:f>'第1日'!$B$61</x:f>
        <x:v>第3波 火线初现</x:v>
      </x:c>
      <x:c r="H54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4" s="19" t="n">
        <x:f>'第1日'!$H$61</x:f>
        <x:v>0.6</x:v>
      </x:c>
      <x:c r="J54" s="19" t="n">
        <x:f>'第1日'!$J$61</x:f>
        <x:v>1</x:v>
      </x:c>
      <x:c r="K54" s="19" t="n">
        <x:f>'第1日'!$L$61</x:f>
        <x:v>36</x:v>
      </x:c>
      <x:c r="L54" s="19" t="str">
        <x:v>res://resources/audio/shenmu_forest_combat.ogg</x:v>
      </x:c>
      <x:c r="M54" s="19" t="str">
        <x:v>res://resources/audio/shenmu_forest_intermission.ogg</x:v>
      </x:c>
      <x:c r="N54" s="19" t="n">
        <x:v>14</x:v>
      </x:c>
      <x:c r="O54" s="19" t="n">
        <x:f>'第1日'!$B$78</x:f>
        <x:v>0</x:v>
      </x:c>
      <x:c r="P54" s="19" t="str">
        <x:f>'第1日'!$E$78</x:f>
      </x:c>
      <x:c r="Q54" s="19" t="n">
        <x:f>'第1日'!$C$78</x:f>
        <x:v>0</x:v>
      </x:c>
      <x:c r="R54" s="19" t="str">
        <x:f>IF(P54="","",IF(ISNUMBER('第1日'!$D$78),'第1日'!$D$78,IF(VLOOKUP(O54,'敌人目录'!$A$6:$S$54,14,FALSE)&lt;&gt;VLOOKUP(O54,'敌人目录'!$A$6:$S$54,13,FALSE),VLOOKUP(O54,'敌人目录'!$A$6:$S$54,14,FALSE),-1)))</x:f>
      </x:c>
      <x:c r="S54" s="19" t="n">
        <x:f>'第1日'!$U$78</x:f>
        <x:v>0</x:v>
      </x:c>
      <x:c r="T54" s="19" t="str">
        <x:f>'第1日'!$N$61</x:f>
        <x:v>可导入</x:v>
      </x:c>
    </x:row>
    <x:row r="55" ht="22" customHeight="1">
      <x:c r="A55" s="19" t="n">
        <x:v>1</x:v>
      </x:c>
      <x:c r="B55" s="19" t="str">
        <x:v>tower_defense_formal</x:v>
      </x:c>
      <x:c r="C55" s="19" t="str">
        <x:v>wave_03</x:v>
      </x:c>
      <x:c r="D55" s="19" t="n">
        <x:v>3</x:v>
      </x:c>
      <x:c r="E55" s="19" t="n">
        <x:v>1</x:v>
      </x:c>
      <x:c r="F55" s="19" t="n">
        <x:v>3</x:v>
      </x:c>
      <x:c r="G55" s="19" t="str">
        <x:f>'第1日'!$B$61</x:f>
        <x:v>第3波 火线初现</x:v>
      </x:c>
      <x:c r="H55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5" s="19" t="n">
        <x:f>'第1日'!$H$61</x:f>
        <x:v>0.6</x:v>
      </x:c>
      <x:c r="J55" s="19" t="n">
        <x:f>'第1日'!$J$61</x:f>
        <x:v>1</x:v>
      </x:c>
      <x:c r="K55" s="19" t="n">
        <x:f>'第1日'!$L$61</x:f>
        <x:v>36</x:v>
      </x:c>
      <x:c r="L55" s="19" t="str">
        <x:v>res://resources/audio/shenmu_forest_combat.ogg</x:v>
      </x:c>
      <x:c r="M55" s="19" t="str">
        <x:v>res://resources/audio/shenmu_forest_intermission.ogg</x:v>
      </x:c>
      <x:c r="N55" s="19" t="n">
        <x:v>15</x:v>
      </x:c>
      <x:c r="O55" s="19" t="n">
        <x:f>'第1日'!$B$79</x:f>
        <x:v>0</x:v>
      </x:c>
      <x:c r="P55" s="19" t="str">
        <x:f>'第1日'!$E$79</x:f>
      </x:c>
      <x:c r="Q55" s="19" t="n">
        <x:f>'第1日'!$C$79</x:f>
        <x:v>0</x:v>
      </x:c>
      <x:c r="R55" s="19" t="str">
        <x:f>IF(P55="","",IF(ISNUMBER('第1日'!$D$79),'第1日'!$D$79,IF(VLOOKUP(O55,'敌人目录'!$A$6:$S$54,14,FALSE)&lt;&gt;VLOOKUP(O55,'敌人目录'!$A$6:$S$54,13,FALSE),VLOOKUP(O55,'敌人目录'!$A$6:$S$54,14,FALSE),-1)))</x:f>
      </x:c>
      <x:c r="S55" s="19" t="n">
        <x:f>'第1日'!$U$79</x:f>
        <x:v>0</x:v>
      </x:c>
      <x:c r="T55" s="19" t="str">
        <x:f>'第1日'!$N$61</x:f>
        <x:v>可导入</x:v>
      </x:c>
    </x:row>
    <x:row r="56" ht="22" customHeight="1">
      <x:c r="A56" s="19" t="n">
        <x:v>1</x:v>
      </x:c>
      <x:c r="B56" s="19" t="str">
        <x:v>tower_defense_formal</x:v>
      </x:c>
      <x:c r="C56" s="19" t="str">
        <x:v>wave_03</x:v>
      </x:c>
      <x:c r="D56" s="19" t="n">
        <x:v>3</x:v>
      </x:c>
      <x:c r="E56" s="19" t="n">
        <x:v>1</x:v>
      </x:c>
      <x:c r="F56" s="19" t="n">
        <x:v>3</x:v>
      </x:c>
      <x:c r="G56" s="19" t="str">
        <x:f>'第1日'!$B$61</x:f>
        <x:v>第3波 火线初现</x:v>
      </x:c>
      <x:c r="H56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6" s="19" t="n">
        <x:f>'第1日'!$H$61</x:f>
        <x:v>0.6</x:v>
      </x:c>
      <x:c r="J56" s="19" t="n">
        <x:f>'第1日'!$J$61</x:f>
        <x:v>1</x:v>
      </x:c>
      <x:c r="K56" s="19" t="n">
        <x:f>'第1日'!$L$61</x:f>
        <x:v>36</x:v>
      </x:c>
      <x:c r="L56" s="19" t="str">
        <x:v>res://resources/audio/shenmu_forest_combat.ogg</x:v>
      </x:c>
      <x:c r="M56" s="19" t="str">
        <x:v>res://resources/audio/shenmu_forest_intermission.ogg</x:v>
      </x:c>
      <x:c r="N56" s="19" t="n">
        <x:v>16</x:v>
      </x:c>
      <x:c r="O56" s="19" t="n">
        <x:f>'第1日'!$B$80</x:f>
        <x:v>0</x:v>
      </x:c>
      <x:c r="P56" s="19" t="str">
        <x:f>'第1日'!$E$80</x:f>
      </x:c>
      <x:c r="Q56" s="19" t="n">
        <x:f>'第1日'!$C$80</x:f>
        <x:v>0</x:v>
      </x:c>
      <x:c r="R56" s="19" t="str">
        <x:f>IF(P56="","",IF(ISNUMBER('第1日'!$D$80),'第1日'!$D$80,IF(VLOOKUP(O56,'敌人目录'!$A$6:$S$54,14,FALSE)&lt;&gt;VLOOKUP(O56,'敌人目录'!$A$6:$S$54,13,FALSE),VLOOKUP(O56,'敌人目录'!$A$6:$S$54,14,FALSE),-1)))</x:f>
      </x:c>
      <x:c r="S56" s="19" t="n">
        <x:f>'第1日'!$U$80</x:f>
        <x:v>0</x:v>
      </x:c>
      <x:c r="T56" s="19" t="str">
        <x:f>'第1日'!$N$61</x:f>
        <x:v>可导入</x:v>
      </x:c>
    </x:row>
    <x:row r="57" ht="22" customHeight="1">
      <x:c r="A57" s="19" t="n">
        <x:v>1</x:v>
      </x:c>
      <x:c r="B57" s="19" t="str">
        <x:v>tower_defense_formal</x:v>
      </x:c>
      <x:c r="C57" s="19" t="str">
        <x:v>wave_03</x:v>
      </x:c>
      <x:c r="D57" s="19" t="n">
        <x:v>3</x:v>
      </x:c>
      <x:c r="E57" s="19" t="n">
        <x:v>1</x:v>
      </x:c>
      <x:c r="F57" s="19" t="n">
        <x:v>3</x:v>
      </x:c>
      <x:c r="G57" s="19" t="str">
        <x:f>'第1日'!$B$61</x:f>
        <x:v>第3波 火线初现</x:v>
      </x:c>
      <x:c r="H57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7" s="19" t="n">
        <x:f>'第1日'!$H$61</x:f>
        <x:v>0.6</x:v>
      </x:c>
      <x:c r="J57" s="19" t="n">
        <x:f>'第1日'!$J$61</x:f>
        <x:v>1</x:v>
      </x:c>
      <x:c r="K57" s="19" t="n">
        <x:f>'第1日'!$L$61</x:f>
        <x:v>36</x:v>
      </x:c>
      <x:c r="L57" s="19" t="str">
        <x:v>res://resources/audio/shenmu_forest_combat.ogg</x:v>
      </x:c>
      <x:c r="M57" s="19" t="str">
        <x:v>res://resources/audio/shenmu_forest_intermission.ogg</x:v>
      </x:c>
      <x:c r="N57" s="19" t="n">
        <x:v>17</x:v>
      </x:c>
      <x:c r="O57" s="19" t="n">
        <x:f>'第1日'!$B$81</x:f>
        <x:v>0</x:v>
      </x:c>
      <x:c r="P57" s="19" t="str">
        <x:f>'第1日'!$E$81</x:f>
      </x:c>
      <x:c r="Q57" s="19" t="n">
        <x:f>'第1日'!$C$81</x:f>
        <x:v>0</x:v>
      </x:c>
      <x:c r="R57" s="19" t="str">
        <x:f>IF(P57="","",IF(ISNUMBER('第1日'!$D$81),'第1日'!$D$81,IF(VLOOKUP(O57,'敌人目录'!$A$6:$S$54,14,FALSE)&lt;&gt;VLOOKUP(O57,'敌人目录'!$A$6:$S$54,13,FALSE),VLOOKUP(O57,'敌人目录'!$A$6:$S$54,14,FALSE),-1)))</x:f>
      </x:c>
      <x:c r="S57" s="19" t="n">
        <x:f>'第1日'!$U$81</x:f>
        <x:v>0</x:v>
      </x:c>
      <x:c r="T57" s="19" t="str">
        <x:f>'第1日'!$N$61</x:f>
        <x:v>可导入</x:v>
      </x:c>
    </x:row>
    <x:row r="58" ht="22" customHeight="1">
      <x:c r="A58" s="19" t="n">
        <x:v>1</x:v>
      </x:c>
      <x:c r="B58" s="19" t="str">
        <x:v>tower_defense_formal</x:v>
      </x:c>
      <x:c r="C58" s="19" t="str">
        <x:v>wave_03</x:v>
      </x:c>
      <x:c r="D58" s="19" t="n">
        <x:v>3</x:v>
      </x:c>
      <x:c r="E58" s="19" t="n">
        <x:v>1</x:v>
      </x:c>
      <x:c r="F58" s="19" t="n">
        <x:v>3</x:v>
      </x:c>
      <x:c r="G58" s="19" t="str">
        <x:f>'第1日'!$B$61</x:f>
        <x:v>第3波 火线初现</x:v>
      </x:c>
      <x:c r="H58" s="19" t="n">
        <x:f>IF('第1日'!$B$62="开启",1,0)+IF('第1日'!$C$62="开启",2,0)+IF('第1日'!$D$62="开启",4,0)+IF('第1日'!$E$62="开启",8,0)+IF('第1日'!$F$62="开启",16,0)+IF('第1日'!$G$62="开启",32,0)</x:f>
        <x:v>63</x:v>
      </x:c>
      <x:c r="I58" s="19" t="n">
        <x:f>'第1日'!$H$61</x:f>
        <x:v>0.6</x:v>
      </x:c>
      <x:c r="J58" s="19" t="n">
        <x:f>'第1日'!$J$61</x:f>
        <x:v>1</x:v>
      </x:c>
      <x:c r="K58" s="19" t="n">
        <x:f>'第1日'!$L$61</x:f>
        <x:v>36</x:v>
      </x:c>
      <x:c r="L58" s="19" t="str">
        <x:v>res://resources/audio/shenmu_forest_combat.ogg</x:v>
      </x:c>
      <x:c r="M58" s="19" t="str">
        <x:v>res://resources/audio/shenmu_forest_intermission.ogg</x:v>
      </x:c>
      <x:c r="N58" s="19" t="n">
        <x:v>18</x:v>
      </x:c>
      <x:c r="O58" s="19" t="n">
        <x:f>'第1日'!$B$82</x:f>
        <x:v>0</x:v>
      </x:c>
      <x:c r="P58" s="19" t="n">
        <x:f>'第1日'!$E$82</x:f>
        <x:v>0</x:v>
      </x:c>
      <x:c r="Q58" s="19" t="n">
        <x:f>'第1日'!$C$82</x:f>
        <x:v>0</x:v>
      </x:c>
      <x:c r="R58" s="19" t="str">
        <x:f>IF(P58="","",IF(ISNUMBER('第1日'!$D$82),'第1日'!$D$82,IF(VLOOKUP(O58,'敌人目录'!$A$6:$S$54,14,FALSE)&lt;&gt;VLOOKUP(O58,'敌人目录'!$A$6:$S$54,13,FALSE),VLOOKUP(O58,'敌人目录'!$A$6:$S$54,14,FALSE),-1)))</x:f>
      </x:c>
      <x:c r="S58" s="19" t="n">
        <x:f>'第1日'!$U$82</x:f>
        <x:v>0</x:v>
      </x:c>
      <x:c r="T58" s="19" t="str">
        <x:f>'第1日'!$N$61</x:f>
        <x:v>可导入</x:v>
      </x:c>
    </x:row>
    <x:row r="59" ht="22" customHeight="1">
      <x:c r="A59" s="19" t="n">
        <x:v>1</x:v>
      </x:c>
      <x:c r="B59" s="19" t="str">
        <x:v>tower_defense_formal</x:v>
      </x:c>
      <x:c r="C59" s="19" t="str">
        <x:v>wave_04</x:v>
      </x:c>
      <x:c r="D59" s="19" t="n">
        <x:v>4</x:v>
      </x:c>
      <x:c r="E59" s="19" t="n">
        <x:v>1</x:v>
      </x:c>
      <x:c r="F59" s="19" t="n">
        <x:v>4</x:v>
      </x:c>
      <x:c r="G59" s="19" t="str">
        <x:f>'第1日'!$B$90</x:f>
        <x:v>第4波 林地合围</x:v>
      </x:c>
      <x:c r="H59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59" s="19" t="n">
        <x:f>'第1日'!$H$90</x:f>
        <x:v>0.5</x:v>
      </x:c>
      <x:c r="J59" s="19" t="n">
        <x:f>'第1日'!$J$90</x:f>
        <x:v>1</x:v>
      </x:c>
      <x:c r="K59" s="19" t="n">
        <x:f>'第1日'!$L$90</x:f>
        <x:v>40</x:v>
      </x:c>
      <x:c r="L59" s="19" t="str">
        <x:v>res://resources/audio/shenmu_forest_combat.ogg</x:v>
      </x:c>
      <x:c r="M59" s="19" t="str">
        <x:v>res://resources/audio/shenmu_forest_intermission.ogg</x:v>
      </x:c>
      <x:c r="N59" s="19" t="n">
        <x:v>1</x:v>
      </x:c>
      <x:c r="O59" s="19" t="str">
        <x:f>'第1日'!$B$94</x:f>
        <x:v>yuanshi_insect_basic｜普通原石虫</x:v>
      </x:c>
      <x:c r="P59" s="19" t="str">
        <x:f>'第1日'!$E$94</x:f>
        <x:v>yuanshi_insect_basic</x:v>
      </x:c>
      <x:c r="Q59" s="19" t="n">
        <x:f>'第1日'!$C$94</x:f>
        <x:v>24</x:v>
      </x:c>
      <x:c r="R59" s="19" t="n">
        <x:f>IF(P59="","",IF(ISNUMBER('第1日'!$D$94),'第1日'!$D$94,IF(VLOOKUP(O59,'敌人目录'!$A$6:$S$54,14,FALSE)&lt;&gt;VLOOKUP(O59,'敌人目录'!$A$6:$S$54,13,FALSE),VLOOKUP(O59,'敌人目录'!$A$6:$S$54,14,FALSE),-1)))</x:f>
        <x:v>-1</x:v>
      </x:c>
      <x:c r="S59" s="19" t="str">
        <x:f>'第1日'!$U$94</x:f>
        <x:v>可导入</x:v>
      </x:c>
      <x:c r="T59" s="19" t="str">
        <x:f>'第1日'!$N$90</x:f>
        <x:v>可导入</x:v>
      </x:c>
    </x:row>
    <x:row r="60" ht="22" customHeight="1">
      <x:c r="A60" s="19" t="n">
        <x:v>1</x:v>
      </x:c>
      <x:c r="B60" s="19" t="str">
        <x:v>tower_defense_formal</x:v>
      </x:c>
      <x:c r="C60" s="19" t="str">
        <x:v>wave_04</x:v>
      </x:c>
      <x:c r="D60" s="19" t="n">
        <x:v>4</x:v>
      </x:c>
      <x:c r="E60" s="19" t="n">
        <x:v>1</x:v>
      </x:c>
      <x:c r="F60" s="19" t="n">
        <x:v>4</x:v>
      </x:c>
      <x:c r="G60" s="19" t="str">
        <x:f>'第1日'!$B$90</x:f>
        <x:v>第4波 林地合围</x:v>
      </x:c>
      <x:c r="H60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0" s="19" t="n">
        <x:f>'第1日'!$H$90</x:f>
        <x:v>0.5</x:v>
      </x:c>
      <x:c r="J60" s="19" t="n">
        <x:f>'第1日'!$J$90</x:f>
        <x:v>1</x:v>
      </x:c>
      <x:c r="K60" s="19" t="n">
        <x:f>'第1日'!$L$90</x:f>
        <x:v>40</x:v>
      </x:c>
      <x:c r="L60" s="19" t="str">
        <x:v>res://resources/audio/shenmu_forest_combat.ogg</x:v>
      </x:c>
      <x:c r="M60" s="19" t="str">
        <x:v>res://resources/audio/shenmu_forest_intermission.ogg</x:v>
      </x:c>
      <x:c r="N60" s="19" t="n">
        <x:v>2</x:v>
      </x:c>
      <x:c r="O60" s="19" t="str">
        <x:f>'第1日'!$B$95</x:f>
        <x:v>yuanshi_insect_fast｜迅捷原石虫</x:v>
      </x:c>
      <x:c r="P60" s="19" t="str">
        <x:f>'第1日'!$E$95</x:f>
        <x:v>yuanshi_insect_fast</x:v>
      </x:c>
      <x:c r="Q60" s="19" t="n">
        <x:f>'第1日'!$C$95</x:f>
        <x:v>16</x:v>
      </x:c>
      <x:c r="R60" s="19" t="n">
        <x:f>IF(P60="","",IF(ISNUMBER('第1日'!$D$95),'第1日'!$D$95,IF(VLOOKUP(O60,'敌人目录'!$A$6:$S$54,14,FALSE)&lt;&gt;VLOOKUP(O60,'敌人目录'!$A$6:$S$54,13,FALSE),VLOOKUP(O60,'敌人目录'!$A$6:$S$54,14,FALSE),-1)))</x:f>
        <x:v>-1</x:v>
      </x:c>
      <x:c r="S60" s="19" t="str">
        <x:f>'第1日'!$U$95</x:f>
        <x:v>可导入</x:v>
      </x:c>
      <x:c r="T60" s="19" t="str">
        <x:f>'第1日'!$N$90</x:f>
        <x:v>可导入</x:v>
      </x:c>
    </x:row>
    <x:row r="61" ht="22" customHeight="1">
      <x:c r="A61" s="19" t="n">
        <x:v>1</x:v>
      </x:c>
      <x:c r="B61" s="19" t="str">
        <x:v>tower_defense_formal</x:v>
      </x:c>
      <x:c r="C61" s="19" t="str">
        <x:v>wave_04</x:v>
      </x:c>
      <x:c r="D61" s="19" t="n">
        <x:v>4</x:v>
      </x:c>
      <x:c r="E61" s="19" t="n">
        <x:v>1</x:v>
      </x:c>
      <x:c r="F61" s="19" t="n">
        <x:v>4</x:v>
      </x:c>
      <x:c r="G61" s="19" t="str">
        <x:f>'第1日'!$B$90</x:f>
        <x:v>第4波 林地合围</x:v>
      </x:c>
      <x:c r="H61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1" s="19" t="n">
        <x:f>'第1日'!$H$90</x:f>
        <x:v>0.5</x:v>
      </x:c>
      <x:c r="J61" s="19" t="n">
        <x:f>'第1日'!$J$90</x:f>
        <x:v>1</x:v>
      </x:c>
      <x:c r="K61" s="19" t="n">
        <x:f>'第1日'!$L$90</x:f>
        <x:v>40</x:v>
      </x:c>
      <x:c r="L61" s="19" t="str">
        <x:v>res://resources/audio/shenmu_forest_combat.ogg</x:v>
      </x:c>
      <x:c r="M61" s="19" t="str">
        <x:v>res://resources/audio/shenmu_forest_intermission.ogg</x:v>
      </x:c>
      <x:c r="N61" s="19" t="n">
        <x:v>3</x:v>
      </x:c>
      <x:c r="O61" s="19" t="str">
        <x:f>'第1日'!$B$96</x:f>
        <x:v>yuanshi_insect_shell｜硬壳原石虫</x:v>
      </x:c>
      <x:c r="P61" s="19" t="str">
        <x:f>'第1日'!$E$96</x:f>
        <x:v>yuanshi_insect_shell</x:v>
      </x:c>
      <x:c r="Q61" s="19" t="n">
        <x:f>'第1日'!$C$96</x:f>
        <x:v>12</x:v>
      </x:c>
      <x:c r="R61" s="19" t="n">
        <x:f>IF(P61="","",IF(ISNUMBER('第1日'!$D$96),'第1日'!$D$96,IF(VLOOKUP(O61,'敌人目录'!$A$6:$S$54,14,FALSE)&lt;&gt;VLOOKUP(O61,'敌人目录'!$A$6:$S$54,13,FALSE),VLOOKUP(O61,'敌人目录'!$A$6:$S$54,14,FALSE),-1)))</x:f>
        <x:v>-1</x:v>
      </x:c>
      <x:c r="S61" s="19" t="str">
        <x:f>'第1日'!$U$96</x:f>
        <x:v>可导入</x:v>
      </x:c>
      <x:c r="T61" s="19" t="str">
        <x:f>'第1日'!$N$90</x:f>
        <x:v>可导入</x:v>
      </x:c>
    </x:row>
    <x:row r="62" ht="22" customHeight="1">
      <x:c r="A62" s="19" t="n">
        <x:v>1</x:v>
      </x:c>
      <x:c r="B62" s="19" t="str">
        <x:v>tower_defense_formal</x:v>
      </x:c>
      <x:c r="C62" s="19" t="str">
        <x:v>wave_04</x:v>
      </x:c>
      <x:c r="D62" s="19" t="n">
        <x:v>4</x:v>
      </x:c>
      <x:c r="E62" s="19" t="n">
        <x:v>1</x:v>
      </x:c>
      <x:c r="F62" s="19" t="n">
        <x:v>4</x:v>
      </x:c>
      <x:c r="G62" s="19" t="str">
        <x:f>'第1日'!$B$90</x:f>
        <x:v>第4波 林地合围</x:v>
      </x:c>
      <x:c r="H62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2" s="19" t="n">
        <x:f>'第1日'!$H$90</x:f>
        <x:v>0.5</x:v>
      </x:c>
      <x:c r="J62" s="19" t="n">
        <x:f>'第1日'!$J$90</x:f>
        <x:v>1</x:v>
      </x:c>
      <x:c r="K62" s="19" t="n">
        <x:f>'第1日'!$L$90</x:f>
        <x:v>40</x:v>
      </x:c>
      <x:c r="L62" s="19" t="str">
        <x:v>res://resources/audio/shenmu_forest_combat.ogg</x:v>
      </x:c>
      <x:c r="M62" s="19" t="str">
        <x:v>res://resources/audio/shenmu_forest_intermission.ogg</x:v>
      </x:c>
      <x:c r="N62" s="19" t="n">
        <x:v>4</x:v>
      </x:c>
      <x:c r="O62" s="19" t="str">
        <x:f>'第1日'!$B$97</x:f>
        <x:v>yuanshi_insect_bomber｜自爆原石虫</x:v>
      </x:c>
      <x:c r="P62" s="19" t="str">
        <x:f>'第1日'!$E$97</x:f>
        <x:v>yuanshi_insect_bomber</x:v>
      </x:c>
      <x:c r="Q62" s="19" t="n">
        <x:f>'第1日'!$C$97</x:f>
        <x:v>8</x:v>
      </x:c>
      <x:c r="R62" s="19" t="n">
        <x:f>IF(P62="","",IF(ISNUMBER('第1日'!$D$97),'第1日'!$D$97,IF(VLOOKUP(O62,'敌人目录'!$A$6:$S$54,14,FALSE)&lt;&gt;VLOOKUP(O62,'敌人目录'!$A$6:$S$54,13,FALSE),VLOOKUP(O62,'敌人目录'!$A$6:$S$54,14,FALSE),-1)))</x:f>
        <x:v>-1</x:v>
      </x:c>
      <x:c r="S62" s="19" t="str">
        <x:f>'第1日'!$U$97</x:f>
        <x:v>可导入</x:v>
      </x:c>
      <x:c r="T62" s="19" t="str">
        <x:f>'第1日'!$N$90</x:f>
        <x:v>可导入</x:v>
      </x:c>
    </x:row>
    <x:row r="63" ht="22" customHeight="1">
      <x:c r="A63" s="19" t="n">
        <x:v>1</x:v>
      </x:c>
      <x:c r="B63" s="19" t="str">
        <x:v>tower_defense_formal</x:v>
      </x:c>
      <x:c r="C63" s="19" t="str">
        <x:v>wave_04</x:v>
      </x:c>
      <x:c r="D63" s="19" t="n">
        <x:v>4</x:v>
      </x:c>
      <x:c r="E63" s="19" t="n">
        <x:v>1</x:v>
      </x:c>
      <x:c r="F63" s="19" t="n">
        <x:v>4</x:v>
      </x:c>
      <x:c r="G63" s="19" t="str">
        <x:f>'第1日'!$B$90</x:f>
        <x:v>第4波 林地合围</x:v>
      </x:c>
      <x:c r="H63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3" s="19" t="n">
        <x:f>'第1日'!$H$90</x:f>
        <x:v>0.5</x:v>
      </x:c>
      <x:c r="J63" s="19" t="n">
        <x:f>'第1日'!$J$90</x:f>
        <x:v>1</x:v>
      </x:c>
      <x:c r="K63" s="19" t="n">
        <x:f>'第1日'!$L$90</x:f>
        <x:v>40</x:v>
      </x:c>
      <x:c r="L63" s="19" t="str">
        <x:v>res://resources/audio/shenmu_forest_combat.ogg</x:v>
      </x:c>
      <x:c r="M63" s="19" t="str">
        <x:v>res://resources/audio/shenmu_forest_intermission.ogg</x:v>
      </x:c>
      <x:c r="N63" s="19" t="n">
        <x:v>5</x:v>
      </x:c>
      <x:c r="O63" s="19" t="str">
        <x:f>'第1日'!$B$98</x:f>
        <x:v>yuanshi_insect_fire_ranged｜火焰弹原石虫</x:v>
      </x:c>
      <x:c r="P63" s="19" t="str">
        <x:f>'第1日'!$E$98</x:f>
        <x:v>yuanshi_insect_fire_ranged</x:v>
      </x:c>
      <x:c r="Q63" s="19" t="n">
        <x:f>'第1日'!$C$98</x:f>
        <x:v>4</x:v>
      </x:c>
      <x:c r="R63" s="19" t="n">
        <x:f>IF(P63="","",IF(ISNUMBER('第1日'!$D$98),'第1日'!$D$98,IF(VLOOKUP(O63,'敌人目录'!$A$6:$S$54,14,FALSE)&lt;&gt;VLOOKUP(O63,'敌人目录'!$A$6:$S$54,13,FALSE),VLOOKUP(O63,'敌人目录'!$A$6:$S$54,14,FALSE),-1)))</x:f>
        <x:v>-1</x:v>
      </x:c>
      <x:c r="S63" s="19" t="str">
        <x:f>'第1日'!$U$98</x:f>
        <x:v>可导入</x:v>
      </x:c>
      <x:c r="T63" s="19" t="str">
        <x:f>'第1日'!$N$90</x:f>
        <x:v>可导入</x:v>
      </x:c>
    </x:row>
    <x:row r="64" ht="22" customHeight="1">
      <x:c r="A64" s="19" t="n">
        <x:v>1</x:v>
      </x:c>
      <x:c r="B64" s="19" t="str">
        <x:v>tower_defense_formal</x:v>
      </x:c>
      <x:c r="C64" s="19" t="str">
        <x:v>wave_04</x:v>
      </x:c>
      <x:c r="D64" s="19" t="n">
        <x:v>4</x:v>
      </x:c>
      <x:c r="E64" s="19" t="n">
        <x:v>1</x:v>
      </x:c>
      <x:c r="F64" s="19" t="n">
        <x:v>4</x:v>
      </x:c>
      <x:c r="G64" s="19" t="str">
        <x:f>'第1日'!$B$90</x:f>
        <x:v>第4波 林地合围</x:v>
      </x:c>
      <x:c r="H64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4" s="19" t="n">
        <x:f>'第1日'!$H$90</x:f>
        <x:v>0.5</x:v>
      </x:c>
      <x:c r="J64" s="19" t="n">
        <x:f>'第1日'!$J$90</x:f>
        <x:v>1</x:v>
      </x:c>
      <x:c r="K64" s="19" t="n">
        <x:f>'第1日'!$L$90</x:f>
        <x:v>40</x:v>
      </x:c>
      <x:c r="L64" s="19" t="str">
        <x:v>res://resources/audio/shenmu_forest_combat.ogg</x:v>
      </x:c>
      <x:c r="M64" s="19" t="str">
        <x:v>res://resources/audio/shenmu_forest_intermission.ogg</x:v>
      </x:c>
      <x:c r="N64" s="19" t="n">
        <x:v>6</x:v>
      </x:c>
      <x:c r="O64" s="19" t="n">
        <x:f>'第1日'!$B$99</x:f>
        <x:v>0</x:v>
      </x:c>
      <x:c r="P64" s="19" t="str">
        <x:f>'第1日'!$E$99</x:f>
      </x:c>
      <x:c r="Q64" s="19" t="n">
        <x:f>'第1日'!$C$99</x:f>
        <x:v>0</x:v>
      </x:c>
      <x:c r="R64" s="19" t="str">
        <x:f>IF(P64="","",IF(ISNUMBER('第1日'!$D$99),'第1日'!$D$99,IF(VLOOKUP(O64,'敌人目录'!$A$6:$S$54,14,FALSE)&lt;&gt;VLOOKUP(O64,'敌人目录'!$A$6:$S$54,13,FALSE),VLOOKUP(O64,'敌人目录'!$A$6:$S$54,14,FALSE),-1)))</x:f>
      </x:c>
      <x:c r="S64" s="19" t="n">
        <x:f>'第1日'!$U$99</x:f>
        <x:v>0</x:v>
      </x:c>
      <x:c r="T64" s="19" t="str">
        <x:f>'第1日'!$N$90</x:f>
        <x:v>可导入</x:v>
      </x:c>
    </x:row>
    <x:row r="65" ht="22" customHeight="1">
      <x:c r="A65" s="19" t="n">
        <x:v>1</x:v>
      </x:c>
      <x:c r="B65" s="19" t="str">
        <x:v>tower_defense_formal</x:v>
      </x:c>
      <x:c r="C65" s="19" t="str">
        <x:v>wave_04</x:v>
      </x:c>
      <x:c r="D65" s="19" t="n">
        <x:v>4</x:v>
      </x:c>
      <x:c r="E65" s="19" t="n">
        <x:v>1</x:v>
      </x:c>
      <x:c r="F65" s="19" t="n">
        <x:v>4</x:v>
      </x:c>
      <x:c r="G65" s="19" t="str">
        <x:f>'第1日'!$B$90</x:f>
        <x:v>第4波 林地合围</x:v>
      </x:c>
      <x:c r="H65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5" s="19" t="n">
        <x:f>'第1日'!$H$90</x:f>
        <x:v>0.5</x:v>
      </x:c>
      <x:c r="J65" s="19" t="n">
        <x:f>'第1日'!$J$90</x:f>
        <x:v>1</x:v>
      </x:c>
      <x:c r="K65" s="19" t="n">
        <x:f>'第1日'!$L$90</x:f>
        <x:v>40</x:v>
      </x:c>
      <x:c r="L65" s="19" t="str">
        <x:v>res://resources/audio/shenmu_forest_combat.ogg</x:v>
      </x:c>
      <x:c r="M65" s="19" t="str">
        <x:v>res://resources/audio/shenmu_forest_intermission.ogg</x:v>
      </x:c>
      <x:c r="N65" s="19" t="n">
        <x:v>7</x:v>
      </x:c>
      <x:c r="O65" s="19" t="n">
        <x:f>'第1日'!$B$100</x:f>
        <x:v>0</x:v>
      </x:c>
      <x:c r="P65" s="19" t="str">
        <x:f>'第1日'!$E$100</x:f>
      </x:c>
      <x:c r="Q65" s="19" t="n">
        <x:f>'第1日'!$C$100</x:f>
        <x:v>0</x:v>
      </x:c>
      <x:c r="R65" s="19" t="str">
        <x:f>IF(P65="","",IF(ISNUMBER('第1日'!$D$100),'第1日'!$D$100,IF(VLOOKUP(O65,'敌人目录'!$A$6:$S$54,14,FALSE)&lt;&gt;VLOOKUP(O65,'敌人目录'!$A$6:$S$54,13,FALSE),VLOOKUP(O65,'敌人目录'!$A$6:$S$54,14,FALSE),-1)))</x:f>
      </x:c>
      <x:c r="S65" s="19" t="n">
        <x:f>'第1日'!$U$100</x:f>
        <x:v>0</x:v>
      </x:c>
      <x:c r="T65" s="19" t="str">
        <x:f>'第1日'!$N$90</x:f>
        <x:v>可导入</x:v>
      </x:c>
    </x:row>
    <x:row r="66" ht="22" customHeight="1">
      <x:c r="A66" s="19" t="n">
        <x:v>1</x:v>
      </x:c>
      <x:c r="B66" s="19" t="str">
        <x:v>tower_defense_formal</x:v>
      </x:c>
      <x:c r="C66" s="19" t="str">
        <x:v>wave_04</x:v>
      </x:c>
      <x:c r="D66" s="19" t="n">
        <x:v>4</x:v>
      </x:c>
      <x:c r="E66" s="19" t="n">
        <x:v>1</x:v>
      </x:c>
      <x:c r="F66" s="19" t="n">
        <x:v>4</x:v>
      </x:c>
      <x:c r="G66" s="19" t="str">
        <x:f>'第1日'!$B$90</x:f>
        <x:v>第4波 林地合围</x:v>
      </x:c>
      <x:c r="H66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6" s="19" t="n">
        <x:f>'第1日'!$H$90</x:f>
        <x:v>0.5</x:v>
      </x:c>
      <x:c r="J66" s="19" t="n">
        <x:f>'第1日'!$J$90</x:f>
        <x:v>1</x:v>
      </x:c>
      <x:c r="K66" s="19" t="n">
        <x:f>'第1日'!$L$90</x:f>
        <x:v>40</x:v>
      </x:c>
      <x:c r="L66" s="19" t="str">
        <x:v>res://resources/audio/shenmu_forest_combat.ogg</x:v>
      </x:c>
      <x:c r="M66" s="19" t="str">
        <x:v>res://resources/audio/shenmu_forest_intermission.ogg</x:v>
      </x:c>
      <x:c r="N66" s="19" t="n">
        <x:v>8</x:v>
      </x:c>
      <x:c r="O66" s="19" t="n">
        <x:f>'第1日'!$B$101</x:f>
        <x:v>0</x:v>
      </x:c>
      <x:c r="P66" s="19" t="str">
        <x:f>'第1日'!$E$101</x:f>
      </x:c>
      <x:c r="Q66" s="19" t="n">
        <x:f>'第1日'!$C$101</x:f>
        <x:v>0</x:v>
      </x:c>
      <x:c r="R66" s="19" t="str">
        <x:f>IF(P66="","",IF(ISNUMBER('第1日'!$D$101),'第1日'!$D$101,IF(VLOOKUP(O66,'敌人目录'!$A$6:$S$54,14,FALSE)&lt;&gt;VLOOKUP(O66,'敌人目录'!$A$6:$S$54,13,FALSE),VLOOKUP(O66,'敌人目录'!$A$6:$S$54,14,FALSE),-1)))</x:f>
      </x:c>
      <x:c r="S66" s="19" t="n">
        <x:f>'第1日'!$U$101</x:f>
        <x:v>0</x:v>
      </x:c>
      <x:c r="T66" s="19" t="str">
        <x:f>'第1日'!$N$90</x:f>
        <x:v>可导入</x:v>
      </x:c>
    </x:row>
    <x:row r="67" ht="22" customHeight="1">
      <x:c r="A67" s="19" t="n">
        <x:v>1</x:v>
      </x:c>
      <x:c r="B67" s="19" t="str">
        <x:v>tower_defense_formal</x:v>
      </x:c>
      <x:c r="C67" s="19" t="str">
        <x:v>wave_04</x:v>
      </x:c>
      <x:c r="D67" s="19" t="n">
        <x:v>4</x:v>
      </x:c>
      <x:c r="E67" s="19" t="n">
        <x:v>1</x:v>
      </x:c>
      <x:c r="F67" s="19" t="n">
        <x:v>4</x:v>
      </x:c>
      <x:c r="G67" s="19" t="str">
        <x:f>'第1日'!$B$90</x:f>
        <x:v>第4波 林地合围</x:v>
      </x:c>
      <x:c r="H67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7" s="19" t="n">
        <x:f>'第1日'!$H$90</x:f>
        <x:v>0.5</x:v>
      </x:c>
      <x:c r="J67" s="19" t="n">
        <x:f>'第1日'!$J$90</x:f>
        <x:v>1</x:v>
      </x:c>
      <x:c r="K67" s="19" t="n">
        <x:f>'第1日'!$L$90</x:f>
        <x:v>40</x:v>
      </x:c>
      <x:c r="L67" s="19" t="str">
        <x:v>res://resources/audio/shenmu_forest_combat.ogg</x:v>
      </x:c>
      <x:c r="M67" s="19" t="str">
        <x:v>res://resources/audio/shenmu_forest_intermission.ogg</x:v>
      </x:c>
      <x:c r="N67" s="19" t="n">
        <x:v>9</x:v>
      </x:c>
      <x:c r="O67" s="19" t="n">
        <x:f>'第1日'!$B$102</x:f>
        <x:v>0</x:v>
      </x:c>
      <x:c r="P67" s="19" t="str">
        <x:f>'第1日'!$E$102</x:f>
      </x:c>
      <x:c r="Q67" s="19" t="n">
        <x:f>'第1日'!$C$102</x:f>
        <x:v>0</x:v>
      </x:c>
      <x:c r="R67" s="19" t="str">
        <x:f>IF(P67="","",IF(ISNUMBER('第1日'!$D$102),'第1日'!$D$102,IF(VLOOKUP(O67,'敌人目录'!$A$6:$S$54,14,FALSE)&lt;&gt;VLOOKUP(O67,'敌人目录'!$A$6:$S$54,13,FALSE),VLOOKUP(O67,'敌人目录'!$A$6:$S$54,14,FALSE),-1)))</x:f>
      </x:c>
      <x:c r="S67" s="19" t="n">
        <x:f>'第1日'!$U$102</x:f>
        <x:v>0</x:v>
      </x:c>
      <x:c r="T67" s="19" t="str">
        <x:f>'第1日'!$N$90</x:f>
        <x:v>可导入</x:v>
      </x:c>
    </x:row>
    <x:row r="68" ht="22" customHeight="1">
      <x:c r="A68" s="19" t="n">
        <x:v>1</x:v>
      </x:c>
      <x:c r="B68" s="19" t="str">
        <x:v>tower_defense_formal</x:v>
      </x:c>
      <x:c r="C68" s="19" t="str">
        <x:v>wave_04</x:v>
      </x:c>
      <x:c r="D68" s="19" t="n">
        <x:v>4</x:v>
      </x:c>
      <x:c r="E68" s="19" t="n">
        <x:v>1</x:v>
      </x:c>
      <x:c r="F68" s="19" t="n">
        <x:v>4</x:v>
      </x:c>
      <x:c r="G68" s="19" t="str">
        <x:f>'第1日'!$B$90</x:f>
        <x:v>第4波 林地合围</x:v>
      </x:c>
      <x:c r="H68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8" s="19" t="n">
        <x:f>'第1日'!$H$90</x:f>
        <x:v>0.5</x:v>
      </x:c>
      <x:c r="J68" s="19" t="n">
        <x:f>'第1日'!$J$90</x:f>
        <x:v>1</x:v>
      </x:c>
      <x:c r="K68" s="19" t="n">
        <x:f>'第1日'!$L$90</x:f>
        <x:v>40</x:v>
      </x:c>
      <x:c r="L68" s="19" t="str">
        <x:v>res://resources/audio/shenmu_forest_combat.ogg</x:v>
      </x:c>
      <x:c r="M68" s="19" t="str">
        <x:v>res://resources/audio/shenmu_forest_intermission.ogg</x:v>
      </x:c>
      <x:c r="N68" s="19" t="n">
        <x:v>10</x:v>
      </x:c>
      <x:c r="O68" s="19" t="n">
        <x:f>'第1日'!$B$103</x:f>
        <x:v>0</x:v>
      </x:c>
      <x:c r="P68" s="19" t="str">
        <x:f>'第1日'!$E$103</x:f>
      </x:c>
      <x:c r="Q68" s="19" t="n">
        <x:f>'第1日'!$C$103</x:f>
        <x:v>0</x:v>
      </x:c>
      <x:c r="R68" s="19" t="str">
        <x:f>IF(P68="","",IF(ISNUMBER('第1日'!$D$103),'第1日'!$D$103,IF(VLOOKUP(O68,'敌人目录'!$A$6:$S$54,14,FALSE)&lt;&gt;VLOOKUP(O68,'敌人目录'!$A$6:$S$54,13,FALSE),VLOOKUP(O68,'敌人目录'!$A$6:$S$54,14,FALSE),-1)))</x:f>
      </x:c>
      <x:c r="S68" s="19" t="n">
        <x:f>'第1日'!$U$103</x:f>
        <x:v>0</x:v>
      </x:c>
      <x:c r="T68" s="19" t="str">
        <x:f>'第1日'!$N$90</x:f>
        <x:v>可导入</x:v>
      </x:c>
    </x:row>
    <x:row r="69" ht="22" customHeight="1">
      <x:c r="A69" s="19" t="n">
        <x:v>1</x:v>
      </x:c>
      <x:c r="B69" s="19" t="str">
        <x:v>tower_defense_formal</x:v>
      </x:c>
      <x:c r="C69" s="19" t="str">
        <x:v>wave_04</x:v>
      </x:c>
      <x:c r="D69" s="19" t="n">
        <x:v>4</x:v>
      </x:c>
      <x:c r="E69" s="19" t="n">
        <x:v>1</x:v>
      </x:c>
      <x:c r="F69" s="19" t="n">
        <x:v>4</x:v>
      </x:c>
      <x:c r="G69" s="19" t="str">
        <x:f>'第1日'!$B$90</x:f>
        <x:v>第4波 林地合围</x:v>
      </x:c>
      <x:c r="H69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69" s="19" t="n">
        <x:f>'第1日'!$H$90</x:f>
        <x:v>0.5</x:v>
      </x:c>
      <x:c r="J69" s="19" t="n">
        <x:f>'第1日'!$J$90</x:f>
        <x:v>1</x:v>
      </x:c>
      <x:c r="K69" s="19" t="n">
        <x:f>'第1日'!$L$90</x:f>
        <x:v>40</x:v>
      </x:c>
      <x:c r="L69" s="19" t="str">
        <x:v>res://resources/audio/shenmu_forest_combat.ogg</x:v>
      </x:c>
      <x:c r="M69" s="19" t="str">
        <x:v>res://resources/audio/shenmu_forest_intermission.ogg</x:v>
      </x:c>
      <x:c r="N69" s="19" t="n">
        <x:v>11</x:v>
      </x:c>
      <x:c r="O69" s="19" t="n">
        <x:f>'第1日'!$B$104</x:f>
        <x:v>0</x:v>
      </x:c>
      <x:c r="P69" s="19" t="str">
        <x:f>'第1日'!$E$104</x:f>
      </x:c>
      <x:c r="Q69" s="19" t="n">
        <x:f>'第1日'!$C$104</x:f>
        <x:v>0</x:v>
      </x:c>
      <x:c r="R69" s="19" t="str">
        <x:f>IF(P69="","",IF(ISNUMBER('第1日'!$D$104),'第1日'!$D$104,IF(VLOOKUP(O69,'敌人目录'!$A$6:$S$54,14,FALSE)&lt;&gt;VLOOKUP(O69,'敌人目录'!$A$6:$S$54,13,FALSE),VLOOKUP(O69,'敌人目录'!$A$6:$S$54,14,FALSE),-1)))</x:f>
      </x:c>
      <x:c r="S69" s="19" t="n">
        <x:f>'第1日'!$U$104</x:f>
        <x:v>0</x:v>
      </x:c>
      <x:c r="T69" s="19" t="str">
        <x:f>'第1日'!$N$90</x:f>
        <x:v>可导入</x:v>
      </x:c>
    </x:row>
    <x:row r="70" ht="22" customHeight="1">
      <x:c r="A70" s="19" t="n">
        <x:v>1</x:v>
      </x:c>
      <x:c r="B70" s="19" t="str">
        <x:v>tower_defense_formal</x:v>
      </x:c>
      <x:c r="C70" s="19" t="str">
        <x:v>wave_04</x:v>
      </x:c>
      <x:c r="D70" s="19" t="n">
        <x:v>4</x:v>
      </x:c>
      <x:c r="E70" s="19" t="n">
        <x:v>1</x:v>
      </x:c>
      <x:c r="F70" s="19" t="n">
        <x:v>4</x:v>
      </x:c>
      <x:c r="G70" s="19" t="str">
        <x:f>'第1日'!$B$90</x:f>
        <x:v>第4波 林地合围</x:v>
      </x:c>
      <x:c r="H70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70" s="19" t="n">
        <x:f>'第1日'!$H$90</x:f>
        <x:v>0.5</x:v>
      </x:c>
      <x:c r="J70" s="19" t="n">
        <x:f>'第1日'!$J$90</x:f>
        <x:v>1</x:v>
      </x:c>
      <x:c r="K70" s="19" t="n">
        <x:f>'第1日'!$L$90</x:f>
        <x:v>40</x:v>
      </x:c>
      <x:c r="L70" s="19" t="str">
        <x:v>res://resources/audio/shenmu_forest_combat.ogg</x:v>
      </x:c>
      <x:c r="M70" s="19" t="str">
        <x:v>res://resources/audio/shenmu_forest_intermission.ogg</x:v>
      </x:c>
      <x:c r="N70" s="19" t="n">
        <x:v>12</x:v>
      </x:c>
      <x:c r="O70" s="19" t="n">
        <x:f>'第1日'!$B$105</x:f>
        <x:v>0</x:v>
      </x:c>
      <x:c r="P70" s="19" t="str">
        <x:f>'第1日'!$E$105</x:f>
      </x:c>
      <x:c r="Q70" s="19" t="n">
        <x:f>'第1日'!$C$105</x:f>
        <x:v>0</x:v>
      </x:c>
      <x:c r="R70" s="19" t="str">
        <x:f>IF(P70="","",IF(ISNUMBER('第1日'!$D$105),'第1日'!$D$105,IF(VLOOKUP(O70,'敌人目录'!$A$6:$S$54,14,FALSE)&lt;&gt;VLOOKUP(O70,'敌人目录'!$A$6:$S$54,13,FALSE),VLOOKUP(O70,'敌人目录'!$A$6:$S$54,14,FALSE),-1)))</x:f>
      </x:c>
      <x:c r="S70" s="19" t="n">
        <x:f>'第1日'!$U$105</x:f>
        <x:v>0</x:v>
      </x:c>
      <x:c r="T70" s="19" t="str">
        <x:f>'第1日'!$N$90</x:f>
        <x:v>可导入</x:v>
      </x:c>
    </x:row>
    <x:row r="71" ht="22" customHeight="1">
      <x:c r="A71" s="19" t="n">
        <x:v>1</x:v>
      </x:c>
      <x:c r="B71" s="19" t="str">
        <x:v>tower_defense_formal</x:v>
      </x:c>
      <x:c r="C71" s="19" t="str">
        <x:v>wave_04</x:v>
      </x:c>
      <x:c r="D71" s="19" t="n">
        <x:v>4</x:v>
      </x:c>
      <x:c r="E71" s="19" t="n">
        <x:v>1</x:v>
      </x:c>
      <x:c r="F71" s="19" t="n">
        <x:v>4</x:v>
      </x:c>
      <x:c r="G71" s="19" t="str">
        <x:f>'第1日'!$B$90</x:f>
        <x:v>第4波 林地合围</x:v>
      </x:c>
      <x:c r="H71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71" s="19" t="n">
        <x:f>'第1日'!$H$90</x:f>
        <x:v>0.5</x:v>
      </x:c>
      <x:c r="J71" s="19" t="n">
        <x:f>'第1日'!$J$90</x:f>
        <x:v>1</x:v>
      </x:c>
      <x:c r="K71" s="19" t="n">
        <x:f>'第1日'!$L$90</x:f>
        <x:v>40</x:v>
      </x:c>
      <x:c r="L71" s="19" t="str">
        <x:v>res://resources/audio/shenmu_forest_combat.ogg</x:v>
      </x:c>
      <x:c r="M71" s="19" t="str">
        <x:v>res://resources/audio/shenmu_forest_intermission.ogg</x:v>
      </x:c>
      <x:c r="N71" s="19" t="n">
        <x:v>13</x:v>
      </x:c>
      <x:c r="O71" s="19" t="n">
        <x:f>'第1日'!$B$106</x:f>
        <x:v>0</x:v>
      </x:c>
      <x:c r="P71" s="19" t="str">
        <x:f>'第1日'!$E$106</x:f>
      </x:c>
      <x:c r="Q71" s="19" t="n">
        <x:f>'第1日'!$C$106</x:f>
        <x:v>0</x:v>
      </x:c>
      <x:c r="R71" s="19" t="str">
        <x:f>IF(P71="","",IF(ISNUMBER('第1日'!$D$106),'第1日'!$D$106,IF(VLOOKUP(O71,'敌人目录'!$A$6:$S$54,14,FALSE)&lt;&gt;VLOOKUP(O71,'敌人目录'!$A$6:$S$54,13,FALSE),VLOOKUP(O71,'敌人目录'!$A$6:$S$54,14,FALSE),-1)))</x:f>
      </x:c>
      <x:c r="S71" s="19" t="n">
        <x:f>'第1日'!$U$106</x:f>
        <x:v>0</x:v>
      </x:c>
      <x:c r="T71" s="19" t="str">
        <x:f>'第1日'!$N$90</x:f>
        <x:v>可导入</x:v>
      </x:c>
    </x:row>
    <x:row r="72" ht="22" customHeight="1">
      <x:c r="A72" s="19" t="n">
        <x:v>1</x:v>
      </x:c>
      <x:c r="B72" s="19" t="str">
        <x:v>tower_defense_formal</x:v>
      </x:c>
      <x:c r="C72" s="19" t="str">
        <x:v>wave_04</x:v>
      </x:c>
      <x:c r="D72" s="19" t="n">
        <x:v>4</x:v>
      </x:c>
      <x:c r="E72" s="19" t="n">
        <x:v>1</x:v>
      </x:c>
      <x:c r="F72" s="19" t="n">
        <x:v>4</x:v>
      </x:c>
      <x:c r="G72" s="19" t="str">
        <x:f>'第1日'!$B$90</x:f>
        <x:v>第4波 林地合围</x:v>
      </x:c>
      <x:c r="H72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72" s="19" t="n">
        <x:f>'第1日'!$H$90</x:f>
        <x:v>0.5</x:v>
      </x:c>
      <x:c r="J72" s="19" t="n">
        <x:f>'第1日'!$J$90</x:f>
        <x:v>1</x:v>
      </x:c>
      <x:c r="K72" s="19" t="n">
        <x:f>'第1日'!$L$90</x:f>
        <x:v>40</x:v>
      </x:c>
      <x:c r="L72" s="19" t="str">
        <x:v>res://resources/audio/shenmu_forest_combat.ogg</x:v>
      </x:c>
      <x:c r="M72" s="19" t="str">
        <x:v>res://resources/audio/shenmu_forest_intermission.ogg</x:v>
      </x:c>
      <x:c r="N72" s="19" t="n">
        <x:v>14</x:v>
      </x:c>
      <x:c r="O72" s="19" t="n">
        <x:f>'第1日'!$B$107</x:f>
        <x:v>0</x:v>
      </x:c>
      <x:c r="P72" s="19" t="str">
        <x:f>'第1日'!$E$107</x:f>
      </x:c>
      <x:c r="Q72" s="19" t="n">
        <x:f>'第1日'!$C$107</x:f>
        <x:v>0</x:v>
      </x:c>
      <x:c r="R72" s="19" t="str">
        <x:f>IF(P72="","",IF(ISNUMBER('第1日'!$D$107),'第1日'!$D$107,IF(VLOOKUP(O72,'敌人目录'!$A$6:$S$54,14,FALSE)&lt;&gt;VLOOKUP(O72,'敌人目录'!$A$6:$S$54,13,FALSE),VLOOKUP(O72,'敌人目录'!$A$6:$S$54,14,FALSE),-1)))</x:f>
      </x:c>
      <x:c r="S72" s="19" t="n">
        <x:f>'第1日'!$U$107</x:f>
        <x:v>0</x:v>
      </x:c>
      <x:c r="T72" s="19" t="str">
        <x:f>'第1日'!$N$90</x:f>
        <x:v>可导入</x:v>
      </x:c>
    </x:row>
    <x:row r="73" ht="22" customHeight="1">
      <x:c r="A73" s="19" t="n">
        <x:v>1</x:v>
      </x:c>
      <x:c r="B73" s="19" t="str">
        <x:v>tower_defense_formal</x:v>
      </x:c>
      <x:c r="C73" s="19" t="str">
        <x:v>wave_04</x:v>
      </x:c>
      <x:c r="D73" s="19" t="n">
        <x:v>4</x:v>
      </x:c>
      <x:c r="E73" s="19" t="n">
        <x:v>1</x:v>
      </x:c>
      <x:c r="F73" s="19" t="n">
        <x:v>4</x:v>
      </x:c>
      <x:c r="G73" s="19" t="str">
        <x:f>'第1日'!$B$90</x:f>
        <x:v>第4波 林地合围</x:v>
      </x:c>
      <x:c r="H73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73" s="19" t="n">
        <x:f>'第1日'!$H$90</x:f>
        <x:v>0.5</x:v>
      </x:c>
      <x:c r="J73" s="19" t="n">
        <x:f>'第1日'!$J$90</x:f>
        <x:v>1</x:v>
      </x:c>
      <x:c r="K73" s="19" t="n">
        <x:f>'第1日'!$L$90</x:f>
        <x:v>40</x:v>
      </x:c>
      <x:c r="L73" s="19" t="str">
        <x:v>res://resources/audio/shenmu_forest_combat.ogg</x:v>
      </x:c>
      <x:c r="M73" s="19" t="str">
        <x:v>res://resources/audio/shenmu_forest_intermission.ogg</x:v>
      </x:c>
      <x:c r="N73" s="19" t="n">
        <x:v>15</x:v>
      </x:c>
      <x:c r="O73" s="19" t="n">
        <x:f>'第1日'!$B$108</x:f>
        <x:v>0</x:v>
      </x:c>
      <x:c r="P73" s="19" t="str">
        <x:f>'第1日'!$E$108</x:f>
      </x:c>
      <x:c r="Q73" s="19" t="n">
        <x:f>'第1日'!$C$108</x:f>
        <x:v>0</x:v>
      </x:c>
      <x:c r="R73" s="19" t="str">
        <x:f>IF(P73="","",IF(ISNUMBER('第1日'!$D$108),'第1日'!$D$108,IF(VLOOKUP(O73,'敌人目录'!$A$6:$S$54,14,FALSE)&lt;&gt;VLOOKUP(O73,'敌人目录'!$A$6:$S$54,13,FALSE),VLOOKUP(O73,'敌人目录'!$A$6:$S$54,14,FALSE),-1)))</x:f>
      </x:c>
      <x:c r="S73" s="19" t="n">
        <x:f>'第1日'!$U$108</x:f>
        <x:v>0</x:v>
      </x:c>
      <x:c r="T73" s="19" t="str">
        <x:f>'第1日'!$N$90</x:f>
        <x:v>可导入</x:v>
      </x:c>
    </x:row>
    <x:row r="74" ht="22" customHeight="1">
      <x:c r="A74" s="19" t="n">
        <x:v>1</x:v>
      </x:c>
      <x:c r="B74" s="19" t="str">
        <x:v>tower_defense_formal</x:v>
      </x:c>
      <x:c r="C74" s="19" t="str">
        <x:v>wave_04</x:v>
      </x:c>
      <x:c r="D74" s="19" t="n">
        <x:v>4</x:v>
      </x:c>
      <x:c r="E74" s="19" t="n">
        <x:v>1</x:v>
      </x:c>
      <x:c r="F74" s="19" t="n">
        <x:v>4</x:v>
      </x:c>
      <x:c r="G74" s="19" t="str">
        <x:f>'第1日'!$B$90</x:f>
        <x:v>第4波 林地合围</x:v>
      </x:c>
      <x:c r="H74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74" s="19" t="n">
        <x:f>'第1日'!$H$90</x:f>
        <x:v>0.5</x:v>
      </x:c>
      <x:c r="J74" s="19" t="n">
        <x:f>'第1日'!$J$90</x:f>
        <x:v>1</x:v>
      </x:c>
      <x:c r="K74" s="19" t="n">
        <x:f>'第1日'!$L$90</x:f>
        <x:v>40</x:v>
      </x:c>
      <x:c r="L74" s="19" t="str">
        <x:v>res://resources/audio/shenmu_forest_combat.ogg</x:v>
      </x:c>
      <x:c r="M74" s="19" t="str">
        <x:v>res://resources/audio/shenmu_forest_intermission.ogg</x:v>
      </x:c>
      <x:c r="N74" s="19" t="n">
        <x:v>16</x:v>
      </x:c>
      <x:c r="O74" s="19" t="n">
        <x:f>'第1日'!$B$109</x:f>
        <x:v>0</x:v>
      </x:c>
      <x:c r="P74" s="19" t="str">
        <x:f>'第1日'!$E$109</x:f>
      </x:c>
      <x:c r="Q74" s="19" t="n">
        <x:f>'第1日'!$C$109</x:f>
        <x:v>0</x:v>
      </x:c>
      <x:c r="R74" s="19" t="str">
        <x:f>IF(P74="","",IF(ISNUMBER('第1日'!$D$109),'第1日'!$D$109,IF(VLOOKUP(O74,'敌人目录'!$A$6:$S$54,14,FALSE)&lt;&gt;VLOOKUP(O74,'敌人目录'!$A$6:$S$54,13,FALSE),VLOOKUP(O74,'敌人目录'!$A$6:$S$54,14,FALSE),-1)))</x:f>
      </x:c>
      <x:c r="S74" s="19" t="n">
        <x:f>'第1日'!$U$109</x:f>
        <x:v>0</x:v>
      </x:c>
      <x:c r="T74" s="19" t="str">
        <x:f>'第1日'!$N$90</x:f>
        <x:v>可导入</x:v>
      </x:c>
    </x:row>
    <x:row r="75" ht="22" customHeight="1">
      <x:c r="A75" s="19" t="n">
        <x:v>1</x:v>
      </x:c>
      <x:c r="B75" s="19" t="str">
        <x:v>tower_defense_formal</x:v>
      </x:c>
      <x:c r="C75" s="19" t="str">
        <x:v>wave_04</x:v>
      </x:c>
      <x:c r="D75" s="19" t="n">
        <x:v>4</x:v>
      </x:c>
      <x:c r="E75" s="19" t="n">
        <x:v>1</x:v>
      </x:c>
      <x:c r="F75" s="19" t="n">
        <x:v>4</x:v>
      </x:c>
      <x:c r="G75" s="19" t="str">
        <x:f>'第1日'!$B$90</x:f>
        <x:v>第4波 林地合围</x:v>
      </x:c>
      <x:c r="H75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75" s="19" t="n">
        <x:f>'第1日'!$H$90</x:f>
        <x:v>0.5</x:v>
      </x:c>
      <x:c r="J75" s="19" t="n">
        <x:f>'第1日'!$J$90</x:f>
        <x:v>1</x:v>
      </x:c>
      <x:c r="K75" s="19" t="n">
        <x:f>'第1日'!$L$90</x:f>
        <x:v>40</x:v>
      </x:c>
      <x:c r="L75" s="19" t="str">
        <x:v>res://resources/audio/shenmu_forest_combat.ogg</x:v>
      </x:c>
      <x:c r="M75" s="19" t="str">
        <x:v>res://resources/audio/shenmu_forest_intermission.ogg</x:v>
      </x:c>
      <x:c r="N75" s="19" t="n">
        <x:v>17</x:v>
      </x:c>
      <x:c r="O75" s="19" t="n">
        <x:f>'第1日'!$B$110</x:f>
        <x:v>0</x:v>
      </x:c>
      <x:c r="P75" s="19" t="str">
        <x:f>'第1日'!$E$110</x:f>
      </x:c>
      <x:c r="Q75" s="19" t="n">
        <x:f>'第1日'!$C$110</x:f>
        <x:v>0</x:v>
      </x:c>
      <x:c r="R75" s="19" t="str">
        <x:f>IF(P75="","",IF(ISNUMBER('第1日'!$D$110),'第1日'!$D$110,IF(VLOOKUP(O75,'敌人目录'!$A$6:$S$54,14,FALSE)&lt;&gt;VLOOKUP(O75,'敌人目录'!$A$6:$S$54,13,FALSE),VLOOKUP(O75,'敌人目录'!$A$6:$S$54,14,FALSE),-1)))</x:f>
      </x:c>
      <x:c r="S75" s="19" t="n">
        <x:f>'第1日'!$U$110</x:f>
        <x:v>0</x:v>
      </x:c>
      <x:c r="T75" s="19" t="str">
        <x:f>'第1日'!$N$90</x:f>
        <x:v>可导入</x:v>
      </x:c>
    </x:row>
    <x:row r="76" ht="22" customHeight="1">
      <x:c r="A76" s="19" t="n">
        <x:v>1</x:v>
      </x:c>
      <x:c r="B76" s="19" t="str">
        <x:v>tower_defense_formal</x:v>
      </x:c>
      <x:c r="C76" s="19" t="str">
        <x:v>wave_04</x:v>
      </x:c>
      <x:c r="D76" s="19" t="n">
        <x:v>4</x:v>
      </x:c>
      <x:c r="E76" s="19" t="n">
        <x:v>1</x:v>
      </x:c>
      <x:c r="F76" s="19" t="n">
        <x:v>4</x:v>
      </x:c>
      <x:c r="G76" s="19" t="str">
        <x:f>'第1日'!$B$90</x:f>
        <x:v>第4波 林地合围</x:v>
      </x:c>
      <x:c r="H76" s="19" t="n">
        <x:f>IF('第1日'!$B$91="开启",1,0)+IF('第1日'!$C$91="开启",2,0)+IF('第1日'!$D$91="开启",4,0)+IF('第1日'!$E$91="开启",8,0)+IF('第1日'!$F$91="开启",16,0)+IF('第1日'!$G$91="开启",32,0)</x:f>
        <x:v>63</x:v>
      </x:c>
      <x:c r="I76" s="19" t="n">
        <x:f>'第1日'!$H$90</x:f>
        <x:v>0.5</x:v>
      </x:c>
      <x:c r="J76" s="19" t="n">
        <x:f>'第1日'!$J$90</x:f>
        <x:v>1</x:v>
      </x:c>
      <x:c r="K76" s="19" t="n">
        <x:f>'第1日'!$L$90</x:f>
        <x:v>40</x:v>
      </x:c>
      <x:c r="L76" s="19" t="str">
        <x:v>res://resources/audio/shenmu_forest_combat.ogg</x:v>
      </x:c>
      <x:c r="M76" s="19" t="str">
        <x:v>res://resources/audio/shenmu_forest_intermission.ogg</x:v>
      </x:c>
      <x:c r="N76" s="19" t="n">
        <x:v>18</x:v>
      </x:c>
      <x:c r="O76" s="19" t="n">
        <x:f>'第1日'!$B$111</x:f>
        <x:v>0</x:v>
      </x:c>
      <x:c r="P76" s="19" t="n">
        <x:f>'第1日'!$E$111</x:f>
        <x:v>0</x:v>
      </x:c>
      <x:c r="Q76" s="19" t="n">
        <x:f>'第1日'!$C$111</x:f>
        <x:v>0</x:v>
      </x:c>
      <x:c r="R76" s="19" t="str">
        <x:f>IF(P76="","",IF(ISNUMBER('第1日'!$D$111),'第1日'!$D$111,IF(VLOOKUP(O76,'敌人目录'!$A$6:$S$54,14,FALSE)&lt;&gt;VLOOKUP(O76,'敌人目录'!$A$6:$S$54,13,FALSE),VLOOKUP(O76,'敌人目录'!$A$6:$S$54,14,FALSE),-1)))</x:f>
      </x:c>
      <x:c r="S76" s="19" t="n">
        <x:f>'第1日'!$U$111</x:f>
        <x:v>0</x:v>
      </x:c>
      <x:c r="T76" s="19" t="str">
        <x:f>'第1日'!$N$90</x:f>
        <x:v>可导入</x:v>
      </x:c>
    </x:row>
    <x:row r="77" ht="22" customHeight="1">
      <x:c r="A77" s="19" t="n">
        <x:v>1</x:v>
      </x:c>
      <x:c r="B77" s="19" t="str">
        <x:v>tower_defense_formal</x:v>
      </x:c>
      <x:c r="C77" s="19" t="str">
        <x:v>wave_05</x:v>
      </x:c>
      <x:c r="D77" s="19" t="n">
        <x:v>5</x:v>
      </x:c>
      <x:c r="E77" s="19" t="n">
        <x:v>2</x:v>
      </x:c>
      <x:c r="F77" s="19" t="n">
        <x:v>1</x:v>
      </x:c>
      <x:c r="G77" s="19" t="str">
        <x:f>'第2日'!$B$3</x:f>
        <x:v>第5波 沼泽先遣</x:v>
      </x:c>
      <x:c r="H77" s="19" t="n">
        <x:f>IF('第2日'!$B$4="开启",1,0)+IF('第2日'!$C$4="开启",2,0)+IF('第2日'!$D$4="开启",4,0)+IF('第2日'!$E$4="开启",8,0)+IF('第2日'!$F$4="开启",16,0)+IF('第2日'!$G$4="开启",32,0)</x:f>
        <x:v>63</x:v>
      </x:c>
      <x:c r="I77" s="19" t="n">
        <x:f>'第2日'!$H$3</x:f>
        <x:v>0.45</x:v>
      </x:c>
      <x:c r="J77" s="19" t="n">
        <x:f>'第2日'!$J$3</x:f>
        <x:v>1</x:v>
      </x:c>
      <x:c r="K77" s="19" t="n">
        <x:f>'第2日'!$L$3</x:f>
        <x:v>48</x:v>
      </x:c>
      <x:c r="L77" s="19" t="str">
        <x:v>res://resources/audio/shenmu_swamp_combat.ogg</x:v>
      </x:c>
      <x:c r="M77" s="19" t="str">
        <x:v>res://resources/audio/shenmu_swamp_intermission.ogg</x:v>
      </x:c>
      <x:c r="N77" s="19" t="n">
        <x:v>1</x:v>
      </x:c>
      <x:c r="O77" s="19" t="str">
        <x:f>'第2日'!$B$7</x:f>
        <x:v>yuanshi_insect_basic｜普通原石虫</x:v>
      </x:c>
      <x:c r="P77" s="19" t="str">
        <x:f>'第2日'!$E$7</x:f>
        <x:v>yuanshi_insect_basic</x:v>
      </x:c>
      <x:c r="Q77" s="19" t="n">
        <x:f>'第2日'!$C$7</x:f>
        <x:v>28</x:v>
      </x:c>
      <x:c r="R77" s="19" t="n">
        <x:f>IF(P77="","",IF(ISNUMBER('第2日'!$D$7),'第2日'!$D$7,IF(VLOOKUP(O77,'敌人目录'!$A$6:$S$54,14,FALSE)&lt;&gt;VLOOKUP(O77,'敌人目录'!$A$6:$S$54,13,FALSE),VLOOKUP(O77,'敌人目录'!$A$6:$S$54,14,FALSE),-1)))</x:f>
        <x:v>-1</x:v>
      </x:c>
      <x:c r="S77" s="19" t="str">
        <x:f>'第2日'!$U$7</x:f>
        <x:v>可导入</x:v>
      </x:c>
      <x:c r="T77" s="19" t="str">
        <x:f>'第2日'!$N$3</x:f>
        <x:v>可导入</x:v>
      </x:c>
    </x:row>
    <x:row r="78" ht="22" customHeight="1">
      <x:c r="A78" s="19" t="n">
        <x:v>1</x:v>
      </x:c>
      <x:c r="B78" s="19" t="str">
        <x:v>tower_defense_formal</x:v>
      </x:c>
      <x:c r="C78" s="19" t="str">
        <x:v>wave_05</x:v>
      </x:c>
      <x:c r="D78" s="19" t="n">
        <x:v>5</x:v>
      </x:c>
      <x:c r="E78" s="19" t="n">
        <x:v>2</x:v>
      </x:c>
      <x:c r="F78" s="19" t="n">
        <x:v>1</x:v>
      </x:c>
      <x:c r="G78" s="19" t="str">
        <x:f>'第2日'!$B$3</x:f>
        <x:v>第5波 沼泽先遣</x:v>
      </x:c>
      <x:c r="H78" s="19" t="n">
        <x:f>IF('第2日'!$B$4="开启",1,0)+IF('第2日'!$C$4="开启",2,0)+IF('第2日'!$D$4="开启",4,0)+IF('第2日'!$E$4="开启",8,0)+IF('第2日'!$F$4="开启",16,0)+IF('第2日'!$G$4="开启",32,0)</x:f>
        <x:v>63</x:v>
      </x:c>
      <x:c r="I78" s="19" t="n">
        <x:f>'第2日'!$H$3</x:f>
        <x:v>0.45</x:v>
      </x:c>
      <x:c r="J78" s="19" t="n">
        <x:f>'第2日'!$J$3</x:f>
        <x:v>1</x:v>
      </x:c>
      <x:c r="K78" s="19" t="n">
        <x:f>'第2日'!$L$3</x:f>
        <x:v>48</x:v>
      </x:c>
      <x:c r="L78" s="19" t="str">
        <x:v>res://resources/audio/shenmu_swamp_combat.ogg</x:v>
      </x:c>
      <x:c r="M78" s="19" t="str">
        <x:v>res://resources/audio/shenmu_swamp_intermission.ogg</x:v>
      </x:c>
      <x:c r="N78" s="19" t="n">
        <x:v>2</x:v>
      </x:c>
      <x:c r="O78" s="19" t="str">
        <x:f>'第2日'!$B$8</x:f>
        <x:v>yuanshi_insect_fast｜迅捷原石虫</x:v>
      </x:c>
      <x:c r="P78" s="19" t="str">
        <x:f>'第2日'!$E$8</x:f>
        <x:v>yuanshi_insect_fast</x:v>
      </x:c>
      <x:c r="Q78" s="19" t="n">
        <x:f>'第2日'!$C$8</x:f>
        <x:v>20</x:v>
      </x:c>
      <x:c r="R78" s="19" t="n">
        <x:f>IF(P78="","",IF(ISNUMBER('第2日'!$D$8),'第2日'!$D$8,IF(VLOOKUP(O78,'敌人目录'!$A$6:$S$54,14,FALSE)&lt;&gt;VLOOKUP(O78,'敌人目录'!$A$6:$S$54,13,FALSE),VLOOKUP(O78,'敌人目录'!$A$6:$S$54,14,FALSE),-1)))</x:f>
        <x:v>-1</x:v>
      </x:c>
      <x:c r="S78" s="19" t="str">
        <x:f>'第2日'!$U$8</x:f>
        <x:v>可导入</x:v>
      </x:c>
      <x:c r="T78" s="19" t="str">
        <x:f>'第2日'!$N$3</x:f>
        <x:v>可导入</x:v>
      </x:c>
    </x:row>
    <x:row r="79" ht="22" customHeight="1">
      <x:c r="A79" s="19" t="n">
        <x:v>1</x:v>
      </x:c>
      <x:c r="B79" s="19" t="str">
        <x:v>tower_defense_formal</x:v>
      </x:c>
      <x:c r="C79" s="19" t="str">
        <x:v>wave_05</x:v>
      </x:c>
      <x:c r="D79" s="19" t="n">
        <x:v>5</x:v>
      </x:c>
      <x:c r="E79" s="19" t="n">
        <x:v>2</x:v>
      </x:c>
      <x:c r="F79" s="19" t="n">
        <x:v>1</x:v>
      </x:c>
      <x:c r="G79" s="19" t="str">
        <x:f>'第2日'!$B$3</x:f>
        <x:v>第5波 沼泽先遣</x:v>
      </x:c>
      <x:c r="H79" s="19" t="n">
        <x:f>IF('第2日'!$B$4="开启",1,0)+IF('第2日'!$C$4="开启",2,0)+IF('第2日'!$D$4="开启",4,0)+IF('第2日'!$E$4="开启",8,0)+IF('第2日'!$F$4="开启",16,0)+IF('第2日'!$G$4="开启",32,0)</x:f>
        <x:v>63</x:v>
      </x:c>
      <x:c r="I79" s="19" t="n">
        <x:f>'第2日'!$H$3</x:f>
        <x:v>0.45</x:v>
      </x:c>
      <x:c r="J79" s="19" t="n">
        <x:f>'第2日'!$J$3</x:f>
        <x:v>1</x:v>
      </x:c>
      <x:c r="K79" s="19" t="n">
        <x:f>'第2日'!$L$3</x:f>
        <x:v>48</x:v>
      </x:c>
      <x:c r="L79" s="19" t="str">
        <x:v>res://resources/audio/shenmu_swamp_combat.ogg</x:v>
      </x:c>
      <x:c r="M79" s="19" t="str">
        <x:v>res://resources/audio/shenmu_swamp_intermission.ogg</x:v>
      </x:c>
      <x:c r="N79" s="19" t="n">
        <x:v>3</x:v>
      </x:c>
      <x:c r="O79" s="19" t="str">
        <x:f>'第2日'!$B$9</x:f>
        <x:v>yuanshi_insect_shell｜硬壳原石虫</x:v>
      </x:c>
      <x:c r="P79" s="19" t="str">
        <x:f>'第2日'!$E$9</x:f>
        <x:v>yuanshi_insect_shell</x:v>
      </x:c>
      <x:c r="Q79" s="19" t="n">
        <x:f>'第2日'!$C$9</x:f>
        <x:v>12</x:v>
      </x:c>
      <x:c r="R79" s="19" t="n">
        <x:f>IF(P79="","",IF(ISNUMBER('第2日'!$D$9),'第2日'!$D$9,IF(VLOOKUP(O79,'敌人目录'!$A$6:$S$54,14,FALSE)&lt;&gt;VLOOKUP(O79,'敌人目录'!$A$6:$S$54,13,FALSE),VLOOKUP(O79,'敌人目录'!$A$6:$S$54,14,FALSE),-1)))</x:f>
        <x:v>-1</x:v>
      </x:c>
      <x:c r="S79" s="19" t="str">
        <x:f>'第2日'!$U$9</x:f>
        <x:v>可导入</x:v>
      </x:c>
      <x:c r="T79" s="19" t="str">
        <x:f>'第2日'!$N$3</x:f>
        <x:v>可导入</x:v>
      </x:c>
    </x:row>
    <x:row r="80" ht="22" customHeight="1">
      <x:c r="A80" s="19" t="n">
        <x:v>1</x:v>
      </x:c>
      <x:c r="B80" s="19" t="str">
        <x:v>tower_defense_formal</x:v>
      </x:c>
      <x:c r="C80" s="19" t="str">
        <x:v>wave_05</x:v>
      </x:c>
      <x:c r="D80" s="19" t="n">
        <x:v>5</x:v>
      </x:c>
      <x:c r="E80" s="19" t="n">
        <x:v>2</x:v>
      </x:c>
      <x:c r="F80" s="19" t="n">
        <x:v>1</x:v>
      </x:c>
      <x:c r="G80" s="19" t="str">
        <x:f>'第2日'!$B$3</x:f>
        <x:v>第5波 沼泽先遣</x:v>
      </x:c>
      <x:c r="H80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0" s="19" t="n">
        <x:f>'第2日'!$H$3</x:f>
        <x:v>0.45</x:v>
      </x:c>
      <x:c r="J80" s="19" t="n">
        <x:f>'第2日'!$J$3</x:f>
        <x:v>1</x:v>
      </x:c>
      <x:c r="K80" s="19" t="n">
        <x:f>'第2日'!$L$3</x:f>
        <x:v>48</x:v>
      </x:c>
      <x:c r="L80" s="19" t="str">
        <x:v>res://resources/audio/shenmu_swamp_combat.ogg</x:v>
      </x:c>
      <x:c r="M80" s="19" t="str">
        <x:v>res://resources/audio/shenmu_swamp_intermission.ogg</x:v>
      </x:c>
      <x:c r="N80" s="19" t="n">
        <x:v>4</x:v>
      </x:c>
      <x:c r="O80" s="19" t="str">
        <x:f>'第2日'!$B$10</x:f>
        <x:v>yuanshi_insect_bomber｜自爆原石虫</x:v>
      </x:c>
      <x:c r="P80" s="19" t="str">
        <x:f>'第2日'!$E$10</x:f>
        <x:v>yuanshi_insect_bomber</x:v>
      </x:c>
      <x:c r="Q80" s="19" t="n">
        <x:f>'第2日'!$C$10</x:f>
        <x:v>8</x:v>
      </x:c>
      <x:c r="R80" s="19" t="n">
        <x:f>IF(P80="","",IF(ISNUMBER('第2日'!$D$10),'第2日'!$D$10,IF(VLOOKUP(O80,'敌人目录'!$A$6:$S$54,14,FALSE)&lt;&gt;VLOOKUP(O80,'敌人目录'!$A$6:$S$54,13,FALSE),VLOOKUP(O80,'敌人目录'!$A$6:$S$54,14,FALSE),-1)))</x:f>
        <x:v>-1</x:v>
      </x:c>
      <x:c r="S80" s="19" t="str">
        <x:f>'第2日'!$U$10</x:f>
        <x:v>可导入</x:v>
      </x:c>
      <x:c r="T80" s="19" t="str">
        <x:f>'第2日'!$N$3</x:f>
        <x:v>可导入</x:v>
      </x:c>
    </x:row>
    <x:row r="81" ht="22" customHeight="1">
      <x:c r="A81" s="19" t="n">
        <x:v>1</x:v>
      </x:c>
      <x:c r="B81" s="19" t="str">
        <x:v>tower_defense_formal</x:v>
      </x:c>
      <x:c r="C81" s="19" t="str">
        <x:v>wave_05</x:v>
      </x:c>
      <x:c r="D81" s="19" t="n">
        <x:v>5</x:v>
      </x:c>
      <x:c r="E81" s="19" t="n">
        <x:v>2</x:v>
      </x:c>
      <x:c r="F81" s="19" t="n">
        <x:v>1</x:v>
      </x:c>
      <x:c r="G81" s="19" t="str">
        <x:f>'第2日'!$B$3</x:f>
        <x:v>第5波 沼泽先遣</x:v>
      </x:c>
      <x:c r="H81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1" s="19" t="n">
        <x:f>'第2日'!$H$3</x:f>
        <x:v>0.45</x:v>
      </x:c>
      <x:c r="J81" s="19" t="n">
        <x:f>'第2日'!$J$3</x:f>
        <x:v>1</x:v>
      </x:c>
      <x:c r="K81" s="19" t="n">
        <x:f>'第2日'!$L$3</x:f>
        <x:v>48</x:v>
      </x:c>
      <x:c r="L81" s="19" t="str">
        <x:v>res://resources/audio/shenmu_swamp_combat.ogg</x:v>
      </x:c>
      <x:c r="M81" s="19" t="str">
        <x:v>res://resources/audio/shenmu_swamp_intermission.ogg</x:v>
      </x:c>
      <x:c r="N81" s="19" t="n">
        <x:v>5</x:v>
      </x:c>
      <x:c r="O81" s="19" t="str">
        <x:f>'第2日'!$B$11</x:f>
        <x:v>yuanshi_insect_fire_ranged｜火焰弹原石虫</x:v>
      </x:c>
      <x:c r="P81" s="19" t="str">
        <x:f>'第2日'!$E$11</x:f>
        <x:v>yuanshi_insect_fire_ranged</x:v>
      </x:c>
      <x:c r="Q81" s="19" t="n">
        <x:f>'第2日'!$C$11</x:f>
        <x:v>8</x:v>
      </x:c>
      <x:c r="R81" s="19" t="n">
        <x:f>IF(P81="","",IF(ISNUMBER('第2日'!$D$11),'第2日'!$D$11,IF(VLOOKUP(O81,'敌人目录'!$A$6:$S$54,14,FALSE)&lt;&gt;VLOOKUP(O81,'敌人目录'!$A$6:$S$54,13,FALSE),VLOOKUP(O81,'敌人目录'!$A$6:$S$54,14,FALSE),-1)))</x:f>
        <x:v>-1</x:v>
      </x:c>
      <x:c r="S81" s="19" t="str">
        <x:f>'第2日'!$U$11</x:f>
        <x:v>可导入</x:v>
      </x:c>
      <x:c r="T81" s="19" t="str">
        <x:f>'第2日'!$N$3</x:f>
        <x:v>可导入</x:v>
      </x:c>
    </x:row>
    <x:row r="82" ht="22" customHeight="1">
      <x:c r="A82" s="19" t="n">
        <x:v>1</x:v>
      </x:c>
      <x:c r="B82" s="19" t="str">
        <x:v>tower_defense_formal</x:v>
      </x:c>
      <x:c r="C82" s="19" t="str">
        <x:v>wave_05</x:v>
      </x:c>
      <x:c r="D82" s="19" t="n">
        <x:v>5</x:v>
      </x:c>
      <x:c r="E82" s="19" t="n">
        <x:v>2</x:v>
      </x:c>
      <x:c r="F82" s="19" t="n">
        <x:v>1</x:v>
      </x:c>
      <x:c r="G82" s="19" t="str">
        <x:f>'第2日'!$B$3</x:f>
        <x:v>第5波 沼泽先遣</x:v>
      </x:c>
      <x:c r="H82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2" s="19" t="n">
        <x:f>'第2日'!$H$3</x:f>
        <x:v>0.45</x:v>
      </x:c>
      <x:c r="J82" s="19" t="n">
        <x:f>'第2日'!$J$3</x:f>
        <x:v>1</x:v>
      </x:c>
      <x:c r="K82" s="19" t="n">
        <x:f>'第2日'!$L$3</x:f>
        <x:v>48</x:v>
      </x:c>
      <x:c r="L82" s="19" t="str">
        <x:v>res://resources/audio/shenmu_swamp_combat.ogg</x:v>
      </x:c>
      <x:c r="M82" s="19" t="str">
        <x:v>res://resources/audio/shenmu_swamp_intermission.ogg</x:v>
      </x:c>
      <x:c r="N82" s="19" t="n">
        <x:v>6</x:v>
      </x:c>
      <x:c r="O82" s="19" t="str">
        <x:f>'第2日'!$B$12</x:f>
        <x:v>yuanshi_insect_guardian｜守护者原石虫</x:v>
      </x:c>
      <x:c r="P82" s="19" t="str">
        <x:f>'第2日'!$E$12</x:f>
        <x:v>yuanshi_insect_guardian</x:v>
      </x:c>
      <x:c r="Q82" s="19" t="n">
        <x:f>'第2日'!$C$12</x:f>
        <x:v>4</x:v>
      </x:c>
      <x:c r="R82" s="19" t="n">
        <x:f>IF(P82="","",IF(ISNUMBER('第2日'!$D$12),'第2日'!$D$12,IF(VLOOKUP(O82,'敌人目录'!$A$6:$S$54,14,FALSE)&lt;&gt;VLOOKUP(O82,'敌人目录'!$A$6:$S$54,13,FALSE),VLOOKUP(O82,'敌人目录'!$A$6:$S$54,14,FALSE),-1)))</x:f>
        <x:v>-1</x:v>
      </x:c>
      <x:c r="S82" s="19" t="str">
        <x:f>'第2日'!$U$12</x:f>
        <x:v>可导入</x:v>
      </x:c>
      <x:c r="T82" s="19" t="str">
        <x:f>'第2日'!$N$3</x:f>
        <x:v>可导入</x:v>
      </x:c>
    </x:row>
    <x:row r="83" ht="22" customHeight="1">
      <x:c r="A83" s="19" t="n">
        <x:v>1</x:v>
      </x:c>
      <x:c r="B83" s="19" t="str">
        <x:v>tower_defense_formal</x:v>
      </x:c>
      <x:c r="C83" s="19" t="str">
        <x:v>wave_05</x:v>
      </x:c>
      <x:c r="D83" s="19" t="n">
        <x:v>5</x:v>
      </x:c>
      <x:c r="E83" s="19" t="n">
        <x:v>2</x:v>
      </x:c>
      <x:c r="F83" s="19" t="n">
        <x:v>1</x:v>
      </x:c>
      <x:c r="G83" s="19" t="str">
        <x:f>'第2日'!$B$3</x:f>
        <x:v>第5波 沼泽先遣</x:v>
      </x:c>
      <x:c r="H83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3" s="19" t="n">
        <x:f>'第2日'!$H$3</x:f>
        <x:v>0.45</x:v>
      </x:c>
      <x:c r="J83" s="19" t="n">
        <x:f>'第2日'!$J$3</x:f>
        <x:v>1</x:v>
      </x:c>
      <x:c r="K83" s="19" t="n">
        <x:f>'第2日'!$L$3</x:f>
        <x:v>48</x:v>
      </x:c>
      <x:c r="L83" s="19" t="str">
        <x:v>res://resources/audio/shenmu_swamp_combat.ogg</x:v>
      </x:c>
      <x:c r="M83" s="19" t="str">
        <x:v>res://resources/audio/shenmu_swamp_intermission.ogg</x:v>
      </x:c>
      <x:c r="N83" s="19" t="n">
        <x:v>7</x:v>
      </x:c>
      <x:c r="O83" s="19" t="n">
        <x:f>'第2日'!$B$13</x:f>
        <x:v>0</x:v>
      </x:c>
      <x:c r="P83" s="19" t="str">
        <x:f>'第2日'!$E$13</x:f>
      </x:c>
      <x:c r="Q83" s="19" t="n">
        <x:f>'第2日'!$C$13</x:f>
        <x:v>0</x:v>
      </x:c>
      <x:c r="R83" s="19" t="str">
        <x:f>IF(P83="","",IF(ISNUMBER('第2日'!$D$13),'第2日'!$D$13,IF(VLOOKUP(O83,'敌人目录'!$A$6:$S$54,14,FALSE)&lt;&gt;VLOOKUP(O83,'敌人目录'!$A$6:$S$54,13,FALSE),VLOOKUP(O83,'敌人目录'!$A$6:$S$54,14,FALSE),-1)))</x:f>
      </x:c>
      <x:c r="S83" s="19" t="n">
        <x:f>'第2日'!$U$13</x:f>
        <x:v>0</x:v>
      </x:c>
      <x:c r="T83" s="19" t="str">
        <x:f>'第2日'!$N$3</x:f>
        <x:v>可导入</x:v>
      </x:c>
    </x:row>
    <x:row r="84" ht="22" customHeight="1">
      <x:c r="A84" s="19" t="n">
        <x:v>1</x:v>
      </x:c>
      <x:c r="B84" s="19" t="str">
        <x:v>tower_defense_formal</x:v>
      </x:c>
      <x:c r="C84" s="19" t="str">
        <x:v>wave_05</x:v>
      </x:c>
      <x:c r="D84" s="19" t="n">
        <x:v>5</x:v>
      </x:c>
      <x:c r="E84" s="19" t="n">
        <x:v>2</x:v>
      </x:c>
      <x:c r="F84" s="19" t="n">
        <x:v>1</x:v>
      </x:c>
      <x:c r="G84" s="19" t="str">
        <x:f>'第2日'!$B$3</x:f>
        <x:v>第5波 沼泽先遣</x:v>
      </x:c>
      <x:c r="H84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4" s="19" t="n">
        <x:f>'第2日'!$H$3</x:f>
        <x:v>0.45</x:v>
      </x:c>
      <x:c r="J84" s="19" t="n">
        <x:f>'第2日'!$J$3</x:f>
        <x:v>1</x:v>
      </x:c>
      <x:c r="K84" s="19" t="n">
        <x:f>'第2日'!$L$3</x:f>
        <x:v>48</x:v>
      </x:c>
      <x:c r="L84" s="19" t="str">
        <x:v>res://resources/audio/shenmu_swamp_combat.ogg</x:v>
      </x:c>
      <x:c r="M84" s="19" t="str">
        <x:v>res://resources/audio/shenmu_swamp_intermission.ogg</x:v>
      </x:c>
      <x:c r="N84" s="19" t="n">
        <x:v>8</x:v>
      </x:c>
      <x:c r="O84" s="19" t="n">
        <x:f>'第2日'!$B$14</x:f>
        <x:v>0</x:v>
      </x:c>
      <x:c r="P84" s="19" t="str">
        <x:f>'第2日'!$E$14</x:f>
      </x:c>
      <x:c r="Q84" s="19" t="n">
        <x:f>'第2日'!$C$14</x:f>
        <x:v>0</x:v>
      </x:c>
      <x:c r="R84" s="19" t="str">
        <x:f>IF(P84="","",IF(ISNUMBER('第2日'!$D$14),'第2日'!$D$14,IF(VLOOKUP(O84,'敌人目录'!$A$6:$S$54,14,FALSE)&lt;&gt;VLOOKUP(O84,'敌人目录'!$A$6:$S$54,13,FALSE),VLOOKUP(O84,'敌人目录'!$A$6:$S$54,14,FALSE),-1)))</x:f>
      </x:c>
      <x:c r="S84" s="19" t="n">
        <x:f>'第2日'!$U$14</x:f>
        <x:v>0</x:v>
      </x:c>
      <x:c r="T84" s="19" t="str">
        <x:f>'第2日'!$N$3</x:f>
        <x:v>可导入</x:v>
      </x:c>
    </x:row>
    <x:row r="85" ht="22" customHeight="1">
      <x:c r="A85" s="19" t="n">
        <x:v>1</x:v>
      </x:c>
      <x:c r="B85" s="19" t="str">
        <x:v>tower_defense_formal</x:v>
      </x:c>
      <x:c r="C85" s="19" t="str">
        <x:v>wave_05</x:v>
      </x:c>
      <x:c r="D85" s="19" t="n">
        <x:v>5</x:v>
      </x:c>
      <x:c r="E85" s="19" t="n">
        <x:v>2</x:v>
      </x:c>
      <x:c r="F85" s="19" t="n">
        <x:v>1</x:v>
      </x:c>
      <x:c r="G85" s="19" t="str">
        <x:f>'第2日'!$B$3</x:f>
        <x:v>第5波 沼泽先遣</x:v>
      </x:c>
      <x:c r="H85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5" s="19" t="n">
        <x:f>'第2日'!$H$3</x:f>
        <x:v>0.45</x:v>
      </x:c>
      <x:c r="J85" s="19" t="n">
        <x:f>'第2日'!$J$3</x:f>
        <x:v>1</x:v>
      </x:c>
      <x:c r="K85" s="19" t="n">
        <x:f>'第2日'!$L$3</x:f>
        <x:v>48</x:v>
      </x:c>
      <x:c r="L85" s="19" t="str">
        <x:v>res://resources/audio/shenmu_swamp_combat.ogg</x:v>
      </x:c>
      <x:c r="M85" s="19" t="str">
        <x:v>res://resources/audio/shenmu_swamp_intermission.ogg</x:v>
      </x:c>
      <x:c r="N85" s="19" t="n">
        <x:v>9</x:v>
      </x:c>
      <x:c r="O85" s="19" t="n">
        <x:f>'第2日'!$B$15</x:f>
        <x:v>0</x:v>
      </x:c>
      <x:c r="P85" s="19" t="str">
        <x:f>'第2日'!$E$15</x:f>
      </x:c>
      <x:c r="Q85" s="19" t="n">
        <x:f>'第2日'!$C$15</x:f>
        <x:v>0</x:v>
      </x:c>
      <x:c r="R85" s="19" t="str">
        <x:f>IF(P85="","",IF(ISNUMBER('第2日'!$D$15),'第2日'!$D$15,IF(VLOOKUP(O85,'敌人目录'!$A$6:$S$54,14,FALSE)&lt;&gt;VLOOKUP(O85,'敌人目录'!$A$6:$S$54,13,FALSE),VLOOKUP(O85,'敌人目录'!$A$6:$S$54,14,FALSE),-1)))</x:f>
      </x:c>
      <x:c r="S85" s="19" t="n">
        <x:f>'第2日'!$U$15</x:f>
        <x:v>0</x:v>
      </x:c>
      <x:c r="T85" s="19" t="str">
        <x:f>'第2日'!$N$3</x:f>
        <x:v>可导入</x:v>
      </x:c>
    </x:row>
    <x:row r="86" ht="22" customHeight="1">
      <x:c r="A86" s="19" t="n">
        <x:v>1</x:v>
      </x:c>
      <x:c r="B86" s="19" t="str">
        <x:v>tower_defense_formal</x:v>
      </x:c>
      <x:c r="C86" s="19" t="str">
        <x:v>wave_05</x:v>
      </x:c>
      <x:c r="D86" s="19" t="n">
        <x:v>5</x:v>
      </x:c>
      <x:c r="E86" s="19" t="n">
        <x:v>2</x:v>
      </x:c>
      <x:c r="F86" s="19" t="n">
        <x:v>1</x:v>
      </x:c>
      <x:c r="G86" s="19" t="str">
        <x:f>'第2日'!$B$3</x:f>
        <x:v>第5波 沼泽先遣</x:v>
      </x:c>
      <x:c r="H86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6" s="19" t="n">
        <x:f>'第2日'!$H$3</x:f>
        <x:v>0.45</x:v>
      </x:c>
      <x:c r="J86" s="19" t="n">
        <x:f>'第2日'!$J$3</x:f>
        <x:v>1</x:v>
      </x:c>
      <x:c r="K86" s="19" t="n">
        <x:f>'第2日'!$L$3</x:f>
        <x:v>48</x:v>
      </x:c>
      <x:c r="L86" s="19" t="str">
        <x:v>res://resources/audio/shenmu_swamp_combat.ogg</x:v>
      </x:c>
      <x:c r="M86" s="19" t="str">
        <x:v>res://resources/audio/shenmu_swamp_intermission.ogg</x:v>
      </x:c>
      <x:c r="N86" s="19" t="n">
        <x:v>10</x:v>
      </x:c>
      <x:c r="O86" s="19" t="n">
        <x:f>'第2日'!$B$16</x:f>
        <x:v>0</x:v>
      </x:c>
      <x:c r="P86" s="19" t="str">
        <x:f>'第2日'!$E$16</x:f>
      </x:c>
      <x:c r="Q86" s="19" t="n">
        <x:f>'第2日'!$C$16</x:f>
        <x:v>0</x:v>
      </x:c>
      <x:c r="R86" s="19" t="str">
        <x:f>IF(P86="","",IF(ISNUMBER('第2日'!$D$16),'第2日'!$D$16,IF(VLOOKUP(O86,'敌人目录'!$A$6:$S$54,14,FALSE)&lt;&gt;VLOOKUP(O86,'敌人目录'!$A$6:$S$54,13,FALSE),VLOOKUP(O86,'敌人目录'!$A$6:$S$54,14,FALSE),-1)))</x:f>
      </x:c>
      <x:c r="S86" s="19" t="n">
        <x:f>'第2日'!$U$16</x:f>
        <x:v>0</x:v>
      </x:c>
      <x:c r="T86" s="19" t="str">
        <x:f>'第2日'!$N$3</x:f>
        <x:v>可导入</x:v>
      </x:c>
    </x:row>
    <x:row r="87" ht="22" customHeight="1">
      <x:c r="A87" s="19" t="n">
        <x:v>1</x:v>
      </x:c>
      <x:c r="B87" s="19" t="str">
        <x:v>tower_defense_formal</x:v>
      </x:c>
      <x:c r="C87" s="19" t="str">
        <x:v>wave_05</x:v>
      </x:c>
      <x:c r="D87" s="19" t="n">
        <x:v>5</x:v>
      </x:c>
      <x:c r="E87" s="19" t="n">
        <x:v>2</x:v>
      </x:c>
      <x:c r="F87" s="19" t="n">
        <x:v>1</x:v>
      </x:c>
      <x:c r="G87" s="19" t="str">
        <x:f>'第2日'!$B$3</x:f>
        <x:v>第5波 沼泽先遣</x:v>
      </x:c>
      <x:c r="H87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7" s="19" t="n">
        <x:f>'第2日'!$H$3</x:f>
        <x:v>0.45</x:v>
      </x:c>
      <x:c r="J87" s="19" t="n">
        <x:f>'第2日'!$J$3</x:f>
        <x:v>1</x:v>
      </x:c>
      <x:c r="K87" s="19" t="n">
        <x:f>'第2日'!$L$3</x:f>
        <x:v>48</x:v>
      </x:c>
      <x:c r="L87" s="19" t="str">
        <x:v>res://resources/audio/shenmu_swamp_combat.ogg</x:v>
      </x:c>
      <x:c r="M87" s="19" t="str">
        <x:v>res://resources/audio/shenmu_swamp_intermission.ogg</x:v>
      </x:c>
      <x:c r="N87" s="19" t="n">
        <x:v>11</x:v>
      </x:c>
      <x:c r="O87" s="19" t="n">
        <x:f>'第2日'!$B$17</x:f>
        <x:v>0</x:v>
      </x:c>
      <x:c r="P87" s="19" t="str">
        <x:f>'第2日'!$E$17</x:f>
      </x:c>
      <x:c r="Q87" s="19" t="n">
        <x:f>'第2日'!$C$17</x:f>
        <x:v>0</x:v>
      </x:c>
      <x:c r="R87" s="19" t="str">
        <x:f>IF(P87="","",IF(ISNUMBER('第2日'!$D$17),'第2日'!$D$17,IF(VLOOKUP(O87,'敌人目录'!$A$6:$S$54,14,FALSE)&lt;&gt;VLOOKUP(O87,'敌人目录'!$A$6:$S$54,13,FALSE),VLOOKUP(O87,'敌人目录'!$A$6:$S$54,14,FALSE),-1)))</x:f>
      </x:c>
      <x:c r="S87" s="19" t="n">
        <x:f>'第2日'!$U$17</x:f>
        <x:v>0</x:v>
      </x:c>
      <x:c r="T87" s="19" t="str">
        <x:f>'第2日'!$N$3</x:f>
        <x:v>可导入</x:v>
      </x:c>
    </x:row>
    <x:row r="88" ht="22" customHeight="1">
      <x:c r="A88" s="19" t="n">
        <x:v>1</x:v>
      </x:c>
      <x:c r="B88" s="19" t="str">
        <x:v>tower_defense_formal</x:v>
      </x:c>
      <x:c r="C88" s="19" t="str">
        <x:v>wave_05</x:v>
      </x:c>
      <x:c r="D88" s="19" t="n">
        <x:v>5</x:v>
      </x:c>
      <x:c r="E88" s="19" t="n">
        <x:v>2</x:v>
      </x:c>
      <x:c r="F88" s="19" t="n">
        <x:v>1</x:v>
      </x:c>
      <x:c r="G88" s="19" t="str">
        <x:f>'第2日'!$B$3</x:f>
        <x:v>第5波 沼泽先遣</x:v>
      </x:c>
      <x:c r="H88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8" s="19" t="n">
        <x:f>'第2日'!$H$3</x:f>
        <x:v>0.45</x:v>
      </x:c>
      <x:c r="J88" s="19" t="n">
        <x:f>'第2日'!$J$3</x:f>
        <x:v>1</x:v>
      </x:c>
      <x:c r="K88" s="19" t="n">
        <x:f>'第2日'!$L$3</x:f>
        <x:v>48</x:v>
      </x:c>
      <x:c r="L88" s="19" t="str">
        <x:v>res://resources/audio/shenmu_swamp_combat.ogg</x:v>
      </x:c>
      <x:c r="M88" s="19" t="str">
        <x:v>res://resources/audio/shenmu_swamp_intermission.ogg</x:v>
      </x:c>
      <x:c r="N88" s="19" t="n">
        <x:v>12</x:v>
      </x:c>
      <x:c r="O88" s="19" t="n">
        <x:f>'第2日'!$B$18</x:f>
        <x:v>0</x:v>
      </x:c>
      <x:c r="P88" s="19" t="str">
        <x:f>'第2日'!$E$18</x:f>
      </x:c>
      <x:c r="Q88" s="19" t="n">
        <x:f>'第2日'!$C$18</x:f>
        <x:v>0</x:v>
      </x:c>
      <x:c r="R88" s="19" t="str">
        <x:f>IF(P88="","",IF(ISNUMBER('第2日'!$D$18),'第2日'!$D$18,IF(VLOOKUP(O88,'敌人目录'!$A$6:$S$54,14,FALSE)&lt;&gt;VLOOKUP(O88,'敌人目录'!$A$6:$S$54,13,FALSE),VLOOKUP(O88,'敌人目录'!$A$6:$S$54,14,FALSE),-1)))</x:f>
      </x:c>
      <x:c r="S88" s="19" t="n">
        <x:f>'第2日'!$U$18</x:f>
        <x:v>0</x:v>
      </x:c>
      <x:c r="T88" s="19" t="str">
        <x:f>'第2日'!$N$3</x:f>
        <x:v>可导入</x:v>
      </x:c>
    </x:row>
    <x:row r="89" ht="22" customHeight="1">
      <x:c r="A89" s="19" t="n">
        <x:v>1</x:v>
      </x:c>
      <x:c r="B89" s="19" t="str">
        <x:v>tower_defense_formal</x:v>
      </x:c>
      <x:c r="C89" s="19" t="str">
        <x:v>wave_05</x:v>
      </x:c>
      <x:c r="D89" s="19" t="n">
        <x:v>5</x:v>
      </x:c>
      <x:c r="E89" s="19" t="n">
        <x:v>2</x:v>
      </x:c>
      <x:c r="F89" s="19" t="n">
        <x:v>1</x:v>
      </x:c>
      <x:c r="G89" s="19" t="str">
        <x:f>'第2日'!$B$3</x:f>
        <x:v>第5波 沼泽先遣</x:v>
      </x:c>
      <x:c r="H89" s="19" t="n">
        <x:f>IF('第2日'!$B$4="开启",1,0)+IF('第2日'!$C$4="开启",2,0)+IF('第2日'!$D$4="开启",4,0)+IF('第2日'!$E$4="开启",8,0)+IF('第2日'!$F$4="开启",16,0)+IF('第2日'!$G$4="开启",32,0)</x:f>
        <x:v>63</x:v>
      </x:c>
      <x:c r="I89" s="19" t="n">
        <x:f>'第2日'!$H$3</x:f>
        <x:v>0.45</x:v>
      </x:c>
      <x:c r="J89" s="19" t="n">
        <x:f>'第2日'!$J$3</x:f>
        <x:v>1</x:v>
      </x:c>
      <x:c r="K89" s="19" t="n">
        <x:f>'第2日'!$L$3</x:f>
        <x:v>48</x:v>
      </x:c>
      <x:c r="L89" s="19" t="str">
        <x:v>res://resources/audio/shenmu_swamp_combat.ogg</x:v>
      </x:c>
      <x:c r="M89" s="19" t="str">
        <x:v>res://resources/audio/shenmu_swamp_intermission.ogg</x:v>
      </x:c>
      <x:c r="N89" s="19" t="n">
        <x:v>13</x:v>
      </x:c>
      <x:c r="O89" s="19" t="n">
        <x:f>'第2日'!$B$19</x:f>
        <x:v>0</x:v>
      </x:c>
      <x:c r="P89" s="19" t="str">
        <x:f>'第2日'!$E$19</x:f>
      </x:c>
      <x:c r="Q89" s="19" t="n">
        <x:f>'第2日'!$C$19</x:f>
        <x:v>0</x:v>
      </x:c>
      <x:c r="R89" s="19" t="str">
        <x:f>IF(P89="","",IF(ISNUMBER('第2日'!$D$19),'第2日'!$D$19,IF(VLOOKUP(O89,'敌人目录'!$A$6:$S$54,14,FALSE)&lt;&gt;VLOOKUP(O89,'敌人目录'!$A$6:$S$54,13,FALSE),VLOOKUP(O89,'敌人目录'!$A$6:$S$54,14,FALSE),-1)))</x:f>
      </x:c>
      <x:c r="S89" s="19" t="n">
        <x:f>'第2日'!$U$19</x:f>
        <x:v>0</x:v>
      </x:c>
      <x:c r="T89" s="19" t="str">
        <x:f>'第2日'!$N$3</x:f>
        <x:v>可导入</x:v>
      </x:c>
    </x:row>
    <x:row r="90" ht="22" customHeight="1">
      <x:c r="A90" s="19" t="n">
        <x:v>1</x:v>
      </x:c>
      <x:c r="B90" s="19" t="str">
        <x:v>tower_defense_formal</x:v>
      </x:c>
      <x:c r="C90" s="19" t="str">
        <x:v>wave_05</x:v>
      </x:c>
      <x:c r="D90" s="19" t="n">
        <x:v>5</x:v>
      </x:c>
      <x:c r="E90" s="19" t="n">
        <x:v>2</x:v>
      </x:c>
      <x:c r="F90" s="19" t="n">
        <x:v>1</x:v>
      </x:c>
      <x:c r="G90" s="19" t="str">
        <x:f>'第2日'!$B$3</x:f>
        <x:v>第5波 沼泽先遣</x:v>
      </x:c>
      <x:c r="H90" s="19" t="n">
        <x:f>IF('第2日'!$B$4="开启",1,0)+IF('第2日'!$C$4="开启",2,0)+IF('第2日'!$D$4="开启",4,0)+IF('第2日'!$E$4="开启",8,0)+IF('第2日'!$F$4="开启",16,0)+IF('第2日'!$G$4="开启",32,0)</x:f>
        <x:v>63</x:v>
      </x:c>
      <x:c r="I90" s="19" t="n">
        <x:f>'第2日'!$H$3</x:f>
        <x:v>0.45</x:v>
      </x:c>
      <x:c r="J90" s="19" t="n">
        <x:f>'第2日'!$J$3</x:f>
        <x:v>1</x:v>
      </x:c>
      <x:c r="K90" s="19" t="n">
        <x:f>'第2日'!$L$3</x:f>
        <x:v>48</x:v>
      </x:c>
      <x:c r="L90" s="19" t="str">
        <x:v>res://resources/audio/shenmu_swamp_combat.ogg</x:v>
      </x:c>
      <x:c r="M90" s="19" t="str">
        <x:v>res://resources/audio/shenmu_swamp_intermission.ogg</x:v>
      </x:c>
      <x:c r="N90" s="19" t="n">
        <x:v>14</x:v>
      </x:c>
      <x:c r="O90" s="19" t="n">
        <x:f>'第2日'!$B$20</x:f>
        <x:v>0</x:v>
      </x:c>
      <x:c r="P90" s="19" t="str">
        <x:f>'第2日'!$E$20</x:f>
      </x:c>
      <x:c r="Q90" s="19" t="n">
        <x:f>'第2日'!$C$20</x:f>
        <x:v>0</x:v>
      </x:c>
      <x:c r="R90" s="19" t="str">
        <x:f>IF(P90="","",IF(ISNUMBER('第2日'!$D$20),'第2日'!$D$20,IF(VLOOKUP(O90,'敌人目录'!$A$6:$S$54,14,FALSE)&lt;&gt;VLOOKUP(O90,'敌人目录'!$A$6:$S$54,13,FALSE),VLOOKUP(O90,'敌人目录'!$A$6:$S$54,14,FALSE),-1)))</x:f>
      </x:c>
      <x:c r="S90" s="19" t="n">
        <x:f>'第2日'!$U$20</x:f>
        <x:v>0</x:v>
      </x:c>
      <x:c r="T90" s="19" t="str">
        <x:f>'第2日'!$N$3</x:f>
        <x:v>可导入</x:v>
      </x:c>
    </x:row>
    <x:row r="91" ht="22" customHeight="1">
      <x:c r="A91" s="19" t="n">
        <x:v>1</x:v>
      </x:c>
      <x:c r="B91" s="19" t="str">
        <x:v>tower_defense_formal</x:v>
      </x:c>
      <x:c r="C91" s="19" t="str">
        <x:v>wave_05</x:v>
      </x:c>
      <x:c r="D91" s="19" t="n">
        <x:v>5</x:v>
      </x:c>
      <x:c r="E91" s="19" t="n">
        <x:v>2</x:v>
      </x:c>
      <x:c r="F91" s="19" t="n">
        <x:v>1</x:v>
      </x:c>
      <x:c r="G91" s="19" t="str">
        <x:f>'第2日'!$B$3</x:f>
        <x:v>第5波 沼泽先遣</x:v>
      </x:c>
      <x:c r="H91" s="19" t="n">
        <x:f>IF('第2日'!$B$4="开启",1,0)+IF('第2日'!$C$4="开启",2,0)+IF('第2日'!$D$4="开启",4,0)+IF('第2日'!$E$4="开启",8,0)+IF('第2日'!$F$4="开启",16,0)+IF('第2日'!$G$4="开启",32,0)</x:f>
        <x:v>63</x:v>
      </x:c>
      <x:c r="I91" s="19" t="n">
        <x:f>'第2日'!$H$3</x:f>
        <x:v>0.45</x:v>
      </x:c>
      <x:c r="J91" s="19" t="n">
        <x:f>'第2日'!$J$3</x:f>
        <x:v>1</x:v>
      </x:c>
      <x:c r="K91" s="19" t="n">
        <x:f>'第2日'!$L$3</x:f>
        <x:v>48</x:v>
      </x:c>
      <x:c r="L91" s="19" t="str">
        <x:v>res://resources/audio/shenmu_swamp_combat.ogg</x:v>
      </x:c>
      <x:c r="M91" s="19" t="str">
        <x:v>res://resources/audio/shenmu_swamp_intermission.ogg</x:v>
      </x:c>
      <x:c r="N91" s="19" t="n">
        <x:v>15</x:v>
      </x:c>
      <x:c r="O91" s="19" t="n">
        <x:f>'第2日'!$B$21</x:f>
        <x:v>0</x:v>
      </x:c>
      <x:c r="P91" s="19" t="str">
        <x:f>'第2日'!$E$21</x:f>
      </x:c>
      <x:c r="Q91" s="19" t="n">
        <x:f>'第2日'!$C$21</x:f>
        <x:v>0</x:v>
      </x:c>
      <x:c r="R91" s="19" t="str">
        <x:f>IF(P91="","",IF(ISNUMBER('第2日'!$D$21),'第2日'!$D$21,IF(VLOOKUP(O91,'敌人目录'!$A$6:$S$54,14,FALSE)&lt;&gt;VLOOKUP(O91,'敌人目录'!$A$6:$S$54,13,FALSE),VLOOKUP(O91,'敌人目录'!$A$6:$S$54,14,FALSE),-1)))</x:f>
      </x:c>
      <x:c r="S91" s="19" t="n">
        <x:f>'第2日'!$U$21</x:f>
        <x:v>0</x:v>
      </x:c>
      <x:c r="T91" s="19" t="str">
        <x:f>'第2日'!$N$3</x:f>
        <x:v>可导入</x:v>
      </x:c>
    </x:row>
    <x:row r="92" ht="22" customHeight="1">
      <x:c r="A92" s="19" t="n">
        <x:v>1</x:v>
      </x:c>
      <x:c r="B92" s="19" t="str">
        <x:v>tower_defense_formal</x:v>
      </x:c>
      <x:c r="C92" s="19" t="str">
        <x:v>wave_05</x:v>
      </x:c>
      <x:c r="D92" s="19" t="n">
        <x:v>5</x:v>
      </x:c>
      <x:c r="E92" s="19" t="n">
        <x:v>2</x:v>
      </x:c>
      <x:c r="F92" s="19" t="n">
        <x:v>1</x:v>
      </x:c>
      <x:c r="G92" s="19" t="str">
        <x:f>'第2日'!$B$3</x:f>
        <x:v>第5波 沼泽先遣</x:v>
      </x:c>
      <x:c r="H92" s="19" t="n">
        <x:f>IF('第2日'!$B$4="开启",1,0)+IF('第2日'!$C$4="开启",2,0)+IF('第2日'!$D$4="开启",4,0)+IF('第2日'!$E$4="开启",8,0)+IF('第2日'!$F$4="开启",16,0)+IF('第2日'!$G$4="开启",32,0)</x:f>
        <x:v>63</x:v>
      </x:c>
      <x:c r="I92" s="19" t="n">
        <x:f>'第2日'!$H$3</x:f>
        <x:v>0.45</x:v>
      </x:c>
      <x:c r="J92" s="19" t="n">
        <x:f>'第2日'!$J$3</x:f>
        <x:v>1</x:v>
      </x:c>
      <x:c r="K92" s="19" t="n">
        <x:f>'第2日'!$L$3</x:f>
        <x:v>48</x:v>
      </x:c>
      <x:c r="L92" s="19" t="str">
        <x:v>res://resources/audio/shenmu_swamp_combat.ogg</x:v>
      </x:c>
      <x:c r="M92" s="19" t="str">
        <x:v>res://resources/audio/shenmu_swamp_intermission.ogg</x:v>
      </x:c>
      <x:c r="N92" s="19" t="n">
        <x:v>16</x:v>
      </x:c>
      <x:c r="O92" s="19" t="n">
        <x:f>'第2日'!$B$22</x:f>
        <x:v>0</x:v>
      </x:c>
      <x:c r="P92" s="19" t="str">
        <x:f>'第2日'!$E$22</x:f>
      </x:c>
      <x:c r="Q92" s="19" t="n">
        <x:f>'第2日'!$C$22</x:f>
        <x:v>0</x:v>
      </x:c>
      <x:c r="R92" s="19" t="str">
        <x:f>IF(P92="","",IF(ISNUMBER('第2日'!$D$22),'第2日'!$D$22,IF(VLOOKUP(O92,'敌人目录'!$A$6:$S$54,14,FALSE)&lt;&gt;VLOOKUP(O92,'敌人目录'!$A$6:$S$54,13,FALSE),VLOOKUP(O92,'敌人目录'!$A$6:$S$54,14,FALSE),-1)))</x:f>
      </x:c>
      <x:c r="S92" s="19" t="n">
        <x:f>'第2日'!$U$22</x:f>
        <x:v>0</x:v>
      </x:c>
      <x:c r="T92" s="19" t="str">
        <x:f>'第2日'!$N$3</x:f>
        <x:v>可导入</x:v>
      </x:c>
    </x:row>
    <x:row r="93" ht="22" customHeight="1">
      <x:c r="A93" s="19" t="n">
        <x:v>1</x:v>
      </x:c>
      <x:c r="B93" s="19" t="str">
        <x:v>tower_defense_formal</x:v>
      </x:c>
      <x:c r="C93" s="19" t="str">
        <x:v>wave_05</x:v>
      </x:c>
      <x:c r="D93" s="19" t="n">
        <x:v>5</x:v>
      </x:c>
      <x:c r="E93" s="19" t="n">
        <x:v>2</x:v>
      </x:c>
      <x:c r="F93" s="19" t="n">
        <x:v>1</x:v>
      </x:c>
      <x:c r="G93" s="19" t="str">
        <x:f>'第2日'!$B$3</x:f>
        <x:v>第5波 沼泽先遣</x:v>
      </x:c>
      <x:c r="H93" s="19" t="n">
        <x:f>IF('第2日'!$B$4="开启",1,0)+IF('第2日'!$C$4="开启",2,0)+IF('第2日'!$D$4="开启",4,0)+IF('第2日'!$E$4="开启",8,0)+IF('第2日'!$F$4="开启",16,0)+IF('第2日'!$G$4="开启",32,0)</x:f>
        <x:v>63</x:v>
      </x:c>
      <x:c r="I93" s="19" t="n">
        <x:f>'第2日'!$H$3</x:f>
        <x:v>0.45</x:v>
      </x:c>
      <x:c r="J93" s="19" t="n">
        <x:f>'第2日'!$J$3</x:f>
        <x:v>1</x:v>
      </x:c>
      <x:c r="K93" s="19" t="n">
        <x:f>'第2日'!$L$3</x:f>
        <x:v>48</x:v>
      </x:c>
      <x:c r="L93" s="19" t="str">
        <x:v>res://resources/audio/shenmu_swamp_combat.ogg</x:v>
      </x:c>
      <x:c r="M93" s="19" t="str">
        <x:v>res://resources/audio/shenmu_swamp_intermission.ogg</x:v>
      </x:c>
      <x:c r="N93" s="19" t="n">
        <x:v>17</x:v>
      </x:c>
      <x:c r="O93" s="19" t="n">
        <x:f>'第2日'!$B$23</x:f>
        <x:v>0</x:v>
      </x:c>
      <x:c r="P93" s="19" t="str">
        <x:f>'第2日'!$E$23</x:f>
      </x:c>
      <x:c r="Q93" s="19" t="n">
        <x:f>'第2日'!$C$23</x:f>
        <x:v>0</x:v>
      </x:c>
      <x:c r="R93" s="19" t="str">
        <x:f>IF(P93="","",IF(ISNUMBER('第2日'!$D$23),'第2日'!$D$23,IF(VLOOKUP(O93,'敌人目录'!$A$6:$S$54,14,FALSE)&lt;&gt;VLOOKUP(O93,'敌人目录'!$A$6:$S$54,13,FALSE),VLOOKUP(O93,'敌人目录'!$A$6:$S$54,14,FALSE),-1)))</x:f>
      </x:c>
      <x:c r="S93" s="19" t="n">
        <x:f>'第2日'!$U$23</x:f>
        <x:v>0</x:v>
      </x:c>
      <x:c r="T93" s="19" t="str">
        <x:f>'第2日'!$N$3</x:f>
        <x:v>可导入</x:v>
      </x:c>
    </x:row>
    <x:row r="94" ht="22" customHeight="1">
      <x:c r="A94" s="19" t="n">
        <x:v>1</x:v>
      </x:c>
      <x:c r="B94" s="19" t="str">
        <x:v>tower_defense_formal</x:v>
      </x:c>
      <x:c r="C94" s="19" t="str">
        <x:v>wave_05</x:v>
      </x:c>
      <x:c r="D94" s="19" t="n">
        <x:v>5</x:v>
      </x:c>
      <x:c r="E94" s="19" t="n">
        <x:v>2</x:v>
      </x:c>
      <x:c r="F94" s="19" t="n">
        <x:v>1</x:v>
      </x:c>
      <x:c r="G94" s="19" t="str">
        <x:f>'第2日'!$B$3</x:f>
        <x:v>第5波 沼泽先遣</x:v>
      </x:c>
      <x:c r="H94" s="19" t="n">
        <x:f>IF('第2日'!$B$4="开启",1,0)+IF('第2日'!$C$4="开启",2,0)+IF('第2日'!$D$4="开启",4,0)+IF('第2日'!$E$4="开启",8,0)+IF('第2日'!$F$4="开启",16,0)+IF('第2日'!$G$4="开启",32,0)</x:f>
        <x:v>63</x:v>
      </x:c>
      <x:c r="I94" s="19" t="n">
        <x:f>'第2日'!$H$3</x:f>
        <x:v>0.45</x:v>
      </x:c>
      <x:c r="J94" s="19" t="n">
        <x:f>'第2日'!$J$3</x:f>
        <x:v>1</x:v>
      </x:c>
      <x:c r="K94" s="19" t="n">
        <x:f>'第2日'!$L$3</x:f>
        <x:v>48</x:v>
      </x:c>
      <x:c r="L94" s="19" t="str">
        <x:v>res://resources/audio/shenmu_swamp_combat.ogg</x:v>
      </x:c>
      <x:c r="M94" s="19" t="str">
        <x:v>res://resources/audio/shenmu_swamp_intermission.ogg</x:v>
      </x:c>
      <x:c r="N94" s="19" t="n">
        <x:v>18</x:v>
      </x:c>
      <x:c r="O94" s="19" t="n">
        <x:f>'第2日'!$B$24</x:f>
        <x:v>0</x:v>
      </x:c>
      <x:c r="P94" s="19" t="n">
        <x:f>'第2日'!$E$24</x:f>
        <x:v>0</x:v>
      </x:c>
      <x:c r="Q94" s="19" t="n">
        <x:f>'第2日'!$C$24</x:f>
        <x:v>0</x:v>
      </x:c>
      <x:c r="R94" s="19" t="str">
        <x:f>IF(P94="","",IF(ISNUMBER('第2日'!$D$24),'第2日'!$D$24,IF(VLOOKUP(O94,'敌人目录'!$A$6:$S$54,14,FALSE)&lt;&gt;VLOOKUP(O94,'敌人目录'!$A$6:$S$54,13,FALSE),VLOOKUP(O94,'敌人目录'!$A$6:$S$54,14,FALSE),-1)))</x:f>
      </x:c>
      <x:c r="S94" s="19" t="n">
        <x:f>'第2日'!$U$24</x:f>
        <x:v>0</x:v>
      </x:c>
      <x:c r="T94" s="19" t="str">
        <x:f>'第2日'!$N$3</x:f>
        <x:v>可导入</x:v>
      </x:c>
    </x:row>
    <x:row r="95" ht="22" customHeight="1">
      <x:c r="A95" s="19" t="n">
        <x:v>1</x:v>
      </x:c>
      <x:c r="B95" s="19" t="str">
        <x:v>tower_defense_formal</x:v>
      </x:c>
      <x:c r="C95" s="19" t="str">
        <x:v>wave_06</x:v>
      </x:c>
      <x:c r="D95" s="19" t="n">
        <x:v>6</x:v>
      </x:c>
      <x:c r="E95" s="19" t="n">
        <x:v>2</x:v>
      </x:c>
      <x:c r="F95" s="19" t="n">
        <x:v>2</x:v>
      </x:c>
      <x:c r="G95" s="19" t="str">
        <x:f>'第2日'!$B$32</x:f>
        <x:v>第6波 守护阵列</x:v>
      </x:c>
      <x:c r="H95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95" s="19" t="n">
        <x:f>'第2日'!$H$32</x:f>
        <x:v>0.4</x:v>
      </x:c>
      <x:c r="J95" s="19" t="n">
        <x:f>'第2日'!$J$32</x:f>
        <x:v>1</x:v>
      </x:c>
      <x:c r="K95" s="19" t="n">
        <x:f>'第2日'!$L$32</x:f>
        <x:v>52</x:v>
      </x:c>
      <x:c r="L95" s="19" t="str">
        <x:v>res://resources/audio/shenmu_swamp_combat.ogg</x:v>
      </x:c>
      <x:c r="M95" s="19" t="str">
        <x:v>res://resources/audio/shenmu_swamp_intermission.ogg</x:v>
      </x:c>
      <x:c r="N95" s="19" t="n">
        <x:v>1</x:v>
      </x:c>
      <x:c r="O95" s="19" t="str">
        <x:f>'第2日'!$B$36</x:f>
        <x:v>yuanshi_insect_basic｜普通原石虫</x:v>
      </x:c>
      <x:c r="P95" s="19" t="str">
        <x:f>'第2日'!$E$36</x:f>
        <x:v>yuanshi_insect_basic</x:v>
      </x:c>
      <x:c r="Q95" s="19" t="n">
        <x:f>'第2日'!$C$36</x:f>
        <x:v>28</x:v>
      </x:c>
      <x:c r="R95" s="19" t="n">
        <x:f>IF(P95="","",IF(ISNUMBER('第2日'!$D$36),'第2日'!$D$36,IF(VLOOKUP(O95,'敌人目录'!$A$6:$S$54,14,FALSE)&lt;&gt;VLOOKUP(O95,'敌人目录'!$A$6:$S$54,13,FALSE),VLOOKUP(O95,'敌人目录'!$A$6:$S$54,14,FALSE),-1)))</x:f>
        <x:v>-1</x:v>
      </x:c>
      <x:c r="S95" s="19" t="str">
        <x:f>'第2日'!$U$36</x:f>
        <x:v>可导入</x:v>
      </x:c>
      <x:c r="T95" s="19" t="str">
        <x:f>'第2日'!$N$32</x:f>
        <x:v>可导入</x:v>
      </x:c>
    </x:row>
    <x:row r="96" ht="22" customHeight="1">
      <x:c r="A96" s="19" t="n">
        <x:v>1</x:v>
      </x:c>
      <x:c r="B96" s="19" t="str">
        <x:v>tower_defense_formal</x:v>
      </x:c>
      <x:c r="C96" s="19" t="str">
        <x:v>wave_06</x:v>
      </x:c>
      <x:c r="D96" s="19" t="n">
        <x:v>6</x:v>
      </x:c>
      <x:c r="E96" s="19" t="n">
        <x:v>2</x:v>
      </x:c>
      <x:c r="F96" s="19" t="n">
        <x:v>2</x:v>
      </x:c>
      <x:c r="G96" s="19" t="str">
        <x:f>'第2日'!$B$32</x:f>
        <x:v>第6波 守护阵列</x:v>
      </x:c>
      <x:c r="H96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96" s="19" t="n">
        <x:f>'第2日'!$H$32</x:f>
        <x:v>0.4</x:v>
      </x:c>
      <x:c r="J96" s="19" t="n">
        <x:f>'第2日'!$J$32</x:f>
        <x:v>1</x:v>
      </x:c>
      <x:c r="K96" s="19" t="n">
        <x:f>'第2日'!$L$32</x:f>
        <x:v>52</x:v>
      </x:c>
      <x:c r="L96" s="19" t="str">
        <x:v>res://resources/audio/shenmu_swamp_combat.ogg</x:v>
      </x:c>
      <x:c r="M96" s="19" t="str">
        <x:v>res://resources/audio/shenmu_swamp_intermission.ogg</x:v>
      </x:c>
      <x:c r="N96" s="19" t="n">
        <x:v>2</x:v>
      </x:c>
      <x:c r="O96" s="19" t="str">
        <x:f>'第2日'!$B$37</x:f>
        <x:v>yuanshi_insect_fast｜迅捷原石虫</x:v>
      </x:c>
      <x:c r="P96" s="19" t="str">
        <x:f>'第2日'!$E$37</x:f>
        <x:v>yuanshi_insect_fast</x:v>
      </x:c>
      <x:c r="Q96" s="19" t="n">
        <x:f>'第2日'!$C$37</x:f>
        <x:v>24</x:v>
      </x:c>
      <x:c r="R96" s="19" t="n">
        <x:f>IF(P96="","",IF(ISNUMBER('第2日'!$D$37),'第2日'!$D$37,IF(VLOOKUP(O96,'敌人目录'!$A$6:$S$54,14,FALSE)&lt;&gt;VLOOKUP(O96,'敌人目录'!$A$6:$S$54,13,FALSE),VLOOKUP(O96,'敌人目录'!$A$6:$S$54,14,FALSE),-1)))</x:f>
        <x:v>-1</x:v>
      </x:c>
      <x:c r="S96" s="19" t="str">
        <x:f>'第2日'!$U$37</x:f>
        <x:v>可导入</x:v>
      </x:c>
      <x:c r="T96" s="19" t="str">
        <x:f>'第2日'!$N$32</x:f>
        <x:v>可导入</x:v>
      </x:c>
    </x:row>
    <x:row r="97" ht="22" customHeight="1">
      <x:c r="A97" s="19" t="n">
        <x:v>1</x:v>
      </x:c>
      <x:c r="B97" s="19" t="str">
        <x:v>tower_defense_formal</x:v>
      </x:c>
      <x:c r="C97" s="19" t="str">
        <x:v>wave_06</x:v>
      </x:c>
      <x:c r="D97" s="19" t="n">
        <x:v>6</x:v>
      </x:c>
      <x:c r="E97" s="19" t="n">
        <x:v>2</x:v>
      </x:c>
      <x:c r="F97" s="19" t="n">
        <x:v>2</x:v>
      </x:c>
      <x:c r="G97" s="19" t="str">
        <x:f>'第2日'!$B$32</x:f>
        <x:v>第6波 守护阵列</x:v>
      </x:c>
      <x:c r="H97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97" s="19" t="n">
        <x:f>'第2日'!$H$32</x:f>
        <x:v>0.4</x:v>
      </x:c>
      <x:c r="J97" s="19" t="n">
        <x:f>'第2日'!$J$32</x:f>
        <x:v>1</x:v>
      </x:c>
      <x:c r="K97" s="19" t="n">
        <x:f>'第2日'!$L$32</x:f>
        <x:v>52</x:v>
      </x:c>
      <x:c r="L97" s="19" t="str">
        <x:v>res://resources/audio/shenmu_swamp_combat.ogg</x:v>
      </x:c>
      <x:c r="M97" s="19" t="str">
        <x:v>res://resources/audio/shenmu_swamp_intermission.ogg</x:v>
      </x:c>
      <x:c r="N97" s="19" t="n">
        <x:v>3</x:v>
      </x:c>
      <x:c r="O97" s="19" t="str">
        <x:f>'第2日'!$B$38</x:f>
        <x:v>yuanshi_insect_shell｜硬壳原石虫</x:v>
      </x:c>
      <x:c r="P97" s="19" t="str">
        <x:f>'第2日'!$E$38</x:f>
        <x:v>yuanshi_insect_shell</x:v>
      </x:c>
      <x:c r="Q97" s="19" t="n">
        <x:f>'第2日'!$C$38</x:f>
        <x:v>12</x:v>
      </x:c>
      <x:c r="R97" s="19" t="n">
        <x:f>IF(P97="","",IF(ISNUMBER('第2日'!$D$38),'第2日'!$D$38,IF(VLOOKUP(O97,'敌人目录'!$A$6:$S$54,14,FALSE)&lt;&gt;VLOOKUP(O97,'敌人目录'!$A$6:$S$54,13,FALSE),VLOOKUP(O97,'敌人目录'!$A$6:$S$54,14,FALSE),-1)))</x:f>
        <x:v>-1</x:v>
      </x:c>
      <x:c r="S97" s="19" t="str">
        <x:f>'第2日'!$U$38</x:f>
        <x:v>可导入</x:v>
      </x:c>
      <x:c r="T97" s="19" t="str">
        <x:f>'第2日'!$N$32</x:f>
        <x:v>可导入</x:v>
      </x:c>
    </x:row>
    <x:row r="98" ht="22" customHeight="1">
      <x:c r="A98" s="19" t="n">
        <x:v>1</x:v>
      </x:c>
      <x:c r="B98" s="19" t="str">
        <x:v>tower_defense_formal</x:v>
      </x:c>
      <x:c r="C98" s="19" t="str">
        <x:v>wave_06</x:v>
      </x:c>
      <x:c r="D98" s="19" t="n">
        <x:v>6</x:v>
      </x:c>
      <x:c r="E98" s="19" t="n">
        <x:v>2</x:v>
      </x:c>
      <x:c r="F98" s="19" t="n">
        <x:v>2</x:v>
      </x:c>
      <x:c r="G98" s="19" t="str">
        <x:f>'第2日'!$B$32</x:f>
        <x:v>第6波 守护阵列</x:v>
      </x:c>
      <x:c r="H98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98" s="19" t="n">
        <x:f>'第2日'!$H$32</x:f>
        <x:v>0.4</x:v>
      </x:c>
      <x:c r="J98" s="19" t="n">
        <x:f>'第2日'!$J$32</x:f>
        <x:v>1</x:v>
      </x:c>
      <x:c r="K98" s="19" t="n">
        <x:f>'第2日'!$L$32</x:f>
        <x:v>52</x:v>
      </x:c>
      <x:c r="L98" s="19" t="str">
        <x:v>res://resources/audio/shenmu_swamp_combat.ogg</x:v>
      </x:c>
      <x:c r="M98" s="19" t="str">
        <x:v>res://resources/audio/shenmu_swamp_intermission.ogg</x:v>
      </x:c>
      <x:c r="N98" s="19" t="n">
        <x:v>4</x:v>
      </x:c>
      <x:c r="O98" s="19" t="str">
        <x:f>'第2日'!$B$39</x:f>
        <x:v>yuanshi_insect_bomber｜自爆原石虫</x:v>
      </x:c>
      <x:c r="P98" s="19" t="str">
        <x:f>'第2日'!$E$39</x:f>
        <x:v>yuanshi_insect_bomber</x:v>
      </x:c>
      <x:c r="Q98" s="19" t="n">
        <x:f>'第2日'!$C$39</x:f>
        <x:v>12</x:v>
      </x:c>
      <x:c r="R98" s="19" t="n">
        <x:f>IF(P98="","",IF(ISNUMBER('第2日'!$D$39),'第2日'!$D$39,IF(VLOOKUP(O98,'敌人目录'!$A$6:$S$54,14,FALSE)&lt;&gt;VLOOKUP(O98,'敌人目录'!$A$6:$S$54,13,FALSE),VLOOKUP(O98,'敌人目录'!$A$6:$S$54,14,FALSE),-1)))</x:f>
        <x:v>-1</x:v>
      </x:c>
      <x:c r="S98" s="19" t="str">
        <x:f>'第2日'!$U$39</x:f>
        <x:v>可导入</x:v>
      </x:c>
      <x:c r="T98" s="19" t="str">
        <x:f>'第2日'!$N$32</x:f>
        <x:v>可导入</x:v>
      </x:c>
    </x:row>
    <x:row r="99" ht="22" customHeight="1">
      <x:c r="A99" s="19" t="n">
        <x:v>1</x:v>
      </x:c>
      <x:c r="B99" s="19" t="str">
        <x:v>tower_defense_formal</x:v>
      </x:c>
      <x:c r="C99" s="19" t="str">
        <x:v>wave_06</x:v>
      </x:c>
      <x:c r="D99" s="19" t="n">
        <x:v>6</x:v>
      </x:c>
      <x:c r="E99" s="19" t="n">
        <x:v>2</x:v>
      </x:c>
      <x:c r="F99" s="19" t="n">
        <x:v>2</x:v>
      </x:c>
      <x:c r="G99" s="19" t="str">
        <x:f>'第2日'!$B$32</x:f>
        <x:v>第6波 守护阵列</x:v>
      </x:c>
      <x:c r="H99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99" s="19" t="n">
        <x:f>'第2日'!$H$32</x:f>
        <x:v>0.4</x:v>
      </x:c>
      <x:c r="J99" s="19" t="n">
        <x:f>'第2日'!$J$32</x:f>
        <x:v>1</x:v>
      </x:c>
      <x:c r="K99" s="19" t="n">
        <x:f>'第2日'!$L$32</x:f>
        <x:v>52</x:v>
      </x:c>
      <x:c r="L99" s="19" t="str">
        <x:v>res://resources/audio/shenmu_swamp_combat.ogg</x:v>
      </x:c>
      <x:c r="M99" s="19" t="str">
        <x:v>res://resources/audio/shenmu_swamp_intermission.ogg</x:v>
      </x:c>
      <x:c r="N99" s="19" t="n">
        <x:v>5</x:v>
      </x:c>
      <x:c r="O99" s="19" t="str">
        <x:f>'第2日'!$B$40</x:f>
        <x:v>yuanshi_insect_fire_ranged｜火焰弹原石虫</x:v>
      </x:c>
      <x:c r="P99" s="19" t="str">
        <x:f>'第2日'!$E$40</x:f>
        <x:v>yuanshi_insect_fire_ranged</x:v>
      </x:c>
      <x:c r="Q99" s="19" t="n">
        <x:f>'第2日'!$C$40</x:f>
        <x:v>12</x:v>
      </x:c>
      <x:c r="R99" s="19" t="n">
        <x:f>IF(P99="","",IF(ISNUMBER('第2日'!$D$40),'第2日'!$D$40,IF(VLOOKUP(O99,'敌人目录'!$A$6:$S$54,14,FALSE)&lt;&gt;VLOOKUP(O99,'敌人目录'!$A$6:$S$54,13,FALSE),VLOOKUP(O99,'敌人目录'!$A$6:$S$54,14,FALSE),-1)))</x:f>
        <x:v>-1</x:v>
      </x:c>
      <x:c r="S99" s="19" t="str">
        <x:f>'第2日'!$U$40</x:f>
        <x:v>可导入</x:v>
      </x:c>
      <x:c r="T99" s="19" t="str">
        <x:f>'第2日'!$N$32</x:f>
        <x:v>可导入</x:v>
      </x:c>
    </x:row>
    <x:row r="100" ht="22" customHeight="1">
      <x:c r="A100" s="19" t="n">
        <x:v>1</x:v>
      </x:c>
      <x:c r="B100" s="19" t="str">
        <x:v>tower_defense_formal</x:v>
      </x:c>
      <x:c r="C100" s="19" t="str">
        <x:v>wave_06</x:v>
      </x:c>
      <x:c r="D100" s="19" t="n">
        <x:v>6</x:v>
      </x:c>
      <x:c r="E100" s="19" t="n">
        <x:v>2</x:v>
      </x:c>
      <x:c r="F100" s="19" t="n">
        <x:v>2</x:v>
      </x:c>
      <x:c r="G100" s="19" t="str">
        <x:f>'第2日'!$B$32</x:f>
        <x:v>第6波 守护阵列</x:v>
      </x:c>
      <x:c r="H100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0" s="19" t="n">
        <x:f>'第2日'!$H$32</x:f>
        <x:v>0.4</x:v>
      </x:c>
      <x:c r="J100" s="19" t="n">
        <x:f>'第2日'!$J$32</x:f>
        <x:v>1</x:v>
      </x:c>
      <x:c r="K100" s="19" t="n">
        <x:f>'第2日'!$L$32</x:f>
        <x:v>52</x:v>
      </x:c>
      <x:c r="L100" s="19" t="str">
        <x:v>res://resources/audio/shenmu_swamp_combat.ogg</x:v>
      </x:c>
      <x:c r="M100" s="19" t="str">
        <x:v>res://resources/audio/shenmu_swamp_intermission.ogg</x:v>
      </x:c>
      <x:c r="N100" s="19" t="n">
        <x:v>6</x:v>
      </x:c>
      <x:c r="O100" s="19" t="str">
        <x:f>'第2日'!$B$41</x:f>
        <x:v>yuanshi_insect_guardian｜守护者原石虫</x:v>
      </x:c>
      <x:c r="P100" s="19" t="str">
        <x:f>'第2日'!$E$41</x:f>
        <x:v>yuanshi_insect_guardian</x:v>
      </x:c>
      <x:c r="Q100" s="19" t="n">
        <x:f>'第2日'!$C$41</x:f>
        <x:v>8</x:v>
      </x:c>
      <x:c r="R100" s="19" t="n">
        <x:f>IF(P100="","",IF(ISNUMBER('第2日'!$D$41),'第2日'!$D$41,IF(VLOOKUP(O100,'敌人目录'!$A$6:$S$54,14,FALSE)&lt;&gt;VLOOKUP(O100,'敌人目录'!$A$6:$S$54,13,FALSE),VLOOKUP(O100,'敌人目录'!$A$6:$S$54,14,FALSE),-1)))</x:f>
        <x:v>-1</x:v>
      </x:c>
      <x:c r="S100" s="19" t="str">
        <x:f>'第2日'!$U$41</x:f>
        <x:v>可导入</x:v>
      </x:c>
      <x:c r="T100" s="19" t="str">
        <x:f>'第2日'!$N$32</x:f>
        <x:v>可导入</x:v>
      </x:c>
    </x:row>
    <x:row r="101" ht="22" customHeight="1">
      <x:c r="A101" s="19" t="n">
        <x:v>1</x:v>
      </x:c>
      <x:c r="B101" s="19" t="str">
        <x:v>tower_defense_formal</x:v>
      </x:c>
      <x:c r="C101" s="19" t="str">
        <x:v>wave_06</x:v>
      </x:c>
      <x:c r="D101" s="19" t="n">
        <x:v>6</x:v>
      </x:c>
      <x:c r="E101" s="19" t="n">
        <x:v>2</x:v>
      </x:c>
      <x:c r="F101" s="19" t="n">
        <x:v>2</x:v>
      </x:c>
      <x:c r="G101" s="19" t="str">
        <x:f>'第2日'!$B$32</x:f>
        <x:v>第6波 守护阵列</x:v>
      </x:c>
      <x:c r="H101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1" s="19" t="n">
        <x:f>'第2日'!$H$32</x:f>
        <x:v>0.4</x:v>
      </x:c>
      <x:c r="J101" s="19" t="n">
        <x:f>'第2日'!$J$32</x:f>
        <x:v>1</x:v>
      </x:c>
      <x:c r="K101" s="19" t="n">
        <x:f>'第2日'!$L$32</x:f>
        <x:v>52</x:v>
      </x:c>
      <x:c r="L101" s="19" t="str">
        <x:v>res://resources/audio/shenmu_swamp_combat.ogg</x:v>
      </x:c>
      <x:c r="M101" s="19" t="str">
        <x:v>res://resources/audio/shenmu_swamp_intermission.ogg</x:v>
      </x:c>
      <x:c r="N101" s="19" t="n">
        <x:v>7</x:v>
      </x:c>
      <x:c r="O101" s="19" t="n">
        <x:f>'第2日'!$B$42</x:f>
        <x:v>0</x:v>
      </x:c>
      <x:c r="P101" s="19" t="str">
        <x:f>'第2日'!$E$42</x:f>
      </x:c>
      <x:c r="Q101" s="19" t="n">
        <x:f>'第2日'!$C$42</x:f>
        <x:v>0</x:v>
      </x:c>
      <x:c r="R101" s="19" t="str">
        <x:f>IF(P101="","",IF(ISNUMBER('第2日'!$D$42),'第2日'!$D$42,IF(VLOOKUP(O101,'敌人目录'!$A$6:$S$54,14,FALSE)&lt;&gt;VLOOKUP(O101,'敌人目录'!$A$6:$S$54,13,FALSE),VLOOKUP(O101,'敌人目录'!$A$6:$S$54,14,FALSE),-1)))</x:f>
      </x:c>
      <x:c r="S101" s="19" t="n">
        <x:f>'第2日'!$U$42</x:f>
        <x:v>0</x:v>
      </x:c>
      <x:c r="T101" s="19" t="str">
        <x:f>'第2日'!$N$32</x:f>
        <x:v>可导入</x:v>
      </x:c>
    </x:row>
    <x:row r="102" ht="22" customHeight="1">
      <x:c r="A102" s="19" t="n">
        <x:v>1</x:v>
      </x:c>
      <x:c r="B102" s="19" t="str">
        <x:v>tower_defense_formal</x:v>
      </x:c>
      <x:c r="C102" s="19" t="str">
        <x:v>wave_06</x:v>
      </x:c>
      <x:c r="D102" s="19" t="n">
        <x:v>6</x:v>
      </x:c>
      <x:c r="E102" s="19" t="n">
        <x:v>2</x:v>
      </x:c>
      <x:c r="F102" s="19" t="n">
        <x:v>2</x:v>
      </x:c>
      <x:c r="G102" s="19" t="str">
        <x:f>'第2日'!$B$32</x:f>
        <x:v>第6波 守护阵列</x:v>
      </x:c>
      <x:c r="H102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2" s="19" t="n">
        <x:f>'第2日'!$H$32</x:f>
        <x:v>0.4</x:v>
      </x:c>
      <x:c r="J102" s="19" t="n">
        <x:f>'第2日'!$J$32</x:f>
        <x:v>1</x:v>
      </x:c>
      <x:c r="K102" s="19" t="n">
        <x:f>'第2日'!$L$32</x:f>
        <x:v>52</x:v>
      </x:c>
      <x:c r="L102" s="19" t="str">
        <x:v>res://resources/audio/shenmu_swamp_combat.ogg</x:v>
      </x:c>
      <x:c r="M102" s="19" t="str">
        <x:v>res://resources/audio/shenmu_swamp_intermission.ogg</x:v>
      </x:c>
      <x:c r="N102" s="19" t="n">
        <x:v>8</x:v>
      </x:c>
      <x:c r="O102" s="19" t="n">
        <x:f>'第2日'!$B$43</x:f>
        <x:v>0</x:v>
      </x:c>
      <x:c r="P102" s="19" t="str">
        <x:f>'第2日'!$E$43</x:f>
      </x:c>
      <x:c r="Q102" s="19" t="n">
        <x:f>'第2日'!$C$43</x:f>
        <x:v>0</x:v>
      </x:c>
      <x:c r="R102" s="19" t="str">
        <x:f>IF(P102="","",IF(ISNUMBER('第2日'!$D$43),'第2日'!$D$43,IF(VLOOKUP(O102,'敌人目录'!$A$6:$S$54,14,FALSE)&lt;&gt;VLOOKUP(O102,'敌人目录'!$A$6:$S$54,13,FALSE),VLOOKUP(O102,'敌人目录'!$A$6:$S$54,14,FALSE),-1)))</x:f>
      </x:c>
      <x:c r="S102" s="19" t="n">
        <x:f>'第2日'!$U$43</x:f>
        <x:v>0</x:v>
      </x:c>
      <x:c r="T102" s="19" t="str">
        <x:f>'第2日'!$N$32</x:f>
        <x:v>可导入</x:v>
      </x:c>
    </x:row>
    <x:row r="103" ht="22" customHeight="1">
      <x:c r="A103" s="19" t="n">
        <x:v>1</x:v>
      </x:c>
      <x:c r="B103" s="19" t="str">
        <x:v>tower_defense_formal</x:v>
      </x:c>
      <x:c r="C103" s="19" t="str">
        <x:v>wave_06</x:v>
      </x:c>
      <x:c r="D103" s="19" t="n">
        <x:v>6</x:v>
      </x:c>
      <x:c r="E103" s="19" t="n">
        <x:v>2</x:v>
      </x:c>
      <x:c r="F103" s="19" t="n">
        <x:v>2</x:v>
      </x:c>
      <x:c r="G103" s="19" t="str">
        <x:f>'第2日'!$B$32</x:f>
        <x:v>第6波 守护阵列</x:v>
      </x:c>
      <x:c r="H103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3" s="19" t="n">
        <x:f>'第2日'!$H$32</x:f>
        <x:v>0.4</x:v>
      </x:c>
      <x:c r="J103" s="19" t="n">
        <x:f>'第2日'!$J$32</x:f>
        <x:v>1</x:v>
      </x:c>
      <x:c r="K103" s="19" t="n">
        <x:f>'第2日'!$L$32</x:f>
        <x:v>52</x:v>
      </x:c>
      <x:c r="L103" s="19" t="str">
        <x:v>res://resources/audio/shenmu_swamp_combat.ogg</x:v>
      </x:c>
      <x:c r="M103" s="19" t="str">
        <x:v>res://resources/audio/shenmu_swamp_intermission.ogg</x:v>
      </x:c>
      <x:c r="N103" s="19" t="n">
        <x:v>9</x:v>
      </x:c>
      <x:c r="O103" s="19" t="n">
        <x:f>'第2日'!$B$44</x:f>
        <x:v>0</x:v>
      </x:c>
      <x:c r="P103" s="19" t="str">
        <x:f>'第2日'!$E$44</x:f>
      </x:c>
      <x:c r="Q103" s="19" t="n">
        <x:f>'第2日'!$C$44</x:f>
        <x:v>0</x:v>
      </x:c>
      <x:c r="R103" s="19" t="str">
        <x:f>IF(P103="","",IF(ISNUMBER('第2日'!$D$44),'第2日'!$D$44,IF(VLOOKUP(O103,'敌人目录'!$A$6:$S$54,14,FALSE)&lt;&gt;VLOOKUP(O103,'敌人目录'!$A$6:$S$54,13,FALSE),VLOOKUP(O103,'敌人目录'!$A$6:$S$54,14,FALSE),-1)))</x:f>
      </x:c>
      <x:c r="S103" s="19" t="n">
        <x:f>'第2日'!$U$44</x:f>
        <x:v>0</x:v>
      </x:c>
      <x:c r="T103" s="19" t="str">
        <x:f>'第2日'!$N$32</x:f>
        <x:v>可导入</x:v>
      </x:c>
    </x:row>
    <x:row r="104" ht="22" customHeight="1">
      <x:c r="A104" s="19" t="n">
        <x:v>1</x:v>
      </x:c>
      <x:c r="B104" s="19" t="str">
        <x:v>tower_defense_formal</x:v>
      </x:c>
      <x:c r="C104" s="19" t="str">
        <x:v>wave_06</x:v>
      </x:c>
      <x:c r="D104" s="19" t="n">
        <x:v>6</x:v>
      </x:c>
      <x:c r="E104" s="19" t="n">
        <x:v>2</x:v>
      </x:c>
      <x:c r="F104" s="19" t="n">
        <x:v>2</x:v>
      </x:c>
      <x:c r="G104" s="19" t="str">
        <x:f>'第2日'!$B$32</x:f>
        <x:v>第6波 守护阵列</x:v>
      </x:c>
      <x:c r="H104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4" s="19" t="n">
        <x:f>'第2日'!$H$32</x:f>
        <x:v>0.4</x:v>
      </x:c>
      <x:c r="J104" s="19" t="n">
        <x:f>'第2日'!$J$32</x:f>
        <x:v>1</x:v>
      </x:c>
      <x:c r="K104" s="19" t="n">
        <x:f>'第2日'!$L$32</x:f>
        <x:v>52</x:v>
      </x:c>
      <x:c r="L104" s="19" t="str">
        <x:v>res://resources/audio/shenmu_swamp_combat.ogg</x:v>
      </x:c>
      <x:c r="M104" s="19" t="str">
        <x:v>res://resources/audio/shenmu_swamp_intermission.ogg</x:v>
      </x:c>
      <x:c r="N104" s="19" t="n">
        <x:v>10</x:v>
      </x:c>
      <x:c r="O104" s="19" t="n">
        <x:f>'第2日'!$B$45</x:f>
        <x:v>0</x:v>
      </x:c>
      <x:c r="P104" s="19" t="str">
        <x:f>'第2日'!$E$45</x:f>
      </x:c>
      <x:c r="Q104" s="19" t="n">
        <x:f>'第2日'!$C$45</x:f>
        <x:v>0</x:v>
      </x:c>
      <x:c r="R104" s="19" t="str">
        <x:f>IF(P104="","",IF(ISNUMBER('第2日'!$D$45),'第2日'!$D$45,IF(VLOOKUP(O104,'敌人目录'!$A$6:$S$54,14,FALSE)&lt;&gt;VLOOKUP(O104,'敌人目录'!$A$6:$S$54,13,FALSE),VLOOKUP(O104,'敌人目录'!$A$6:$S$54,14,FALSE),-1)))</x:f>
      </x:c>
      <x:c r="S104" s="19" t="n">
        <x:f>'第2日'!$U$45</x:f>
        <x:v>0</x:v>
      </x:c>
      <x:c r="T104" s="19" t="str">
        <x:f>'第2日'!$N$32</x:f>
        <x:v>可导入</x:v>
      </x:c>
    </x:row>
    <x:row r="105" ht="22" customHeight="1">
      <x:c r="A105" s="19" t="n">
        <x:v>1</x:v>
      </x:c>
      <x:c r="B105" s="19" t="str">
        <x:v>tower_defense_formal</x:v>
      </x:c>
      <x:c r="C105" s="19" t="str">
        <x:v>wave_06</x:v>
      </x:c>
      <x:c r="D105" s="19" t="n">
        <x:v>6</x:v>
      </x:c>
      <x:c r="E105" s="19" t="n">
        <x:v>2</x:v>
      </x:c>
      <x:c r="F105" s="19" t="n">
        <x:v>2</x:v>
      </x:c>
      <x:c r="G105" s="19" t="str">
        <x:f>'第2日'!$B$32</x:f>
        <x:v>第6波 守护阵列</x:v>
      </x:c>
      <x:c r="H105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5" s="19" t="n">
        <x:f>'第2日'!$H$32</x:f>
        <x:v>0.4</x:v>
      </x:c>
      <x:c r="J105" s="19" t="n">
        <x:f>'第2日'!$J$32</x:f>
        <x:v>1</x:v>
      </x:c>
      <x:c r="K105" s="19" t="n">
        <x:f>'第2日'!$L$32</x:f>
        <x:v>52</x:v>
      </x:c>
      <x:c r="L105" s="19" t="str">
        <x:v>res://resources/audio/shenmu_swamp_combat.ogg</x:v>
      </x:c>
      <x:c r="M105" s="19" t="str">
        <x:v>res://resources/audio/shenmu_swamp_intermission.ogg</x:v>
      </x:c>
      <x:c r="N105" s="19" t="n">
        <x:v>11</x:v>
      </x:c>
      <x:c r="O105" s="19" t="n">
        <x:f>'第2日'!$B$46</x:f>
        <x:v>0</x:v>
      </x:c>
      <x:c r="P105" s="19" t="str">
        <x:f>'第2日'!$E$46</x:f>
      </x:c>
      <x:c r="Q105" s="19" t="n">
        <x:f>'第2日'!$C$46</x:f>
        <x:v>0</x:v>
      </x:c>
      <x:c r="R105" s="19" t="str">
        <x:f>IF(P105="","",IF(ISNUMBER('第2日'!$D$46),'第2日'!$D$46,IF(VLOOKUP(O105,'敌人目录'!$A$6:$S$54,14,FALSE)&lt;&gt;VLOOKUP(O105,'敌人目录'!$A$6:$S$54,13,FALSE),VLOOKUP(O105,'敌人目录'!$A$6:$S$54,14,FALSE),-1)))</x:f>
      </x:c>
      <x:c r="S105" s="19" t="n">
        <x:f>'第2日'!$U$46</x:f>
        <x:v>0</x:v>
      </x:c>
      <x:c r="T105" s="19" t="str">
        <x:f>'第2日'!$N$32</x:f>
        <x:v>可导入</x:v>
      </x:c>
    </x:row>
    <x:row r="106" ht="22" customHeight="1">
      <x:c r="A106" s="19" t="n">
        <x:v>1</x:v>
      </x:c>
      <x:c r="B106" s="19" t="str">
        <x:v>tower_defense_formal</x:v>
      </x:c>
      <x:c r="C106" s="19" t="str">
        <x:v>wave_06</x:v>
      </x:c>
      <x:c r="D106" s="19" t="n">
        <x:v>6</x:v>
      </x:c>
      <x:c r="E106" s="19" t="n">
        <x:v>2</x:v>
      </x:c>
      <x:c r="F106" s="19" t="n">
        <x:v>2</x:v>
      </x:c>
      <x:c r="G106" s="19" t="str">
        <x:f>'第2日'!$B$32</x:f>
        <x:v>第6波 守护阵列</x:v>
      </x:c>
      <x:c r="H106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6" s="19" t="n">
        <x:f>'第2日'!$H$32</x:f>
        <x:v>0.4</x:v>
      </x:c>
      <x:c r="J106" s="19" t="n">
        <x:f>'第2日'!$J$32</x:f>
        <x:v>1</x:v>
      </x:c>
      <x:c r="K106" s="19" t="n">
        <x:f>'第2日'!$L$32</x:f>
        <x:v>52</x:v>
      </x:c>
      <x:c r="L106" s="19" t="str">
        <x:v>res://resources/audio/shenmu_swamp_combat.ogg</x:v>
      </x:c>
      <x:c r="M106" s="19" t="str">
        <x:v>res://resources/audio/shenmu_swamp_intermission.ogg</x:v>
      </x:c>
      <x:c r="N106" s="19" t="n">
        <x:v>12</x:v>
      </x:c>
      <x:c r="O106" s="19" t="n">
        <x:f>'第2日'!$B$47</x:f>
        <x:v>0</x:v>
      </x:c>
      <x:c r="P106" s="19" t="str">
        <x:f>'第2日'!$E$47</x:f>
      </x:c>
      <x:c r="Q106" s="19" t="n">
        <x:f>'第2日'!$C$47</x:f>
        <x:v>0</x:v>
      </x:c>
      <x:c r="R106" s="19" t="str">
        <x:f>IF(P106="","",IF(ISNUMBER('第2日'!$D$47),'第2日'!$D$47,IF(VLOOKUP(O106,'敌人目录'!$A$6:$S$54,14,FALSE)&lt;&gt;VLOOKUP(O106,'敌人目录'!$A$6:$S$54,13,FALSE),VLOOKUP(O106,'敌人目录'!$A$6:$S$54,14,FALSE),-1)))</x:f>
      </x:c>
      <x:c r="S106" s="19" t="n">
        <x:f>'第2日'!$U$47</x:f>
        <x:v>0</x:v>
      </x:c>
      <x:c r="T106" s="19" t="str">
        <x:f>'第2日'!$N$32</x:f>
        <x:v>可导入</x:v>
      </x:c>
    </x:row>
    <x:row r="107" ht="22" customHeight="1">
      <x:c r="A107" s="19" t="n">
        <x:v>1</x:v>
      </x:c>
      <x:c r="B107" s="19" t="str">
        <x:v>tower_defense_formal</x:v>
      </x:c>
      <x:c r="C107" s="19" t="str">
        <x:v>wave_06</x:v>
      </x:c>
      <x:c r="D107" s="19" t="n">
        <x:v>6</x:v>
      </x:c>
      <x:c r="E107" s="19" t="n">
        <x:v>2</x:v>
      </x:c>
      <x:c r="F107" s="19" t="n">
        <x:v>2</x:v>
      </x:c>
      <x:c r="G107" s="19" t="str">
        <x:f>'第2日'!$B$32</x:f>
        <x:v>第6波 守护阵列</x:v>
      </x:c>
      <x:c r="H107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7" s="19" t="n">
        <x:f>'第2日'!$H$32</x:f>
        <x:v>0.4</x:v>
      </x:c>
      <x:c r="J107" s="19" t="n">
        <x:f>'第2日'!$J$32</x:f>
        <x:v>1</x:v>
      </x:c>
      <x:c r="K107" s="19" t="n">
        <x:f>'第2日'!$L$32</x:f>
        <x:v>52</x:v>
      </x:c>
      <x:c r="L107" s="19" t="str">
        <x:v>res://resources/audio/shenmu_swamp_combat.ogg</x:v>
      </x:c>
      <x:c r="M107" s="19" t="str">
        <x:v>res://resources/audio/shenmu_swamp_intermission.ogg</x:v>
      </x:c>
      <x:c r="N107" s="19" t="n">
        <x:v>13</x:v>
      </x:c>
      <x:c r="O107" s="19" t="n">
        <x:f>'第2日'!$B$48</x:f>
        <x:v>0</x:v>
      </x:c>
      <x:c r="P107" s="19" t="str">
        <x:f>'第2日'!$E$48</x:f>
      </x:c>
      <x:c r="Q107" s="19" t="n">
        <x:f>'第2日'!$C$48</x:f>
        <x:v>0</x:v>
      </x:c>
      <x:c r="R107" s="19" t="str">
        <x:f>IF(P107="","",IF(ISNUMBER('第2日'!$D$48),'第2日'!$D$48,IF(VLOOKUP(O107,'敌人目录'!$A$6:$S$54,14,FALSE)&lt;&gt;VLOOKUP(O107,'敌人目录'!$A$6:$S$54,13,FALSE),VLOOKUP(O107,'敌人目录'!$A$6:$S$54,14,FALSE),-1)))</x:f>
      </x:c>
      <x:c r="S107" s="19" t="n">
        <x:f>'第2日'!$U$48</x:f>
        <x:v>0</x:v>
      </x:c>
      <x:c r="T107" s="19" t="str">
        <x:f>'第2日'!$N$32</x:f>
        <x:v>可导入</x:v>
      </x:c>
    </x:row>
    <x:row r="108" ht="22" customHeight="1">
      <x:c r="A108" s="19" t="n">
        <x:v>1</x:v>
      </x:c>
      <x:c r="B108" s="19" t="str">
        <x:v>tower_defense_formal</x:v>
      </x:c>
      <x:c r="C108" s="19" t="str">
        <x:v>wave_06</x:v>
      </x:c>
      <x:c r="D108" s="19" t="n">
        <x:v>6</x:v>
      </x:c>
      <x:c r="E108" s="19" t="n">
        <x:v>2</x:v>
      </x:c>
      <x:c r="F108" s="19" t="n">
        <x:v>2</x:v>
      </x:c>
      <x:c r="G108" s="19" t="str">
        <x:f>'第2日'!$B$32</x:f>
        <x:v>第6波 守护阵列</x:v>
      </x:c>
      <x:c r="H108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8" s="19" t="n">
        <x:f>'第2日'!$H$32</x:f>
        <x:v>0.4</x:v>
      </x:c>
      <x:c r="J108" s="19" t="n">
        <x:f>'第2日'!$J$32</x:f>
        <x:v>1</x:v>
      </x:c>
      <x:c r="K108" s="19" t="n">
        <x:f>'第2日'!$L$32</x:f>
        <x:v>52</x:v>
      </x:c>
      <x:c r="L108" s="19" t="str">
        <x:v>res://resources/audio/shenmu_swamp_combat.ogg</x:v>
      </x:c>
      <x:c r="M108" s="19" t="str">
        <x:v>res://resources/audio/shenmu_swamp_intermission.ogg</x:v>
      </x:c>
      <x:c r="N108" s="19" t="n">
        <x:v>14</x:v>
      </x:c>
      <x:c r="O108" s="19" t="n">
        <x:f>'第2日'!$B$49</x:f>
        <x:v>0</x:v>
      </x:c>
      <x:c r="P108" s="19" t="str">
        <x:f>'第2日'!$E$49</x:f>
      </x:c>
      <x:c r="Q108" s="19" t="n">
        <x:f>'第2日'!$C$49</x:f>
        <x:v>0</x:v>
      </x:c>
      <x:c r="R108" s="19" t="str">
        <x:f>IF(P108="","",IF(ISNUMBER('第2日'!$D$49),'第2日'!$D$49,IF(VLOOKUP(O108,'敌人目录'!$A$6:$S$54,14,FALSE)&lt;&gt;VLOOKUP(O108,'敌人目录'!$A$6:$S$54,13,FALSE),VLOOKUP(O108,'敌人目录'!$A$6:$S$54,14,FALSE),-1)))</x:f>
      </x:c>
      <x:c r="S108" s="19" t="n">
        <x:f>'第2日'!$U$49</x:f>
        <x:v>0</x:v>
      </x:c>
      <x:c r="T108" s="19" t="str">
        <x:f>'第2日'!$N$32</x:f>
        <x:v>可导入</x:v>
      </x:c>
    </x:row>
    <x:row r="109" ht="22" customHeight="1">
      <x:c r="A109" s="19" t="n">
        <x:v>1</x:v>
      </x:c>
      <x:c r="B109" s="19" t="str">
        <x:v>tower_defense_formal</x:v>
      </x:c>
      <x:c r="C109" s="19" t="str">
        <x:v>wave_06</x:v>
      </x:c>
      <x:c r="D109" s="19" t="n">
        <x:v>6</x:v>
      </x:c>
      <x:c r="E109" s="19" t="n">
        <x:v>2</x:v>
      </x:c>
      <x:c r="F109" s="19" t="n">
        <x:v>2</x:v>
      </x:c>
      <x:c r="G109" s="19" t="str">
        <x:f>'第2日'!$B$32</x:f>
        <x:v>第6波 守护阵列</x:v>
      </x:c>
      <x:c r="H109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09" s="19" t="n">
        <x:f>'第2日'!$H$32</x:f>
        <x:v>0.4</x:v>
      </x:c>
      <x:c r="J109" s="19" t="n">
        <x:f>'第2日'!$J$32</x:f>
        <x:v>1</x:v>
      </x:c>
      <x:c r="K109" s="19" t="n">
        <x:f>'第2日'!$L$32</x:f>
        <x:v>52</x:v>
      </x:c>
      <x:c r="L109" s="19" t="str">
        <x:v>res://resources/audio/shenmu_swamp_combat.ogg</x:v>
      </x:c>
      <x:c r="M109" s="19" t="str">
        <x:v>res://resources/audio/shenmu_swamp_intermission.ogg</x:v>
      </x:c>
      <x:c r="N109" s="19" t="n">
        <x:v>15</x:v>
      </x:c>
      <x:c r="O109" s="19" t="n">
        <x:f>'第2日'!$B$50</x:f>
        <x:v>0</x:v>
      </x:c>
      <x:c r="P109" s="19" t="str">
        <x:f>'第2日'!$E$50</x:f>
      </x:c>
      <x:c r="Q109" s="19" t="n">
        <x:f>'第2日'!$C$50</x:f>
        <x:v>0</x:v>
      </x:c>
      <x:c r="R109" s="19" t="str">
        <x:f>IF(P109="","",IF(ISNUMBER('第2日'!$D$50),'第2日'!$D$50,IF(VLOOKUP(O109,'敌人目录'!$A$6:$S$54,14,FALSE)&lt;&gt;VLOOKUP(O109,'敌人目录'!$A$6:$S$54,13,FALSE),VLOOKUP(O109,'敌人目录'!$A$6:$S$54,14,FALSE),-1)))</x:f>
      </x:c>
      <x:c r="S109" s="19" t="n">
        <x:f>'第2日'!$U$50</x:f>
        <x:v>0</x:v>
      </x:c>
      <x:c r="T109" s="19" t="str">
        <x:f>'第2日'!$N$32</x:f>
        <x:v>可导入</x:v>
      </x:c>
    </x:row>
    <x:row r="110" ht="22" customHeight="1">
      <x:c r="A110" s="19" t="n">
        <x:v>1</x:v>
      </x:c>
      <x:c r="B110" s="19" t="str">
        <x:v>tower_defense_formal</x:v>
      </x:c>
      <x:c r="C110" s="19" t="str">
        <x:v>wave_06</x:v>
      </x:c>
      <x:c r="D110" s="19" t="n">
        <x:v>6</x:v>
      </x:c>
      <x:c r="E110" s="19" t="n">
        <x:v>2</x:v>
      </x:c>
      <x:c r="F110" s="19" t="n">
        <x:v>2</x:v>
      </x:c>
      <x:c r="G110" s="19" t="str">
        <x:f>'第2日'!$B$32</x:f>
        <x:v>第6波 守护阵列</x:v>
      </x:c>
      <x:c r="H110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10" s="19" t="n">
        <x:f>'第2日'!$H$32</x:f>
        <x:v>0.4</x:v>
      </x:c>
      <x:c r="J110" s="19" t="n">
        <x:f>'第2日'!$J$32</x:f>
        <x:v>1</x:v>
      </x:c>
      <x:c r="K110" s="19" t="n">
        <x:f>'第2日'!$L$32</x:f>
        <x:v>52</x:v>
      </x:c>
      <x:c r="L110" s="19" t="str">
        <x:v>res://resources/audio/shenmu_swamp_combat.ogg</x:v>
      </x:c>
      <x:c r="M110" s="19" t="str">
        <x:v>res://resources/audio/shenmu_swamp_intermission.ogg</x:v>
      </x:c>
      <x:c r="N110" s="19" t="n">
        <x:v>16</x:v>
      </x:c>
      <x:c r="O110" s="19" t="n">
        <x:f>'第2日'!$B$51</x:f>
        <x:v>0</x:v>
      </x:c>
      <x:c r="P110" s="19" t="str">
        <x:f>'第2日'!$E$51</x:f>
      </x:c>
      <x:c r="Q110" s="19" t="n">
        <x:f>'第2日'!$C$51</x:f>
        <x:v>0</x:v>
      </x:c>
      <x:c r="R110" s="19" t="str">
        <x:f>IF(P110="","",IF(ISNUMBER('第2日'!$D$51),'第2日'!$D$51,IF(VLOOKUP(O110,'敌人目录'!$A$6:$S$54,14,FALSE)&lt;&gt;VLOOKUP(O110,'敌人目录'!$A$6:$S$54,13,FALSE),VLOOKUP(O110,'敌人目录'!$A$6:$S$54,14,FALSE),-1)))</x:f>
      </x:c>
      <x:c r="S110" s="19" t="n">
        <x:f>'第2日'!$U$51</x:f>
        <x:v>0</x:v>
      </x:c>
      <x:c r="T110" s="19" t="str">
        <x:f>'第2日'!$N$32</x:f>
        <x:v>可导入</x:v>
      </x:c>
    </x:row>
    <x:row r="111" ht="22" customHeight="1">
      <x:c r="A111" s="19" t="n">
        <x:v>1</x:v>
      </x:c>
      <x:c r="B111" s="19" t="str">
        <x:v>tower_defense_formal</x:v>
      </x:c>
      <x:c r="C111" s="19" t="str">
        <x:v>wave_06</x:v>
      </x:c>
      <x:c r="D111" s="19" t="n">
        <x:v>6</x:v>
      </x:c>
      <x:c r="E111" s="19" t="n">
        <x:v>2</x:v>
      </x:c>
      <x:c r="F111" s="19" t="n">
        <x:v>2</x:v>
      </x:c>
      <x:c r="G111" s="19" t="str">
        <x:f>'第2日'!$B$32</x:f>
        <x:v>第6波 守护阵列</x:v>
      </x:c>
      <x:c r="H111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11" s="19" t="n">
        <x:f>'第2日'!$H$32</x:f>
        <x:v>0.4</x:v>
      </x:c>
      <x:c r="J111" s="19" t="n">
        <x:f>'第2日'!$J$32</x:f>
        <x:v>1</x:v>
      </x:c>
      <x:c r="K111" s="19" t="n">
        <x:f>'第2日'!$L$32</x:f>
        <x:v>52</x:v>
      </x:c>
      <x:c r="L111" s="19" t="str">
        <x:v>res://resources/audio/shenmu_swamp_combat.ogg</x:v>
      </x:c>
      <x:c r="M111" s="19" t="str">
        <x:v>res://resources/audio/shenmu_swamp_intermission.ogg</x:v>
      </x:c>
      <x:c r="N111" s="19" t="n">
        <x:v>17</x:v>
      </x:c>
      <x:c r="O111" s="19" t="n">
        <x:f>'第2日'!$B$52</x:f>
        <x:v>0</x:v>
      </x:c>
      <x:c r="P111" s="19" t="str">
        <x:f>'第2日'!$E$52</x:f>
      </x:c>
      <x:c r="Q111" s="19" t="n">
        <x:f>'第2日'!$C$52</x:f>
        <x:v>0</x:v>
      </x:c>
      <x:c r="R111" s="19" t="str">
        <x:f>IF(P111="","",IF(ISNUMBER('第2日'!$D$52),'第2日'!$D$52,IF(VLOOKUP(O111,'敌人目录'!$A$6:$S$54,14,FALSE)&lt;&gt;VLOOKUP(O111,'敌人目录'!$A$6:$S$54,13,FALSE),VLOOKUP(O111,'敌人目录'!$A$6:$S$54,14,FALSE),-1)))</x:f>
      </x:c>
      <x:c r="S111" s="19" t="n">
        <x:f>'第2日'!$U$52</x:f>
        <x:v>0</x:v>
      </x:c>
      <x:c r="T111" s="19" t="str">
        <x:f>'第2日'!$N$32</x:f>
        <x:v>可导入</x:v>
      </x:c>
    </x:row>
    <x:row r="112" ht="22" customHeight="1">
      <x:c r="A112" s="19" t="n">
        <x:v>1</x:v>
      </x:c>
      <x:c r="B112" s="19" t="str">
        <x:v>tower_defense_formal</x:v>
      </x:c>
      <x:c r="C112" s="19" t="str">
        <x:v>wave_06</x:v>
      </x:c>
      <x:c r="D112" s="19" t="n">
        <x:v>6</x:v>
      </x:c>
      <x:c r="E112" s="19" t="n">
        <x:v>2</x:v>
      </x:c>
      <x:c r="F112" s="19" t="n">
        <x:v>2</x:v>
      </x:c>
      <x:c r="G112" s="19" t="str">
        <x:f>'第2日'!$B$32</x:f>
        <x:v>第6波 守护阵列</x:v>
      </x:c>
      <x:c r="H112" s="19" t="n">
        <x:f>IF('第2日'!$B$33="开启",1,0)+IF('第2日'!$C$33="开启",2,0)+IF('第2日'!$D$33="开启",4,0)+IF('第2日'!$E$33="开启",8,0)+IF('第2日'!$F$33="开启",16,0)+IF('第2日'!$G$33="开启",32,0)</x:f>
        <x:v>63</x:v>
      </x:c>
      <x:c r="I112" s="19" t="n">
        <x:f>'第2日'!$H$32</x:f>
        <x:v>0.4</x:v>
      </x:c>
      <x:c r="J112" s="19" t="n">
        <x:f>'第2日'!$J$32</x:f>
        <x:v>1</x:v>
      </x:c>
      <x:c r="K112" s="19" t="n">
        <x:f>'第2日'!$L$32</x:f>
        <x:v>52</x:v>
      </x:c>
      <x:c r="L112" s="19" t="str">
        <x:v>res://resources/audio/shenmu_swamp_combat.ogg</x:v>
      </x:c>
      <x:c r="M112" s="19" t="str">
        <x:v>res://resources/audio/shenmu_swamp_intermission.ogg</x:v>
      </x:c>
      <x:c r="N112" s="19" t="n">
        <x:v>18</x:v>
      </x:c>
      <x:c r="O112" s="19" t="n">
        <x:f>'第2日'!$B$53</x:f>
        <x:v>0</x:v>
      </x:c>
      <x:c r="P112" s="19" t="n">
        <x:f>'第2日'!$E$53</x:f>
        <x:v>0</x:v>
      </x:c>
      <x:c r="Q112" s="19" t="n">
        <x:f>'第2日'!$C$53</x:f>
        <x:v>0</x:v>
      </x:c>
      <x:c r="R112" s="19" t="str">
        <x:f>IF(P112="","",IF(ISNUMBER('第2日'!$D$53),'第2日'!$D$53,IF(VLOOKUP(O112,'敌人目录'!$A$6:$S$54,14,FALSE)&lt;&gt;VLOOKUP(O112,'敌人目录'!$A$6:$S$54,13,FALSE),VLOOKUP(O112,'敌人目录'!$A$6:$S$54,14,FALSE),-1)))</x:f>
      </x:c>
      <x:c r="S112" s="19" t="n">
        <x:f>'第2日'!$U$53</x:f>
        <x:v>0</x:v>
      </x:c>
      <x:c r="T112" s="19" t="str">
        <x:f>'第2日'!$N$32</x:f>
        <x:v>可导入</x:v>
      </x:c>
    </x:row>
    <x:row r="113" ht="22" customHeight="1">
      <x:c r="A113" s="19" t="n">
        <x:v>1</x:v>
      </x:c>
      <x:c r="B113" s="19" t="str">
        <x:v>tower_defense_formal</x:v>
      </x:c>
      <x:c r="C113" s="19" t="str">
        <x:v>wave_07</x:v>
      </x:c>
      <x:c r="D113" s="19" t="n">
        <x:v>7</x:v>
      </x:c>
      <x:c r="E113" s="19" t="n">
        <x:v>2</x:v>
      </x:c>
      <x:c r="F113" s="19" t="n">
        <x:v>3</x:v>
      </x:c>
      <x:c r="G113" s="19" t="str">
        <x:f>'第2日'!$B$61</x:f>
        <x:v>第7波 紫晶突袭</x:v>
      </x:c>
      <x:c r="H113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13" s="19" t="n">
        <x:f>'第2日'!$H$61</x:f>
        <x:v>0.35</x:v>
      </x:c>
      <x:c r="J113" s="19" t="n">
        <x:f>'第2日'!$J$61</x:f>
        <x:v>1</x:v>
      </x:c>
      <x:c r="K113" s="19" t="n">
        <x:f>'第2日'!$L$61</x:f>
        <x:v>56</x:v>
      </x:c>
      <x:c r="L113" s="19" t="str">
        <x:v>res://resources/audio/shenmu_swamp_combat.ogg</x:v>
      </x:c>
      <x:c r="M113" s="19" t="str">
        <x:v>res://resources/audio/shenmu_swamp_intermission.ogg</x:v>
      </x:c>
      <x:c r="N113" s="19" t="n">
        <x:v>1</x:v>
      </x:c>
      <x:c r="O113" s="19" t="str">
        <x:f>'第2日'!$B$65</x:f>
        <x:v>yuanshi_insect_basic｜普通原石虫</x:v>
      </x:c>
      <x:c r="P113" s="19" t="str">
        <x:f>'第2日'!$E$65</x:f>
        <x:v>yuanshi_insect_basic</x:v>
      </x:c>
      <x:c r="Q113" s="19" t="n">
        <x:f>'第2日'!$C$65</x:f>
        <x:v>24</x:v>
      </x:c>
      <x:c r="R113" s="19" t="n">
        <x:f>IF(P113="","",IF(ISNUMBER('第2日'!$D$65),'第2日'!$D$65,IF(VLOOKUP(O113,'敌人目录'!$A$6:$S$54,14,FALSE)&lt;&gt;VLOOKUP(O113,'敌人目录'!$A$6:$S$54,13,FALSE),VLOOKUP(O113,'敌人目录'!$A$6:$S$54,14,FALSE),-1)))</x:f>
        <x:v>-1</x:v>
      </x:c>
      <x:c r="S113" s="19" t="str">
        <x:f>'第2日'!$U$65</x:f>
        <x:v>可导入</x:v>
      </x:c>
      <x:c r="T113" s="19" t="str">
        <x:f>'第2日'!$N$61</x:f>
        <x:v>可导入</x:v>
      </x:c>
    </x:row>
    <x:row r="114" ht="22" customHeight="1">
      <x:c r="A114" s="19" t="n">
        <x:v>1</x:v>
      </x:c>
      <x:c r="B114" s="19" t="str">
        <x:v>tower_defense_formal</x:v>
      </x:c>
      <x:c r="C114" s="19" t="str">
        <x:v>wave_07</x:v>
      </x:c>
      <x:c r="D114" s="19" t="n">
        <x:v>7</x:v>
      </x:c>
      <x:c r="E114" s="19" t="n">
        <x:v>2</x:v>
      </x:c>
      <x:c r="F114" s="19" t="n">
        <x:v>3</x:v>
      </x:c>
      <x:c r="G114" s="19" t="str">
        <x:f>'第2日'!$B$61</x:f>
        <x:v>第7波 紫晶突袭</x:v>
      </x:c>
      <x:c r="H114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14" s="19" t="n">
        <x:f>'第2日'!$H$61</x:f>
        <x:v>0.35</x:v>
      </x:c>
      <x:c r="J114" s="19" t="n">
        <x:f>'第2日'!$J$61</x:f>
        <x:v>1</x:v>
      </x:c>
      <x:c r="K114" s="19" t="n">
        <x:f>'第2日'!$L$61</x:f>
        <x:v>56</x:v>
      </x:c>
      <x:c r="L114" s="19" t="str">
        <x:v>res://resources/audio/shenmu_swamp_combat.ogg</x:v>
      </x:c>
      <x:c r="M114" s="19" t="str">
        <x:v>res://resources/audio/shenmu_swamp_intermission.ogg</x:v>
      </x:c>
      <x:c r="N114" s="19" t="n">
        <x:v>2</x:v>
      </x:c>
      <x:c r="O114" s="19" t="str">
        <x:f>'第2日'!$B$66</x:f>
        <x:v>yuanshi_insect_fast｜迅捷原石虫</x:v>
      </x:c>
      <x:c r="P114" s="19" t="str">
        <x:f>'第2日'!$E$66</x:f>
        <x:v>yuanshi_insect_fast</x:v>
      </x:c>
      <x:c r="Q114" s="19" t="n">
        <x:f>'第2日'!$C$66</x:f>
        <x:v>24</x:v>
      </x:c>
      <x:c r="R114" s="19" t="n">
        <x:f>IF(P114="","",IF(ISNUMBER('第2日'!$D$66),'第2日'!$D$66,IF(VLOOKUP(O114,'敌人目录'!$A$6:$S$54,14,FALSE)&lt;&gt;VLOOKUP(O114,'敌人目录'!$A$6:$S$54,13,FALSE),VLOOKUP(O114,'敌人目录'!$A$6:$S$54,14,FALSE),-1)))</x:f>
        <x:v>-1</x:v>
      </x:c>
      <x:c r="S114" s="19" t="str">
        <x:f>'第2日'!$U$66</x:f>
        <x:v>可导入</x:v>
      </x:c>
      <x:c r="T114" s="19" t="str">
        <x:f>'第2日'!$N$61</x:f>
        <x:v>可导入</x:v>
      </x:c>
    </x:row>
    <x:row r="115" ht="22" customHeight="1">
      <x:c r="A115" s="19" t="n">
        <x:v>1</x:v>
      </x:c>
      <x:c r="B115" s="19" t="str">
        <x:v>tower_defense_formal</x:v>
      </x:c>
      <x:c r="C115" s="19" t="str">
        <x:v>wave_07</x:v>
      </x:c>
      <x:c r="D115" s="19" t="n">
        <x:v>7</x:v>
      </x:c>
      <x:c r="E115" s="19" t="n">
        <x:v>2</x:v>
      </x:c>
      <x:c r="F115" s="19" t="n">
        <x:v>3</x:v>
      </x:c>
      <x:c r="G115" s="19" t="str">
        <x:f>'第2日'!$B$61</x:f>
        <x:v>第7波 紫晶突袭</x:v>
      </x:c>
      <x:c r="H115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15" s="19" t="n">
        <x:f>'第2日'!$H$61</x:f>
        <x:v>0.35</x:v>
      </x:c>
      <x:c r="J115" s="19" t="n">
        <x:f>'第2日'!$J$61</x:f>
        <x:v>1</x:v>
      </x:c>
      <x:c r="K115" s="19" t="n">
        <x:f>'第2日'!$L$61</x:f>
        <x:v>56</x:v>
      </x:c>
      <x:c r="L115" s="19" t="str">
        <x:v>res://resources/audio/shenmu_swamp_combat.ogg</x:v>
      </x:c>
      <x:c r="M115" s="19" t="str">
        <x:v>res://resources/audio/shenmu_swamp_intermission.ogg</x:v>
      </x:c>
      <x:c r="N115" s="19" t="n">
        <x:v>3</x:v>
      </x:c>
      <x:c r="O115" s="19" t="str">
        <x:f>'第2日'!$B$67</x:f>
        <x:v>yuanshi_insect_shell｜硬壳原石虫</x:v>
      </x:c>
      <x:c r="P115" s="19" t="str">
        <x:f>'第2日'!$E$67</x:f>
        <x:v>yuanshi_insect_shell</x:v>
      </x:c>
      <x:c r="Q115" s="19" t="n">
        <x:f>'第2日'!$C$67</x:f>
        <x:v>16</x:v>
      </x:c>
      <x:c r="R115" s="19" t="n">
        <x:f>IF(P115="","",IF(ISNUMBER('第2日'!$D$67),'第2日'!$D$67,IF(VLOOKUP(O115,'敌人目录'!$A$6:$S$54,14,FALSE)&lt;&gt;VLOOKUP(O115,'敌人目录'!$A$6:$S$54,13,FALSE),VLOOKUP(O115,'敌人目录'!$A$6:$S$54,14,FALSE),-1)))</x:f>
        <x:v>-1</x:v>
      </x:c>
      <x:c r="S115" s="19" t="str">
        <x:f>'第2日'!$U$67</x:f>
        <x:v>可导入</x:v>
      </x:c>
      <x:c r="T115" s="19" t="str">
        <x:f>'第2日'!$N$61</x:f>
        <x:v>可导入</x:v>
      </x:c>
    </x:row>
    <x:row r="116" ht="22" customHeight="1">
      <x:c r="A116" s="19" t="n">
        <x:v>1</x:v>
      </x:c>
      <x:c r="B116" s="19" t="str">
        <x:v>tower_defense_formal</x:v>
      </x:c>
      <x:c r="C116" s="19" t="str">
        <x:v>wave_07</x:v>
      </x:c>
      <x:c r="D116" s="19" t="n">
        <x:v>7</x:v>
      </x:c>
      <x:c r="E116" s="19" t="n">
        <x:v>2</x:v>
      </x:c>
      <x:c r="F116" s="19" t="n">
        <x:v>3</x:v>
      </x:c>
      <x:c r="G116" s="19" t="str">
        <x:f>'第2日'!$B$61</x:f>
        <x:v>第7波 紫晶突袭</x:v>
      </x:c>
      <x:c r="H116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16" s="19" t="n">
        <x:f>'第2日'!$H$61</x:f>
        <x:v>0.35</x:v>
      </x:c>
      <x:c r="J116" s="19" t="n">
        <x:f>'第2日'!$J$61</x:f>
        <x:v>1</x:v>
      </x:c>
      <x:c r="K116" s="19" t="n">
        <x:f>'第2日'!$L$61</x:f>
        <x:v>56</x:v>
      </x:c>
      <x:c r="L116" s="19" t="str">
        <x:v>res://resources/audio/shenmu_swamp_combat.ogg</x:v>
      </x:c>
      <x:c r="M116" s="19" t="str">
        <x:v>res://resources/audio/shenmu_swamp_intermission.ogg</x:v>
      </x:c>
      <x:c r="N116" s="19" t="n">
        <x:v>4</x:v>
      </x:c>
      <x:c r="O116" s="19" t="str">
        <x:f>'第2日'!$B$68</x:f>
        <x:v>yuanshi_insect_bomber｜自爆原石虫</x:v>
      </x:c>
      <x:c r="P116" s="19" t="str">
        <x:f>'第2日'!$E$68</x:f>
        <x:v>yuanshi_insect_bomber</x:v>
      </x:c>
      <x:c r="Q116" s="19" t="n">
        <x:f>'第2日'!$C$68</x:f>
        <x:v>16</x:v>
      </x:c>
      <x:c r="R116" s="19" t="n">
        <x:f>IF(P116="","",IF(ISNUMBER('第2日'!$D$68),'第2日'!$D$68,IF(VLOOKUP(O116,'敌人目录'!$A$6:$S$54,14,FALSE)&lt;&gt;VLOOKUP(O116,'敌人目录'!$A$6:$S$54,13,FALSE),VLOOKUP(O116,'敌人目录'!$A$6:$S$54,14,FALSE),-1)))</x:f>
        <x:v>-1</x:v>
      </x:c>
      <x:c r="S116" s="19" t="str">
        <x:f>'第2日'!$U$68</x:f>
        <x:v>可导入</x:v>
      </x:c>
      <x:c r="T116" s="19" t="str">
        <x:f>'第2日'!$N$61</x:f>
        <x:v>可导入</x:v>
      </x:c>
    </x:row>
    <x:row r="117" ht="22" customHeight="1">
      <x:c r="A117" s="19" t="n">
        <x:v>1</x:v>
      </x:c>
      <x:c r="B117" s="19" t="str">
        <x:v>tower_defense_formal</x:v>
      </x:c>
      <x:c r="C117" s="19" t="str">
        <x:v>wave_07</x:v>
      </x:c>
      <x:c r="D117" s="19" t="n">
        <x:v>7</x:v>
      </x:c>
      <x:c r="E117" s="19" t="n">
        <x:v>2</x:v>
      </x:c>
      <x:c r="F117" s="19" t="n">
        <x:v>3</x:v>
      </x:c>
      <x:c r="G117" s="19" t="str">
        <x:f>'第2日'!$B$61</x:f>
        <x:v>第7波 紫晶突袭</x:v>
      </x:c>
      <x:c r="H117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17" s="19" t="n">
        <x:f>'第2日'!$H$61</x:f>
        <x:v>0.35</x:v>
      </x:c>
      <x:c r="J117" s="19" t="n">
        <x:f>'第2日'!$J$61</x:f>
        <x:v>1</x:v>
      </x:c>
      <x:c r="K117" s="19" t="n">
        <x:f>'第2日'!$L$61</x:f>
        <x:v>56</x:v>
      </x:c>
      <x:c r="L117" s="19" t="str">
        <x:v>res://resources/audio/shenmu_swamp_combat.ogg</x:v>
      </x:c>
      <x:c r="M117" s="19" t="str">
        <x:v>res://resources/audio/shenmu_swamp_intermission.ogg</x:v>
      </x:c>
      <x:c r="N117" s="19" t="n">
        <x:v>5</x:v>
      </x:c>
      <x:c r="O117" s="19" t="str">
        <x:f>'第2日'!$B$69</x:f>
        <x:v>yuanshi_insect_purple_bomber｜紫晶自爆原石虫</x:v>
      </x:c>
      <x:c r="P117" s="19" t="str">
        <x:f>'第2日'!$E$69</x:f>
        <x:v>yuanshi_insect_purple_bomber</x:v>
      </x:c>
      <x:c r="Q117" s="19" t="n">
        <x:f>'第2日'!$C$69</x:f>
        <x:v>8</x:v>
      </x:c>
      <x:c r="R117" s="19" t="n">
        <x:f>IF(P117="","",IF(ISNUMBER('第2日'!$D$69),'第2日'!$D$69,IF(VLOOKUP(O117,'敌人目录'!$A$6:$S$54,14,FALSE)&lt;&gt;VLOOKUP(O117,'敌人目录'!$A$6:$S$54,13,FALSE),VLOOKUP(O117,'敌人目录'!$A$6:$S$54,14,FALSE),-1)))</x:f>
        <x:v>-1</x:v>
      </x:c>
      <x:c r="S117" s="19" t="str">
        <x:f>'第2日'!$U$69</x:f>
        <x:v>可导入</x:v>
      </x:c>
      <x:c r="T117" s="19" t="str">
        <x:f>'第2日'!$N$61</x:f>
        <x:v>可导入</x:v>
      </x:c>
    </x:row>
    <x:row r="118" ht="22" customHeight="1">
      <x:c r="A118" s="19" t="n">
        <x:v>1</x:v>
      </x:c>
      <x:c r="B118" s="19" t="str">
        <x:v>tower_defense_formal</x:v>
      </x:c>
      <x:c r="C118" s="19" t="str">
        <x:v>wave_07</x:v>
      </x:c>
      <x:c r="D118" s="19" t="n">
        <x:v>7</x:v>
      </x:c>
      <x:c r="E118" s="19" t="n">
        <x:v>2</x:v>
      </x:c>
      <x:c r="F118" s="19" t="n">
        <x:v>3</x:v>
      </x:c>
      <x:c r="G118" s="19" t="str">
        <x:f>'第2日'!$B$61</x:f>
        <x:v>第7波 紫晶突袭</x:v>
      </x:c>
      <x:c r="H118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18" s="19" t="n">
        <x:f>'第2日'!$H$61</x:f>
        <x:v>0.35</x:v>
      </x:c>
      <x:c r="J118" s="19" t="n">
        <x:f>'第2日'!$J$61</x:f>
        <x:v>1</x:v>
      </x:c>
      <x:c r="K118" s="19" t="n">
        <x:f>'第2日'!$L$61</x:f>
        <x:v>56</x:v>
      </x:c>
      <x:c r="L118" s="19" t="str">
        <x:v>res://resources/audio/shenmu_swamp_combat.ogg</x:v>
      </x:c>
      <x:c r="M118" s="19" t="str">
        <x:v>res://resources/audio/shenmu_swamp_intermission.ogg</x:v>
      </x:c>
      <x:c r="N118" s="19" t="n">
        <x:v>6</x:v>
      </x:c>
      <x:c r="O118" s="19" t="str">
        <x:f>'第2日'!$B$70</x:f>
        <x:v>yuanshi_insect_fire_ranged｜火焰弹原石虫</x:v>
      </x:c>
      <x:c r="P118" s="19" t="str">
        <x:f>'第2日'!$E$70</x:f>
        <x:v>yuanshi_insect_fire_ranged</x:v>
      </x:c>
      <x:c r="Q118" s="19" t="n">
        <x:f>'第2日'!$C$70</x:f>
        <x:v>16</x:v>
      </x:c>
      <x:c r="R118" s="19" t="n">
        <x:f>IF(P118="","",IF(ISNUMBER('第2日'!$D$70),'第2日'!$D$70,IF(VLOOKUP(O118,'敌人目录'!$A$6:$S$54,14,FALSE)&lt;&gt;VLOOKUP(O118,'敌人目录'!$A$6:$S$54,13,FALSE),VLOOKUP(O118,'敌人目录'!$A$6:$S$54,14,FALSE),-1)))</x:f>
        <x:v>-1</x:v>
      </x:c>
      <x:c r="S118" s="19" t="str">
        <x:f>'第2日'!$U$70</x:f>
        <x:v>可导入</x:v>
      </x:c>
      <x:c r="T118" s="19" t="str">
        <x:f>'第2日'!$N$61</x:f>
        <x:v>可导入</x:v>
      </x:c>
    </x:row>
    <x:row r="119" ht="22" customHeight="1">
      <x:c r="A119" s="19" t="n">
        <x:v>1</x:v>
      </x:c>
      <x:c r="B119" s="19" t="str">
        <x:v>tower_defense_formal</x:v>
      </x:c>
      <x:c r="C119" s="19" t="str">
        <x:v>wave_07</x:v>
      </x:c>
      <x:c r="D119" s="19" t="n">
        <x:v>7</x:v>
      </x:c>
      <x:c r="E119" s="19" t="n">
        <x:v>2</x:v>
      </x:c>
      <x:c r="F119" s="19" t="n">
        <x:v>3</x:v>
      </x:c>
      <x:c r="G119" s="19" t="str">
        <x:f>'第2日'!$B$61</x:f>
        <x:v>第7波 紫晶突袭</x:v>
      </x:c>
      <x:c r="H119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19" s="19" t="n">
        <x:f>'第2日'!$H$61</x:f>
        <x:v>0.35</x:v>
      </x:c>
      <x:c r="J119" s="19" t="n">
        <x:f>'第2日'!$J$61</x:f>
        <x:v>1</x:v>
      </x:c>
      <x:c r="K119" s="19" t="n">
        <x:f>'第2日'!$L$61</x:f>
        <x:v>56</x:v>
      </x:c>
      <x:c r="L119" s="19" t="str">
        <x:v>res://resources/audio/shenmu_swamp_combat.ogg</x:v>
      </x:c>
      <x:c r="M119" s="19" t="str">
        <x:v>res://resources/audio/shenmu_swamp_intermission.ogg</x:v>
      </x:c>
      <x:c r="N119" s="19" t="n">
        <x:v>7</x:v>
      </x:c>
      <x:c r="O119" s="19" t="str">
        <x:f>'第2日'!$B$71</x:f>
        <x:v>yuanshi_insect_guardian｜守护者原石虫</x:v>
      </x:c>
      <x:c r="P119" s="19" t="str">
        <x:f>'第2日'!$E$71</x:f>
        <x:v>yuanshi_insect_guardian</x:v>
      </x:c>
      <x:c r="Q119" s="19" t="n">
        <x:f>'第2日'!$C$71</x:f>
        <x:v>8</x:v>
      </x:c>
      <x:c r="R119" s="19" t="n">
        <x:f>IF(P119="","",IF(ISNUMBER('第2日'!$D$71),'第2日'!$D$71,IF(VLOOKUP(O119,'敌人目录'!$A$6:$S$54,14,FALSE)&lt;&gt;VLOOKUP(O119,'敌人目录'!$A$6:$S$54,13,FALSE),VLOOKUP(O119,'敌人目录'!$A$6:$S$54,14,FALSE),-1)))</x:f>
        <x:v>-1</x:v>
      </x:c>
      <x:c r="S119" s="19" t="str">
        <x:f>'第2日'!$U$71</x:f>
        <x:v>可导入</x:v>
      </x:c>
      <x:c r="T119" s="19" t="str">
        <x:f>'第2日'!$N$61</x:f>
        <x:v>可导入</x:v>
      </x:c>
    </x:row>
    <x:row r="120" ht="22" customHeight="1">
      <x:c r="A120" s="19" t="n">
        <x:v>1</x:v>
      </x:c>
      <x:c r="B120" s="19" t="str">
        <x:v>tower_defense_formal</x:v>
      </x:c>
      <x:c r="C120" s="19" t="str">
        <x:v>wave_07</x:v>
      </x:c>
      <x:c r="D120" s="19" t="n">
        <x:v>7</x:v>
      </x:c>
      <x:c r="E120" s="19" t="n">
        <x:v>2</x:v>
      </x:c>
      <x:c r="F120" s="19" t="n">
        <x:v>3</x:v>
      </x:c>
      <x:c r="G120" s="19" t="str">
        <x:f>'第2日'!$B$61</x:f>
        <x:v>第7波 紫晶突袭</x:v>
      </x:c>
      <x:c r="H120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0" s="19" t="n">
        <x:f>'第2日'!$H$61</x:f>
        <x:v>0.35</x:v>
      </x:c>
      <x:c r="J120" s="19" t="n">
        <x:f>'第2日'!$J$61</x:f>
        <x:v>1</x:v>
      </x:c>
      <x:c r="K120" s="19" t="n">
        <x:f>'第2日'!$L$61</x:f>
        <x:v>56</x:v>
      </x:c>
      <x:c r="L120" s="19" t="str">
        <x:v>res://resources/audio/shenmu_swamp_combat.ogg</x:v>
      </x:c>
      <x:c r="M120" s="19" t="str">
        <x:v>res://resources/audio/shenmu_swamp_intermission.ogg</x:v>
      </x:c>
      <x:c r="N120" s="19" t="n">
        <x:v>8</x:v>
      </x:c>
      <x:c r="O120" s="19" t="n">
        <x:f>'第2日'!$B$72</x:f>
        <x:v>0</x:v>
      </x:c>
      <x:c r="P120" s="19" t="str">
        <x:f>'第2日'!$E$72</x:f>
      </x:c>
      <x:c r="Q120" s="19" t="n">
        <x:f>'第2日'!$C$72</x:f>
        <x:v>0</x:v>
      </x:c>
      <x:c r="R120" s="19" t="str">
        <x:f>IF(P120="","",IF(ISNUMBER('第2日'!$D$72),'第2日'!$D$72,IF(VLOOKUP(O120,'敌人目录'!$A$6:$S$54,14,FALSE)&lt;&gt;VLOOKUP(O120,'敌人目录'!$A$6:$S$54,13,FALSE),VLOOKUP(O120,'敌人目录'!$A$6:$S$54,14,FALSE),-1)))</x:f>
      </x:c>
      <x:c r="S120" s="19" t="n">
        <x:f>'第2日'!$U$72</x:f>
        <x:v>0</x:v>
      </x:c>
      <x:c r="T120" s="19" t="str">
        <x:f>'第2日'!$N$61</x:f>
        <x:v>可导入</x:v>
      </x:c>
    </x:row>
    <x:row r="121" ht="22" customHeight="1">
      <x:c r="A121" s="19" t="n">
        <x:v>1</x:v>
      </x:c>
      <x:c r="B121" s="19" t="str">
        <x:v>tower_defense_formal</x:v>
      </x:c>
      <x:c r="C121" s="19" t="str">
        <x:v>wave_07</x:v>
      </x:c>
      <x:c r="D121" s="19" t="n">
        <x:v>7</x:v>
      </x:c>
      <x:c r="E121" s="19" t="n">
        <x:v>2</x:v>
      </x:c>
      <x:c r="F121" s="19" t="n">
        <x:v>3</x:v>
      </x:c>
      <x:c r="G121" s="19" t="str">
        <x:f>'第2日'!$B$61</x:f>
        <x:v>第7波 紫晶突袭</x:v>
      </x:c>
      <x:c r="H121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1" s="19" t="n">
        <x:f>'第2日'!$H$61</x:f>
        <x:v>0.35</x:v>
      </x:c>
      <x:c r="J121" s="19" t="n">
        <x:f>'第2日'!$J$61</x:f>
        <x:v>1</x:v>
      </x:c>
      <x:c r="K121" s="19" t="n">
        <x:f>'第2日'!$L$61</x:f>
        <x:v>56</x:v>
      </x:c>
      <x:c r="L121" s="19" t="str">
        <x:v>res://resources/audio/shenmu_swamp_combat.ogg</x:v>
      </x:c>
      <x:c r="M121" s="19" t="str">
        <x:v>res://resources/audio/shenmu_swamp_intermission.ogg</x:v>
      </x:c>
      <x:c r="N121" s="19" t="n">
        <x:v>9</x:v>
      </x:c>
      <x:c r="O121" s="19" t="n">
        <x:f>'第2日'!$B$73</x:f>
        <x:v>0</x:v>
      </x:c>
      <x:c r="P121" s="19" t="str">
        <x:f>'第2日'!$E$73</x:f>
      </x:c>
      <x:c r="Q121" s="19" t="n">
        <x:f>'第2日'!$C$73</x:f>
        <x:v>0</x:v>
      </x:c>
      <x:c r="R121" s="19" t="str">
        <x:f>IF(P121="","",IF(ISNUMBER('第2日'!$D$73),'第2日'!$D$73,IF(VLOOKUP(O121,'敌人目录'!$A$6:$S$54,14,FALSE)&lt;&gt;VLOOKUP(O121,'敌人目录'!$A$6:$S$54,13,FALSE),VLOOKUP(O121,'敌人目录'!$A$6:$S$54,14,FALSE),-1)))</x:f>
      </x:c>
      <x:c r="S121" s="19" t="n">
        <x:f>'第2日'!$U$73</x:f>
        <x:v>0</x:v>
      </x:c>
      <x:c r="T121" s="19" t="str">
        <x:f>'第2日'!$N$61</x:f>
        <x:v>可导入</x:v>
      </x:c>
    </x:row>
    <x:row r="122" ht="22" customHeight="1">
      <x:c r="A122" s="19" t="n">
        <x:v>1</x:v>
      </x:c>
      <x:c r="B122" s="19" t="str">
        <x:v>tower_defense_formal</x:v>
      </x:c>
      <x:c r="C122" s="19" t="str">
        <x:v>wave_07</x:v>
      </x:c>
      <x:c r="D122" s="19" t="n">
        <x:v>7</x:v>
      </x:c>
      <x:c r="E122" s="19" t="n">
        <x:v>2</x:v>
      </x:c>
      <x:c r="F122" s="19" t="n">
        <x:v>3</x:v>
      </x:c>
      <x:c r="G122" s="19" t="str">
        <x:f>'第2日'!$B$61</x:f>
        <x:v>第7波 紫晶突袭</x:v>
      </x:c>
      <x:c r="H122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2" s="19" t="n">
        <x:f>'第2日'!$H$61</x:f>
        <x:v>0.35</x:v>
      </x:c>
      <x:c r="J122" s="19" t="n">
        <x:f>'第2日'!$J$61</x:f>
        <x:v>1</x:v>
      </x:c>
      <x:c r="K122" s="19" t="n">
        <x:f>'第2日'!$L$61</x:f>
        <x:v>56</x:v>
      </x:c>
      <x:c r="L122" s="19" t="str">
        <x:v>res://resources/audio/shenmu_swamp_combat.ogg</x:v>
      </x:c>
      <x:c r="M122" s="19" t="str">
        <x:v>res://resources/audio/shenmu_swamp_intermission.ogg</x:v>
      </x:c>
      <x:c r="N122" s="19" t="n">
        <x:v>10</x:v>
      </x:c>
      <x:c r="O122" s="19" t="n">
        <x:f>'第2日'!$B$74</x:f>
        <x:v>0</x:v>
      </x:c>
      <x:c r="P122" s="19" t="str">
        <x:f>'第2日'!$E$74</x:f>
      </x:c>
      <x:c r="Q122" s="19" t="n">
        <x:f>'第2日'!$C$74</x:f>
        <x:v>0</x:v>
      </x:c>
      <x:c r="R122" s="19" t="str">
        <x:f>IF(P122="","",IF(ISNUMBER('第2日'!$D$74),'第2日'!$D$74,IF(VLOOKUP(O122,'敌人目录'!$A$6:$S$54,14,FALSE)&lt;&gt;VLOOKUP(O122,'敌人目录'!$A$6:$S$54,13,FALSE),VLOOKUP(O122,'敌人目录'!$A$6:$S$54,14,FALSE),-1)))</x:f>
      </x:c>
      <x:c r="S122" s="19" t="n">
        <x:f>'第2日'!$U$74</x:f>
        <x:v>0</x:v>
      </x:c>
      <x:c r="T122" s="19" t="str">
        <x:f>'第2日'!$N$61</x:f>
        <x:v>可导入</x:v>
      </x:c>
    </x:row>
    <x:row r="123" ht="22" customHeight="1">
      <x:c r="A123" s="19" t="n">
        <x:v>1</x:v>
      </x:c>
      <x:c r="B123" s="19" t="str">
        <x:v>tower_defense_formal</x:v>
      </x:c>
      <x:c r="C123" s="19" t="str">
        <x:v>wave_07</x:v>
      </x:c>
      <x:c r="D123" s="19" t="n">
        <x:v>7</x:v>
      </x:c>
      <x:c r="E123" s="19" t="n">
        <x:v>2</x:v>
      </x:c>
      <x:c r="F123" s="19" t="n">
        <x:v>3</x:v>
      </x:c>
      <x:c r="G123" s="19" t="str">
        <x:f>'第2日'!$B$61</x:f>
        <x:v>第7波 紫晶突袭</x:v>
      </x:c>
      <x:c r="H123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3" s="19" t="n">
        <x:f>'第2日'!$H$61</x:f>
        <x:v>0.35</x:v>
      </x:c>
      <x:c r="J123" s="19" t="n">
        <x:f>'第2日'!$J$61</x:f>
        <x:v>1</x:v>
      </x:c>
      <x:c r="K123" s="19" t="n">
        <x:f>'第2日'!$L$61</x:f>
        <x:v>56</x:v>
      </x:c>
      <x:c r="L123" s="19" t="str">
        <x:v>res://resources/audio/shenmu_swamp_combat.ogg</x:v>
      </x:c>
      <x:c r="M123" s="19" t="str">
        <x:v>res://resources/audio/shenmu_swamp_intermission.ogg</x:v>
      </x:c>
      <x:c r="N123" s="19" t="n">
        <x:v>11</x:v>
      </x:c>
      <x:c r="O123" s="19" t="n">
        <x:f>'第2日'!$B$75</x:f>
        <x:v>0</x:v>
      </x:c>
      <x:c r="P123" s="19" t="str">
        <x:f>'第2日'!$E$75</x:f>
      </x:c>
      <x:c r="Q123" s="19" t="n">
        <x:f>'第2日'!$C$75</x:f>
        <x:v>0</x:v>
      </x:c>
      <x:c r="R123" s="19" t="str">
        <x:f>IF(P123="","",IF(ISNUMBER('第2日'!$D$75),'第2日'!$D$75,IF(VLOOKUP(O123,'敌人目录'!$A$6:$S$54,14,FALSE)&lt;&gt;VLOOKUP(O123,'敌人目录'!$A$6:$S$54,13,FALSE),VLOOKUP(O123,'敌人目录'!$A$6:$S$54,14,FALSE),-1)))</x:f>
      </x:c>
      <x:c r="S123" s="19" t="n">
        <x:f>'第2日'!$U$75</x:f>
        <x:v>0</x:v>
      </x:c>
      <x:c r="T123" s="19" t="str">
        <x:f>'第2日'!$N$61</x:f>
        <x:v>可导入</x:v>
      </x:c>
    </x:row>
    <x:row r="124" ht="22" customHeight="1">
      <x:c r="A124" s="19" t="n">
        <x:v>1</x:v>
      </x:c>
      <x:c r="B124" s="19" t="str">
        <x:v>tower_defense_formal</x:v>
      </x:c>
      <x:c r="C124" s="19" t="str">
        <x:v>wave_07</x:v>
      </x:c>
      <x:c r="D124" s="19" t="n">
        <x:v>7</x:v>
      </x:c>
      <x:c r="E124" s="19" t="n">
        <x:v>2</x:v>
      </x:c>
      <x:c r="F124" s="19" t="n">
        <x:v>3</x:v>
      </x:c>
      <x:c r="G124" s="19" t="str">
        <x:f>'第2日'!$B$61</x:f>
        <x:v>第7波 紫晶突袭</x:v>
      </x:c>
      <x:c r="H124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4" s="19" t="n">
        <x:f>'第2日'!$H$61</x:f>
        <x:v>0.35</x:v>
      </x:c>
      <x:c r="J124" s="19" t="n">
        <x:f>'第2日'!$J$61</x:f>
        <x:v>1</x:v>
      </x:c>
      <x:c r="K124" s="19" t="n">
        <x:f>'第2日'!$L$61</x:f>
        <x:v>56</x:v>
      </x:c>
      <x:c r="L124" s="19" t="str">
        <x:v>res://resources/audio/shenmu_swamp_combat.ogg</x:v>
      </x:c>
      <x:c r="M124" s="19" t="str">
        <x:v>res://resources/audio/shenmu_swamp_intermission.ogg</x:v>
      </x:c>
      <x:c r="N124" s="19" t="n">
        <x:v>12</x:v>
      </x:c>
      <x:c r="O124" s="19" t="n">
        <x:f>'第2日'!$B$76</x:f>
        <x:v>0</x:v>
      </x:c>
      <x:c r="P124" s="19" t="str">
        <x:f>'第2日'!$E$76</x:f>
      </x:c>
      <x:c r="Q124" s="19" t="n">
        <x:f>'第2日'!$C$76</x:f>
        <x:v>0</x:v>
      </x:c>
      <x:c r="R124" s="19" t="str">
        <x:f>IF(P124="","",IF(ISNUMBER('第2日'!$D$76),'第2日'!$D$76,IF(VLOOKUP(O124,'敌人目录'!$A$6:$S$54,14,FALSE)&lt;&gt;VLOOKUP(O124,'敌人目录'!$A$6:$S$54,13,FALSE),VLOOKUP(O124,'敌人目录'!$A$6:$S$54,14,FALSE),-1)))</x:f>
      </x:c>
      <x:c r="S124" s="19" t="n">
        <x:f>'第2日'!$U$76</x:f>
        <x:v>0</x:v>
      </x:c>
      <x:c r="T124" s="19" t="str">
        <x:f>'第2日'!$N$61</x:f>
        <x:v>可导入</x:v>
      </x:c>
    </x:row>
    <x:row r="125" ht="22" customHeight="1">
      <x:c r="A125" s="19" t="n">
        <x:v>1</x:v>
      </x:c>
      <x:c r="B125" s="19" t="str">
        <x:v>tower_defense_formal</x:v>
      </x:c>
      <x:c r="C125" s="19" t="str">
        <x:v>wave_07</x:v>
      </x:c>
      <x:c r="D125" s="19" t="n">
        <x:v>7</x:v>
      </x:c>
      <x:c r="E125" s="19" t="n">
        <x:v>2</x:v>
      </x:c>
      <x:c r="F125" s="19" t="n">
        <x:v>3</x:v>
      </x:c>
      <x:c r="G125" s="19" t="str">
        <x:f>'第2日'!$B$61</x:f>
        <x:v>第7波 紫晶突袭</x:v>
      </x:c>
      <x:c r="H125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5" s="19" t="n">
        <x:f>'第2日'!$H$61</x:f>
        <x:v>0.35</x:v>
      </x:c>
      <x:c r="J125" s="19" t="n">
        <x:f>'第2日'!$J$61</x:f>
        <x:v>1</x:v>
      </x:c>
      <x:c r="K125" s="19" t="n">
        <x:f>'第2日'!$L$61</x:f>
        <x:v>56</x:v>
      </x:c>
      <x:c r="L125" s="19" t="str">
        <x:v>res://resources/audio/shenmu_swamp_combat.ogg</x:v>
      </x:c>
      <x:c r="M125" s="19" t="str">
        <x:v>res://resources/audio/shenmu_swamp_intermission.ogg</x:v>
      </x:c>
      <x:c r="N125" s="19" t="n">
        <x:v>13</x:v>
      </x:c>
      <x:c r="O125" s="19" t="n">
        <x:f>'第2日'!$B$77</x:f>
        <x:v>0</x:v>
      </x:c>
      <x:c r="P125" s="19" t="str">
        <x:f>'第2日'!$E$77</x:f>
      </x:c>
      <x:c r="Q125" s="19" t="n">
        <x:f>'第2日'!$C$77</x:f>
        <x:v>0</x:v>
      </x:c>
      <x:c r="R125" s="19" t="str">
        <x:f>IF(P125="","",IF(ISNUMBER('第2日'!$D$77),'第2日'!$D$77,IF(VLOOKUP(O125,'敌人目录'!$A$6:$S$54,14,FALSE)&lt;&gt;VLOOKUP(O125,'敌人目录'!$A$6:$S$54,13,FALSE),VLOOKUP(O125,'敌人目录'!$A$6:$S$54,14,FALSE),-1)))</x:f>
      </x:c>
      <x:c r="S125" s="19" t="n">
        <x:f>'第2日'!$U$77</x:f>
        <x:v>0</x:v>
      </x:c>
      <x:c r="T125" s="19" t="str">
        <x:f>'第2日'!$N$61</x:f>
        <x:v>可导入</x:v>
      </x:c>
    </x:row>
    <x:row r="126" ht="22" customHeight="1">
      <x:c r="A126" s="19" t="n">
        <x:v>1</x:v>
      </x:c>
      <x:c r="B126" s="19" t="str">
        <x:v>tower_defense_formal</x:v>
      </x:c>
      <x:c r="C126" s="19" t="str">
        <x:v>wave_07</x:v>
      </x:c>
      <x:c r="D126" s="19" t="n">
        <x:v>7</x:v>
      </x:c>
      <x:c r="E126" s="19" t="n">
        <x:v>2</x:v>
      </x:c>
      <x:c r="F126" s="19" t="n">
        <x:v>3</x:v>
      </x:c>
      <x:c r="G126" s="19" t="str">
        <x:f>'第2日'!$B$61</x:f>
        <x:v>第7波 紫晶突袭</x:v>
      </x:c>
      <x:c r="H126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6" s="19" t="n">
        <x:f>'第2日'!$H$61</x:f>
        <x:v>0.35</x:v>
      </x:c>
      <x:c r="J126" s="19" t="n">
        <x:f>'第2日'!$J$61</x:f>
        <x:v>1</x:v>
      </x:c>
      <x:c r="K126" s="19" t="n">
        <x:f>'第2日'!$L$61</x:f>
        <x:v>56</x:v>
      </x:c>
      <x:c r="L126" s="19" t="str">
        <x:v>res://resources/audio/shenmu_swamp_combat.ogg</x:v>
      </x:c>
      <x:c r="M126" s="19" t="str">
        <x:v>res://resources/audio/shenmu_swamp_intermission.ogg</x:v>
      </x:c>
      <x:c r="N126" s="19" t="n">
        <x:v>14</x:v>
      </x:c>
      <x:c r="O126" s="19" t="n">
        <x:f>'第2日'!$B$78</x:f>
        <x:v>0</x:v>
      </x:c>
      <x:c r="P126" s="19" t="str">
        <x:f>'第2日'!$E$78</x:f>
      </x:c>
      <x:c r="Q126" s="19" t="n">
        <x:f>'第2日'!$C$78</x:f>
        <x:v>0</x:v>
      </x:c>
      <x:c r="R126" s="19" t="str">
        <x:f>IF(P126="","",IF(ISNUMBER('第2日'!$D$78),'第2日'!$D$78,IF(VLOOKUP(O126,'敌人目录'!$A$6:$S$54,14,FALSE)&lt;&gt;VLOOKUP(O126,'敌人目录'!$A$6:$S$54,13,FALSE),VLOOKUP(O126,'敌人目录'!$A$6:$S$54,14,FALSE),-1)))</x:f>
      </x:c>
      <x:c r="S126" s="19" t="n">
        <x:f>'第2日'!$U$78</x:f>
        <x:v>0</x:v>
      </x:c>
      <x:c r="T126" s="19" t="str">
        <x:f>'第2日'!$N$61</x:f>
        <x:v>可导入</x:v>
      </x:c>
    </x:row>
    <x:row r="127" ht="22" customHeight="1">
      <x:c r="A127" s="19" t="n">
        <x:v>1</x:v>
      </x:c>
      <x:c r="B127" s="19" t="str">
        <x:v>tower_defense_formal</x:v>
      </x:c>
      <x:c r="C127" s="19" t="str">
        <x:v>wave_07</x:v>
      </x:c>
      <x:c r="D127" s="19" t="n">
        <x:v>7</x:v>
      </x:c>
      <x:c r="E127" s="19" t="n">
        <x:v>2</x:v>
      </x:c>
      <x:c r="F127" s="19" t="n">
        <x:v>3</x:v>
      </x:c>
      <x:c r="G127" s="19" t="str">
        <x:f>'第2日'!$B$61</x:f>
        <x:v>第7波 紫晶突袭</x:v>
      </x:c>
      <x:c r="H127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7" s="19" t="n">
        <x:f>'第2日'!$H$61</x:f>
        <x:v>0.35</x:v>
      </x:c>
      <x:c r="J127" s="19" t="n">
        <x:f>'第2日'!$J$61</x:f>
        <x:v>1</x:v>
      </x:c>
      <x:c r="K127" s="19" t="n">
        <x:f>'第2日'!$L$61</x:f>
        <x:v>56</x:v>
      </x:c>
      <x:c r="L127" s="19" t="str">
        <x:v>res://resources/audio/shenmu_swamp_combat.ogg</x:v>
      </x:c>
      <x:c r="M127" s="19" t="str">
        <x:v>res://resources/audio/shenmu_swamp_intermission.ogg</x:v>
      </x:c>
      <x:c r="N127" s="19" t="n">
        <x:v>15</x:v>
      </x:c>
      <x:c r="O127" s="19" t="n">
        <x:f>'第2日'!$B$79</x:f>
        <x:v>0</x:v>
      </x:c>
      <x:c r="P127" s="19" t="str">
        <x:f>'第2日'!$E$79</x:f>
      </x:c>
      <x:c r="Q127" s="19" t="n">
        <x:f>'第2日'!$C$79</x:f>
        <x:v>0</x:v>
      </x:c>
      <x:c r="R127" s="19" t="str">
        <x:f>IF(P127="","",IF(ISNUMBER('第2日'!$D$79),'第2日'!$D$79,IF(VLOOKUP(O127,'敌人目录'!$A$6:$S$54,14,FALSE)&lt;&gt;VLOOKUP(O127,'敌人目录'!$A$6:$S$54,13,FALSE),VLOOKUP(O127,'敌人目录'!$A$6:$S$54,14,FALSE),-1)))</x:f>
      </x:c>
      <x:c r="S127" s="19" t="n">
        <x:f>'第2日'!$U$79</x:f>
        <x:v>0</x:v>
      </x:c>
      <x:c r="T127" s="19" t="str">
        <x:f>'第2日'!$N$61</x:f>
        <x:v>可导入</x:v>
      </x:c>
    </x:row>
    <x:row r="128" ht="22" customHeight="1">
      <x:c r="A128" s="19" t="n">
        <x:v>1</x:v>
      </x:c>
      <x:c r="B128" s="19" t="str">
        <x:v>tower_defense_formal</x:v>
      </x:c>
      <x:c r="C128" s="19" t="str">
        <x:v>wave_07</x:v>
      </x:c>
      <x:c r="D128" s="19" t="n">
        <x:v>7</x:v>
      </x:c>
      <x:c r="E128" s="19" t="n">
        <x:v>2</x:v>
      </x:c>
      <x:c r="F128" s="19" t="n">
        <x:v>3</x:v>
      </x:c>
      <x:c r="G128" s="19" t="str">
        <x:f>'第2日'!$B$61</x:f>
        <x:v>第7波 紫晶突袭</x:v>
      </x:c>
      <x:c r="H128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8" s="19" t="n">
        <x:f>'第2日'!$H$61</x:f>
        <x:v>0.35</x:v>
      </x:c>
      <x:c r="J128" s="19" t="n">
        <x:f>'第2日'!$J$61</x:f>
        <x:v>1</x:v>
      </x:c>
      <x:c r="K128" s="19" t="n">
        <x:f>'第2日'!$L$61</x:f>
        <x:v>56</x:v>
      </x:c>
      <x:c r="L128" s="19" t="str">
        <x:v>res://resources/audio/shenmu_swamp_combat.ogg</x:v>
      </x:c>
      <x:c r="M128" s="19" t="str">
        <x:v>res://resources/audio/shenmu_swamp_intermission.ogg</x:v>
      </x:c>
      <x:c r="N128" s="19" t="n">
        <x:v>16</x:v>
      </x:c>
      <x:c r="O128" s="19" t="n">
        <x:f>'第2日'!$B$80</x:f>
        <x:v>0</x:v>
      </x:c>
      <x:c r="P128" s="19" t="str">
        <x:f>'第2日'!$E$80</x:f>
      </x:c>
      <x:c r="Q128" s="19" t="n">
        <x:f>'第2日'!$C$80</x:f>
        <x:v>0</x:v>
      </x:c>
      <x:c r="R128" s="19" t="str">
        <x:f>IF(P128="","",IF(ISNUMBER('第2日'!$D$80),'第2日'!$D$80,IF(VLOOKUP(O128,'敌人目录'!$A$6:$S$54,14,FALSE)&lt;&gt;VLOOKUP(O128,'敌人目录'!$A$6:$S$54,13,FALSE),VLOOKUP(O128,'敌人目录'!$A$6:$S$54,14,FALSE),-1)))</x:f>
      </x:c>
      <x:c r="S128" s="19" t="n">
        <x:f>'第2日'!$U$80</x:f>
        <x:v>0</x:v>
      </x:c>
      <x:c r="T128" s="19" t="str">
        <x:f>'第2日'!$N$61</x:f>
        <x:v>可导入</x:v>
      </x:c>
    </x:row>
    <x:row r="129" ht="22" customHeight="1">
      <x:c r="A129" s="19" t="n">
        <x:v>1</x:v>
      </x:c>
      <x:c r="B129" s="19" t="str">
        <x:v>tower_defense_formal</x:v>
      </x:c>
      <x:c r="C129" s="19" t="str">
        <x:v>wave_07</x:v>
      </x:c>
      <x:c r="D129" s="19" t="n">
        <x:v>7</x:v>
      </x:c>
      <x:c r="E129" s="19" t="n">
        <x:v>2</x:v>
      </x:c>
      <x:c r="F129" s="19" t="n">
        <x:v>3</x:v>
      </x:c>
      <x:c r="G129" s="19" t="str">
        <x:f>'第2日'!$B$61</x:f>
        <x:v>第7波 紫晶突袭</x:v>
      </x:c>
      <x:c r="H129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29" s="19" t="n">
        <x:f>'第2日'!$H$61</x:f>
        <x:v>0.35</x:v>
      </x:c>
      <x:c r="J129" s="19" t="n">
        <x:f>'第2日'!$J$61</x:f>
        <x:v>1</x:v>
      </x:c>
      <x:c r="K129" s="19" t="n">
        <x:f>'第2日'!$L$61</x:f>
        <x:v>56</x:v>
      </x:c>
      <x:c r="L129" s="19" t="str">
        <x:v>res://resources/audio/shenmu_swamp_combat.ogg</x:v>
      </x:c>
      <x:c r="M129" s="19" t="str">
        <x:v>res://resources/audio/shenmu_swamp_intermission.ogg</x:v>
      </x:c>
      <x:c r="N129" s="19" t="n">
        <x:v>17</x:v>
      </x:c>
      <x:c r="O129" s="19" t="n">
        <x:f>'第2日'!$B$81</x:f>
        <x:v>0</x:v>
      </x:c>
      <x:c r="P129" s="19" t="str">
        <x:f>'第2日'!$E$81</x:f>
      </x:c>
      <x:c r="Q129" s="19" t="n">
        <x:f>'第2日'!$C$81</x:f>
        <x:v>0</x:v>
      </x:c>
      <x:c r="R129" s="19" t="str">
        <x:f>IF(P129="","",IF(ISNUMBER('第2日'!$D$81),'第2日'!$D$81,IF(VLOOKUP(O129,'敌人目录'!$A$6:$S$54,14,FALSE)&lt;&gt;VLOOKUP(O129,'敌人目录'!$A$6:$S$54,13,FALSE),VLOOKUP(O129,'敌人目录'!$A$6:$S$54,14,FALSE),-1)))</x:f>
      </x:c>
      <x:c r="S129" s="19" t="n">
        <x:f>'第2日'!$U$81</x:f>
        <x:v>0</x:v>
      </x:c>
      <x:c r="T129" s="19" t="str">
        <x:f>'第2日'!$N$61</x:f>
        <x:v>可导入</x:v>
      </x:c>
    </x:row>
    <x:row r="130" ht="22" customHeight="1">
      <x:c r="A130" s="19" t="n">
        <x:v>1</x:v>
      </x:c>
      <x:c r="B130" s="19" t="str">
        <x:v>tower_defense_formal</x:v>
      </x:c>
      <x:c r="C130" s="19" t="str">
        <x:v>wave_07</x:v>
      </x:c>
      <x:c r="D130" s="19" t="n">
        <x:v>7</x:v>
      </x:c>
      <x:c r="E130" s="19" t="n">
        <x:v>2</x:v>
      </x:c>
      <x:c r="F130" s="19" t="n">
        <x:v>3</x:v>
      </x:c>
      <x:c r="G130" s="19" t="str">
        <x:f>'第2日'!$B$61</x:f>
        <x:v>第7波 紫晶突袭</x:v>
      </x:c>
      <x:c r="H130" s="19" t="n">
        <x:f>IF('第2日'!$B$62="开启",1,0)+IF('第2日'!$C$62="开启",2,0)+IF('第2日'!$D$62="开启",4,0)+IF('第2日'!$E$62="开启",8,0)+IF('第2日'!$F$62="开启",16,0)+IF('第2日'!$G$62="开启",32,0)</x:f>
        <x:v>63</x:v>
      </x:c>
      <x:c r="I130" s="19" t="n">
        <x:f>'第2日'!$H$61</x:f>
        <x:v>0.35</x:v>
      </x:c>
      <x:c r="J130" s="19" t="n">
        <x:f>'第2日'!$J$61</x:f>
        <x:v>1</x:v>
      </x:c>
      <x:c r="K130" s="19" t="n">
        <x:f>'第2日'!$L$61</x:f>
        <x:v>56</x:v>
      </x:c>
      <x:c r="L130" s="19" t="str">
        <x:v>res://resources/audio/shenmu_swamp_combat.ogg</x:v>
      </x:c>
      <x:c r="M130" s="19" t="str">
        <x:v>res://resources/audio/shenmu_swamp_intermission.ogg</x:v>
      </x:c>
      <x:c r="N130" s="19" t="n">
        <x:v>18</x:v>
      </x:c>
      <x:c r="O130" s="19" t="n">
        <x:f>'第2日'!$B$82</x:f>
        <x:v>0</x:v>
      </x:c>
      <x:c r="P130" s="19" t="n">
        <x:f>'第2日'!$E$82</x:f>
        <x:v>0</x:v>
      </x:c>
      <x:c r="Q130" s="19" t="n">
        <x:f>'第2日'!$C$82</x:f>
        <x:v>0</x:v>
      </x:c>
      <x:c r="R130" s="19" t="str">
        <x:f>IF(P130="","",IF(ISNUMBER('第2日'!$D$82),'第2日'!$D$82,IF(VLOOKUP(O130,'敌人目录'!$A$6:$S$54,14,FALSE)&lt;&gt;VLOOKUP(O130,'敌人目录'!$A$6:$S$54,13,FALSE),VLOOKUP(O130,'敌人目录'!$A$6:$S$54,14,FALSE),-1)))</x:f>
      </x:c>
      <x:c r="S130" s="19" t="n">
        <x:f>'第2日'!$U$82</x:f>
        <x:v>0</x:v>
      </x:c>
      <x:c r="T130" s="19" t="str">
        <x:f>'第2日'!$N$61</x:f>
        <x:v>可导入</x:v>
      </x:c>
    </x:row>
    <x:row r="131" ht="22" customHeight="1">
      <x:c r="A131" s="19" t="n">
        <x:v>1</x:v>
      </x:c>
      <x:c r="B131" s="19" t="str">
        <x:v>tower_defense_formal</x:v>
      </x:c>
      <x:c r="C131" s="19" t="str">
        <x:v>wave_08</x:v>
      </x:c>
      <x:c r="D131" s="19" t="n">
        <x:v>8</x:v>
      </x:c>
      <x:c r="E131" s="19" t="n">
        <x:v>2</x:v>
      </x:c>
      <x:c r="F131" s="19" t="n">
        <x:v>4</x:v>
      </x:c>
      <x:c r="G131" s="19" t="str">
        <x:f>'第2日'!$B$90</x:f>
        <x:v>第8波 沼泽合围</x:v>
      </x:c>
      <x:c r="H131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1" s="19" t="n">
        <x:f>'第2日'!$H$90</x:f>
        <x:v>0.3</x:v>
      </x:c>
      <x:c r="J131" s="19" t="n">
        <x:f>'第2日'!$J$90</x:f>
        <x:v>1</x:v>
      </x:c>
      <x:c r="K131" s="19" t="n">
        <x:f>'第2日'!$L$90</x:f>
        <x:v>64</x:v>
      </x:c>
      <x:c r="L131" s="19" t="str">
        <x:v>res://resources/audio/shenmu_swamp_combat.ogg</x:v>
      </x:c>
      <x:c r="M131" s="19" t="str">
        <x:v>res://resources/audio/shenmu_swamp_intermission.ogg</x:v>
      </x:c>
      <x:c r="N131" s="19" t="n">
        <x:v>1</x:v>
      </x:c>
      <x:c r="O131" s="19" t="str">
        <x:f>'第2日'!$B$94</x:f>
        <x:v>yuanshi_insect_basic｜普通原石虫</x:v>
      </x:c>
      <x:c r="P131" s="19" t="str">
        <x:f>'第2日'!$E$94</x:f>
        <x:v>yuanshi_insect_basic</x:v>
      </x:c>
      <x:c r="Q131" s="19" t="n">
        <x:f>'第2日'!$C$94</x:f>
        <x:v>24</x:v>
      </x:c>
      <x:c r="R131" s="19" t="n">
        <x:f>IF(P131="","",IF(ISNUMBER('第2日'!$D$94),'第2日'!$D$94,IF(VLOOKUP(O131,'敌人目录'!$A$6:$S$54,14,FALSE)&lt;&gt;VLOOKUP(O131,'敌人目录'!$A$6:$S$54,13,FALSE),VLOOKUP(O131,'敌人目录'!$A$6:$S$54,14,FALSE),-1)))</x:f>
        <x:v>-1</x:v>
      </x:c>
      <x:c r="S131" s="19" t="str">
        <x:f>'第2日'!$U$94</x:f>
        <x:v>可导入</x:v>
      </x:c>
      <x:c r="T131" s="19" t="str">
        <x:f>'第2日'!$N$90</x:f>
        <x:v>可导入</x:v>
      </x:c>
    </x:row>
    <x:row r="132" ht="22" customHeight="1">
      <x:c r="A132" s="19" t="n">
        <x:v>1</x:v>
      </x:c>
      <x:c r="B132" s="19" t="str">
        <x:v>tower_defense_formal</x:v>
      </x:c>
      <x:c r="C132" s="19" t="str">
        <x:v>wave_08</x:v>
      </x:c>
      <x:c r="D132" s="19" t="n">
        <x:v>8</x:v>
      </x:c>
      <x:c r="E132" s="19" t="n">
        <x:v>2</x:v>
      </x:c>
      <x:c r="F132" s="19" t="n">
        <x:v>4</x:v>
      </x:c>
      <x:c r="G132" s="19" t="str">
        <x:f>'第2日'!$B$90</x:f>
        <x:v>第8波 沼泽合围</x:v>
      </x:c>
      <x:c r="H132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2" s="19" t="n">
        <x:f>'第2日'!$H$90</x:f>
        <x:v>0.3</x:v>
      </x:c>
      <x:c r="J132" s="19" t="n">
        <x:f>'第2日'!$J$90</x:f>
        <x:v>1</x:v>
      </x:c>
      <x:c r="K132" s="19" t="n">
        <x:f>'第2日'!$L$90</x:f>
        <x:v>64</x:v>
      </x:c>
      <x:c r="L132" s="19" t="str">
        <x:v>res://resources/audio/shenmu_swamp_combat.ogg</x:v>
      </x:c>
      <x:c r="M132" s="19" t="str">
        <x:v>res://resources/audio/shenmu_swamp_intermission.ogg</x:v>
      </x:c>
      <x:c r="N132" s="19" t="n">
        <x:v>2</x:v>
      </x:c>
      <x:c r="O132" s="19" t="str">
        <x:f>'第2日'!$B$95</x:f>
        <x:v>yuanshi_insect_fast｜迅捷原石虫</x:v>
      </x:c>
      <x:c r="P132" s="19" t="str">
        <x:f>'第2日'!$E$95</x:f>
        <x:v>yuanshi_insect_fast</x:v>
      </x:c>
      <x:c r="Q132" s="19" t="n">
        <x:f>'第2日'!$C$95</x:f>
        <x:v>24</x:v>
      </x:c>
      <x:c r="R132" s="19" t="n">
        <x:f>IF(P132="","",IF(ISNUMBER('第2日'!$D$95),'第2日'!$D$95,IF(VLOOKUP(O132,'敌人目录'!$A$6:$S$54,14,FALSE)&lt;&gt;VLOOKUP(O132,'敌人目录'!$A$6:$S$54,13,FALSE),VLOOKUP(O132,'敌人目录'!$A$6:$S$54,14,FALSE),-1)))</x:f>
        <x:v>-1</x:v>
      </x:c>
      <x:c r="S132" s="19" t="str">
        <x:f>'第2日'!$U$95</x:f>
        <x:v>可导入</x:v>
      </x:c>
      <x:c r="T132" s="19" t="str">
        <x:f>'第2日'!$N$90</x:f>
        <x:v>可导入</x:v>
      </x:c>
    </x:row>
    <x:row r="133" ht="22" customHeight="1">
      <x:c r="A133" s="19" t="n">
        <x:v>1</x:v>
      </x:c>
      <x:c r="B133" s="19" t="str">
        <x:v>tower_defense_formal</x:v>
      </x:c>
      <x:c r="C133" s="19" t="str">
        <x:v>wave_08</x:v>
      </x:c>
      <x:c r="D133" s="19" t="n">
        <x:v>8</x:v>
      </x:c>
      <x:c r="E133" s="19" t="n">
        <x:v>2</x:v>
      </x:c>
      <x:c r="F133" s="19" t="n">
        <x:v>4</x:v>
      </x:c>
      <x:c r="G133" s="19" t="str">
        <x:f>'第2日'!$B$90</x:f>
        <x:v>第8波 沼泽合围</x:v>
      </x:c>
      <x:c r="H133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3" s="19" t="n">
        <x:f>'第2日'!$H$90</x:f>
        <x:v>0.3</x:v>
      </x:c>
      <x:c r="J133" s="19" t="n">
        <x:f>'第2日'!$J$90</x:f>
        <x:v>1</x:v>
      </x:c>
      <x:c r="K133" s="19" t="n">
        <x:f>'第2日'!$L$90</x:f>
        <x:v>64</x:v>
      </x:c>
      <x:c r="L133" s="19" t="str">
        <x:v>res://resources/audio/shenmu_swamp_combat.ogg</x:v>
      </x:c>
      <x:c r="M133" s="19" t="str">
        <x:v>res://resources/audio/shenmu_swamp_intermission.ogg</x:v>
      </x:c>
      <x:c r="N133" s="19" t="n">
        <x:v>3</x:v>
      </x:c>
      <x:c r="O133" s="19" t="str">
        <x:f>'第2日'!$B$96</x:f>
        <x:v>yuanshi_insect_shell｜硬壳原石虫</x:v>
      </x:c>
      <x:c r="P133" s="19" t="str">
        <x:f>'第2日'!$E$96</x:f>
        <x:v>yuanshi_insect_shell</x:v>
      </x:c>
      <x:c r="Q133" s="19" t="n">
        <x:f>'第2日'!$C$96</x:f>
        <x:v>20</x:v>
      </x:c>
      <x:c r="R133" s="19" t="n">
        <x:f>IF(P133="","",IF(ISNUMBER('第2日'!$D$96),'第2日'!$D$96,IF(VLOOKUP(O133,'敌人目录'!$A$6:$S$54,14,FALSE)&lt;&gt;VLOOKUP(O133,'敌人目录'!$A$6:$S$54,13,FALSE),VLOOKUP(O133,'敌人目录'!$A$6:$S$54,14,FALSE),-1)))</x:f>
        <x:v>-1</x:v>
      </x:c>
      <x:c r="S133" s="19" t="str">
        <x:f>'第2日'!$U$96</x:f>
        <x:v>可导入</x:v>
      </x:c>
      <x:c r="T133" s="19" t="str">
        <x:f>'第2日'!$N$90</x:f>
        <x:v>可导入</x:v>
      </x:c>
    </x:row>
    <x:row r="134" ht="22" customHeight="1">
      <x:c r="A134" s="19" t="n">
        <x:v>1</x:v>
      </x:c>
      <x:c r="B134" s="19" t="str">
        <x:v>tower_defense_formal</x:v>
      </x:c>
      <x:c r="C134" s="19" t="str">
        <x:v>wave_08</x:v>
      </x:c>
      <x:c r="D134" s="19" t="n">
        <x:v>8</x:v>
      </x:c>
      <x:c r="E134" s="19" t="n">
        <x:v>2</x:v>
      </x:c>
      <x:c r="F134" s="19" t="n">
        <x:v>4</x:v>
      </x:c>
      <x:c r="G134" s="19" t="str">
        <x:f>'第2日'!$B$90</x:f>
        <x:v>第8波 沼泽合围</x:v>
      </x:c>
      <x:c r="H134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4" s="19" t="n">
        <x:f>'第2日'!$H$90</x:f>
        <x:v>0.3</x:v>
      </x:c>
      <x:c r="J134" s="19" t="n">
        <x:f>'第2日'!$J$90</x:f>
        <x:v>1</x:v>
      </x:c>
      <x:c r="K134" s="19" t="n">
        <x:f>'第2日'!$L$90</x:f>
        <x:v>64</x:v>
      </x:c>
      <x:c r="L134" s="19" t="str">
        <x:v>res://resources/audio/shenmu_swamp_combat.ogg</x:v>
      </x:c>
      <x:c r="M134" s="19" t="str">
        <x:v>res://resources/audio/shenmu_swamp_intermission.ogg</x:v>
      </x:c>
      <x:c r="N134" s="19" t="n">
        <x:v>4</x:v>
      </x:c>
      <x:c r="O134" s="19" t="str">
        <x:f>'第2日'!$B$97</x:f>
        <x:v>yuanshi_insect_bomber｜自爆原石虫</x:v>
      </x:c>
      <x:c r="P134" s="19" t="str">
        <x:f>'第2日'!$E$97</x:f>
        <x:v>yuanshi_insect_bomber</x:v>
      </x:c>
      <x:c r="Q134" s="19" t="n">
        <x:f>'第2日'!$C$97</x:f>
        <x:v>20</x:v>
      </x:c>
      <x:c r="R134" s="19" t="n">
        <x:f>IF(P134="","",IF(ISNUMBER('第2日'!$D$97),'第2日'!$D$97,IF(VLOOKUP(O134,'敌人目录'!$A$6:$S$54,14,FALSE)&lt;&gt;VLOOKUP(O134,'敌人目录'!$A$6:$S$54,13,FALSE),VLOOKUP(O134,'敌人目录'!$A$6:$S$54,14,FALSE),-1)))</x:f>
        <x:v>-1</x:v>
      </x:c>
      <x:c r="S134" s="19" t="str">
        <x:f>'第2日'!$U$97</x:f>
        <x:v>可导入</x:v>
      </x:c>
      <x:c r="T134" s="19" t="str">
        <x:f>'第2日'!$N$90</x:f>
        <x:v>可导入</x:v>
      </x:c>
    </x:row>
    <x:row r="135" ht="22" customHeight="1">
      <x:c r="A135" s="19" t="n">
        <x:v>1</x:v>
      </x:c>
      <x:c r="B135" s="19" t="str">
        <x:v>tower_defense_formal</x:v>
      </x:c>
      <x:c r="C135" s="19" t="str">
        <x:v>wave_08</x:v>
      </x:c>
      <x:c r="D135" s="19" t="n">
        <x:v>8</x:v>
      </x:c>
      <x:c r="E135" s="19" t="n">
        <x:v>2</x:v>
      </x:c>
      <x:c r="F135" s="19" t="n">
        <x:v>4</x:v>
      </x:c>
      <x:c r="G135" s="19" t="str">
        <x:f>'第2日'!$B$90</x:f>
        <x:v>第8波 沼泽合围</x:v>
      </x:c>
      <x:c r="H135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5" s="19" t="n">
        <x:f>'第2日'!$H$90</x:f>
        <x:v>0.3</x:v>
      </x:c>
      <x:c r="J135" s="19" t="n">
        <x:f>'第2日'!$J$90</x:f>
        <x:v>1</x:v>
      </x:c>
      <x:c r="K135" s="19" t="n">
        <x:f>'第2日'!$L$90</x:f>
        <x:v>64</x:v>
      </x:c>
      <x:c r="L135" s="19" t="str">
        <x:v>res://resources/audio/shenmu_swamp_combat.ogg</x:v>
      </x:c>
      <x:c r="M135" s="19" t="str">
        <x:v>res://resources/audio/shenmu_swamp_intermission.ogg</x:v>
      </x:c>
      <x:c r="N135" s="19" t="n">
        <x:v>5</x:v>
      </x:c>
      <x:c r="O135" s="19" t="str">
        <x:f>'第2日'!$B$98</x:f>
        <x:v>yuanshi_insect_purple_bomber｜紫晶自爆原石虫</x:v>
      </x:c>
      <x:c r="P135" s="19" t="str">
        <x:f>'第2日'!$E$98</x:f>
        <x:v>yuanshi_insect_purple_bomber</x:v>
      </x:c>
      <x:c r="Q135" s="19" t="n">
        <x:f>'第2日'!$C$98</x:f>
        <x:v>12</x:v>
      </x:c>
      <x:c r="R135" s="19" t="n">
        <x:f>IF(P135="","",IF(ISNUMBER('第2日'!$D$98),'第2日'!$D$98,IF(VLOOKUP(O135,'敌人目录'!$A$6:$S$54,14,FALSE)&lt;&gt;VLOOKUP(O135,'敌人目录'!$A$6:$S$54,13,FALSE),VLOOKUP(O135,'敌人目录'!$A$6:$S$54,14,FALSE),-1)))</x:f>
        <x:v>-1</x:v>
      </x:c>
      <x:c r="S135" s="19" t="str">
        <x:f>'第2日'!$U$98</x:f>
        <x:v>可导入</x:v>
      </x:c>
      <x:c r="T135" s="19" t="str">
        <x:f>'第2日'!$N$90</x:f>
        <x:v>可导入</x:v>
      </x:c>
    </x:row>
    <x:row r="136" ht="22" customHeight="1">
      <x:c r="A136" s="19" t="n">
        <x:v>1</x:v>
      </x:c>
      <x:c r="B136" s="19" t="str">
        <x:v>tower_defense_formal</x:v>
      </x:c>
      <x:c r="C136" s="19" t="str">
        <x:v>wave_08</x:v>
      </x:c>
      <x:c r="D136" s="19" t="n">
        <x:v>8</x:v>
      </x:c>
      <x:c r="E136" s="19" t="n">
        <x:v>2</x:v>
      </x:c>
      <x:c r="F136" s="19" t="n">
        <x:v>4</x:v>
      </x:c>
      <x:c r="G136" s="19" t="str">
        <x:f>'第2日'!$B$90</x:f>
        <x:v>第8波 沼泽合围</x:v>
      </x:c>
      <x:c r="H136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6" s="19" t="n">
        <x:f>'第2日'!$H$90</x:f>
        <x:v>0.3</x:v>
      </x:c>
      <x:c r="J136" s="19" t="n">
        <x:f>'第2日'!$J$90</x:f>
        <x:v>1</x:v>
      </x:c>
      <x:c r="K136" s="19" t="n">
        <x:f>'第2日'!$L$90</x:f>
        <x:v>64</x:v>
      </x:c>
      <x:c r="L136" s="19" t="str">
        <x:v>res://resources/audio/shenmu_swamp_combat.ogg</x:v>
      </x:c>
      <x:c r="M136" s="19" t="str">
        <x:v>res://resources/audio/shenmu_swamp_intermission.ogg</x:v>
      </x:c>
      <x:c r="N136" s="19" t="n">
        <x:v>6</x:v>
      </x:c>
      <x:c r="O136" s="19" t="str">
        <x:f>'第2日'!$B$99</x:f>
        <x:v>yuanshi_insect_fire_ranged｜火焰弹原石虫</x:v>
      </x:c>
      <x:c r="P136" s="19" t="str">
        <x:f>'第2日'!$E$99</x:f>
        <x:v>yuanshi_insect_fire_ranged</x:v>
      </x:c>
      <x:c r="Q136" s="19" t="n">
        <x:f>'第2日'!$C$99</x:f>
        <x:v>16</x:v>
      </x:c>
      <x:c r="R136" s="19" t="n">
        <x:f>IF(P136="","",IF(ISNUMBER('第2日'!$D$99),'第2日'!$D$99,IF(VLOOKUP(O136,'敌人目录'!$A$6:$S$54,14,FALSE)&lt;&gt;VLOOKUP(O136,'敌人目录'!$A$6:$S$54,13,FALSE),VLOOKUP(O136,'敌人目录'!$A$6:$S$54,14,FALSE),-1)))</x:f>
        <x:v>-1</x:v>
      </x:c>
      <x:c r="S136" s="19" t="str">
        <x:f>'第2日'!$U$99</x:f>
        <x:v>可导入</x:v>
      </x:c>
      <x:c r="T136" s="19" t="str">
        <x:f>'第2日'!$N$90</x:f>
        <x:v>可导入</x:v>
      </x:c>
    </x:row>
    <x:row r="137" ht="22" customHeight="1">
      <x:c r="A137" s="19" t="n">
        <x:v>1</x:v>
      </x:c>
      <x:c r="B137" s="19" t="str">
        <x:v>tower_defense_formal</x:v>
      </x:c>
      <x:c r="C137" s="19" t="str">
        <x:v>wave_08</x:v>
      </x:c>
      <x:c r="D137" s="19" t="n">
        <x:v>8</x:v>
      </x:c>
      <x:c r="E137" s="19" t="n">
        <x:v>2</x:v>
      </x:c>
      <x:c r="F137" s="19" t="n">
        <x:v>4</x:v>
      </x:c>
      <x:c r="G137" s="19" t="str">
        <x:f>'第2日'!$B$90</x:f>
        <x:v>第8波 沼泽合围</x:v>
      </x:c>
      <x:c r="H137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7" s="19" t="n">
        <x:f>'第2日'!$H$90</x:f>
        <x:v>0.3</x:v>
      </x:c>
      <x:c r="J137" s="19" t="n">
        <x:f>'第2日'!$J$90</x:f>
        <x:v>1</x:v>
      </x:c>
      <x:c r="K137" s="19" t="n">
        <x:f>'第2日'!$L$90</x:f>
        <x:v>64</x:v>
      </x:c>
      <x:c r="L137" s="19" t="str">
        <x:v>res://resources/audio/shenmu_swamp_combat.ogg</x:v>
      </x:c>
      <x:c r="M137" s="19" t="str">
        <x:v>res://resources/audio/shenmu_swamp_intermission.ogg</x:v>
      </x:c>
      <x:c r="N137" s="19" t="n">
        <x:v>7</x:v>
      </x:c>
      <x:c r="O137" s="19" t="str">
        <x:f>'第2日'!$B$100</x:f>
        <x:v>yuanshi_insect_guardian｜守护者原石虫</x:v>
      </x:c>
      <x:c r="P137" s="19" t="str">
        <x:f>'第2日'!$E$100</x:f>
        <x:v>yuanshi_insect_guardian</x:v>
      </x:c>
      <x:c r="Q137" s="19" t="n">
        <x:f>'第2日'!$C$100</x:f>
        <x:v>12</x:v>
      </x:c>
      <x:c r="R137" s="19" t="n">
        <x:f>IF(P137="","",IF(ISNUMBER('第2日'!$D$100),'第2日'!$D$100,IF(VLOOKUP(O137,'敌人目录'!$A$6:$S$54,14,FALSE)&lt;&gt;VLOOKUP(O137,'敌人目录'!$A$6:$S$54,13,FALSE),VLOOKUP(O137,'敌人目录'!$A$6:$S$54,14,FALSE),-1)))</x:f>
        <x:v>-1</x:v>
      </x:c>
      <x:c r="S137" s="19" t="str">
        <x:f>'第2日'!$U$100</x:f>
        <x:v>可导入</x:v>
      </x:c>
      <x:c r="T137" s="19" t="str">
        <x:f>'第2日'!$N$90</x:f>
        <x:v>可导入</x:v>
      </x:c>
    </x:row>
    <x:row r="138" ht="22" customHeight="1">
      <x:c r="A138" s="19" t="n">
        <x:v>1</x:v>
      </x:c>
      <x:c r="B138" s="19" t="str">
        <x:v>tower_defense_formal</x:v>
      </x:c>
      <x:c r="C138" s="19" t="str">
        <x:v>wave_08</x:v>
      </x:c>
      <x:c r="D138" s="19" t="n">
        <x:v>8</x:v>
      </x:c>
      <x:c r="E138" s="19" t="n">
        <x:v>2</x:v>
      </x:c>
      <x:c r="F138" s="19" t="n">
        <x:v>4</x:v>
      </x:c>
      <x:c r="G138" s="19" t="str">
        <x:f>'第2日'!$B$90</x:f>
        <x:v>第8波 沼泽合围</x:v>
      </x:c>
      <x:c r="H138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8" s="19" t="n">
        <x:f>'第2日'!$H$90</x:f>
        <x:v>0.3</x:v>
      </x:c>
      <x:c r="J138" s="19" t="n">
        <x:f>'第2日'!$J$90</x:f>
        <x:v>1</x:v>
      </x:c>
      <x:c r="K138" s="19" t="n">
        <x:f>'第2日'!$L$90</x:f>
        <x:v>64</x:v>
      </x:c>
      <x:c r="L138" s="19" t="str">
        <x:v>res://resources/audio/shenmu_swamp_combat.ogg</x:v>
      </x:c>
      <x:c r="M138" s="19" t="str">
        <x:v>res://resources/audio/shenmu_swamp_intermission.ogg</x:v>
      </x:c>
      <x:c r="N138" s="19" t="n">
        <x:v>8</x:v>
      </x:c>
      <x:c r="O138" s="19" t="n">
        <x:f>'第2日'!$B$101</x:f>
        <x:v>0</x:v>
      </x:c>
      <x:c r="P138" s="19" t="str">
        <x:f>'第2日'!$E$101</x:f>
      </x:c>
      <x:c r="Q138" s="19" t="n">
        <x:f>'第2日'!$C$101</x:f>
        <x:v>0</x:v>
      </x:c>
      <x:c r="R138" s="19" t="str">
        <x:f>IF(P138="","",IF(ISNUMBER('第2日'!$D$101),'第2日'!$D$101,IF(VLOOKUP(O138,'敌人目录'!$A$6:$S$54,14,FALSE)&lt;&gt;VLOOKUP(O138,'敌人目录'!$A$6:$S$54,13,FALSE),VLOOKUP(O138,'敌人目录'!$A$6:$S$54,14,FALSE),-1)))</x:f>
      </x:c>
      <x:c r="S138" s="19" t="n">
        <x:f>'第2日'!$U$101</x:f>
        <x:v>0</x:v>
      </x:c>
      <x:c r="T138" s="19" t="str">
        <x:f>'第2日'!$N$90</x:f>
        <x:v>可导入</x:v>
      </x:c>
    </x:row>
    <x:row r="139" ht="22" customHeight="1">
      <x:c r="A139" s="19" t="n">
        <x:v>1</x:v>
      </x:c>
      <x:c r="B139" s="19" t="str">
        <x:v>tower_defense_formal</x:v>
      </x:c>
      <x:c r="C139" s="19" t="str">
        <x:v>wave_08</x:v>
      </x:c>
      <x:c r="D139" s="19" t="n">
        <x:v>8</x:v>
      </x:c>
      <x:c r="E139" s="19" t="n">
        <x:v>2</x:v>
      </x:c>
      <x:c r="F139" s="19" t="n">
        <x:v>4</x:v>
      </x:c>
      <x:c r="G139" s="19" t="str">
        <x:f>'第2日'!$B$90</x:f>
        <x:v>第8波 沼泽合围</x:v>
      </x:c>
      <x:c r="H139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39" s="19" t="n">
        <x:f>'第2日'!$H$90</x:f>
        <x:v>0.3</x:v>
      </x:c>
      <x:c r="J139" s="19" t="n">
        <x:f>'第2日'!$J$90</x:f>
        <x:v>1</x:v>
      </x:c>
      <x:c r="K139" s="19" t="n">
        <x:f>'第2日'!$L$90</x:f>
        <x:v>64</x:v>
      </x:c>
      <x:c r="L139" s="19" t="str">
        <x:v>res://resources/audio/shenmu_swamp_combat.ogg</x:v>
      </x:c>
      <x:c r="M139" s="19" t="str">
        <x:v>res://resources/audio/shenmu_swamp_intermission.ogg</x:v>
      </x:c>
      <x:c r="N139" s="19" t="n">
        <x:v>9</x:v>
      </x:c>
      <x:c r="O139" s="19" t="n">
        <x:f>'第2日'!$B$102</x:f>
        <x:v>0</x:v>
      </x:c>
      <x:c r="P139" s="19" t="str">
        <x:f>'第2日'!$E$102</x:f>
      </x:c>
      <x:c r="Q139" s="19" t="n">
        <x:f>'第2日'!$C$102</x:f>
        <x:v>0</x:v>
      </x:c>
      <x:c r="R139" s="19" t="str">
        <x:f>IF(P139="","",IF(ISNUMBER('第2日'!$D$102),'第2日'!$D$102,IF(VLOOKUP(O139,'敌人目录'!$A$6:$S$54,14,FALSE)&lt;&gt;VLOOKUP(O139,'敌人目录'!$A$6:$S$54,13,FALSE),VLOOKUP(O139,'敌人目录'!$A$6:$S$54,14,FALSE),-1)))</x:f>
      </x:c>
      <x:c r="S139" s="19" t="n">
        <x:f>'第2日'!$U$102</x:f>
        <x:v>0</x:v>
      </x:c>
      <x:c r="T139" s="19" t="str">
        <x:f>'第2日'!$N$90</x:f>
        <x:v>可导入</x:v>
      </x:c>
    </x:row>
    <x:row r="140" ht="22" customHeight="1">
      <x:c r="A140" s="19" t="n">
        <x:v>1</x:v>
      </x:c>
      <x:c r="B140" s="19" t="str">
        <x:v>tower_defense_formal</x:v>
      </x:c>
      <x:c r="C140" s="19" t="str">
        <x:v>wave_08</x:v>
      </x:c>
      <x:c r="D140" s="19" t="n">
        <x:v>8</x:v>
      </x:c>
      <x:c r="E140" s="19" t="n">
        <x:v>2</x:v>
      </x:c>
      <x:c r="F140" s="19" t="n">
        <x:v>4</x:v>
      </x:c>
      <x:c r="G140" s="19" t="str">
        <x:f>'第2日'!$B$90</x:f>
        <x:v>第8波 沼泽合围</x:v>
      </x:c>
      <x:c r="H140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0" s="19" t="n">
        <x:f>'第2日'!$H$90</x:f>
        <x:v>0.3</x:v>
      </x:c>
      <x:c r="J140" s="19" t="n">
        <x:f>'第2日'!$J$90</x:f>
        <x:v>1</x:v>
      </x:c>
      <x:c r="K140" s="19" t="n">
        <x:f>'第2日'!$L$90</x:f>
        <x:v>64</x:v>
      </x:c>
      <x:c r="L140" s="19" t="str">
        <x:v>res://resources/audio/shenmu_swamp_combat.ogg</x:v>
      </x:c>
      <x:c r="M140" s="19" t="str">
        <x:v>res://resources/audio/shenmu_swamp_intermission.ogg</x:v>
      </x:c>
      <x:c r="N140" s="19" t="n">
        <x:v>10</x:v>
      </x:c>
      <x:c r="O140" s="19" t="n">
        <x:f>'第2日'!$B$103</x:f>
        <x:v>0</x:v>
      </x:c>
      <x:c r="P140" s="19" t="str">
        <x:f>'第2日'!$E$103</x:f>
      </x:c>
      <x:c r="Q140" s="19" t="n">
        <x:f>'第2日'!$C$103</x:f>
        <x:v>0</x:v>
      </x:c>
      <x:c r="R140" s="19" t="str">
        <x:f>IF(P140="","",IF(ISNUMBER('第2日'!$D$103),'第2日'!$D$103,IF(VLOOKUP(O140,'敌人目录'!$A$6:$S$54,14,FALSE)&lt;&gt;VLOOKUP(O140,'敌人目录'!$A$6:$S$54,13,FALSE),VLOOKUP(O140,'敌人目录'!$A$6:$S$54,14,FALSE),-1)))</x:f>
      </x:c>
      <x:c r="S140" s="19" t="n">
        <x:f>'第2日'!$U$103</x:f>
        <x:v>0</x:v>
      </x:c>
      <x:c r="T140" s="19" t="str">
        <x:f>'第2日'!$N$90</x:f>
        <x:v>可导入</x:v>
      </x:c>
    </x:row>
    <x:row r="141" ht="22" customHeight="1">
      <x:c r="A141" s="19" t="n">
        <x:v>1</x:v>
      </x:c>
      <x:c r="B141" s="19" t="str">
        <x:v>tower_defense_formal</x:v>
      </x:c>
      <x:c r="C141" s="19" t="str">
        <x:v>wave_08</x:v>
      </x:c>
      <x:c r="D141" s="19" t="n">
        <x:v>8</x:v>
      </x:c>
      <x:c r="E141" s="19" t="n">
        <x:v>2</x:v>
      </x:c>
      <x:c r="F141" s="19" t="n">
        <x:v>4</x:v>
      </x:c>
      <x:c r="G141" s="19" t="str">
        <x:f>'第2日'!$B$90</x:f>
        <x:v>第8波 沼泽合围</x:v>
      </x:c>
      <x:c r="H141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1" s="19" t="n">
        <x:f>'第2日'!$H$90</x:f>
        <x:v>0.3</x:v>
      </x:c>
      <x:c r="J141" s="19" t="n">
        <x:f>'第2日'!$J$90</x:f>
        <x:v>1</x:v>
      </x:c>
      <x:c r="K141" s="19" t="n">
        <x:f>'第2日'!$L$90</x:f>
        <x:v>64</x:v>
      </x:c>
      <x:c r="L141" s="19" t="str">
        <x:v>res://resources/audio/shenmu_swamp_combat.ogg</x:v>
      </x:c>
      <x:c r="M141" s="19" t="str">
        <x:v>res://resources/audio/shenmu_swamp_intermission.ogg</x:v>
      </x:c>
      <x:c r="N141" s="19" t="n">
        <x:v>11</x:v>
      </x:c>
      <x:c r="O141" s="19" t="n">
        <x:f>'第2日'!$B$104</x:f>
        <x:v>0</x:v>
      </x:c>
      <x:c r="P141" s="19" t="str">
        <x:f>'第2日'!$E$104</x:f>
      </x:c>
      <x:c r="Q141" s="19" t="n">
        <x:f>'第2日'!$C$104</x:f>
        <x:v>0</x:v>
      </x:c>
      <x:c r="R141" s="19" t="str">
        <x:f>IF(P141="","",IF(ISNUMBER('第2日'!$D$104),'第2日'!$D$104,IF(VLOOKUP(O141,'敌人目录'!$A$6:$S$54,14,FALSE)&lt;&gt;VLOOKUP(O141,'敌人目录'!$A$6:$S$54,13,FALSE),VLOOKUP(O141,'敌人目录'!$A$6:$S$54,14,FALSE),-1)))</x:f>
      </x:c>
      <x:c r="S141" s="19" t="n">
        <x:f>'第2日'!$U$104</x:f>
        <x:v>0</x:v>
      </x:c>
      <x:c r="T141" s="19" t="str">
        <x:f>'第2日'!$N$90</x:f>
        <x:v>可导入</x:v>
      </x:c>
    </x:row>
    <x:row r="142" ht="22" customHeight="1">
      <x:c r="A142" s="19" t="n">
        <x:v>1</x:v>
      </x:c>
      <x:c r="B142" s="19" t="str">
        <x:v>tower_defense_formal</x:v>
      </x:c>
      <x:c r="C142" s="19" t="str">
        <x:v>wave_08</x:v>
      </x:c>
      <x:c r="D142" s="19" t="n">
        <x:v>8</x:v>
      </x:c>
      <x:c r="E142" s="19" t="n">
        <x:v>2</x:v>
      </x:c>
      <x:c r="F142" s="19" t="n">
        <x:v>4</x:v>
      </x:c>
      <x:c r="G142" s="19" t="str">
        <x:f>'第2日'!$B$90</x:f>
        <x:v>第8波 沼泽合围</x:v>
      </x:c>
      <x:c r="H142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2" s="19" t="n">
        <x:f>'第2日'!$H$90</x:f>
        <x:v>0.3</x:v>
      </x:c>
      <x:c r="J142" s="19" t="n">
        <x:f>'第2日'!$J$90</x:f>
        <x:v>1</x:v>
      </x:c>
      <x:c r="K142" s="19" t="n">
        <x:f>'第2日'!$L$90</x:f>
        <x:v>64</x:v>
      </x:c>
      <x:c r="L142" s="19" t="str">
        <x:v>res://resources/audio/shenmu_swamp_combat.ogg</x:v>
      </x:c>
      <x:c r="M142" s="19" t="str">
        <x:v>res://resources/audio/shenmu_swamp_intermission.ogg</x:v>
      </x:c>
      <x:c r="N142" s="19" t="n">
        <x:v>12</x:v>
      </x:c>
      <x:c r="O142" s="19" t="n">
        <x:f>'第2日'!$B$105</x:f>
        <x:v>0</x:v>
      </x:c>
      <x:c r="P142" s="19" t="str">
        <x:f>'第2日'!$E$105</x:f>
      </x:c>
      <x:c r="Q142" s="19" t="n">
        <x:f>'第2日'!$C$105</x:f>
        <x:v>0</x:v>
      </x:c>
      <x:c r="R142" s="19" t="str">
        <x:f>IF(P142="","",IF(ISNUMBER('第2日'!$D$105),'第2日'!$D$105,IF(VLOOKUP(O142,'敌人目录'!$A$6:$S$54,14,FALSE)&lt;&gt;VLOOKUP(O142,'敌人目录'!$A$6:$S$54,13,FALSE),VLOOKUP(O142,'敌人目录'!$A$6:$S$54,14,FALSE),-1)))</x:f>
      </x:c>
      <x:c r="S142" s="19" t="n">
        <x:f>'第2日'!$U$105</x:f>
        <x:v>0</x:v>
      </x:c>
      <x:c r="T142" s="19" t="str">
        <x:f>'第2日'!$N$90</x:f>
        <x:v>可导入</x:v>
      </x:c>
    </x:row>
    <x:row r="143" ht="22" customHeight="1">
      <x:c r="A143" s="19" t="n">
        <x:v>1</x:v>
      </x:c>
      <x:c r="B143" s="19" t="str">
        <x:v>tower_defense_formal</x:v>
      </x:c>
      <x:c r="C143" s="19" t="str">
        <x:v>wave_08</x:v>
      </x:c>
      <x:c r="D143" s="19" t="n">
        <x:v>8</x:v>
      </x:c>
      <x:c r="E143" s="19" t="n">
        <x:v>2</x:v>
      </x:c>
      <x:c r="F143" s="19" t="n">
        <x:v>4</x:v>
      </x:c>
      <x:c r="G143" s="19" t="str">
        <x:f>'第2日'!$B$90</x:f>
        <x:v>第8波 沼泽合围</x:v>
      </x:c>
      <x:c r="H143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3" s="19" t="n">
        <x:f>'第2日'!$H$90</x:f>
        <x:v>0.3</x:v>
      </x:c>
      <x:c r="J143" s="19" t="n">
        <x:f>'第2日'!$J$90</x:f>
        <x:v>1</x:v>
      </x:c>
      <x:c r="K143" s="19" t="n">
        <x:f>'第2日'!$L$90</x:f>
        <x:v>64</x:v>
      </x:c>
      <x:c r="L143" s="19" t="str">
        <x:v>res://resources/audio/shenmu_swamp_combat.ogg</x:v>
      </x:c>
      <x:c r="M143" s="19" t="str">
        <x:v>res://resources/audio/shenmu_swamp_intermission.ogg</x:v>
      </x:c>
      <x:c r="N143" s="19" t="n">
        <x:v>13</x:v>
      </x:c>
      <x:c r="O143" s="19" t="n">
        <x:f>'第2日'!$B$106</x:f>
        <x:v>0</x:v>
      </x:c>
      <x:c r="P143" s="19" t="str">
        <x:f>'第2日'!$E$106</x:f>
      </x:c>
      <x:c r="Q143" s="19" t="n">
        <x:f>'第2日'!$C$106</x:f>
        <x:v>0</x:v>
      </x:c>
      <x:c r="R143" s="19" t="str">
        <x:f>IF(P143="","",IF(ISNUMBER('第2日'!$D$106),'第2日'!$D$106,IF(VLOOKUP(O143,'敌人目录'!$A$6:$S$54,14,FALSE)&lt;&gt;VLOOKUP(O143,'敌人目录'!$A$6:$S$54,13,FALSE),VLOOKUP(O143,'敌人目录'!$A$6:$S$54,14,FALSE),-1)))</x:f>
      </x:c>
      <x:c r="S143" s="19" t="n">
        <x:f>'第2日'!$U$106</x:f>
        <x:v>0</x:v>
      </x:c>
      <x:c r="T143" s="19" t="str">
        <x:f>'第2日'!$N$90</x:f>
        <x:v>可导入</x:v>
      </x:c>
    </x:row>
    <x:row r="144" ht="22" customHeight="1">
      <x:c r="A144" s="19" t="n">
        <x:v>1</x:v>
      </x:c>
      <x:c r="B144" s="19" t="str">
        <x:v>tower_defense_formal</x:v>
      </x:c>
      <x:c r="C144" s="19" t="str">
        <x:v>wave_08</x:v>
      </x:c>
      <x:c r="D144" s="19" t="n">
        <x:v>8</x:v>
      </x:c>
      <x:c r="E144" s="19" t="n">
        <x:v>2</x:v>
      </x:c>
      <x:c r="F144" s="19" t="n">
        <x:v>4</x:v>
      </x:c>
      <x:c r="G144" s="19" t="str">
        <x:f>'第2日'!$B$90</x:f>
        <x:v>第8波 沼泽合围</x:v>
      </x:c>
      <x:c r="H144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4" s="19" t="n">
        <x:f>'第2日'!$H$90</x:f>
        <x:v>0.3</x:v>
      </x:c>
      <x:c r="J144" s="19" t="n">
        <x:f>'第2日'!$J$90</x:f>
        <x:v>1</x:v>
      </x:c>
      <x:c r="K144" s="19" t="n">
        <x:f>'第2日'!$L$90</x:f>
        <x:v>64</x:v>
      </x:c>
      <x:c r="L144" s="19" t="str">
        <x:v>res://resources/audio/shenmu_swamp_combat.ogg</x:v>
      </x:c>
      <x:c r="M144" s="19" t="str">
        <x:v>res://resources/audio/shenmu_swamp_intermission.ogg</x:v>
      </x:c>
      <x:c r="N144" s="19" t="n">
        <x:v>14</x:v>
      </x:c>
      <x:c r="O144" s="19" t="n">
        <x:f>'第2日'!$B$107</x:f>
        <x:v>0</x:v>
      </x:c>
      <x:c r="P144" s="19" t="str">
        <x:f>'第2日'!$E$107</x:f>
      </x:c>
      <x:c r="Q144" s="19" t="n">
        <x:f>'第2日'!$C$107</x:f>
        <x:v>0</x:v>
      </x:c>
      <x:c r="R144" s="19" t="str">
        <x:f>IF(P144="","",IF(ISNUMBER('第2日'!$D$107),'第2日'!$D$107,IF(VLOOKUP(O144,'敌人目录'!$A$6:$S$54,14,FALSE)&lt;&gt;VLOOKUP(O144,'敌人目录'!$A$6:$S$54,13,FALSE),VLOOKUP(O144,'敌人目录'!$A$6:$S$54,14,FALSE),-1)))</x:f>
      </x:c>
      <x:c r="S144" s="19" t="n">
        <x:f>'第2日'!$U$107</x:f>
        <x:v>0</x:v>
      </x:c>
      <x:c r="T144" s="19" t="str">
        <x:f>'第2日'!$N$90</x:f>
        <x:v>可导入</x:v>
      </x:c>
    </x:row>
    <x:row r="145" ht="22" customHeight="1">
      <x:c r="A145" s="19" t="n">
        <x:v>1</x:v>
      </x:c>
      <x:c r="B145" s="19" t="str">
        <x:v>tower_defense_formal</x:v>
      </x:c>
      <x:c r="C145" s="19" t="str">
        <x:v>wave_08</x:v>
      </x:c>
      <x:c r="D145" s="19" t="n">
        <x:v>8</x:v>
      </x:c>
      <x:c r="E145" s="19" t="n">
        <x:v>2</x:v>
      </x:c>
      <x:c r="F145" s="19" t="n">
        <x:v>4</x:v>
      </x:c>
      <x:c r="G145" s="19" t="str">
        <x:f>'第2日'!$B$90</x:f>
        <x:v>第8波 沼泽合围</x:v>
      </x:c>
      <x:c r="H145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5" s="19" t="n">
        <x:f>'第2日'!$H$90</x:f>
        <x:v>0.3</x:v>
      </x:c>
      <x:c r="J145" s="19" t="n">
        <x:f>'第2日'!$J$90</x:f>
        <x:v>1</x:v>
      </x:c>
      <x:c r="K145" s="19" t="n">
        <x:f>'第2日'!$L$90</x:f>
        <x:v>64</x:v>
      </x:c>
      <x:c r="L145" s="19" t="str">
        <x:v>res://resources/audio/shenmu_swamp_combat.ogg</x:v>
      </x:c>
      <x:c r="M145" s="19" t="str">
        <x:v>res://resources/audio/shenmu_swamp_intermission.ogg</x:v>
      </x:c>
      <x:c r="N145" s="19" t="n">
        <x:v>15</x:v>
      </x:c>
      <x:c r="O145" s="19" t="n">
        <x:f>'第2日'!$B$108</x:f>
        <x:v>0</x:v>
      </x:c>
      <x:c r="P145" s="19" t="str">
        <x:f>'第2日'!$E$108</x:f>
      </x:c>
      <x:c r="Q145" s="19" t="n">
        <x:f>'第2日'!$C$108</x:f>
        <x:v>0</x:v>
      </x:c>
      <x:c r="R145" s="19" t="str">
        <x:f>IF(P145="","",IF(ISNUMBER('第2日'!$D$108),'第2日'!$D$108,IF(VLOOKUP(O145,'敌人目录'!$A$6:$S$54,14,FALSE)&lt;&gt;VLOOKUP(O145,'敌人目录'!$A$6:$S$54,13,FALSE),VLOOKUP(O145,'敌人目录'!$A$6:$S$54,14,FALSE),-1)))</x:f>
      </x:c>
      <x:c r="S145" s="19" t="n">
        <x:f>'第2日'!$U$108</x:f>
        <x:v>0</x:v>
      </x:c>
      <x:c r="T145" s="19" t="str">
        <x:f>'第2日'!$N$90</x:f>
        <x:v>可导入</x:v>
      </x:c>
    </x:row>
    <x:row r="146" ht="22" customHeight="1">
      <x:c r="A146" s="19" t="n">
        <x:v>1</x:v>
      </x:c>
      <x:c r="B146" s="19" t="str">
        <x:v>tower_defense_formal</x:v>
      </x:c>
      <x:c r="C146" s="19" t="str">
        <x:v>wave_08</x:v>
      </x:c>
      <x:c r="D146" s="19" t="n">
        <x:v>8</x:v>
      </x:c>
      <x:c r="E146" s="19" t="n">
        <x:v>2</x:v>
      </x:c>
      <x:c r="F146" s="19" t="n">
        <x:v>4</x:v>
      </x:c>
      <x:c r="G146" s="19" t="str">
        <x:f>'第2日'!$B$90</x:f>
        <x:v>第8波 沼泽合围</x:v>
      </x:c>
      <x:c r="H146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6" s="19" t="n">
        <x:f>'第2日'!$H$90</x:f>
        <x:v>0.3</x:v>
      </x:c>
      <x:c r="J146" s="19" t="n">
        <x:f>'第2日'!$J$90</x:f>
        <x:v>1</x:v>
      </x:c>
      <x:c r="K146" s="19" t="n">
        <x:f>'第2日'!$L$90</x:f>
        <x:v>64</x:v>
      </x:c>
      <x:c r="L146" s="19" t="str">
        <x:v>res://resources/audio/shenmu_swamp_combat.ogg</x:v>
      </x:c>
      <x:c r="M146" s="19" t="str">
        <x:v>res://resources/audio/shenmu_swamp_intermission.ogg</x:v>
      </x:c>
      <x:c r="N146" s="19" t="n">
        <x:v>16</x:v>
      </x:c>
      <x:c r="O146" s="19" t="n">
        <x:f>'第2日'!$B$109</x:f>
        <x:v>0</x:v>
      </x:c>
      <x:c r="P146" s="19" t="str">
        <x:f>'第2日'!$E$109</x:f>
      </x:c>
      <x:c r="Q146" s="19" t="n">
        <x:f>'第2日'!$C$109</x:f>
        <x:v>0</x:v>
      </x:c>
      <x:c r="R146" s="19" t="str">
        <x:f>IF(P146="","",IF(ISNUMBER('第2日'!$D$109),'第2日'!$D$109,IF(VLOOKUP(O146,'敌人目录'!$A$6:$S$54,14,FALSE)&lt;&gt;VLOOKUP(O146,'敌人目录'!$A$6:$S$54,13,FALSE),VLOOKUP(O146,'敌人目录'!$A$6:$S$54,14,FALSE),-1)))</x:f>
      </x:c>
      <x:c r="S146" s="19" t="n">
        <x:f>'第2日'!$U$109</x:f>
        <x:v>0</x:v>
      </x:c>
      <x:c r="T146" s="19" t="str">
        <x:f>'第2日'!$N$90</x:f>
        <x:v>可导入</x:v>
      </x:c>
    </x:row>
    <x:row r="147" ht="22" customHeight="1">
      <x:c r="A147" s="19" t="n">
        <x:v>1</x:v>
      </x:c>
      <x:c r="B147" s="19" t="str">
        <x:v>tower_defense_formal</x:v>
      </x:c>
      <x:c r="C147" s="19" t="str">
        <x:v>wave_08</x:v>
      </x:c>
      <x:c r="D147" s="19" t="n">
        <x:v>8</x:v>
      </x:c>
      <x:c r="E147" s="19" t="n">
        <x:v>2</x:v>
      </x:c>
      <x:c r="F147" s="19" t="n">
        <x:v>4</x:v>
      </x:c>
      <x:c r="G147" s="19" t="str">
        <x:f>'第2日'!$B$90</x:f>
        <x:v>第8波 沼泽合围</x:v>
      </x:c>
      <x:c r="H147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7" s="19" t="n">
        <x:f>'第2日'!$H$90</x:f>
        <x:v>0.3</x:v>
      </x:c>
      <x:c r="J147" s="19" t="n">
        <x:f>'第2日'!$J$90</x:f>
        <x:v>1</x:v>
      </x:c>
      <x:c r="K147" s="19" t="n">
        <x:f>'第2日'!$L$90</x:f>
        <x:v>64</x:v>
      </x:c>
      <x:c r="L147" s="19" t="str">
        <x:v>res://resources/audio/shenmu_swamp_combat.ogg</x:v>
      </x:c>
      <x:c r="M147" s="19" t="str">
        <x:v>res://resources/audio/shenmu_swamp_intermission.ogg</x:v>
      </x:c>
      <x:c r="N147" s="19" t="n">
        <x:v>17</x:v>
      </x:c>
      <x:c r="O147" s="19" t="n">
        <x:f>'第2日'!$B$110</x:f>
        <x:v>0</x:v>
      </x:c>
      <x:c r="P147" s="19" t="str">
        <x:f>'第2日'!$E$110</x:f>
      </x:c>
      <x:c r="Q147" s="19" t="n">
        <x:f>'第2日'!$C$110</x:f>
        <x:v>0</x:v>
      </x:c>
      <x:c r="R147" s="19" t="str">
        <x:f>IF(P147="","",IF(ISNUMBER('第2日'!$D$110),'第2日'!$D$110,IF(VLOOKUP(O147,'敌人目录'!$A$6:$S$54,14,FALSE)&lt;&gt;VLOOKUP(O147,'敌人目录'!$A$6:$S$54,13,FALSE),VLOOKUP(O147,'敌人目录'!$A$6:$S$54,14,FALSE),-1)))</x:f>
      </x:c>
      <x:c r="S147" s="19" t="n">
        <x:f>'第2日'!$U$110</x:f>
        <x:v>0</x:v>
      </x:c>
      <x:c r="T147" s="19" t="str">
        <x:f>'第2日'!$N$90</x:f>
        <x:v>可导入</x:v>
      </x:c>
    </x:row>
    <x:row r="148" ht="22" customHeight="1">
      <x:c r="A148" s="19" t="n">
        <x:v>1</x:v>
      </x:c>
      <x:c r="B148" s="19" t="str">
        <x:v>tower_defense_formal</x:v>
      </x:c>
      <x:c r="C148" s="19" t="str">
        <x:v>wave_08</x:v>
      </x:c>
      <x:c r="D148" s="19" t="n">
        <x:v>8</x:v>
      </x:c>
      <x:c r="E148" s="19" t="n">
        <x:v>2</x:v>
      </x:c>
      <x:c r="F148" s="19" t="n">
        <x:v>4</x:v>
      </x:c>
      <x:c r="G148" s="19" t="str">
        <x:f>'第2日'!$B$90</x:f>
        <x:v>第8波 沼泽合围</x:v>
      </x:c>
      <x:c r="H148" s="19" t="n">
        <x:f>IF('第2日'!$B$91="开启",1,0)+IF('第2日'!$C$91="开启",2,0)+IF('第2日'!$D$91="开启",4,0)+IF('第2日'!$E$91="开启",8,0)+IF('第2日'!$F$91="开启",16,0)+IF('第2日'!$G$91="开启",32,0)</x:f>
        <x:v>63</x:v>
      </x:c>
      <x:c r="I148" s="19" t="n">
        <x:f>'第2日'!$H$90</x:f>
        <x:v>0.3</x:v>
      </x:c>
      <x:c r="J148" s="19" t="n">
        <x:f>'第2日'!$J$90</x:f>
        <x:v>1</x:v>
      </x:c>
      <x:c r="K148" s="19" t="n">
        <x:f>'第2日'!$L$90</x:f>
        <x:v>64</x:v>
      </x:c>
      <x:c r="L148" s="19" t="str">
        <x:v>res://resources/audio/shenmu_swamp_combat.ogg</x:v>
      </x:c>
      <x:c r="M148" s="19" t="str">
        <x:v>res://resources/audio/shenmu_swamp_intermission.ogg</x:v>
      </x:c>
      <x:c r="N148" s="19" t="n">
        <x:v>18</x:v>
      </x:c>
      <x:c r="O148" s="19" t="n">
        <x:f>'第2日'!$B$111</x:f>
        <x:v>0</x:v>
      </x:c>
      <x:c r="P148" s="19" t="n">
        <x:f>'第2日'!$E$111</x:f>
        <x:v>0</x:v>
      </x:c>
      <x:c r="Q148" s="19" t="n">
        <x:f>'第2日'!$C$111</x:f>
        <x:v>0</x:v>
      </x:c>
      <x:c r="R148" s="19" t="str">
        <x:f>IF(P148="","",IF(ISNUMBER('第2日'!$D$111),'第2日'!$D$111,IF(VLOOKUP(O148,'敌人目录'!$A$6:$S$54,14,FALSE)&lt;&gt;VLOOKUP(O148,'敌人目录'!$A$6:$S$54,13,FALSE),VLOOKUP(O148,'敌人目录'!$A$6:$S$54,14,FALSE),-1)))</x:f>
      </x:c>
      <x:c r="S148" s="19" t="n">
        <x:f>'第2日'!$U$111</x:f>
        <x:v>0</x:v>
      </x:c>
      <x:c r="T148" s="19" t="str">
        <x:f>'第2日'!$N$90</x:f>
        <x:v>可导入</x:v>
      </x:c>
    </x:row>
    <x:row r="149" ht="22" customHeight="1">
      <x:c r="A149" s="19" t="n">
        <x:v>1</x:v>
      </x:c>
      <x:c r="B149" s="19" t="str">
        <x:v>tower_defense_formal</x:v>
      </x:c>
      <x:c r="C149" s="19" t="str">
        <x:v>wave_09</x:v>
      </x:c>
      <x:c r="D149" s="19" t="n">
        <x:v>9</x:v>
      </x:c>
      <x:c r="E149" s="19" t="n">
        <x:v>3</x:v>
      </x:c>
      <x:c r="F149" s="19" t="n">
        <x:v>1</x:v>
      </x:c>
      <x:c r="G149" s="19" t="str">
        <x:f>'第3日'!$B$3</x:f>
        <x:v>第9波 城镇前锋</x:v>
      </x:c>
      <x:c r="H149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49" s="19" t="n">
        <x:f>'第3日'!$H$3</x:f>
        <x:v>0.28</x:v>
      </x:c>
      <x:c r="J149" s="19" t="n">
        <x:f>'第3日'!$J$3</x:f>
        <x:v>1</x:v>
      </x:c>
      <x:c r="K149" s="19" t="n">
        <x:f>'第3日'!$L$3</x:f>
        <x:v>72</x:v>
      </x:c>
      <x:c r="L149" s="19" t="str">
        <x:v>res://resources/audio/shenmu_town_combat.ogg</x:v>
      </x:c>
      <x:c r="M149" s="19" t="str">
        <x:v>res://resources/audio/shenmu_town_intermission.ogg</x:v>
      </x:c>
      <x:c r="N149" s="19" t="n">
        <x:v>1</x:v>
      </x:c>
      <x:c r="O149" s="19" t="str">
        <x:f>'第3日'!$B$7</x:f>
        <x:v>yuanshi_insect_basic｜普通原石虫</x:v>
      </x:c>
      <x:c r="P149" s="19" t="str">
        <x:f>'第3日'!$E$7</x:f>
        <x:v>yuanshi_insect_basic</x:v>
      </x:c>
      <x:c r="Q149" s="19" t="n">
        <x:f>'第3日'!$C$7</x:f>
        <x:v>26</x:v>
      </x:c>
      <x:c r="R149" s="19" t="n">
        <x:f>IF(P149="","",IF(ISNUMBER('第3日'!$D$7),'第3日'!$D$7,IF(VLOOKUP(O149,'敌人目录'!$A$6:$S$54,14,FALSE)&lt;&gt;VLOOKUP(O149,'敌人目录'!$A$6:$S$54,13,FALSE),VLOOKUP(O149,'敌人目录'!$A$6:$S$54,14,FALSE),-1)))</x:f>
        <x:v>-1</x:v>
      </x:c>
      <x:c r="S149" s="19" t="str">
        <x:f>'第3日'!$U$7</x:f>
        <x:v>可导入</x:v>
      </x:c>
      <x:c r="T149" s="19" t="str">
        <x:f>'第3日'!$N$3</x:f>
        <x:v>可导入</x:v>
      </x:c>
    </x:row>
    <x:row r="150" ht="22" customHeight="1">
      <x:c r="A150" s="19" t="n">
        <x:v>1</x:v>
      </x:c>
      <x:c r="B150" s="19" t="str">
        <x:v>tower_defense_formal</x:v>
      </x:c>
      <x:c r="C150" s="19" t="str">
        <x:v>wave_09</x:v>
      </x:c>
      <x:c r="D150" s="19" t="n">
        <x:v>9</x:v>
      </x:c>
      <x:c r="E150" s="19" t="n">
        <x:v>3</x:v>
      </x:c>
      <x:c r="F150" s="19" t="n">
        <x:v>1</x:v>
      </x:c>
      <x:c r="G150" s="19" t="str">
        <x:f>'第3日'!$B$3</x:f>
        <x:v>第9波 城镇前锋</x:v>
      </x:c>
      <x:c r="H150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0" s="19" t="n">
        <x:f>'第3日'!$H$3</x:f>
        <x:v>0.28</x:v>
      </x:c>
      <x:c r="J150" s="19" t="n">
        <x:f>'第3日'!$J$3</x:f>
        <x:v>1</x:v>
      </x:c>
      <x:c r="K150" s="19" t="n">
        <x:f>'第3日'!$L$3</x:f>
        <x:v>72</x:v>
      </x:c>
      <x:c r="L150" s="19" t="str">
        <x:v>res://resources/audio/shenmu_town_combat.ogg</x:v>
      </x:c>
      <x:c r="M150" s="19" t="str">
        <x:v>res://resources/audio/shenmu_town_intermission.ogg</x:v>
      </x:c>
      <x:c r="N150" s="19" t="n">
        <x:v>2</x:v>
      </x:c>
      <x:c r="O150" s="19" t="str">
        <x:f>'第3日'!$B$8</x:f>
        <x:v>yuanshi_insect_fast｜迅捷原石虫</x:v>
      </x:c>
      <x:c r="P150" s="19" t="str">
        <x:f>'第3日'!$E$8</x:f>
        <x:v>yuanshi_insect_fast</x:v>
      </x:c>
      <x:c r="Q150" s="19" t="n">
        <x:f>'第3日'!$C$8</x:f>
        <x:v>20</x:v>
      </x:c>
      <x:c r="R150" s="19" t="n">
        <x:f>IF(P150="","",IF(ISNUMBER('第3日'!$D$8),'第3日'!$D$8,IF(VLOOKUP(O150,'敌人目录'!$A$6:$S$54,14,FALSE)&lt;&gt;VLOOKUP(O150,'敌人目录'!$A$6:$S$54,13,FALSE),VLOOKUP(O150,'敌人目录'!$A$6:$S$54,14,FALSE),-1)))</x:f>
        <x:v>-1</x:v>
      </x:c>
      <x:c r="S150" s="19" t="str">
        <x:f>'第3日'!$U$8</x:f>
        <x:v>可导入</x:v>
      </x:c>
      <x:c r="T150" s="19" t="str">
        <x:f>'第3日'!$N$3</x:f>
        <x:v>可导入</x:v>
      </x:c>
    </x:row>
    <x:row r="151" ht="22" customHeight="1">
      <x:c r="A151" s="19" t="n">
        <x:v>1</x:v>
      </x:c>
      <x:c r="B151" s="19" t="str">
        <x:v>tower_defense_formal</x:v>
      </x:c>
      <x:c r="C151" s="19" t="str">
        <x:v>wave_09</x:v>
      </x:c>
      <x:c r="D151" s="19" t="n">
        <x:v>9</x:v>
      </x:c>
      <x:c r="E151" s="19" t="n">
        <x:v>3</x:v>
      </x:c>
      <x:c r="F151" s="19" t="n">
        <x:v>1</x:v>
      </x:c>
      <x:c r="G151" s="19" t="str">
        <x:f>'第3日'!$B$3</x:f>
        <x:v>第9波 城镇前锋</x:v>
      </x:c>
      <x:c r="H151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1" s="19" t="n">
        <x:f>'第3日'!$H$3</x:f>
        <x:v>0.28</x:v>
      </x:c>
      <x:c r="J151" s="19" t="n">
        <x:f>'第3日'!$J$3</x:f>
        <x:v>1</x:v>
      </x:c>
      <x:c r="K151" s="19" t="n">
        <x:f>'第3日'!$L$3</x:f>
        <x:v>72</x:v>
      </x:c>
      <x:c r="L151" s="19" t="str">
        <x:v>res://resources/audio/shenmu_town_combat.ogg</x:v>
      </x:c>
      <x:c r="M151" s="19" t="str">
        <x:v>res://resources/audio/shenmu_town_intermission.ogg</x:v>
      </x:c>
      <x:c r="N151" s="19" t="n">
        <x:v>3</x:v>
      </x:c>
      <x:c r="O151" s="19" t="str">
        <x:f>'第3日'!$B$9</x:f>
        <x:v>yuanshi_insect_shell｜硬壳原石虫</x:v>
      </x:c>
      <x:c r="P151" s="19" t="str">
        <x:f>'第3日'!$E$9</x:f>
        <x:v>yuanshi_insect_shell</x:v>
      </x:c>
      <x:c r="Q151" s="19" t="n">
        <x:f>'第3日'!$C$9</x:f>
        <x:v>20</x:v>
      </x:c>
      <x:c r="R151" s="19" t="n">
        <x:f>IF(P151="","",IF(ISNUMBER('第3日'!$D$9),'第3日'!$D$9,IF(VLOOKUP(O151,'敌人目录'!$A$6:$S$54,14,FALSE)&lt;&gt;VLOOKUP(O151,'敌人目录'!$A$6:$S$54,13,FALSE),VLOOKUP(O151,'敌人目录'!$A$6:$S$54,14,FALSE),-1)))</x:f>
        <x:v>-1</x:v>
      </x:c>
      <x:c r="S151" s="19" t="str">
        <x:f>'第3日'!$U$9</x:f>
        <x:v>可导入</x:v>
      </x:c>
      <x:c r="T151" s="19" t="str">
        <x:f>'第3日'!$N$3</x:f>
        <x:v>可导入</x:v>
      </x:c>
    </x:row>
    <x:row r="152" ht="22" customHeight="1">
      <x:c r="A152" s="19" t="n">
        <x:v>1</x:v>
      </x:c>
      <x:c r="B152" s="19" t="str">
        <x:v>tower_defense_formal</x:v>
      </x:c>
      <x:c r="C152" s="19" t="str">
        <x:v>wave_09</x:v>
      </x:c>
      <x:c r="D152" s="19" t="n">
        <x:v>9</x:v>
      </x:c>
      <x:c r="E152" s="19" t="n">
        <x:v>3</x:v>
      </x:c>
      <x:c r="F152" s="19" t="n">
        <x:v>1</x:v>
      </x:c>
      <x:c r="G152" s="19" t="str">
        <x:f>'第3日'!$B$3</x:f>
        <x:v>第9波 城镇前锋</x:v>
      </x:c>
      <x:c r="H152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2" s="19" t="n">
        <x:f>'第3日'!$H$3</x:f>
        <x:v>0.28</x:v>
      </x:c>
      <x:c r="J152" s="19" t="n">
        <x:f>'第3日'!$J$3</x:f>
        <x:v>1</x:v>
      </x:c>
      <x:c r="K152" s="19" t="n">
        <x:f>'第3日'!$L$3</x:f>
        <x:v>72</x:v>
      </x:c>
      <x:c r="L152" s="19" t="str">
        <x:v>res://resources/audio/shenmu_town_combat.ogg</x:v>
      </x:c>
      <x:c r="M152" s="19" t="str">
        <x:v>res://resources/audio/shenmu_town_intermission.ogg</x:v>
      </x:c>
      <x:c r="N152" s="19" t="n">
        <x:v>4</x:v>
      </x:c>
      <x:c r="O152" s="19" t="str">
        <x:f>'第3日'!$B$10</x:f>
        <x:v>yuanshi_insect_bomber｜自爆原石虫</x:v>
      </x:c>
      <x:c r="P152" s="19" t="str">
        <x:f>'第3日'!$E$10</x:f>
        <x:v>yuanshi_insect_bomber</x:v>
      </x:c>
      <x:c r="Q152" s="19" t="n">
        <x:f>'第3日'!$C$10</x:f>
        <x:v>16</x:v>
      </x:c>
      <x:c r="R152" s="19" t="n">
        <x:f>IF(P152="","",IF(ISNUMBER('第3日'!$D$10),'第3日'!$D$10,IF(VLOOKUP(O152,'敌人目录'!$A$6:$S$54,14,FALSE)&lt;&gt;VLOOKUP(O152,'敌人目录'!$A$6:$S$54,13,FALSE),VLOOKUP(O152,'敌人目录'!$A$6:$S$54,14,FALSE),-1)))</x:f>
        <x:v>-1</x:v>
      </x:c>
      <x:c r="S152" s="19" t="str">
        <x:f>'第3日'!$U$10</x:f>
        <x:v>可导入</x:v>
      </x:c>
      <x:c r="T152" s="19" t="str">
        <x:f>'第3日'!$N$3</x:f>
        <x:v>可导入</x:v>
      </x:c>
    </x:row>
    <x:row r="153" ht="22" customHeight="1">
      <x:c r="A153" s="19" t="n">
        <x:v>1</x:v>
      </x:c>
      <x:c r="B153" s="19" t="str">
        <x:v>tower_defense_formal</x:v>
      </x:c>
      <x:c r="C153" s="19" t="str">
        <x:v>wave_09</x:v>
      </x:c>
      <x:c r="D153" s="19" t="n">
        <x:v>9</x:v>
      </x:c>
      <x:c r="E153" s="19" t="n">
        <x:v>3</x:v>
      </x:c>
      <x:c r="F153" s="19" t="n">
        <x:v>1</x:v>
      </x:c>
      <x:c r="G153" s="19" t="str">
        <x:f>'第3日'!$B$3</x:f>
        <x:v>第9波 城镇前锋</x:v>
      </x:c>
      <x:c r="H153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3" s="19" t="n">
        <x:f>'第3日'!$H$3</x:f>
        <x:v>0.28</x:v>
      </x:c>
      <x:c r="J153" s="19" t="n">
        <x:f>'第3日'!$J$3</x:f>
        <x:v>1</x:v>
      </x:c>
      <x:c r="K153" s="19" t="n">
        <x:f>'第3日'!$L$3</x:f>
        <x:v>72</x:v>
      </x:c>
      <x:c r="L153" s="19" t="str">
        <x:v>res://resources/audio/shenmu_town_combat.ogg</x:v>
      </x:c>
      <x:c r="M153" s="19" t="str">
        <x:v>res://resources/audio/shenmu_town_intermission.ogg</x:v>
      </x:c>
      <x:c r="N153" s="19" t="n">
        <x:v>5</x:v>
      </x:c>
      <x:c r="O153" s="19" t="str">
        <x:f>'第3日'!$B$11</x:f>
        <x:v>yuanshi_insect_purple_bomber｜紫晶自爆原石虫</x:v>
      </x:c>
      <x:c r="P153" s="19" t="str">
        <x:f>'第3日'!$E$11</x:f>
        <x:v>yuanshi_insect_purple_bomber</x:v>
      </x:c>
      <x:c r="Q153" s="19" t="n">
        <x:f>'第3日'!$C$11</x:f>
        <x:v>12</x:v>
      </x:c>
      <x:c r="R153" s="19" t="n">
        <x:f>IF(P153="","",IF(ISNUMBER('第3日'!$D$11),'第3日'!$D$11,IF(VLOOKUP(O153,'敌人目录'!$A$6:$S$54,14,FALSE)&lt;&gt;VLOOKUP(O153,'敌人目录'!$A$6:$S$54,13,FALSE),VLOOKUP(O153,'敌人目录'!$A$6:$S$54,14,FALSE),-1)))</x:f>
        <x:v>-1</x:v>
      </x:c>
      <x:c r="S153" s="19" t="str">
        <x:f>'第3日'!$U$11</x:f>
        <x:v>可导入</x:v>
      </x:c>
      <x:c r="T153" s="19" t="str">
        <x:f>'第3日'!$N$3</x:f>
        <x:v>可导入</x:v>
      </x:c>
    </x:row>
    <x:row r="154" ht="22" customHeight="1">
      <x:c r="A154" s="19" t="n">
        <x:v>1</x:v>
      </x:c>
      <x:c r="B154" s="19" t="str">
        <x:v>tower_defense_formal</x:v>
      </x:c>
      <x:c r="C154" s="19" t="str">
        <x:v>wave_09</x:v>
      </x:c>
      <x:c r="D154" s="19" t="n">
        <x:v>9</x:v>
      </x:c>
      <x:c r="E154" s="19" t="n">
        <x:v>3</x:v>
      </x:c>
      <x:c r="F154" s="19" t="n">
        <x:v>1</x:v>
      </x:c>
      <x:c r="G154" s="19" t="str">
        <x:f>'第3日'!$B$3</x:f>
        <x:v>第9波 城镇前锋</x:v>
      </x:c>
      <x:c r="H154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4" s="19" t="n">
        <x:f>'第3日'!$H$3</x:f>
        <x:v>0.28</x:v>
      </x:c>
      <x:c r="J154" s="19" t="n">
        <x:f>'第3日'!$J$3</x:f>
        <x:v>1</x:v>
      </x:c>
      <x:c r="K154" s="19" t="n">
        <x:f>'第3日'!$L$3</x:f>
        <x:v>72</x:v>
      </x:c>
      <x:c r="L154" s="19" t="str">
        <x:v>res://resources/audio/shenmu_town_combat.ogg</x:v>
      </x:c>
      <x:c r="M154" s="19" t="str">
        <x:v>res://resources/audio/shenmu_town_intermission.ogg</x:v>
      </x:c>
      <x:c r="N154" s="19" t="n">
        <x:v>6</x:v>
      </x:c>
      <x:c r="O154" s="19" t="str">
        <x:f>'第3日'!$B$12</x:f>
        <x:v>yuanshi_insect_fire_ranged｜火焰弹原石虫</x:v>
      </x:c>
      <x:c r="P154" s="19" t="str">
        <x:f>'第3日'!$E$12</x:f>
        <x:v>yuanshi_insect_fire_ranged</x:v>
      </x:c>
      <x:c r="Q154" s="19" t="n">
        <x:f>'第3日'!$C$12</x:f>
        <x:v>20</x:v>
      </x:c>
      <x:c r="R154" s="19" t="n">
        <x:f>IF(P154="","",IF(ISNUMBER('第3日'!$D$12),'第3日'!$D$12,IF(VLOOKUP(O154,'敌人目录'!$A$6:$S$54,14,FALSE)&lt;&gt;VLOOKUP(O154,'敌人目录'!$A$6:$S$54,13,FALSE),VLOOKUP(O154,'敌人目录'!$A$6:$S$54,14,FALSE),-1)))</x:f>
        <x:v>-1</x:v>
      </x:c>
      <x:c r="S154" s="19" t="str">
        <x:f>'第3日'!$U$12</x:f>
        <x:v>可导入</x:v>
      </x:c>
      <x:c r="T154" s="19" t="str">
        <x:f>'第3日'!$N$3</x:f>
        <x:v>可导入</x:v>
      </x:c>
    </x:row>
    <x:row r="155" ht="22" customHeight="1">
      <x:c r="A155" s="19" t="n">
        <x:v>1</x:v>
      </x:c>
      <x:c r="B155" s="19" t="str">
        <x:v>tower_defense_formal</x:v>
      </x:c>
      <x:c r="C155" s="19" t="str">
        <x:v>wave_09</x:v>
      </x:c>
      <x:c r="D155" s="19" t="n">
        <x:v>9</x:v>
      </x:c>
      <x:c r="E155" s="19" t="n">
        <x:v>3</x:v>
      </x:c>
      <x:c r="F155" s="19" t="n">
        <x:v>1</x:v>
      </x:c>
      <x:c r="G155" s="19" t="str">
        <x:f>'第3日'!$B$3</x:f>
        <x:v>第9波 城镇前锋</x:v>
      </x:c>
      <x:c r="H155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5" s="19" t="n">
        <x:f>'第3日'!$H$3</x:f>
        <x:v>0.28</x:v>
      </x:c>
      <x:c r="J155" s="19" t="n">
        <x:f>'第3日'!$J$3</x:f>
        <x:v>1</x:v>
      </x:c>
      <x:c r="K155" s="19" t="n">
        <x:f>'第3日'!$L$3</x:f>
        <x:v>72</x:v>
      </x:c>
      <x:c r="L155" s="19" t="str">
        <x:v>res://resources/audio/shenmu_town_combat.ogg</x:v>
      </x:c>
      <x:c r="M155" s="19" t="str">
        <x:v>res://resources/audio/shenmu_town_intermission.ogg</x:v>
      </x:c>
      <x:c r="N155" s="19" t="n">
        <x:v>7</x:v>
      </x:c>
      <x:c r="O155" s="19" t="str">
        <x:f>'第3日'!$B$13</x:f>
        <x:v>yuanshi_insect_green_shell｜翠壳原石虫</x:v>
      </x:c>
      <x:c r="P155" s="19" t="str">
        <x:f>'第3日'!$E$13</x:f>
        <x:v>yuanshi_insect_green_shell</x:v>
      </x:c>
      <x:c r="Q155" s="19" t="n">
        <x:f>'第3日'!$C$13</x:f>
        <x:v>16</x:v>
      </x:c>
      <x:c r="R155" s="19" t="n">
        <x:f>IF(P155="","",IF(ISNUMBER('第3日'!$D$13),'第3日'!$D$13,IF(VLOOKUP(O155,'敌人目录'!$A$6:$S$54,14,FALSE)&lt;&gt;VLOOKUP(O155,'敌人目录'!$A$6:$S$54,13,FALSE),VLOOKUP(O155,'敌人目录'!$A$6:$S$54,14,FALSE),-1)))</x:f>
        <x:v>-1</x:v>
      </x:c>
      <x:c r="S155" s="19" t="str">
        <x:f>'第3日'!$U$13</x:f>
        <x:v>可导入</x:v>
      </x:c>
      <x:c r="T155" s="19" t="str">
        <x:f>'第3日'!$N$3</x:f>
        <x:v>可导入</x:v>
      </x:c>
    </x:row>
    <x:row r="156" ht="22" customHeight="1">
      <x:c r="A156" s="19" t="n">
        <x:v>1</x:v>
      </x:c>
      <x:c r="B156" s="19" t="str">
        <x:v>tower_defense_formal</x:v>
      </x:c>
      <x:c r="C156" s="19" t="str">
        <x:v>wave_09</x:v>
      </x:c>
      <x:c r="D156" s="19" t="n">
        <x:v>9</x:v>
      </x:c>
      <x:c r="E156" s="19" t="n">
        <x:v>3</x:v>
      </x:c>
      <x:c r="F156" s="19" t="n">
        <x:v>1</x:v>
      </x:c>
      <x:c r="G156" s="19" t="str">
        <x:f>'第3日'!$B$3</x:f>
        <x:v>第9波 城镇前锋</x:v>
      </x:c>
      <x:c r="H156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6" s="19" t="n">
        <x:f>'第3日'!$H$3</x:f>
        <x:v>0.28</x:v>
      </x:c>
      <x:c r="J156" s="19" t="n">
        <x:f>'第3日'!$J$3</x:f>
        <x:v>1</x:v>
      </x:c>
      <x:c r="K156" s="19" t="n">
        <x:f>'第3日'!$L$3</x:f>
        <x:v>72</x:v>
      </x:c>
      <x:c r="L156" s="19" t="str">
        <x:v>res://resources/audio/shenmu_town_combat.ogg</x:v>
      </x:c>
      <x:c r="M156" s="19" t="str">
        <x:v>res://resources/audio/shenmu_town_intermission.ogg</x:v>
      </x:c>
      <x:c r="N156" s="19" t="n">
        <x:v>8</x:v>
      </x:c>
      <x:c r="O156" s="19" t="str">
        <x:f>'第3日'!$B$14</x:f>
        <x:v>yuanshi_insect_guardian｜守护者原石虫</x:v>
      </x:c>
      <x:c r="P156" s="19" t="str">
        <x:f>'第3日'!$E$14</x:f>
        <x:v>yuanshi_insect_guardian</x:v>
      </x:c>
      <x:c r="Q156" s="19" t="n">
        <x:f>'第3日'!$C$14</x:f>
        <x:v>12</x:v>
      </x:c>
      <x:c r="R156" s="19" t="n">
        <x:f>IF(P156="","",IF(ISNUMBER('第3日'!$D$14),'第3日'!$D$14,IF(VLOOKUP(O156,'敌人目录'!$A$6:$S$54,14,FALSE)&lt;&gt;VLOOKUP(O156,'敌人目录'!$A$6:$S$54,13,FALSE),VLOOKUP(O156,'敌人目录'!$A$6:$S$54,14,FALSE),-1)))</x:f>
        <x:v>-1</x:v>
      </x:c>
      <x:c r="S156" s="19" t="str">
        <x:f>'第3日'!$U$14</x:f>
        <x:v>可导入</x:v>
      </x:c>
      <x:c r="T156" s="19" t="str">
        <x:f>'第3日'!$N$3</x:f>
        <x:v>可导入</x:v>
      </x:c>
    </x:row>
    <x:row r="157" ht="22" customHeight="1">
      <x:c r="A157" s="19" t="n">
        <x:v>1</x:v>
      </x:c>
      <x:c r="B157" s="19" t="str">
        <x:v>tower_defense_formal</x:v>
      </x:c>
      <x:c r="C157" s="19" t="str">
        <x:v>wave_09</x:v>
      </x:c>
      <x:c r="D157" s="19" t="n">
        <x:v>9</x:v>
      </x:c>
      <x:c r="E157" s="19" t="n">
        <x:v>3</x:v>
      </x:c>
      <x:c r="F157" s="19" t="n">
        <x:v>1</x:v>
      </x:c>
      <x:c r="G157" s="19" t="str">
        <x:f>'第3日'!$B$3</x:f>
        <x:v>第9波 城镇前锋</x:v>
      </x:c>
      <x:c r="H157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7" s="19" t="n">
        <x:f>'第3日'!$H$3</x:f>
        <x:v>0.28</x:v>
      </x:c>
      <x:c r="J157" s="19" t="n">
        <x:f>'第3日'!$J$3</x:f>
        <x:v>1</x:v>
      </x:c>
      <x:c r="K157" s="19" t="n">
        <x:f>'第3日'!$L$3</x:f>
        <x:v>72</x:v>
      </x:c>
      <x:c r="L157" s="19" t="str">
        <x:v>res://resources/audio/shenmu_town_combat.ogg</x:v>
      </x:c>
      <x:c r="M157" s="19" t="str">
        <x:v>res://resources/audio/shenmu_town_intermission.ogg</x:v>
      </x:c>
      <x:c r="N157" s="19" t="n">
        <x:v>9</x:v>
      </x:c>
      <x:c r="O157" s="19" t="str">
        <x:f>'第3日'!$B$15</x:f>
        <x:v>capoo_knight｜骑士猫猫虫</x:v>
      </x:c>
      <x:c r="P157" s="19" t="str">
        <x:f>'第3日'!$E$15</x:f>
        <x:v>capoo_knight</x:v>
      </x:c>
      <x:c r="Q157" s="19" t="n">
        <x:f>'第3日'!$C$15</x:f>
        <x:v>2</x:v>
      </x:c>
      <x:c r="R157" s="19" t="n">
        <x:f>IF(P157="","",IF(ISNUMBER('第3日'!$D$15),'第3日'!$D$15,IF(VLOOKUP(O157,'敌人目录'!$A$6:$S$54,14,FALSE)&lt;&gt;VLOOKUP(O157,'敌人目录'!$A$6:$S$54,13,FALSE),VLOOKUP(O157,'敌人目录'!$A$6:$S$54,14,FALSE),-1)))</x:f>
        <x:v>-1</x:v>
      </x:c>
      <x:c r="S157" s="19" t="str">
        <x:f>'第3日'!$U$15</x:f>
        <x:v>可导入</x:v>
      </x:c>
      <x:c r="T157" s="19" t="str">
        <x:f>'第3日'!$N$3</x:f>
        <x:v>可导入</x:v>
      </x:c>
    </x:row>
    <x:row r="158" ht="22" customHeight="1">
      <x:c r="A158" s="19" t="n">
        <x:v>1</x:v>
      </x:c>
      <x:c r="B158" s="19" t="str">
        <x:v>tower_defense_formal</x:v>
      </x:c>
      <x:c r="C158" s="19" t="str">
        <x:v>wave_09</x:v>
      </x:c>
      <x:c r="D158" s="19" t="n">
        <x:v>9</x:v>
      </x:c>
      <x:c r="E158" s="19" t="n">
        <x:v>3</x:v>
      </x:c>
      <x:c r="F158" s="19" t="n">
        <x:v>1</x:v>
      </x:c>
      <x:c r="G158" s="19" t="str">
        <x:f>'第3日'!$B$3</x:f>
        <x:v>第9波 城镇前锋</x:v>
      </x:c>
      <x:c r="H158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8" s="19" t="n">
        <x:f>'第3日'!$H$3</x:f>
        <x:v>0.28</x:v>
      </x:c>
      <x:c r="J158" s="19" t="n">
        <x:f>'第3日'!$J$3</x:f>
        <x:v>1</x:v>
      </x:c>
      <x:c r="K158" s="19" t="n">
        <x:f>'第3日'!$L$3</x:f>
        <x:v>72</x:v>
      </x:c>
      <x:c r="L158" s="19" t="str">
        <x:v>res://resources/audio/shenmu_town_combat.ogg</x:v>
      </x:c>
      <x:c r="M158" s="19" t="str">
        <x:v>res://resources/audio/shenmu_town_intermission.ogg</x:v>
      </x:c>
      <x:c r="N158" s="19" t="n">
        <x:v>10</x:v>
      </x:c>
      <x:c r="O158" s="19" t="n">
        <x:f>'第3日'!$B$16</x:f>
        <x:v>0</x:v>
      </x:c>
      <x:c r="P158" s="19" t="str">
        <x:f>'第3日'!$E$16</x:f>
      </x:c>
      <x:c r="Q158" s="19" t="n">
        <x:f>'第3日'!$C$16</x:f>
        <x:v>0</x:v>
      </x:c>
      <x:c r="R158" s="19" t="str">
        <x:f>IF(P158="","",IF(ISNUMBER('第3日'!$D$16),'第3日'!$D$16,IF(VLOOKUP(O158,'敌人目录'!$A$6:$S$54,14,FALSE)&lt;&gt;VLOOKUP(O158,'敌人目录'!$A$6:$S$54,13,FALSE),VLOOKUP(O158,'敌人目录'!$A$6:$S$54,14,FALSE),-1)))</x:f>
      </x:c>
      <x:c r="S158" s="19" t="n">
        <x:f>'第3日'!$U$16</x:f>
        <x:v>0</x:v>
      </x:c>
      <x:c r="T158" s="19" t="str">
        <x:f>'第3日'!$N$3</x:f>
        <x:v>可导入</x:v>
      </x:c>
    </x:row>
    <x:row r="159" ht="22" customHeight="1">
      <x:c r="A159" s="19" t="n">
        <x:v>1</x:v>
      </x:c>
      <x:c r="B159" s="19" t="str">
        <x:v>tower_defense_formal</x:v>
      </x:c>
      <x:c r="C159" s="19" t="str">
        <x:v>wave_09</x:v>
      </x:c>
      <x:c r="D159" s="19" t="n">
        <x:v>9</x:v>
      </x:c>
      <x:c r="E159" s="19" t="n">
        <x:v>3</x:v>
      </x:c>
      <x:c r="F159" s="19" t="n">
        <x:v>1</x:v>
      </x:c>
      <x:c r="G159" s="19" t="str">
        <x:f>'第3日'!$B$3</x:f>
        <x:v>第9波 城镇前锋</x:v>
      </x:c>
      <x:c r="H159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59" s="19" t="n">
        <x:f>'第3日'!$H$3</x:f>
        <x:v>0.28</x:v>
      </x:c>
      <x:c r="J159" s="19" t="n">
        <x:f>'第3日'!$J$3</x:f>
        <x:v>1</x:v>
      </x:c>
      <x:c r="K159" s="19" t="n">
        <x:f>'第3日'!$L$3</x:f>
        <x:v>72</x:v>
      </x:c>
      <x:c r="L159" s="19" t="str">
        <x:v>res://resources/audio/shenmu_town_combat.ogg</x:v>
      </x:c>
      <x:c r="M159" s="19" t="str">
        <x:v>res://resources/audio/shenmu_town_intermission.ogg</x:v>
      </x:c>
      <x:c r="N159" s="19" t="n">
        <x:v>11</x:v>
      </x:c>
      <x:c r="O159" s="19" t="n">
        <x:f>'第3日'!$B$17</x:f>
        <x:v>0</x:v>
      </x:c>
      <x:c r="P159" s="19" t="str">
        <x:f>'第3日'!$E$17</x:f>
      </x:c>
      <x:c r="Q159" s="19" t="n">
        <x:f>'第3日'!$C$17</x:f>
        <x:v>0</x:v>
      </x:c>
      <x:c r="R159" s="19" t="str">
        <x:f>IF(P159="","",IF(ISNUMBER('第3日'!$D$17),'第3日'!$D$17,IF(VLOOKUP(O159,'敌人目录'!$A$6:$S$54,14,FALSE)&lt;&gt;VLOOKUP(O159,'敌人目录'!$A$6:$S$54,13,FALSE),VLOOKUP(O159,'敌人目录'!$A$6:$S$54,14,FALSE),-1)))</x:f>
      </x:c>
      <x:c r="S159" s="19" t="n">
        <x:f>'第3日'!$U$17</x:f>
        <x:v>0</x:v>
      </x:c>
      <x:c r="T159" s="19" t="str">
        <x:f>'第3日'!$N$3</x:f>
        <x:v>可导入</x:v>
      </x:c>
    </x:row>
    <x:row r="160" ht="22" customHeight="1">
      <x:c r="A160" s="19" t="n">
        <x:v>1</x:v>
      </x:c>
      <x:c r="B160" s="19" t="str">
        <x:v>tower_defense_formal</x:v>
      </x:c>
      <x:c r="C160" s="19" t="str">
        <x:v>wave_09</x:v>
      </x:c>
      <x:c r="D160" s="19" t="n">
        <x:v>9</x:v>
      </x:c>
      <x:c r="E160" s="19" t="n">
        <x:v>3</x:v>
      </x:c>
      <x:c r="F160" s="19" t="n">
        <x:v>1</x:v>
      </x:c>
      <x:c r="G160" s="19" t="str">
        <x:f>'第3日'!$B$3</x:f>
        <x:v>第9波 城镇前锋</x:v>
      </x:c>
      <x:c r="H160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60" s="19" t="n">
        <x:f>'第3日'!$H$3</x:f>
        <x:v>0.28</x:v>
      </x:c>
      <x:c r="J160" s="19" t="n">
        <x:f>'第3日'!$J$3</x:f>
        <x:v>1</x:v>
      </x:c>
      <x:c r="K160" s="19" t="n">
        <x:f>'第3日'!$L$3</x:f>
        <x:v>72</x:v>
      </x:c>
      <x:c r="L160" s="19" t="str">
        <x:v>res://resources/audio/shenmu_town_combat.ogg</x:v>
      </x:c>
      <x:c r="M160" s="19" t="str">
        <x:v>res://resources/audio/shenmu_town_intermission.ogg</x:v>
      </x:c>
      <x:c r="N160" s="19" t="n">
        <x:v>12</x:v>
      </x:c>
      <x:c r="O160" s="19" t="n">
        <x:f>'第3日'!$B$18</x:f>
        <x:v>0</x:v>
      </x:c>
      <x:c r="P160" s="19" t="str">
        <x:f>'第3日'!$E$18</x:f>
      </x:c>
      <x:c r="Q160" s="19" t="n">
        <x:f>'第3日'!$C$18</x:f>
        <x:v>0</x:v>
      </x:c>
      <x:c r="R160" s="19" t="str">
        <x:f>IF(P160="","",IF(ISNUMBER('第3日'!$D$18),'第3日'!$D$18,IF(VLOOKUP(O160,'敌人目录'!$A$6:$S$54,14,FALSE)&lt;&gt;VLOOKUP(O160,'敌人目录'!$A$6:$S$54,13,FALSE),VLOOKUP(O160,'敌人目录'!$A$6:$S$54,14,FALSE),-1)))</x:f>
      </x:c>
      <x:c r="S160" s="19" t="n">
        <x:f>'第3日'!$U$18</x:f>
        <x:v>0</x:v>
      </x:c>
      <x:c r="T160" s="19" t="str">
        <x:f>'第3日'!$N$3</x:f>
        <x:v>可导入</x:v>
      </x:c>
    </x:row>
    <x:row r="161" ht="22" customHeight="1">
      <x:c r="A161" s="19" t="n">
        <x:v>1</x:v>
      </x:c>
      <x:c r="B161" s="19" t="str">
        <x:v>tower_defense_formal</x:v>
      </x:c>
      <x:c r="C161" s="19" t="str">
        <x:v>wave_09</x:v>
      </x:c>
      <x:c r="D161" s="19" t="n">
        <x:v>9</x:v>
      </x:c>
      <x:c r="E161" s="19" t="n">
        <x:v>3</x:v>
      </x:c>
      <x:c r="F161" s="19" t="n">
        <x:v>1</x:v>
      </x:c>
      <x:c r="G161" s="19" t="str">
        <x:f>'第3日'!$B$3</x:f>
        <x:v>第9波 城镇前锋</x:v>
      </x:c>
      <x:c r="H161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61" s="19" t="n">
        <x:f>'第3日'!$H$3</x:f>
        <x:v>0.28</x:v>
      </x:c>
      <x:c r="J161" s="19" t="n">
        <x:f>'第3日'!$J$3</x:f>
        <x:v>1</x:v>
      </x:c>
      <x:c r="K161" s="19" t="n">
        <x:f>'第3日'!$L$3</x:f>
        <x:v>72</x:v>
      </x:c>
      <x:c r="L161" s="19" t="str">
        <x:v>res://resources/audio/shenmu_town_combat.ogg</x:v>
      </x:c>
      <x:c r="M161" s="19" t="str">
        <x:v>res://resources/audio/shenmu_town_intermission.ogg</x:v>
      </x:c>
      <x:c r="N161" s="19" t="n">
        <x:v>13</x:v>
      </x:c>
      <x:c r="O161" s="19" t="n">
        <x:f>'第3日'!$B$19</x:f>
        <x:v>0</x:v>
      </x:c>
      <x:c r="P161" s="19" t="str">
        <x:f>'第3日'!$E$19</x:f>
      </x:c>
      <x:c r="Q161" s="19" t="n">
        <x:f>'第3日'!$C$19</x:f>
        <x:v>0</x:v>
      </x:c>
      <x:c r="R161" s="19" t="str">
        <x:f>IF(P161="","",IF(ISNUMBER('第3日'!$D$19),'第3日'!$D$19,IF(VLOOKUP(O161,'敌人目录'!$A$6:$S$54,14,FALSE)&lt;&gt;VLOOKUP(O161,'敌人目录'!$A$6:$S$54,13,FALSE),VLOOKUP(O161,'敌人目录'!$A$6:$S$54,14,FALSE),-1)))</x:f>
      </x:c>
      <x:c r="S161" s="19" t="n">
        <x:f>'第3日'!$U$19</x:f>
        <x:v>0</x:v>
      </x:c>
      <x:c r="T161" s="19" t="str">
        <x:f>'第3日'!$N$3</x:f>
        <x:v>可导入</x:v>
      </x:c>
    </x:row>
    <x:row r="162" ht="22" customHeight="1">
      <x:c r="A162" s="19" t="n">
        <x:v>1</x:v>
      </x:c>
      <x:c r="B162" s="19" t="str">
        <x:v>tower_defense_formal</x:v>
      </x:c>
      <x:c r="C162" s="19" t="str">
        <x:v>wave_09</x:v>
      </x:c>
      <x:c r="D162" s="19" t="n">
        <x:v>9</x:v>
      </x:c>
      <x:c r="E162" s="19" t="n">
        <x:v>3</x:v>
      </x:c>
      <x:c r="F162" s="19" t="n">
        <x:v>1</x:v>
      </x:c>
      <x:c r="G162" s="19" t="str">
        <x:f>'第3日'!$B$3</x:f>
        <x:v>第9波 城镇前锋</x:v>
      </x:c>
      <x:c r="H162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62" s="19" t="n">
        <x:f>'第3日'!$H$3</x:f>
        <x:v>0.28</x:v>
      </x:c>
      <x:c r="J162" s="19" t="n">
        <x:f>'第3日'!$J$3</x:f>
        <x:v>1</x:v>
      </x:c>
      <x:c r="K162" s="19" t="n">
        <x:f>'第3日'!$L$3</x:f>
        <x:v>72</x:v>
      </x:c>
      <x:c r="L162" s="19" t="str">
        <x:v>res://resources/audio/shenmu_town_combat.ogg</x:v>
      </x:c>
      <x:c r="M162" s="19" t="str">
        <x:v>res://resources/audio/shenmu_town_intermission.ogg</x:v>
      </x:c>
      <x:c r="N162" s="19" t="n">
        <x:v>14</x:v>
      </x:c>
      <x:c r="O162" s="19" t="n">
        <x:f>'第3日'!$B$20</x:f>
        <x:v>0</x:v>
      </x:c>
      <x:c r="P162" s="19" t="str">
        <x:f>'第3日'!$E$20</x:f>
      </x:c>
      <x:c r="Q162" s="19" t="n">
        <x:f>'第3日'!$C$20</x:f>
        <x:v>0</x:v>
      </x:c>
      <x:c r="R162" s="19" t="str">
        <x:f>IF(P162="","",IF(ISNUMBER('第3日'!$D$20),'第3日'!$D$20,IF(VLOOKUP(O162,'敌人目录'!$A$6:$S$54,14,FALSE)&lt;&gt;VLOOKUP(O162,'敌人目录'!$A$6:$S$54,13,FALSE),VLOOKUP(O162,'敌人目录'!$A$6:$S$54,14,FALSE),-1)))</x:f>
      </x:c>
      <x:c r="S162" s="19" t="n">
        <x:f>'第3日'!$U$20</x:f>
        <x:v>0</x:v>
      </x:c>
      <x:c r="T162" s="19" t="str">
        <x:f>'第3日'!$N$3</x:f>
        <x:v>可导入</x:v>
      </x:c>
    </x:row>
    <x:row r="163" ht="22" customHeight="1">
      <x:c r="A163" s="19" t="n">
        <x:v>1</x:v>
      </x:c>
      <x:c r="B163" s="19" t="str">
        <x:v>tower_defense_formal</x:v>
      </x:c>
      <x:c r="C163" s="19" t="str">
        <x:v>wave_09</x:v>
      </x:c>
      <x:c r="D163" s="19" t="n">
        <x:v>9</x:v>
      </x:c>
      <x:c r="E163" s="19" t="n">
        <x:v>3</x:v>
      </x:c>
      <x:c r="F163" s="19" t="n">
        <x:v>1</x:v>
      </x:c>
      <x:c r="G163" s="19" t="str">
        <x:f>'第3日'!$B$3</x:f>
        <x:v>第9波 城镇前锋</x:v>
      </x:c>
      <x:c r="H163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63" s="19" t="n">
        <x:f>'第3日'!$H$3</x:f>
        <x:v>0.28</x:v>
      </x:c>
      <x:c r="J163" s="19" t="n">
        <x:f>'第3日'!$J$3</x:f>
        <x:v>1</x:v>
      </x:c>
      <x:c r="K163" s="19" t="n">
        <x:f>'第3日'!$L$3</x:f>
        <x:v>72</x:v>
      </x:c>
      <x:c r="L163" s="19" t="str">
        <x:v>res://resources/audio/shenmu_town_combat.ogg</x:v>
      </x:c>
      <x:c r="M163" s="19" t="str">
        <x:v>res://resources/audio/shenmu_town_intermission.ogg</x:v>
      </x:c>
      <x:c r="N163" s="19" t="n">
        <x:v>15</x:v>
      </x:c>
      <x:c r="O163" s="19" t="n">
        <x:f>'第3日'!$B$21</x:f>
        <x:v>0</x:v>
      </x:c>
      <x:c r="P163" s="19" t="str">
        <x:f>'第3日'!$E$21</x:f>
      </x:c>
      <x:c r="Q163" s="19" t="n">
        <x:f>'第3日'!$C$21</x:f>
        <x:v>0</x:v>
      </x:c>
      <x:c r="R163" s="19" t="str">
        <x:f>IF(P163="","",IF(ISNUMBER('第3日'!$D$21),'第3日'!$D$21,IF(VLOOKUP(O163,'敌人目录'!$A$6:$S$54,14,FALSE)&lt;&gt;VLOOKUP(O163,'敌人目录'!$A$6:$S$54,13,FALSE),VLOOKUP(O163,'敌人目录'!$A$6:$S$54,14,FALSE),-1)))</x:f>
      </x:c>
      <x:c r="S163" s="19" t="n">
        <x:f>'第3日'!$U$21</x:f>
        <x:v>0</x:v>
      </x:c>
      <x:c r="T163" s="19" t="str">
        <x:f>'第3日'!$N$3</x:f>
        <x:v>可导入</x:v>
      </x:c>
    </x:row>
    <x:row r="164" ht="22" customHeight="1">
      <x:c r="A164" s="19" t="n">
        <x:v>1</x:v>
      </x:c>
      <x:c r="B164" s="19" t="str">
        <x:v>tower_defense_formal</x:v>
      </x:c>
      <x:c r="C164" s="19" t="str">
        <x:v>wave_09</x:v>
      </x:c>
      <x:c r="D164" s="19" t="n">
        <x:v>9</x:v>
      </x:c>
      <x:c r="E164" s="19" t="n">
        <x:v>3</x:v>
      </x:c>
      <x:c r="F164" s="19" t="n">
        <x:v>1</x:v>
      </x:c>
      <x:c r="G164" s="19" t="str">
        <x:f>'第3日'!$B$3</x:f>
        <x:v>第9波 城镇前锋</x:v>
      </x:c>
      <x:c r="H164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64" s="19" t="n">
        <x:f>'第3日'!$H$3</x:f>
        <x:v>0.28</x:v>
      </x:c>
      <x:c r="J164" s="19" t="n">
        <x:f>'第3日'!$J$3</x:f>
        <x:v>1</x:v>
      </x:c>
      <x:c r="K164" s="19" t="n">
        <x:f>'第3日'!$L$3</x:f>
        <x:v>72</x:v>
      </x:c>
      <x:c r="L164" s="19" t="str">
        <x:v>res://resources/audio/shenmu_town_combat.ogg</x:v>
      </x:c>
      <x:c r="M164" s="19" t="str">
        <x:v>res://resources/audio/shenmu_town_intermission.ogg</x:v>
      </x:c>
      <x:c r="N164" s="19" t="n">
        <x:v>16</x:v>
      </x:c>
      <x:c r="O164" s="19" t="n">
        <x:f>'第3日'!$B$22</x:f>
        <x:v>0</x:v>
      </x:c>
      <x:c r="P164" s="19" t="str">
        <x:f>'第3日'!$E$22</x:f>
      </x:c>
      <x:c r="Q164" s="19" t="n">
        <x:f>'第3日'!$C$22</x:f>
        <x:v>0</x:v>
      </x:c>
      <x:c r="R164" s="19" t="str">
        <x:f>IF(P164="","",IF(ISNUMBER('第3日'!$D$22),'第3日'!$D$22,IF(VLOOKUP(O164,'敌人目录'!$A$6:$S$54,14,FALSE)&lt;&gt;VLOOKUP(O164,'敌人目录'!$A$6:$S$54,13,FALSE),VLOOKUP(O164,'敌人目录'!$A$6:$S$54,14,FALSE),-1)))</x:f>
      </x:c>
      <x:c r="S164" s="19" t="n">
        <x:f>'第3日'!$U$22</x:f>
        <x:v>0</x:v>
      </x:c>
      <x:c r="T164" s="19" t="str">
        <x:f>'第3日'!$N$3</x:f>
        <x:v>可导入</x:v>
      </x:c>
    </x:row>
    <x:row r="165" ht="22" customHeight="1">
      <x:c r="A165" s="19" t="n">
        <x:v>1</x:v>
      </x:c>
      <x:c r="B165" s="19" t="str">
        <x:v>tower_defense_formal</x:v>
      </x:c>
      <x:c r="C165" s="19" t="str">
        <x:v>wave_09</x:v>
      </x:c>
      <x:c r="D165" s="19" t="n">
        <x:v>9</x:v>
      </x:c>
      <x:c r="E165" s="19" t="n">
        <x:v>3</x:v>
      </x:c>
      <x:c r="F165" s="19" t="n">
        <x:v>1</x:v>
      </x:c>
      <x:c r="G165" s="19" t="str">
        <x:f>'第3日'!$B$3</x:f>
        <x:v>第9波 城镇前锋</x:v>
      </x:c>
      <x:c r="H165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65" s="19" t="n">
        <x:f>'第3日'!$H$3</x:f>
        <x:v>0.28</x:v>
      </x:c>
      <x:c r="J165" s="19" t="n">
        <x:f>'第3日'!$J$3</x:f>
        <x:v>1</x:v>
      </x:c>
      <x:c r="K165" s="19" t="n">
        <x:f>'第3日'!$L$3</x:f>
        <x:v>72</x:v>
      </x:c>
      <x:c r="L165" s="19" t="str">
        <x:v>res://resources/audio/shenmu_town_combat.ogg</x:v>
      </x:c>
      <x:c r="M165" s="19" t="str">
        <x:v>res://resources/audio/shenmu_town_intermission.ogg</x:v>
      </x:c>
      <x:c r="N165" s="19" t="n">
        <x:v>17</x:v>
      </x:c>
      <x:c r="O165" s="19" t="n">
        <x:f>'第3日'!$B$23</x:f>
        <x:v>0</x:v>
      </x:c>
      <x:c r="P165" s="19" t="str">
        <x:f>'第3日'!$E$23</x:f>
      </x:c>
      <x:c r="Q165" s="19" t="n">
        <x:f>'第3日'!$C$23</x:f>
        <x:v>0</x:v>
      </x:c>
      <x:c r="R165" s="19" t="str">
        <x:f>IF(P165="","",IF(ISNUMBER('第3日'!$D$23),'第3日'!$D$23,IF(VLOOKUP(O165,'敌人目录'!$A$6:$S$54,14,FALSE)&lt;&gt;VLOOKUP(O165,'敌人目录'!$A$6:$S$54,13,FALSE),VLOOKUP(O165,'敌人目录'!$A$6:$S$54,14,FALSE),-1)))</x:f>
      </x:c>
      <x:c r="S165" s="19" t="n">
        <x:f>'第3日'!$U$23</x:f>
        <x:v>0</x:v>
      </x:c>
      <x:c r="T165" s="19" t="str">
        <x:f>'第3日'!$N$3</x:f>
        <x:v>可导入</x:v>
      </x:c>
    </x:row>
    <x:row r="166" ht="22" customHeight="1">
      <x:c r="A166" s="19" t="n">
        <x:v>1</x:v>
      </x:c>
      <x:c r="B166" s="19" t="str">
        <x:v>tower_defense_formal</x:v>
      </x:c>
      <x:c r="C166" s="19" t="str">
        <x:v>wave_09</x:v>
      </x:c>
      <x:c r="D166" s="19" t="n">
        <x:v>9</x:v>
      </x:c>
      <x:c r="E166" s="19" t="n">
        <x:v>3</x:v>
      </x:c>
      <x:c r="F166" s="19" t="n">
        <x:v>1</x:v>
      </x:c>
      <x:c r="G166" s="19" t="str">
        <x:f>'第3日'!$B$3</x:f>
        <x:v>第9波 城镇前锋</x:v>
      </x:c>
      <x:c r="H166" s="19" t="n">
        <x:f>IF('第3日'!$B$4="开启",1,0)+IF('第3日'!$C$4="开启",2,0)+IF('第3日'!$D$4="开启",4,0)+IF('第3日'!$E$4="开启",8,0)+IF('第3日'!$F$4="开启",16,0)+IF('第3日'!$G$4="开启",32,0)</x:f>
        <x:v>63</x:v>
      </x:c>
      <x:c r="I166" s="19" t="n">
        <x:f>'第3日'!$H$3</x:f>
        <x:v>0.28</x:v>
      </x:c>
      <x:c r="J166" s="19" t="n">
        <x:f>'第3日'!$J$3</x:f>
        <x:v>1</x:v>
      </x:c>
      <x:c r="K166" s="19" t="n">
        <x:f>'第3日'!$L$3</x:f>
        <x:v>72</x:v>
      </x:c>
      <x:c r="L166" s="19" t="str">
        <x:v>res://resources/audio/shenmu_town_combat.ogg</x:v>
      </x:c>
      <x:c r="M166" s="19" t="str">
        <x:v>res://resources/audio/shenmu_town_intermission.ogg</x:v>
      </x:c>
      <x:c r="N166" s="19" t="n">
        <x:v>18</x:v>
      </x:c>
      <x:c r="O166" s="19" t="n">
        <x:f>'第3日'!$B$24</x:f>
        <x:v>0</x:v>
      </x:c>
      <x:c r="P166" s="19" t="n">
        <x:f>'第3日'!$E$24</x:f>
        <x:v>0</x:v>
      </x:c>
      <x:c r="Q166" s="19" t="n">
        <x:f>'第3日'!$C$24</x:f>
        <x:v>0</x:v>
      </x:c>
      <x:c r="R166" s="19" t="str">
        <x:f>IF(P166="","",IF(ISNUMBER('第3日'!$D$24),'第3日'!$D$24,IF(VLOOKUP(O166,'敌人目录'!$A$6:$S$54,14,FALSE)&lt;&gt;VLOOKUP(O166,'敌人目录'!$A$6:$S$54,13,FALSE),VLOOKUP(O166,'敌人目录'!$A$6:$S$54,14,FALSE),-1)))</x:f>
      </x:c>
      <x:c r="S166" s="19" t="n">
        <x:f>'第3日'!$U$24</x:f>
        <x:v>0</x:v>
      </x:c>
      <x:c r="T166" s="19" t="str">
        <x:f>'第3日'!$N$3</x:f>
        <x:v>可导入</x:v>
      </x:c>
    </x:row>
    <x:row r="167" ht="22" customHeight="1">
      <x:c r="A167" s="19" t="n">
        <x:v>1</x:v>
      </x:c>
      <x:c r="B167" s="19" t="str">
        <x:v>tower_defense_formal</x:v>
      </x:c>
      <x:c r="C167" s="19" t="str">
        <x:v>wave_10</x:v>
      </x:c>
      <x:c r="D167" s="19" t="n">
        <x:v>10</x:v>
      </x:c>
      <x:c r="E167" s="19" t="n">
        <x:v>3</x:v>
      </x:c>
      <x:c r="F167" s="19" t="n">
        <x:v>2</x:v>
      </x:c>
      <x:c r="G167" s="19" t="str">
        <x:f>'第3日'!$B$32</x:f>
        <x:v>第10波 火力交叉</x:v>
      </x:c>
      <x:c r="H167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67" s="19" t="n">
        <x:f>'第3日'!$H$32</x:f>
        <x:v>0.26</x:v>
      </x:c>
      <x:c r="J167" s="19" t="n">
        <x:f>'第3日'!$J$32</x:f>
        <x:v>1</x:v>
      </x:c>
      <x:c r="K167" s="19" t="n">
        <x:f>'第3日'!$L$32</x:f>
        <x:v>80</x:v>
      </x:c>
      <x:c r="L167" s="19" t="str">
        <x:v>res://resources/audio/shenmu_town_combat.ogg</x:v>
      </x:c>
      <x:c r="M167" s="19" t="str">
        <x:v>res://resources/audio/shenmu_town_intermission.ogg</x:v>
      </x:c>
      <x:c r="N167" s="19" t="n">
        <x:v>1</x:v>
      </x:c>
      <x:c r="O167" s="19" t="str">
        <x:f>'第3日'!$B$36</x:f>
        <x:v>yuanshi_insect_basic｜普通原石虫</x:v>
      </x:c>
      <x:c r="P167" s="19" t="str">
        <x:f>'第3日'!$E$36</x:f>
        <x:v>yuanshi_insect_basic</x:v>
      </x:c>
      <x:c r="Q167" s="19" t="n">
        <x:f>'第3日'!$C$36</x:f>
        <x:v>20</x:v>
      </x:c>
      <x:c r="R167" s="19" t="n">
        <x:f>IF(P167="","",IF(ISNUMBER('第3日'!$D$36),'第3日'!$D$36,IF(VLOOKUP(O167,'敌人目录'!$A$6:$S$54,14,FALSE)&lt;&gt;VLOOKUP(O167,'敌人目录'!$A$6:$S$54,13,FALSE),VLOOKUP(O167,'敌人目录'!$A$6:$S$54,14,FALSE),-1)))</x:f>
        <x:v>-1</x:v>
      </x:c>
      <x:c r="S167" s="19" t="str">
        <x:f>'第3日'!$U$36</x:f>
        <x:v>可导入</x:v>
      </x:c>
      <x:c r="T167" s="19" t="str">
        <x:f>'第3日'!$N$32</x:f>
        <x:v>可导入</x:v>
      </x:c>
    </x:row>
    <x:row r="168" ht="22" customHeight="1">
      <x:c r="A168" s="19" t="n">
        <x:v>1</x:v>
      </x:c>
      <x:c r="B168" s="19" t="str">
        <x:v>tower_defense_formal</x:v>
      </x:c>
      <x:c r="C168" s="19" t="str">
        <x:v>wave_10</x:v>
      </x:c>
      <x:c r="D168" s="19" t="n">
        <x:v>10</x:v>
      </x:c>
      <x:c r="E168" s="19" t="n">
        <x:v>3</x:v>
      </x:c>
      <x:c r="F168" s="19" t="n">
        <x:v>2</x:v>
      </x:c>
      <x:c r="G168" s="19" t="str">
        <x:f>'第3日'!$B$32</x:f>
        <x:v>第10波 火力交叉</x:v>
      </x:c>
      <x:c r="H168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68" s="19" t="n">
        <x:f>'第3日'!$H$32</x:f>
        <x:v>0.26</x:v>
      </x:c>
      <x:c r="J168" s="19" t="n">
        <x:f>'第3日'!$J$32</x:f>
        <x:v>1</x:v>
      </x:c>
      <x:c r="K168" s="19" t="n">
        <x:f>'第3日'!$L$32</x:f>
        <x:v>80</x:v>
      </x:c>
      <x:c r="L168" s="19" t="str">
        <x:v>res://resources/audio/shenmu_town_combat.ogg</x:v>
      </x:c>
      <x:c r="M168" s="19" t="str">
        <x:v>res://resources/audio/shenmu_town_intermission.ogg</x:v>
      </x:c>
      <x:c r="N168" s="19" t="n">
        <x:v>2</x:v>
      </x:c>
      <x:c r="O168" s="19" t="str">
        <x:f>'第3日'!$B$37</x:f>
        <x:v>yuanshi_insect_fast｜迅捷原石虫</x:v>
      </x:c>
      <x:c r="P168" s="19" t="str">
        <x:f>'第3日'!$E$37</x:f>
        <x:v>yuanshi_insect_fast</x:v>
      </x:c>
      <x:c r="Q168" s="19" t="n">
        <x:f>'第3日'!$C$37</x:f>
        <x:v>24</x:v>
      </x:c>
      <x:c r="R168" s="19" t="n">
        <x:f>IF(P168="","",IF(ISNUMBER('第3日'!$D$37),'第3日'!$D$37,IF(VLOOKUP(O168,'敌人目录'!$A$6:$S$54,14,FALSE)&lt;&gt;VLOOKUP(O168,'敌人目录'!$A$6:$S$54,13,FALSE),VLOOKUP(O168,'敌人目录'!$A$6:$S$54,14,FALSE),-1)))</x:f>
        <x:v>-1</x:v>
      </x:c>
      <x:c r="S168" s="19" t="str">
        <x:f>'第3日'!$U$37</x:f>
        <x:v>可导入</x:v>
      </x:c>
      <x:c r="T168" s="19" t="str">
        <x:f>'第3日'!$N$32</x:f>
        <x:v>可导入</x:v>
      </x:c>
    </x:row>
    <x:row r="169" ht="22" customHeight="1">
      <x:c r="A169" s="19" t="n">
        <x:v>1</x:v>
      </x:c>
      <x:c r="B169" s="19" t="str">
        <x:v>tower_defense_formal</x:v>
      </x:c>
      <x:c r="C169" s="19" t="str">
        <x:v>wave_10</x:v>
      </x:c>
      <x:c r="D169" s="19" t="n">
        <x:v>10</x:v>
      </x:c>
      <x:c r="E169" s="19" t="n">
        <x:v>3</x:v>
      </x:c>
      <x:c r="F169" s="19" t="n">
        <x:v>2</x:v>
      </x:c>
      <x:c r="G169" s="19" t="str">
        <x:f>'第3日'!$B$32</x:f>
        <x:v>第10波 火力交叉</x:v>
      </x:c>
      <x:c r="H169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69" s="19" t="n">
        <x:f>'第3日'!$H$32</x:f>
        <x:v>0.26</x:v>
      </x:c>
      <x:c r="J169" s="19" t="n">
        <x:f>'第3日'!$J$32</x:f>
        <x:v>1</x:v>
      </x:c>
      <x:c r="K169" s="19" t="n">
        <x:f>'第3日'!$L$32</x:f>
        <x:v>80</x:v>
      </x:c>
      <x:c r="L169" s="19" t="str">
        <x:v>res://resources/audio/shenmu_town_combat.ogg</x:v>
      </x:c>
      <x:c r="M169" s="19" t="str">
        <x:v>res://resources/audio/shenmu_town_intermission.ogg</x:v>
      </x:c>
      <x:c r="N169" s="19" t="n">
        <x:v>3</x:v>
      </x:c>
      <x:c r="O169" s="19" t="str">
        <x:f>'第3日'!$B$38</x:f>
        <x:v>yuanshi_insect_shell｜硬壳原石虫</x:v>
      </x:c>
      <x:c r="P169" s="19" t="str">
        <x:f>'第3日'!$E$38</x:f>
        <x:v>yuanshi_insect_shell</x:v>
      </x:c>
      <x:c r="Q169" s="19" t="n">
        <x:f>'第3日'!$C$38</x:f>
        <x:v>24</x:v>
      </x:c>
      <x:c r="R169" s="19" t="n">
        <x:f>IF(P169="","",IF(ISNUMBER('第3日'!$D$38),'第3日'!$D$38,IF(VLOOKUP(O169,'敌人目录'!$A$6:$S$54,14,FALSE)&lt;&gt;VLOOKUP(O169,'敌人目录'!$A$6:$S$54,13,FALSE),VLOOKUP(O169,'敌人目录'!$A$6:$S$54,14,FALSE),-1)))</x:f>
        <x:v>-1</x:v>
      </x:c>
      <x:c r="S169" s="19" t="str">
        <x:f>'第3日'!$U$38</x:f>
        <x:v>可导入</x:v>
      </x:c>
      <x:c r="T169" s="19" t="str">
        <x:f>'第3日'!$N$32</x:f>
        <x:v>可导入</x:v>
      </x:c>
    </x:row>
    <x:row r="170" ht="22" customHeight="1">
      <x:c r="A170" s="19" t="n">
        <x:v>1</x:v>
      </x:c>
      <x:c r="B170" s="19" t="str">
        <x:v>tower_defense_formal</x:v>
      </x:c>
      <x:c r="C170" s="19" t="str">
        <x:v>wave_10</x:v>
      </x:c>
      <x:c r="D170" s="19" t="n">
        <x:v>10</x:v>
      </x:c>
      <x:c r="E170" s="19" t="n">
        <x:v>3</x:v>
      </x:c>
      <x:c r="F170" s="19" t="n">
        <x:v>2</x:v>
      </x:c>
      <x:c r="G170" s="19" t="str">
        <x:f>'第3日'!$B$32</x:f>
        <x:v>第10波 火力交叉</x:v>
      </x:c>
      <x:c r="H170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0" s="19" t="n">
        <x:f>'第3日'!$H$32</x:f>
        <x:v>0.26</x:v>
      </x:c>
      <x:c r="J170" s="19" t="n">
        <x:f>'第3日'!$J$32</x:f>
        <x:v>1</x:v>
      </x:c>
      <x:c r="K170" s="19" t="n">
        <x:f>'第3日'!$L$32</x:f>
        <x:v>80</x:v>
      </x:c>
      <x:c r="L170" s="19" t="str">
        <x:v>res://resources/audio/shenmu_town_combat.ogg</x:v>
      </x:c>
      <x:c r="M170" s="19" t="str">
        <x:v>res://resources/audio/shenmu_town_intermission.ogg</x:v>
      </x:c>
      <x:c r="N170" s="19" t="n">
        <x:v>4</x:v>
      </x:c>
      <x:c r="O170" s="19" t="str">
        <x:f>'第3日'!$B$39</x:f>
        <x:v>yuanshi_insect_bomber｜自爆原石虫</x:v>
      </x:c>
      <x:c r="P170" s="19" t="str">
        <x:f>'第3日'!$E$39</x:f>
        <x:v>yuanshi_insect_bomber</x:v>
      </x:c>
      <x:c r="Q170" s="19" t="n">
        <x:f>'第3日'!$C$39</x:f>
        <x:v>20</x:v>
      </x:c>
      <x:c r="R170" s="19" t="n">
        <x:f>IF(P170="","",IF(ISNUMBER('第3日'!$D$39),'第3日'!$D$39,IF(VLOOKUP(O170,'敌人目录'!$A$6:$S$54,14,FALSE)&lt;&gt;VLOOKUP(O170,'敌人目录'!$A$6:$S$54,13,FALSE),VLOOKUP(O170,'敌人目录'!$A$6:$S$54,14,FALSE),-1)))</x:f>
        <x:v>-1</x:v>
      </x:c>
      <x:c r="S170" s="19" t="str">
        <x:f>'第3日'!$U$39</x:f>
        <x:v>可导入</x:v>
      </x:c>
      <x:c r="T170" s="19" t="str">
        <x:f>'第3日'!$N$32</x:f>
        <x:v>可导入</x:v>
      </x:c>
    </x:row>
    <x:row r="171" ht="22" customHeight="1">
      <x:c r="A171" s="19" t="n">
        <x:v>1</x:v>
      </x:c>
      <x:c r="B171" s="19" t="str">
        <x:v>tower_defense_formal</x:v>
      </x:c>
      <x:c r="C171" s="19" t="str">
        <x:v>wave_10</x:v>
      </x:c>
      <x:c r="D171" s="19" t="n">
        <x:v>10</x:v>
      </x:c>
      <x:c r="E171" s="19" t="n">
        <x:v>3</x:v>
      </x:c>
      <x:c r="F171" s="19" t="n">
        <x:v>2</x:v>
      </x:c>
      <x:c r="G171" s="19" t="str">
        <x:f>'第3日'!$B$32</x:f>
        <x:v>第10波 火力交叉</x:v>
      </x:c>
      <x:c r="H171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1" s="19" t="n">
        <x:f>'第3日'!$H$32</x:f>
        <x:v>0.26</x:v>
      </x:c>
      <x:c r="J171" s="19" t="n">
        <x:f>'第3日'!$J$32</x:f>
        <x:v>1</x:v>
      </x:c>
      <x:c r="K171" s="19" t="n">
        <x:f>'第3日'!$L$32</x:f>
        <x:v>80</x:v>
      </x:c>
      <x:c r="L171" s="19" t="str">
        <x:v>res://resources/audio/shenmu_town_combat.ogg</x:v>
      </x:c>
      <x:c r="M171" s="19" t="str">
        <x:v>res://resources/audio/shenmu_town_intermission.ogg</x:v>
      </x:c>
      <x:c r="N171" s="19" t="n">
        <x:v>5</x:v>
      </x:c>
      <x:c r="O171" s="19" t="str">
        <x:f>'第3日'!$B$40</x:f>
        <x:v>yuanshi_insect_purple_bomber｜紫晶自爆原石虫</x:v>
      </x:c>
      <x:c r="P171" s="19" t="str">
        <x:f>'第3日'!$E$40</x:f>
        <x:v>yuanshi_insect_purple_bomber</x:v>
      </x:c>
      <x:c r="Q171" s="19" t="n">
        <x:f>'第3日'!$C$40</x:f>
        <x:v>16</x:v>
      </x:c>
      <x:c r="R171" s="19" t="n">
        <x:f>IF(P171="","",IF(ISNUMBER('第3日'!$D$40),'第3日'!$D$40,IF(VLOOKUP(O171,'敌人目录'!$A$6:$S$54,14,FALSE)&lt;&gt;VLOOKUP(O171,'敌人目录'!$A$6:$S$54,13,FALSE),VLOOKUP(O171,'敌人目录'!$A$6:$S$54,14,FALSE),-1)))</x:f>
        <x:v>-1</x:v>
      </x:c>
      <x:c r="S171" s="19" t="str">
        <x:f>'第3日'!$U$40</x:f>
        <x:v>可导入</x:v>
      </x:c>
      <x:c r="T171" s="19" t="str">
        <x:f>'第3日'!$N$32</x:f>
        <x:v>可导入</x:v>
      </x:c>
    </x:row>
    <x:row r="172" ht="22" customHeight="1">
      <x:c r="A172" s="19" t="n">
        <x:v>1</x:v>
      </x:c>
      <x:c r="B172" s="19" t="str">
        <x:v>tower_defense_formal</x:v>
      </x:c>
      <x:c r="C172" s="19" t="str">
        <x:v>wave_10</x:v>
      </x:c>
      <x:c r="D172" s="19" t="n">
        <x:v>10</x:v>
      </x:c>
      <x:c r="E172" s="19" t="n">
        <x:v>3</x:v>
      </x:c>
      <x:c r="F172" s="19" t="n">
        <x:v>2</x:v>
      </x:c>
      <x:c r="G172" s="19" t="str">
        <x:f>'第3日'!$B$32</x:f>
        <x:v>第10波 火力交叉</x:v>
      </x:c>
      <x:c r="H172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2" s="19" t="n">
        <x:f>'第3日'!$H$32</x:f>
        <x:v>0.26</x:v>
      </x:c>
      <x:c r="J172" s="19" t="n">
        <x:f>'第3日'!$J$32</x:f>
        <x:v>1</x:v>
      </x:c>
      <x:c r="K172" s="19" t="n">
        <x:f>'第3日'!$L$32</x:f>
        <x:v>80</x:v>
      </x:c>
      <x:c r="L172" s="19" t="str">
        <x:v>res://resources/audio/shenmu_town_combat.ogg</x:v>
      </x:c>
      <x:c r="M172" s="19" t="str">
        <x:v>res://resources/audio/shenmu_town_intermission.ogg</x:v>
      </x:c>
      <x:c r="N172" s="19" t="n">
        <x:v>6</x:v>
      </x:c>
      <x:c r="O172" s="19" t="str">
        <x:f>'第3日'!$B$41</x:f>
        <x:v>yuanshi_insect_fire_ranged｜火焰弹原石虫</x:v>
      </x:c>
      <x:c r="P172" s="19" t="str">
        <x:f>'第3日'!$E$41</x:f>
        <x:v>yuanshi_insect_fire_ranged</x:v>
      </x:c>
      <x:c r="Q172" s="19" t="n">
        <x:f>'第3日'!$C$41</x:f>
        <x:v>20</x:v>
      </x:c>
      <x:c r="R172" s="19" t="n">
        <x:f>IF(P172="","",IF(ISNUMBER('第3日'!$D$41),'第3日'!$D$41,IF(VLOOKUP(O172,'敌人目录'!$A$6:$S$54,14,FALSE)&lt;&gt;VLOOKUP(O172,'敌人目录'!$A$6:$S$54,13,FALSE),VLOOKUP(O172,'敌人目录'!$A$6:$S$54,14,FALSE),-1)))</x:f>
        <x:v>-1</x:v>
      </x:c>
      <x:c r="S172" s="19" t="str">
        <x:f>'第3日'!$U$41</x:f>
        <x:v>可导入</x:v>
      </x:c>
      <x:c r="T172" s="19" t="str">
        <x:f>'第3日'!$N$32</x:f>
        <x:v>可导入</x:v>
      </x:c>
    </x:row>
    <x:row r="173" ht="22" customHeight="1">
      <x:c r="A173" s="19" t="n">
        <x:v>1</x:v>
      </x:c>
      <x:c r="B173" s="19" t="str">
        <x:v>tower_defense_formal</x:v>
      </x:c>
      <x:c r="C173" s="19" t="str">
        <x:v>wave_10</x:v>
      </x:c>
      <x:c r="D173" s="19" t="n">
        <x:v>10</x:v>
      </x:c>
      <x:c r="E173" s="19" t="n">
        <x:v>3</x:v>
      </x:c>
      <x:c r="F173" s="19" t="n">
        <x:v>2</x:v>
      </x:c>
      <x:c r="G173" s="19" t="str">
        <x:f>'第3日'!$B$32</x:f>
        <x:v>第10波 火力交叉</x:v>
      </x:c>
      <x:c r="H173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3" s="19" t="n">
        <x:f>'第3日'!$H$32</x:f>
        <x:v>0.26</x:v>
      </x:c>
      <x:c r="J173" s="19" t="n">
        <x:f>'第3日'!$J$32</x:f>
        <x:v>1</x:v>
      </x:c>
      <x:c r="K173" s="19" t="n">
        <x:f>'第3日'!$L$32</x:f>
        <x:v>80</x:v>
      </x:c>
      <x:c r="L173" s="19" t="str">
        <x:v>res://resources/audio/shenmu_town_combat.ogg</x:v>
      </x:c>
      <x:c r="M173" s="19" t="str">
        <x:v>res://resources/audio/shenmu_town_intermission.ogg</x:v>
      </x:c>
      <x:c r="N173" s="19" t="n">
        <x:v>7</x:v>
      </x:c>
      <x:c r="O173" s="19" t="str">
        <x:f>'第3日'!$B$42</x:f>
        <x:v>yuanshi_insect_green_shell｜翠壳原石虫</x:v>
      </x:c>
      <x:c r="P173" s="19" t="str">
        <x:f>'第3日'!$E$42</x:f>
        <x:v>yuanshi_insect_green_shell</x:v>
      </x:c>
      <x:c r="Q173" s="19" t="n">
        <x:f>'第3日'!$C$42</x:f>
        <x:v>16</x:v>
      </x:c>
      <x:c r="R173" s="19" t="n">
        <x:f>IF(P173="","",IF(ISNUMBER('第3日'!$D$42),'第3日'!$D$42,IF(VLOOKUP(O173,'敌人目录'!$A$6:$S$54,14,FALSE)&lt;&gt;VLOOKUP(O173,'敌人目录'!$A$6:$S$54,13,FALSE),VLOOKUP(O173,'敌人目录'!$A$6:$S$54,14,FALSE),-1)))</x:f>
        <x:v>-1</x:v>
      </x:c>
      <x:c r="S173" s="19" t="str">
        <x:f>'第3日'!$U$42</x:f>
        <x:v>可导入</x:v>
      </x:c>
      <x:c r="T173" s="19" t="str">
        <x:f>'第3日'!$N$32</x:f>
        <x:v>可导入</x:v>
      </x:c>
    </x:row>
    <x:row r="174" ht="22" customHeight="1">
      <x:c r="A174" s="19" t="n">
        <x:v>1</x:v>
      </x:c>
      <x:c r="B174" s="19" t="str">
        <x:v>tower_defense_formal</x:v>
      </x:c>
      <x:c r="C174" s="19" t="str">
        <x:v>wave_10</x:v>
      </x:c>
      <x:c r="D174" s="19" t="n">
        <x:v>10</x:v>
      </x:c>
      <x:c r="E174" s="19" t="n">
        <x:v>3</x:v>
      </x:c>
      <x:c r="F174" s="19" t="n">
        <x:v>2</x:v>
      </x:c>
      <x:c r="G174" s="19" t="str">
        <x:f>'第3日'!$B$32</x:f>
        <x:v>第10波 火力交叉</x:v>
      </x:c>
      <x:c r="H174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4" s="19" t="n">
        <x:f>'第3日'!$H$32</x:f>
        <x:v>0.26</x:v>
      </x:c>
      <x:c r="J174" s="19" t="n">
        <x:f>'第3日'!$J$32</x:f>
        <x:v>1</x:v>
      </x:c>
      <x:c r="K174" s="19" t="n">
        <x:f>'第3日'!$L$32</x:f>
        <x:v>80</x:v>
      </x:c>
      <x:c r="L174" s="19" t="str">
        <x:v>res://resources/audio/shenmu_town_combat.ogg</x:v>
      </x:c>
      <x:c r="M174" s="19" t="str">
        <x:v>res://resources/audio/shenmu_town_intermission.ogg</x:v>
      </x:c>
      <x:c r="N174" s="19" t="n">
        <x:v>8</x:v>
      </x:c>
      <x:c r="O174" s="19" t="str">
        <x:f>'第3日'!$B$43</x:f>
        <x:v>yuanshi_insect_guardian｜守护者原石虫</x:v>
      </x:c>
      <x:c r="P174" s="19" t="str">
        <x:f>'第3日'!$E$43</x:f>
        <x:v>yuanshi_insect_guardian</x:v>
      </x:c>
      <x:c r="Q174" s="19" t="n">
        <x:f>'第3日'!$C$43</x:f>
        <x:v>16</x:v>
      </x:c>
      <x:c r="R174" s="19" t="n">
        <x:f>IF(P174="","",IF(ISNUMBER('第3日'!$D$43),'第3日'!$D$43,IF(VLOOKUP(O174,'敌人目录'!$A$6:$S$54,14,FALSE)&lt;&gt;VLOOKUP(O174,'敌人目录'!$A$6:$S$54,13,FALSE),VLOOKUP(O174,'敌人目录'!$A$6:$S$54,14,FALSE),-1)))</x:f>
        <x:v>-1</x:v>
      </x:c>
      <x:c r="S174" s="19" t="str">
        <x:f>'第3日'!$U$43</x:f>
        <x:v>可导入</x:v>
      </x:c>
      <x:c r="T174" s="19" t="str">
        <x:f>'第3日'!$N$32</x:f>
        <x:v>可导入</x:v>
      </x:c>
    </x:row>
    <x:row r="175" ht="22" customHeight="1">
      <x:c r="A175" s="19" t="n">
        <x:v>1</x:v>
      </x:c>
      <x:c r="B175" s="19" t="str">
        <x:v>tower_defense_formal</x:v>
      </x:c>
      <x:c r="C175" s="19" t="str">
        <x:v>wave_10</x:v>
      </x:c>
      <x:c r="D175" s="19" t="n">
        <x:v>10</x:v>
      </x:c>
      <x:c r="E175" s="19" t="n">
        <x:v>3</x:v>
      </x:c>
      <x:c r="F175" s="19" t="n">
        <x:v>2</x:v>
      </x:c>
      <x:c r="G175" s="19" t="str">
        <x:f>'第3日'!$B$32</x:f>
        <x:v>第10波 火力交叉</x:v>
      </x:c>
      <x:c r="H175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5" s="19" t="n">
        <x:f>'第3日'!$H$32</x:f>
        <x:v>0.26</x:v>
      </x:c>
      <x:c r="J175" s="19" t="n">
        <x:f>'第3日'!$J$32</x:f>
        <x:v>1</x:v>
      </x:c>
      <x:c r="K175" s="19" t="n">
        <x:f>'第3日'!$L$32</x:f>
        <x:v>80</x:v>
      </x:c>
      <x:c r="L175" s="19" t="str">
        <x:v>res://resources/audio/shenmu_town_combat.ogg</x:v>
      </x:c>
      <x:c r="M175" s="19" t="str">
        <x:v>res://resources/audio/shenmu_town_intermission.ogg</x:v>
      </x:c>
      <x:c r="N175" s="19" t="n">
        <x:v>9</x:v>
      </x:c>
      <x:c r="O175" s="19" t="str">
        <x:f>'第3日'!$B$44</x:f>
        <x:v>capoo_ak47｜AK猫猫虫</x:v>
      </x:c>
      <x:c r="P175" s="19" t="str">
        <x:f>'第3日'!$E$44</x:f>
        <x:v>capoo_ak47</x:v>
      </x:c>
      <x:c r="Q175" s="19" t="n">
        <x:f>'第3日'!$C$44</x:f>
        <x:v>2</x:v>
      </x:c>
      <x:c r="R175" s="19" t="n">
        <x:f>IF(P175="","",IF(ISNUMBER('第3日'!$D$44),'第3日'!$D$44,IF(VLOOKUP(O175,'敌人目录'!$A$6:$S$54,14,FALSE)&lt;&gt;VLOOKUP(O175,'敌人目录'!$A$6:$S$54,13,FALSE),VLOOKUP(O175,'敌人目录'!$A$6:$S$54,14,FALSE),-1)))</x:f>
        <x:v>-1</x:v>
      </x:c>
      <x:c r="S175" s="19" t="str">
        <x:f>'第3日'!$U$44</x:f>
        <x:v>可导入</x:v>
      </x:c>
      <x:c r="T175" s="19" t="str">
        <x:f>'第3日'!$N$32</x:f>
        <x:v>可导入</x:v>
      </x:c>
    </x:row>
    <x:row r="176" ht="22" customHeight="1">
      <x:c r="A176" s="19" t="n">
        <x:v>1</x:v>
      </x:c>
      <x:c r="B176" s="19" t="str">
        <x:v>tower_defense_formal</x:v>
      </x:c>
      <x:c r="C176" s="19" t="str">
        <x:v>wave_10</x:v>
      </x:c>
      <x:c r="D176" s="19" t="n">
        <x:v>10</x:v>
      </x:c>
      <x:c r="E176" s="19" t="n">
        <x:v>3</x:v>
      </x:c>
      <x:c r="F176" s="19" t="n">
        <x:v>2</x:v>
      </x:c>
      <x:c r="G176" s="19" t="str">
        <x:f>'第3日'!$B$32</x:f>
        <x:v>第10波 火力交叉</x:v>
      </x:c>
      <x:c r="H176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6" s="19" t="n">
        <x:f>'第3日'!$H$32</x:f>
        <x:v>0.26</x:v>
      </x:c>
      <x:c r="J176" s="19" t="n">
        <x:f>'第3日'!$J$32</x:f>
        <x:v>1</x:v>
      </x:c>
      <x:c r="K176" s="19" t="n">
        <x:f>'第3日'!$L$32</x:f>
        <x:v>80</x:v>
      </x:c>
      <x:c r="L176" s="19" t="str">
        <x:v>res://resources/audio/shenmu_town_combat.ogg</x:v>
      </x:c>
      <x:c r="M176" s="19" t="str">
        <x:v>res://resources/audio/shenmu_town_intermission.ogg</x:v>
      </x:c>
      <x:c r="N176" s="19" t="n">
        <x:v>10</x:v>
      </x:c>
      <x:c r="O176" s="19" t="str">
        <x:f>'第3日'!$B$45</x:f>
        <x:v>capoo_knight｜骑士猫猫虫</x:v>
      </x:c>
      <x:c r="P176" s="19" t="str">
        <x:f>'第3日'!$E$45</x:f>
        <x:v>capoo_knight</x:v>
      </x:c>
      <x:c r="Q176" s="19" t="n">
        <x:f>'第3日'!$C$45</x:f>
        <x:v>2</x:v>
      </x:c>
      <x:c r="R176" s="19" t="n">
        <x:f>IF(P176="","",IF(ISNUMBER('第3日'!$D$45),'第3日'!$D$45,IF(VLOOKUP(O176,'敌人目录'!$A$6:$S$54,14,FALSE)&lt;&gt;VLOOKUP(O176,'敌人目录'!$A$6:$S$54,13,FALSE),VLOOKUP(O176,'敌人目录'!$A$6:$S$54,14,FALSE),-1)))</x:f>
        <x:v>-1</x:v>
      </x:c>
      <x:c r="S176" s="19" t="str">
        <x:f>'第3日'!$U$45</x:f>
        <x:v>可导入</x:v>
      </x:c>
      <x:c r="T176" s="19" t="str">
        <x:f>'第3日'!$N$32</x:f>
        <x:v>可导入</x:v>
      </x:c>
    </x:row>
    <x:row r="177" ht="22" customHeight="1">
      <x:c r="A177" s="19" t="n">
        <x:v>1</x:v>
      </x:c>
      <x:c r="B177" s="19" t="str">
        <x:v>tower_defense_formal</x:v>
      </x:c>
      <x:c r="C177" s="19" t="str">
        <x:v>wave_10</x:v>
      </x:c>
      <x:c r="D177" s="19" t="n">
        <x:v>10</x:v>
      </x:c>
      <x:c r="E177" s="19" t="n">
        <x:v>3</x:v>
      </x:c>
      <x:c r="F177" s="19" t="n">
        <x:v>2</x:v>
      </x:c>
      <x:c r="G177" s="19" t="str">
        <x:f>'第3日'!$B$32</x:f>
        <x:v>第10波 火力交叉</x:v>
      </x:c>
      <x:c r="H177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7" s="19" t="n">
        <x:f>'第3日'!$H$32</x:f>
        <x:v>0.26</x:v>
      </x:c>
      <x:c r="J177" s="19" t="n">
        <x:f>'第3日'!$J$32</x:f>
        <x:v>1</x:v>
      </x:c>
      <x:c r="K177" s="19" t="n">
        <x:f>'第3日'!$L$32</x:f>
        <x:v>80</x:v>
      </x:c>
      <x:c r="L177" s="19" t="str">
        <x:v>res://resources/audio/shenmu_town_combat.ogg</x:v>
      </x:c>
      <x:c r="M177" s="19" t="str">
        <x:v>res://resources/audio/shenmu_town_intermission.ogg</x:v>
      </x:c>
      <x:c r="N177" s="19" t="n">
        <x:v>11</x:v>
      </x:c>
      <x:c r="O177" s="19" t="n">
        <x:f>'第3日'!$B$46</x:f>
        <x:v>0</x:v>
      </x:c>
      <x:c r="P177" s="19" t="str">
        <x:f>'第3日'!$E$46</x:f>
      </x:c>
      <x:c r="Q177" s="19" t="n">
        <x:f>'第3日'!$C$46</x:f>
        <x:v>0</x:v>
      </x:c>
      <x:c r="R177" s="19" t="str">
        <x:f>IF(P177="","",IF(ISNUMBER('第3日'!$D$46),'第3日'!$D$46,IF(VLOOKUP(O177,'敌人目录'!$A$6:$S$54,14,FALSE)&lt;&gt;VLOOKUP(O177,'敌人目录'!$A$6:$S$54,13,FALSE),VLOOKUP(O177,'敌人目录'!$A$6:$S$54,14,FALSE),-1)))</x:f>
      </x:c>
      <x:c r="S177" s="19" t="n">
        <x:f>'第3日'!$U$46</x:f>
        <x:v>0</x:v>
      </x:c>
      <x:c r="T177" s="19" t="str">
        <x:f>'第3日'!$N$32</x:f>
        <x:v>可导入</x:v>
      </x:c>
    </x:row>
    <x:row r="178" ht="22" customHeight="1">
      <x:c r="A178" s="19" t="n">
        <x:v>1</x:v>
      </x:c>
      <x:c r="B178" s="19" t="str">
        <x:v>tower_defense_formal</x:v>
      </x:c>
      <x:c r="C178" s="19" t="str">
        <x:v>wave_10</x:v>
      </x:c>
      <x:c r="D178" s="19" t="n">
        <x:v>10</x:v>
      </x:c>
      <x:c r="E178" s="19" t="n">
        <x:v>3</x:v>
      </x:c>
      <x:c r="F178" s="19" t="n">
        <x:v>2</x:v>
      </x:c>
      <x:c r="G178" s="19" t="str">
        <x:f>'第3日'!$B$32</x:f>
        <x:v>第10波 火力交叉</x:v>
      </x:c>
      <x:c r="H178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8" s="19" t="n">
        <x:f>'第3日'!$H$32</x:f>
        <x:v>0.26</x:v>
      </x:c>
      <x:c r="J178" s="19" t="n">
        <x:f>'第3日'!$J$32</x:f>
        <x:v>1</x:v>
      </x:c>
      <x:c r="K178" s="19" t="n">
        <x:f>'第3日'!$L$32</x:f>
        <x:v>80</x:v>
      </x:c>
      <x:c r="L178" s="19" t="str">
        <x:v>res://resources/audio/shenmu_town_combat.ogg</x:v>
      </x:c>
      <x:c r="M178" s="19" t="str">
        <x:v>res://resources/audio/shenmu_town_intermission.ogg</x:v>
      </x:c>
      <x:c r="N178" s="19" t="n">
        <x:v>12</x:v>
      </x:c>
      <x:c r="O178" s="19" t="n">
        <x:f>'第3日'!$B$47</x:f>
        <x:v>0</x:v>
      </x:c>
      <x:c r="P178" s="19" t="str">
        <x:f>'第3日'!$E$47</x:f>
      </x:c>
      <x:c r="Q178" s="19" t="n">
        <x:f>'第3日'!$C$47</x:f>
        <x:v>0</x:v>
      </x:c>
      <x:c r="R178" s="19" t="str">
        <x:f>IF(P178="","",IF(ISNUMBER('第3日'!$D$47),'第3日'!$D$47,IF(VLOOKUP(O178,'敌人目录'!$A$6:$S$54,14,FALSE)&lt;&gt;VLOOKUP(O178,'敌人目录'!$A$6:$S$54,13,FALSE),VLOOKUP(O178,'敌人目录'!$A$6:$S$54,14,FALSE),-1)))</x:f>
      </x:c>
      <x:c r="S178" s="19" t="n">
        <x:f>'第3日'!$U$47</x:f>
        <x:v>0</x:v>
      </x:c>
      <x:c r="T178" s="19" t="str">
        <x:f>'第3日'!$N$32</x:f>
        <x:v>可导入</x:v>
      </x:c>
    </x:row>
    <x:row r="179" ht="22" customHeight="1">
      <x:c r="A179" s="19" t="n">
        <x:v>1</x:v>
      </x:c>
      <x:c r="B179" s="19" t="str">
        <x:v>tower_defense_formal</x:v>
      </x:c>
      <x:c r="C179" s="19" t="str">
        <x:v>wave_10</x:v>
      </x:c>
      <x:c r="D179" s="19" t="n">
        <x:v>10</x:v>
      </x:c>
      <x:c r="E179" s="19" t="n">
        <x:v>3</x:v>
      </x:c>
      <x:c r="F179" s="19" t="n">
        <x:v>2</x:v>
      </x:c>
      <x:c r="G179" s="19" t="str">
        <x:f>'第3日'!$B$32</x:f>
        <x:v>第10波 火力交叉</x:v>
      </x:c>
      <x:c r="H179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79" s="19" t="n">
        <x:f>'第3日'!$H$32</x:f>
        <x:v>0.26</x:v>
      </x:c>
      <x:c r="J179" s="19" t="n">
        <x:f>'第3日'!$J$32</x:f>
        <x:v>1</x:v>
      </x:c>
      <x:c r="K179" s="19" t="n">
        <x:f>'第3日'!$L$32</x:f>
        <x:v>80</x:v>
      </x:c>
      <x:c r="L179" s="19" t="str">
        <x:v>res://resources/audio/shenmu_town_combat.ogg</x:v>
      </x:c>
      <x:c r="M179" s="19" t="str">
        <x:v>res://resources/audio/shenmu_town_intermission.ogg</x:v>
      </x:c>
      <x:c r="N179" s="19" t="n">
        <x:v>13</x:v>
      </x:c>
      <x:c r="O179" s="19" t="n">
        <x:f>'第3日'!$B$48</x:f>
        <x:v>0</x:v>
      </x:c>
      <x:c r="P179" s="19" t="str">
        <x:f>'第3日'!$E$48</x:f>
      </x:c>
      <x:c r="Q179" s="19" t="n">
        <x:f>'第3日'!$C$48</x:f>
        <x:v>0</x:v>
      </x:c>
      <x:c r="R179" s="19" t="str">
        <x:f>IF(P179="","",IF(ISNUMBER('第3日'!$D$48),'第3日'!$D$48,IF(VLOOKUP(O179,'敌人目录'!$A$6:$S$54,14,FALSE)&lt;&gt;VLOOKUP(O179,'敌人目录'!$A$6:$S$54,13,FALSE),VLOOKUP(O179,'敌人目录'!$A$6:$S$54,14,FALSE),-1)))</x:f>
      </x:c>
      <x:c r="S179" s="19" t="n">
        <x:f>'第3日'!$U$48</x:f>
        <x:v>0</x:v>
      </x:c>
      <x:c r="T179" s="19" t="str">
        <x:f>'第3日'!$N$32</x:f>
        <x:v>可导入</x:v>
      </x:c>
    </x:row>
    <x:row r="180" ht="22" customHeight="1">
      <x:c r="A180" s="19" t="n">
        <x:v>1</x:v>
      </x:c>
      <x:c r="B180" s="19" t="str">
        <x:v>tower_defense_formal</x:v>
      </x:c>
      <x:c r="C180" s="19" t="str">
        <x:v>wave_10</x:v>
      </x:c>
      <x:c r="D180" s="19" t="n">
        <x:v>10</x:v>
      </x:c>
      <x:c r="E180" s="19" t="n">
        <x:v>3</x:v>
      </x:c>
      <x:c r="F180" s="19" t="n">
        <x:v>2</x:v>
      </x:c>
      <x:c r="G180" s="19" t="str">
        <x:f>'第3日'!$B$32</x:f>
        <x:v>第10波 火力交叉</x:v>
      </x:c>
      <x:c r="H180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80" s="19" t="n">
        <x:f>'第3日'!$H$32</x:f>
        <x:v>0.26</x:v>
      </x:c>
      <x:c r="J180" s="19" t="n">
        <x:f>'第3日'!$J$32</x:f>
        <x:v>1</x:v>
      </x:c>
      <x:c r="K180" s="19" t="n">
        <x:f>'第3日'!$L$32</x:f>
        <x:v>80</x:v>
      </x:c>
      <x:c r="L180" s="19" t="str">
        <x:v>res://resources/audio/shenmu_town_combat.ogg</x:v>
      </x:c>
      <x:c r="M180" s="19" t="str">
        <x:v>res://resources/audio/shenmu_town_intermission.ogg</x:v>
      </x:c>
      <x:c r="N180" s="19" t="n">
        <x:v>14</x:v>
      </x:c>
      <x:c r="O180" s="19" t="n">
        <x:f>'第3日'!$B$49</x:f>
        <x:v>0</x:v>
      </x:c>
      <x:c r="P180" s="19" t="str">
        <x:f>'第3日'!$E$49</x:f>
      </x:c>
      <x:c r="Q180" s="19" t="n">
        <x:f>'第3日'!$C$49</x:f>
        <x:v>0</x:v>
      </x:c>
      <x:c r="R180" s="19" t="str">
        <x:f>IF(P180="","",IF(ISNUMBER('第3日'!$D$49),'第3日'!$D$49,IF(VLOOKUP(O180,'敌人目录'!$A$6:$S$54,14,FALSE)&lt;&gt;VLOOKUP(O180,'敌人目录'!$A$6:$S$54,13,FALSE),VLOOKUP(O180,'敌人目录'!$A$6:$S$54,14,FALSE),-1)))</x:f>
      </x:c>
      <x:c r="S180" s="19" t="n">
        <x:f>'第3日'!$U$49</x:f>
        <x:v>0</x:v>
      </x:c>
      <x:c r="T180" s="19" t="str">
        <x:f>'第3日'!$N$32</x:f>
        <x:v>可导入</x:v>
      </x:c>
    </x:row>
    <x:row r="181" ht="22" customHeight="1">
      <x:c r="A181" s="19" t="n">
        <x:v>1</x:v>
      </x:c>
      <x:c r="B181" s="19" t="str">
        <x:v>tower_defense_formal</x:v>
      </x:c>
      <x:c r="C181" s="19" t="str">
        <x:v>wave_10</x:v>
      </x:c>
      <x:c r="D181" s="19" t="n">
        <x:v>10</x:v>
      </x:c>
      <x:c r="E181" s="19" t="n">
        <x:v>3</x:v>
      </x:c>
      <x:c r="F181" s="19" t="n">
        <x:v>2</x:v>
      </x:c>
      <x:c r="G181" s="19" t="str">
        <x:f>'第3日'!$B$32</x:f>
        <x:v>第10波 火力交叉</x:v>
      </x:c>
      <x:c r="H181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81" s="19" t="n">
        <x:f>'第3日'!$H$32</x:f>
        <x:v>0.26</x:v>
      </x:c>
      <x:c r="J181" s="19" t="n">
        <x:f>'第3日'!$J$32</x:f>
        <x:v>1</x:v>
      </x:c>
      <x:c r="K181" s="19" t="n">
        <x:f>'第3日'!$L$32</x:f>
        <x:v>80</x:v>
      </x:c>
      <x:c r="L181" s="19" t="str">
        <x:v>res://resources/audio/shenmu_town_combat.ogg</x:v>
      </x:c>
      <x:c r="M181" s="19" t="str">
        <x:v>res://resources/audio/shenmu_town_intermission.ogg</x:v>
      </x:c>
      <x:c r="N181" s="19" t="n">
        <x:v>15</x:v>
      </x:c>
      <x:c r="O181" s="19" t="n">
        <x:f>'第3日'!$B$50</x:f>
        <x:v>0</x:v>
      </x:c>
      <x:c r="P181" s="19" t="str">
        <x:f>'第3日'!$E$50</x:f>
      </x:c>
      <x:c r="Q181" s="19" t="n">
        <x:f>'第3日'!$C$50</x:f>
        <x:v>0</x:v>
      </x:c>
      <x:c r="R181" s="19" t="str">
        <x:f>IF(P181="","",IF(ISNUMBER('第3日'!$D$50),'第3日'!$D$50,IF(VLOOKUP(O181,'敌人目录'!$A$6:$S$54,14,FALSE)&lt;&gt;VLOOKUP(O181,'敌人目录'!$A$6:$S$54,13,FALSE),VLOOKUP(O181,'敌人目录'!$A$6:$S$54,14,FALSE),-1)))</x:f>
      </x:c>
      <x:c r="S181" s="19" t="n">
        <x:f>'第3日'!$U$50</x:f>
        <x:v>0</x:v>
      </x:c>
      <x:c r="T181" s="19" t="str">
        <x:f>'第3日'!$N$32</x:f>
        <x:v>可导入</x:v>
      </x:c>
    </x:row>
    <x:row r="182" ht="22" customHeight="1">
      <x:c r="A182" s="19" t="n">
        <x:v>1</x:v>
      </x:c>
      <x:c r="B182" s="19" t="str">
        <x:v>tower_defense_formal</x:v>
      </x:c>
      <x:c r="C182" s="19" t="str">
        <x:v>wave_10</x:v>
      </x:c>
      <x:c r="D182" s="19" t="n">
        <x:v>10</x:v>
      </x:c>
      <x:c r="E182" s="19" t="n">
        <x:v>3</x:v>
      </x:c>
      <x:c r="F182" s="19" t="n">
        <x:v>2</x:v>
      </x:c>
      <x:c r="G182" s="19" t="str">
        <x:f>'第3日'!$B$32</x:f>
        <x:v>第10波 火力交叉</x:v>
      </x:c>
      <x:c r="H182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82" s="19" t="n">
        <x:f>'第3日'!$H$32</x:f>
        <x:v>0.26</x:v>
      </x:c>
      <x:c r="J182" s="19" t="n">
        <x:f>'第3日'!$J$32</x:f>
        <x:v>1</x:v>
      </x:c>
      <x:c r="K182" s="19" t="n">
        <x:f>'第3日'!$L$32</x:f>
        <x:v>80</x:v>
      </x:c>
      <x:c r="L182" s="19" t="str">
        <x:v>res://resources/audio/shenmu_town_combat.ogg</x:v>
      </x:c>
      <x:c r="M182" s="19" t="str">
        <x:v>res://resources/audio/shenmu_town_intermission.ogg</x:v>
      </x:c>
      <x:c r="N182" s="19" t="n">
        <x:v>16</x:v>
      </x:c>
      <x:c r="O182" s="19" t="n">
        <x:f>'第3日'!$B$51</x:f>
        <x:v>0</x:v>
      </x:c>
      <x:c r="P182" s="19" t="str">
        <x:f>'第3日'!$E$51</x:f>
      </x:c>
      <x:c r="Q182" s="19" t="n">
        <x:f>'第3日'!$C$51</x:f>
        <x:v>0</x:v>
      </x:c>
      <x:c r="R182" s="19" t="str">
        <x:f>IF(P182="","",IF(ISNUMBER('第3日'!$D$51),'第3日'!$D$51,IF(VLOOKUP(O182,'敌人目录'!$A$6:$S$54,14,FALSE)&lt;&gt;VLOOKUP(O182,'敌人目录'!$A$6:$S$54,13,FALSE),VLOOKUP(O182,'敌人目录'!$A$6:$S$54,14,FALSE),-1)))</x:f>
      </x:c>
      <x:c r="S182" s="19" t="n">
        <x:f>'第3日'!$U$51</x:f>
        <x:v>0</x:v>
      </x:c>
      <x:c r="T182" s="19" t="str">
        <x:f>'第3日'!$N$32</x:f>
        <x:v>可导入</x:v>
      </x:c>
    </x:row>
    <x:row r="183" ht="22" customHeight="1">
      <x:c r="A183" s="19" t="n">
        <x:v>1</x:v>
      </x:c>
      <x:c r="B183" s="19" t="str">
        <x:v>tower_defense_formal</x:v>
      </x:c>
      <x:c r="C183" s="19" t="str">
        <x:v>wave_10</x:v>
      </x:c>
      <x:c r="D183" s="19" t="n">
        <x:v>10</x:v>
      </x:c>
      <x:c r="E183" s="19" t="n">
        <x:v>3</x:v>
      </x:c>
      <x:c r="F183" s="19" t="n">
        <x:v>2</x:v>
      </x:c>
      <x:c r="G183" s="19" t="str">
        <x:f>'第3日'!$B$32</x:f>
        <x:v>第10波 火力交叉</x:v>
      </x:c>
      <x:c r="H183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83" s="19" t="n">
        <x:f>'第3日'!$H$32</x:f>
        <x:v>0.26</x:v>
      </x:c>
      <x:c r="J183" s="19" t="n">
        <x:f>'第3日'!$J$32</x:f>
        <x:v>1</x:v>
      </x:c>
      <x:c r="K183" s="19" t="n">
        <x:f>'第3日'!$L$32</x:f>
        <x:v>80</x:v>
      </x:c>
      <x:c r="L183" s="19" t="str">
        <x:v>res://resources/audio/shenmu_town_combat.ogg</x:v>
      </x:c>
      <x:c r="M183" s="19" t="str">
        <x:v>res://resources/audio/shenmu_town_intermission.ogg</x:v>
      </x:c>
      <x:c r="N183" s="19" t="n">
        <x:v>17</x:v>
      </x:c>
      <x:c r="O183" s="19" t="n">
        <x:f>'第3日'!$B$52</x:f>
        <x:v>0</x:v>
      </x:c>
      <x:c r="P183" s="19" t="str">
        <x:f>'第3日'!$E$52</x:f>
      </x:c>
      <x:c r="Q183" s="19" t="n">
        <x:f>'第3日'!$C$52</x:f>
        <x:v>0</x:v>
      </x:c>
      <x:c r="R183" s="19" t="str">
        <x:f>IF(P183="","",IF(ISNUMBER('第3日'!$D$52),'第3日'!$D$52,IF(VLOOKUP(O183,'敌人目录'!$A$6:$S$54,14,FALSE)&lt;&gt;VLOOKUP(O183,'敌人目录'!$A$6:$S$54,13,FALSE),VLOOKUP(O183,'敌人目录'!$A$6:$S$54,14,FALSE),-1)))</x:f>
      </x:c>
      <x:c r="S183" s="19" t="n">
        <x:f>'第3日'!$U$52</x:f>
        <x:v>0</x:v>
      </x:c>
      <x:c r="T183" s="19" t="str">
        <x:f>'第3日'!$N$32</x:f>
        <x:v>可导入</x:v>
      </x:c>
    </x:row>
    <x:row r="184" ht="22" customHeight="1">
      <x:c r="A184" s="19" t="n">
        <x:v>1</x:v>
      </x:c>
      <x:c r="B184" s="19" t="str">
        <x:v>tower_defense_formal</x:v>
      </x:c>
      <x:c r="C184" s="19" t="str">
        <x:v>wave_10</x:v>
      </x:c>
      <x:c r="D184" s="19" t="n">
        <x:v>10</x:v>
      </x:c>
      <x:c r="E184" s="19" t="n">
        <x:v>3</x:v>
      </x:c>
      <x:c r="F184" s="19" t="n">
        <x:v>2</x:v>
      </x:c>
      <x:c r="G184" s="19" t="str">
        <x:f>'第3日'!$B$32</x:f>
        <x:v>第10波 火力交叉</x:v>
      </x:c>
      <x:c r="H184" s="19" t="n">
        <x:f>IF('第3日'!$B$33="开启",1,0)+IF('第3日'!$C$33="开启",2,0)+IF('第3日'!$D$33="开启",4,0)+IF('第3日'!$E$33="开启",8,0)+IF('第3日'!$F$33="开启",16,0)+IF('第3日'!$G$33="开启",32,0)</x:f>
        <x:v>63</x:v>
      </x:c>
      <x:c r="I184" s="19" t="n">
        <x:f>'第3日'!$H$32</x:f>
        <x:v>0.26</x:v>
      </x:c>
      <x:c r="J184" s="19" t="n">
        <x:f>'第3日'!$J$32</x:f>
        <x:v>1</x:v>
      </x:c>
      <x:c r="K184" s="19" t="n">
        <x:f>'第3日'!$L$32</x:f>
        <x:v>80</x:v>
      </x:c>
      <x:c r="L184" s="19" t="str">
        <x:v>res://resources/audio/shenmu_town_combat.ogg</x:v>
      </x:c>
      <x:c r="M184" s="19" t="str">
        <x:v>res://resources/audio/shenmu_town_intermission.ogg</x:v>
      </x:c>
      <x:c r="N184" s="19" t="n">
        <x:v>18</x:v>
      </x:c>
      <x:c r="O184" s="19" t="n">
        <x:f>'第3日'!$B$53</x:f>
        <x:v>0</x:v>
      </x:c>
      <x:c r="P184" s="19" t="n">
        <x:f>'第3日'!$E$53</x:f>
        <x:v>0</x:v>
      </x:c>
      <x:c r="Q184" s="19" t="n">
        <x:f>'第3日'!$C$53</x:f>
        <x:v>0</x:v>
      </x:c>
      <x:c r="R184" s="19" t="str">
        <x:f>IF(P184="","",IF(ISNUMBER('第3日'!$D$53),'第3日'!$D$53,IF(VLOOKUP(O184,'敌人目录'!$A$6:$S$54,14,FALSE)&lt;&gt;VLOOKUP(O184,'敌人目录'!$A$6:$S$54,13,FALSE),VLOOKUP(O184,'敌人目录'!$A$6:$S$54,14,FALSE),-1)))</x:f>
      </x:c>
      <x:c r="S184" s="19" t="n">
        <x:f>'第3日'!$U$53</x:f>
        <x:v>0</x:v>
      </x:c>
      <x:c r="T184" s="19" t="str">
        <x:f>'第3日'!$N$32</x:f>
        <x:v>可导入</x:v>
      </x:c>
    </x:row>
    <x:row r="185" ht="22" customHeight="1">
      <x:c r="A185" s="19" t="n">
        <x:v>1</x:v>
      </x:c>
      <x:c r="B185" s="19" t="str">
        <x:v>tower_defense_formal</x:v>
      </x:c>
      <x:c r="C185" s="19" t="str">
        <x:v>wave_11</x:v>
      </x:c>
      <x:c r="D185" s="19" t="n">
        <x:v>11</x:v>
      </x:c>
      <x:c r="E185" s="19" t="n">
        <x:v>3</x:v>
      </x:c>
      <x:c r="F185" s="19" t="n">
        <x:v>3</x:v>
      </x:c>
      <x:c r="G185" s="19" t="str">
        <x:f>'第3日'!$B$61</x:f>
        <x:v>第11波 奥术重装</x:v>
      </x:c>
      <x:c r="H185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85" s="19" t="n">
        <x:f>'第3日'!$H$61</x:f>
        <x:v>0.24</x:v>
      </x:c>
      <x:c r="J185" s="19" t="n">
        <x:f>'第3日'!$J$61</x:f>
        <x:v>1</x:v>
      </x:c>
      <x:c r="K185" s="19" t="n">
        <x:f>'第3日'!$L$61</x:f>
        <x:v>88</x:v>
      </x:c>
      <x:c r="L185" s="19" t="str">
        <x:v>res://resources/audio/shenmu_town_combat.ogg</x:v>
      </x:c>
      <x:c r="M185" s="19" t="str">
        <x:v>res://resources/audio/shenmu_town_intermission.ogg</x:v>
      </x:c>
      <x:c r="N185" s="19" t="n">
        <x:v>1</x:v>
      </x:c>
      <x:c r="O185" s="19" t="str">
        <x:f>'第3日'!$B$65</x:f>
        <x:v>yuanshi_insect_basic｜普通原石虫</x:v>
      </x:c>
      <x:c r="P185" s="19" t="str">
        <x:f>'第3日'!$E$65</x:f>
        <x:v>yuanshi_insect_basic</x:v>
      </x:c>
      <x:c r="Q185" s="19" t="n">
        <x:f>'第3日'!$C$65</x:f>
        <x:v>46</x:v>
      </x:c>
      <x:c r="R185" s="19" t="n">
        <x:f>IF(P185="","",IF(ISNUMBER('第3日'!$D$65),'第3日'!$D$65,IF(VLOOKUP(O185,'敌人目录'!$A$6:$S$54,14,FALSE)&lt;&gt;VLOOKUP(O185,'敌人目录'!$A$6:$S$54,13,FALSE),VLOOKUP(O185,'敌人目录'!$A$6:$S$54,14,FALSE),-1)))</x:f>
        <x:v>-1</x:v>
      </x:c>
      <x:c r="S185" s="19" t="str">
        <x:f>'第3日'!$U$65</x:f>
        <x:v>可导入</x:v>
      </x:c>
      <x:c r="T185" s="19" t="str">
        <x:f>'第3日'!$N$61</x:f>
        <x:v>可导入</x:v>
      </x:c>
    </x:row>
    <x:row r="186" ht="22" customHeight="1">
      <x:c r="A186" s="19" t="n">
        <x:v>1</x:v>
      </x:c>
      <x:c r="B186" s="19" t="str">
        <x:v>tower_defense_formal</x:v>
      </x:c>
      <x:c r="C186" s="19" t="str">
        <x:v>wave_11</x:v>
      </x:c>
      <x:c r="D186" s="19" t="n">
        <x:v>11</x:v>
      </x:c>
      <x:c r="E186" s="19" t="n">
        <x:v>3</x:v>
      </x:c>
      <x:c r="F186" s="19" t="n">
        <x:v>3</x:v>
      </x:c>
      <x:c r="G186" s="19" t="str">
        <x:f>'第3日'!$B$61</x:f>
        <x:v>第11波 奥术重装</x:v>
      </x:c>
      <x:c r="H186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86" s="19" t="n">
        <x:f>'第3日'!$H$61</x:f>
        <x:v>0.24</x:v>
      </x:c>
      <x:c r="J186" s="19" t="n">
        <x:f>'第3日'!$J$61</x:f>
        <x:v>1</x:v>
      </x:c>
      <x:c r="K186" s="19" t="n">
        <x:f>'第3日'!$L$61</x:f>
        <x:v>88</x:v>
      </x:c>
      <x:c r="L186" s="19" t="str">
        <x:v>res://resources/audio/shenmu_town_combat.ogg</x:v>
      </x:c>
      <x:c r="M186" s="19" t="str">
        <x:v>res://resources/audio/shenmu_town_intermission.ogg</x:v>
      </x:c>
      <x:c r="N186" s="19" t="n">
        <x:v>2</x:v>
      </x:c>
      <x:c r="O186" s="19" t="str">
        <x:f>'第3日'!$B$66</x:f>
        <x:v>yuanshi_insect_fast｜迅捷原石虫</x:v>
      </x:c>
      <x:c r="P186" s="19" t="str">
        <x:f>'第3日'!$E$66</x:f>
        <x:v>yuanshi_insect_fast</x:v>
      </x:c>
      <x:c r="Q186" s="19" t="n">
        <x:f>'第3日'!$C$66</x:f>
        <x:v>20</x:v>
      </x:c>
      <x:c r="R186" s="19" t="n">
        <x:f>IF(P186="","",IF(ISNUMBER('第3日'!$D$66),'第3日'!$D$66,IF(VLOOKUP(O186,'敌人目录'!$A$6:$S$54,14,FALSE)&lt;&gt;VLOOKUP(O186,'敌人目录'!$A$6:$S$54,13,FALSE),VLOOKUP(O186,'敌人目录'!$A$6:$S$54,14,FALSE),-1)))</x:f>
        <x:v>-1</x:v>
      </x:c>
      <x:c r="S186" s="19" t="str">
        <x:f>'第3日'!$U$66</x:f>
        <x:v>可导入</x:v>
      </x:c>
      <x:c r="T186" s="19" t="str">
        <x:f>'第3日'!$N$61</x:f>
        <x:v>可导入</x:v>
      </x:c>
    </x:row>
    <x:row r="187" ht="22" customHeight="1">
      <x:c r="A187" s="19" t="n">
        <x:v>1</x:v>
      </x:c>
      <x:c r="B187" s="19" t="str">
        <x:v>tower_defense_formal</x:v>
      </x:c>
      <x:c r="C187" s="19" t="str">
        <x:v>wave_11</x:v>
      </x:c>
      <x:c r="D187" s="19" t="n">
        <x:v>11</x:v>
      </x:c>
      <x:c r="E187" s="19" t="n">
        <x:v>3</x:v>
      </x:c>
      <x:c r="F187" s="19" t="n">
        <x:v>3</x:v>
      </x:c>
      <x:c r="G187" s="19" t="str">
        <x:f>'第3日'!$B$61</x:f>
        <x:v>第11波 奥术重装</x:v>
      </x:c>
      <x:c r="H187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87" s="19" t="n">
        <x:f>'第3日'!$H$61</x:f>
        <x:v>0.24</x:v>
      </x:c>
      <x:c r="J187" s="19" t="n">
        <x:f>'第3日'!$J$61</x:f>
        <x:v>1</x:v>
      </x:c>
      <x:c r="K187" s="19" t="n">
        <x:f>'第3日'!$L$61</x:f>
        <x:v>88</x:v>
      </x:c>
      <x:c r="L187" s="19" t="str">
        <x:v>res://resources/audio/shenmu_town_combat.ogg</x:v>
      </x:c>
      <x:c r="M187" s="19" t="str">
        <x:v>res://resources/audio/shenmu_town_intermission.ogg</x:v>
      </x:c>
      <x:c r="N187" s="19" t="n">
        <x:v>3</x:v>
      </x:c>
      <x:c r="O187" s="19" t="str">
        <x:f>'第3日'!$B$67</x:f>
        <x:v>yuanshi_insect_shell｜硬壳原石虫</x:v>
      </x:c>
      <x:c r="P187" s="19" t="str">
        <x:f>'第3日'!$E$67</x:f>
        <x:v>yuanshi_insect_shell</x:v>
      </x:c>
      <x:c r="Q187" s="19" t="n">
        <x:f>'第3日'!$C$67</x:f>
        <x:v>20</x:v>
      </x:c>
      <x:c r="R187" s="19" t="n">
        <x:f>IF(P187="","",IF(ISNUMBER('第3日'!$D$67),'第3日'!$D$67,IF(VLOOKUP(O187,'敌人目录'!$A$6:$S$54,14,FALSE)&lt;&gt;VLOOKUP(O187,'敌人目录'!$A$6:$S$54,13,FALSE),VLOOKUP(O187,'敌人目录'!$A$6:$S$54,14,FALSE),-1)))</x:f>
        <x:v>-1</x:v>
      </x:c>
      <x:c r="S187" s="19" t="str">
        <x:f>'第3日'!$U$67</x:f>
        <x:v>可导入</x:v>
      </x:c>
      <x:c r="T187" s="19" t="str">
        <x:f>'第3日'!$N$61</x:f>
        <x:v>可导入</x:v>
      </x:c>
    </x:row>
    <x:row r="188" ht="22" customHeight="1">
      <x:c r="A188" s="19" t="n">
        <x:v>1</x:v>
      </x:c>
      <x:c r="B188" s="19" t="str">
        <x:v>tower_defense_formal</x:v>
      </x:c>
      <x:c r="C188" s="19" t="str">
        <x:v>wave_11</x:v>
      </x:c>
      <x:c r="D188" s="19" t="n">
        <x:v>11</x:v>
      </x:c>
      <x:c r="E188" s="19" t="n">
        <x:v>3</x:v>
      </x:c>
      <x:c r="F188" s="19" t="n">
        <x:v>3</x:v>
      </x:c>
      <x:c r="G188" s="19" t="str">
        <x:f>'第3日'!$B$61</x:f>
        <x:v>第11波 奥术重装</x:v>
      </x:c>
      <x:c r="H188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88" s="19" t="n">
        <x:f>'第3日'!$H$61</x:f>
        <x:v>0.24</x:v>
      </x:c>
      <x:c r="J188" s="19" t="n">
        <x:f>'第3日'!$J$61</x:f>
        <x:v>1</x:v>
      </x:c>
      <x:c r="K188" s="19" t="n">
        <x:f>'第3日'!$L$61</x:f>
        <x:v>88</x:v>
      </x:c>
      <x:c r="L188" s="19" t="str">
        <x:v>res://resources/audio/shenmu_town_combat.ogg</x:v>
      </x:c>
      <x:c r="M188" s="19" t="str">
        <x:v>res://resources/audio/shenmu_town_intermission.ogg</x:v>
      </x:c>
      <x:c r="N188" s="19" t="n">
        <x:v>4</x:v>
      </x:c>
      <x:c r="O188" s="19" t="str">
        <x:f>'第3日'!$B$68</x:f>
        <x:v>yuanshi_insect_bomber｜自爆原石虫</x:v>
      </x:c>
      <x:c r="P188" s="19" t="str">
        <x:f>'第3日'!$E$68</x:f>
        <x:v>yuanshi_insect_bomber</x:v>
      </x:c>
      <x:c r="Q188" s="19" t="n">
        <x:f>'第3日'!$C$68</x:f>
        <x:v>16</x:v>
      </x:c>
      <x:c r="R188" s="19" t="n">
        <x:f>IF(P188="","",IF(ISNUMBER('第3日'!$D$68),'第3日'!$D$68,IF(VLOOKUP(O188,'敌人目录'!$A$6:$S$54,14,FALSE)&lt;&gt;VLOOKUP(O188,'敌人目录'!$A$6:$S$54,13,FALSE),VLOOKUP(O188,'敌人目录'!$A$6:$S$54,14,FALSE),-1)))</x:f>
        <x:v>-1</x:v>
      </x:c>
      <x:c r="S188" s="19" t="str">
        <x:f>'第3日'!$U$68</x:f>
        <x:v>可导入</x:v>
      </x:c>
      <x:c r="T188" s="19" t="str">
        <x:f>'第3日'!$N$61</x:f>
        <x:v>可导入</x:v>
      </x:c>
    </x:row>
    <x:row r="189" ht="22" customHeight="1">
      <x:c r="A189" s="19" t="n">
        <x:v>1</x:v>
      </x:c>
      <x:c r="B189" s="19" t="str">
        <x:v>tower_defense_formal</x:v>
      </x:c>
      <x:c r="C189" s="19" t="str">
        <x:v>wave_11</x:v>
      </x:c>
      <x:c r="D189" s="19" t="n">
        <x:v>11</x:v>
      </x:c>
      <x:c r="E189" s="19" t="n">
        <x:v>3</x:v>
      </x:c>
      <x:c r="F189" s="19" t="n">
        <x:v>3</x:v>
      </x:c>
      <x:c r="G189" s="19" t="str">
        <x:f>'第3日'!$B$61</x:f>
        <x:v>第11波 奥术重装</x:v>
      </x:c>
      <x:c r="H189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89" s="19" t="n">
        <x:f>'第3日'!$H$61</x:f>
        <x:v>0.24</x:v>
      </x:c>
      <x:c r="J189" s="19" t="n">
        <x:f>'第3日'!$J$61</x:f>
        <x:v>1</x:v>
      </x:c>
      <x:c r="K189" s="19" t="n">
        <x:f>'第3日'!$L$61</x:f>
        <x:v>88</x:v>
      </x:c>
      <x:c r="L189" s="19" t="str">
        <x:v>res://resources/audio/shenmu_town_combat.ogg</x:v>
      </x:c>
      <x:c r="M189" s="19" t="str">
        <x:v>res://resources/audio/shenmu_town_intermission.ogg</x:v>
      </x:c>
      <x:c r="N189" s="19" t="n">
        <x:v>5</x:v>
      </x:c>
      <x:c r="O189" s="19" t="str">
        <x:f>'第3日'!$B$69</x:f>
        <x:v>yuanshi_insect_purple_bomber｜紫晶自爆原石虫</x:v>
      </x:c>
      <x:c r="P189" s="19" t="str">
        <x:f>'第3日'!$E$69</x:f>
        <x:v>yuanshi_insect_purple_bomber</x:v>
      </x:c>
      <x:c r="Q189" s="19" t="n">
        <x:f>'第3日'!$C$69</x:f>
        <x:v>16</x:v>
      </x:c>
      <x:c r="R189" s="19" t="n">
        <x:f>IF(P189="","",IF(ISNUMBER('第3日'!$D$69),'第3日'!$D$69,IF(VLOOKUP(O189,'敌人目录'!$A$6:$S$54,14,FALSE)&lt;&gt;VLOOKUP(O189,'敌人目录'!$A$6:$S$54,13,FALSE),VLOOKUP(O189,'敌人目录'!$A$6:$S$54,14,FALSE),-1)))</x:f>
        <x:v>-1</x:v>
      </x:c>
      <x:c r="S189" s="19" t="str">
        <x:f>'第3日'!$U$69</x:f>
        <x:v>可导入</x:v>
      </x:c>
      <x:c r="T189" s="19" t="str">
        <x:f>'第3日'!$N$61</x:f>
        <x:v>可导入</x:v>
      </x:c>
    </x:row>
    <x:row r="190" ht="22" customHeight="1">
      <x:c r="A190" s="19" t="n">
        <x:v>1</x:v>
      </x:c>
      <x:c r="B190" s="19" t="str">
        <x:v>tower_defense_formal</x:v>
      </x:c>
      <x:c r="C190" s="19" t="str">
        <x:v>wave_11</x:v>
      </x:c>
      <x:c r="D190" s="19" t="n">
        <x:v>11</x:v>
      </x:c>
      <x:c r="E190" s="19" t="n">
        <x:v>3</x:v>
      </x:c>
      <x:c r="F190" s="19" t="n">
        <x:v>3</x:v>
      </x:c>
      <x:c r="G190" s="19" t="str">
        <x:f>'第3日'!$B$61</x:f>
        <x:v>第11波 奥术重装</x:v>
      </x:c>
      <x:c r="H190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0" s="19" t="n">
        <x:f>'第3日'!$H$61</x:f>
        <x:v>0.24</x:v>
      </x:c>
      <x:c r="J190" s="19" t="n">
        <x:f>'第3日'!$J$61</x:f>
        <x:v>1</x:v>
      </x:c>
      <x:c r="K190" s="19" t="n">
        <x:f>'第3日'!$L$61</x:f>
        <x:v>88</x:v>
      </x:c>
      <x:c r="L190" s="19" t="str">
        <x:v>res://resources/audio/shenmu_town_combat.ogg</x:v>
      </x:c>
      <x:c r="M190" s="19" t="str">
        <x:v>res://resources/audio/shenmu_town_intermission.ogg</x:v>
      </x:c>
      <x:c r="N190" s="19" t="n">
        <x:v>6</x:v>
      </x:c>
      <x:c r="O190" s="19" t="str">
        <x:f>'第3日'!$B$70</x:f>
        <x:v>yuanshi_insect_fire_ranged｜火焰弹原石虫</x:v>
      </x:c>
      <x:c r="P190" s="19" t="str">
        <x:f>'第3日'!$E$70</x:f>
        <x:v>yuanshi_insect_fire_ranged</x:v>
      </x:c>
      <x:c r="Q190" s="19" t="n">
        <x:f>'第3日'!$C$70</x:f>
        <x:v>20</x:v>
      </x:c>
      <x:c r="R190" s="19" t="n">
        <x:f>IF(P190="","",IF(ISNUMBER('第3日'!$D$70),'第3日'!$D$70,IF(VLOOKUP(O190,'敌人目录'!$A$6:$S$54,14,FALSE)&lt;&gt;VLOOKUP(O190,'敌人目录'!$A$6:$S$54,13,FALSE),VLOOKUP(O190,'敌人目录'!$A$6:$S$54,14,FALSE),-1)))</x:f>
        <x:v>-1</x:v>
      </x:c>
      <x:c r="S190" s="19" t="str">
        <x:f>'第3日'!$U$70</x:f>
        <x:v>可导入</x:v>
      </x:c>
      <x:c r="T190" s="19" t="str">
        <x:f>'第3日'!$N$61</x:f>
        <x:v>可导入</x:v>
      </x:c>
    </x:row>
    <x:row r="191" ht="22" customHeight="1">
      <x:c r="A191" s="19" t="n">
        <x:v>1</x:v>
      </x:c>
      <x:c r="B191" s="19" t="str">
        <x:v>tower_defense_formal</x:v>
      </x:c>
      <x:c r="C191" s="19" t="str">
        <x:v>wave_11</x:v>
      </x:c>
      <x:c r="D191" s="19" t="n">
        <x:v>11</x:v>
      </x:c>
      <x:c r="E191" s="19" t="n">
        <x:v>3</x:v>
      </x:c>
      <x:c r="F191" s="19" t="n">
        <x:v>3</x:v>
      </x:c>
      <x:c r="G191" s="19" t="str">
        <x:f>'第3日'!$B$61</x:f>
        <x:v>第11波 奥术重装</x:v>
      </x:c>
      <x:c r="H191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1" s="19" t="n">
        <x:f>'第3日'!$H$61</x:f>
        <x:v>0.24</x:v>
      </x:c>
      <x:c r="J191" s="19" t="n">
        <x:f>'第3日'!$J$61</x:f>
        <x:v>1</x:v>
      </x:c>
      <x:c r="K191" s="19" t="n">
        <x:f>'第3日'!$L$61</x:f>
        <x:v>88</x:v>
      </x:c>
      <x:c r="L191" s="19" t="str">
        <x:v>res://resources/audio/shenmu_town_combat.ogg</x:v>
      </x:c>
      <x:c r="M191" s="19" t="str">
        <x:v>res://resources/audio/shenmu_town_intermission.ogg</x:v>
      </x:c>
      <x:c r="N191" s="19" t="n">
        <x:v>7</x:v>
      </x:c>
      <x:c r="O191" s="19" t="str">
        <x:f>'第3日'!$B$71</x:f>
        <x:v>yuanshi_insect_green_shell｜翠壳原石虫</x:v>
      </x:c>
      <x:c r="P191" s="19" t="str">
        <x:f>'第3日'!$E$71</x:f>
        <x:v>yuanshi_insect_green_shell</x:v>
      </x:c>
      <x:c r="Q191" s="19" t="n">
        <x:f>'第3日'!$C$71</x:f>
        <x:v>16</x:v>
      </x:c>
      <x:c r="R191" s="19" t="n">
        <x:f>IF(P191="","",IF(ISNUMBER('第3日'!$D$71),'第3日'!$D$71,IF(VLOOKUP(O191,'敌人目录'!$A$6:$S$54,14,FALSE)&lt;&gt;VLOOKUP(O191,'敌人目录'!$A$6:$S$54,13,FALSE),VLOOKUP(O191,'敌人目录'!$A$6:$S$54,14,FALSE),-1)))</x:f>
        <x:v>-1</x:v>
      </x:c>
      <x:c r="S191" s="19" t="str">
        <x:f>'第3日'!$U$71</x:f>
        <x:v>可导入</x:v>
      </x:c>
      <x:c r="T191" s="19" t="str">
        <x:f>'第3日'!$N$61</x:f>
        <x:v>可导入</x:v>
      </x:c>
    </x:row>
    <x:row r="192" ht="22" customHeight="1">
      <x:c r="A192" s="19" t="n">
        <x:v>1</x:v>
      </x:c>
      <x:c r="B192" s="19" t="str">
        <x:v>tower_defense_formal</x:v>
      </x:c>
      <x:c r="C192" s="19" t="str">
        <x:v>wave_11</x:v>
      </x:c>
      <x:c r="D192" s="19" t="n">
        <x:v>11</x:v>
      </x:c>
      <x:c r="E192" s="19" t="n">
        <x:v>3</x:v>
      </x:c>
      <x:c r="F192" s="19" t="n">
        <x:v>3</x:v>
      </x:c>
      <x:c r="G192" s="19" t="str">
        <x:f>'第3日'!$B$61</x:f>
        <x:v>第11波 奥术重装</x:v>
      </x:c>
      <x:c r="H192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2" s="19" t="n">
        <x:f>'第3日'!$H$61</x:f>
        <x:v>0.24</x:v>
      </x:c>
      <x:c r="J192" s="19" t="n">
        <x:f>'第3日'!$J$61</x:f>
        <x:v>1</x:v>
      </x:c>
      <x:c r="K192" s="19" t="n">
        <x:f>'第3日'!$L$61</x:f>
        <x:v>88</x:v>
      </x:c>
      <x:c r="L192" s="19" t="str">
        <x:v>res://resources/audio/shenmu_town_combat.ogg</x:v>
      </x:c>
      <x:c r="M192" s="19" t="str">
        <x:v>res://resources/audio/shenmu_town_intermission.ogg</x:v>
      </x:c>
      <x:c r="N192" s="19" t="n">
        <x:v>8</x:v>
      </x:c>
      <x:c r="O192" s="19" t="str">
        <x:f>'第3日'!$B$72</x:f>
        <x:v>yuanshi_insect_guardian｜守护者原石虫</x:v>
      </x:c>
      <x:c r="P192" s="19" t="str">
        <x:f>'第3日'!$E$72</x:f>
        <x:v>yuanshi_insect_guardian</x:v>
      </x:c>
      <x:c r="Q192" s="19" t="n">
        <x:f>'第3日'!$C$72</x:f>
        <x:v>16</x:v>
      </x:c>
      <x:c r="R192" s="19" t="n">
        <x:f>IF(P192="","",IF(ISNUMBER('第3日'!$D$72),'第3日'!$D$72,IF(VLOOKUP(O192,'敌人目录'!$A$6:$S$54,14,FALSE)&lt;&gt;VLOOKUP(O192,'敌人目录'!$A$6:$S$54,13,FALSE),VLOOKUP(O192,'敌人目录'!$A$6:$S$54,14,FALSE),-1)))</x:f>
        <x:v>-1</x:v>
      </x:c>
      <x:c r="S192" s="19" t="str">
        <x:f>'第3日'!$U$72</x:f>
        <x:v>可导入</x:v>
      </x:c>
      <x:c r="T192" s="19" t="str">
        <x:f>'第3日'!$N$61</x:f>
        <x:v>可导入</x:v>
      </x:c>
    </x:row>
    <x:row r="193" ht="22" customHeight="1">
      <x:c r="A193" s="19" t="n">
        <x:v>1</x:v>
      </x:c>
      <x:c r="B193" s="19" t="str">
        <x:v>tower_defense_formal</x:v>
      </x:c>
      <x:c r="C193" s="19" t="str">
        <x:v>wave_11</x:v>
      </x:c>
      <x:c r="D193" s="19" t="n">
        <x:v>11</x:v>
      </x:c>
      <x:c r="E193" s="19" t="n">
        <x:v>3</x:v>
      </x:c>
      <x:c r="F193" s="19" t="n">
        <x:v>3</x:v>
      </x:c>
      <x:c r="G193" s="19" t="str">
        <x:f>'第3日'!$B$61</x:f>
        <x:v>第11波 奥术重装</x:v>
      </x:c>
      <x:c r="H193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3" s="19" t="n">
        <x:f>'第3日'!$H$61</x:f>
        <x:v>0.24</x:v>
      </x:c>
      <x:c r="J193" s="19" t="n">
        <x:f>'第3日'!$J$61</x:f>
        <x:v>1</x:v>
      </x:c>
      <x:c r="K193" s="19" t="n">
        <x:f>'第3日'!$L$61</x:f>
        <x:v>88</x:v>
      </x:c>
      <x:c r="L193" s="19" t="str">
        <x:v>res://resources/audio/shenmu_town_combat.ogg</x:v>
      </x:c>
      <x:c r="M193" s="19" t="str">
        <x:v>res://resources/audio/shenmu_town_intermission.ogg</x:v>
      </x:c>
      <x:c r="N193" s="19" t="n">
        <x:v>9</x:v>
      </x:c>
      <x:c r="O193" s="19" t="str">
        <x:f>'第3日'!$B$73</x:f>
        <x:v>capoo_ak47｜AK猫猫虫</x:v>
      </x:c>
      <x:c r="P193" s="19" t="str">
        <x:f>'第3日'!$E$73</x:f>
        <x:v>capoo_ak47</x:v>
      </x:c>
      <x:c r="Q193" s="19" t="n">
        <x:f>'第3日'!$C$73</x:f>
        <x:v>2</x:v>
      </x:c>
      <x:c r="R193" s="19" t="n">
        <x:f>IF(P193="","",IF(ISNUMBER('第3日'!$D$73),'第3日'!$D$73,IF(VLOOKUP(O193,'敌人目录'!$A$6:$S$54,14,FALSE)&lt;&gt;VLOOKUP(O193,'敌人目录'!$A$6:$S$54,13,FALSE),VLOOKUP(O193,'敌人目录'!$A$6:$S$54,14,FALSE),-1)))</x:f>
        <x:v>-1</x:v>
      </x:c>
      <x:c r="S193" s="19" t="str">
        <x:f>'第3日'!$U$73</x:f>
        <x:v>可导入</x:v>
      </x:c>
      <x:c r="T193" s="19" t="str">
        <x:f>'第3日'!$N$61</x:f>
        <x:v>可导入</x:v>
      </x:c>
    </x:row>
    <x:row r="194" ht="22" customHeight="1">
      <x:c r="A194" s="19" t="n">
        <x:v>1</x:v>
      </x:c>
      <x:c r="B194" s="19" t="str">
        <x:v>tower_defense_formal</x:v>
      </x:c>
      <x:c r="C194" s="19" t="str">
        <x:v>wave_11</x:v>
      </x:c>
      <x:c r="D194" s="19" t="n">
        <x:v>11</x:v>
      </x:c>
      <x:c r="E194" s="19" t="n">
        <x:v>3</x:v>
      </x:c>
      <x:c r="F194" s="19" t="n">
        <x:v>3</x:v>
      </x:c>
      <x:c r="G194" s="19" t="str">
        <x:f>'第3日'!$B$61</x:f>
        <x:v>第11波 奥术重装</x:v>
      </x:c>
      <x:c r="H194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4" s="19" t="n">
        <x:f>'第3日'!$H$61</x:f>
        <x:v>0.24</x:v>
      </x:c>
      <x:c r="J194" s="19" t="n">
        <x:f>'第3日'!$J$61</x:f>
        <x:v>1</x:v>
      </x:c>
      <x:c r="K194" s="19" t="n">
        <x:f>'第3日'!$L$61</x:f>
        <x:v>88</x:v>
      </x:c>
      <x:c r="L194" s="19" t="str">
        <x:v>res://resources/audio/shenmu_town_combat.ogg</x:v>
      </x:c>
      <x:c r="M194" s="19" t="str">
        <x:v>res://resources/audio/shenmu_town_intermission.ogg</x:v>
      </x:c>
      <x:c r="N194" s="19" t="n">
        <x:v>10</x:v>
      </x:c>
      <x:c r="O194" s="19" t="str">
        <x:f>'第3日'!$B$74</x:f>
        <x:v>capoo_knight｜骑士猫猫虫</x:v>
      </x:c>
      <x:c r="P194" s="19" t="str">
        <x:f>'第3日'!$E$74</x:f>
        <x:v>capoo_knight</x:v>
      </x:c>
      <x:c r="Q194" s="19" t="n">
        <x:f>'第3日'!$C$74</x:f>
        <x:v>2</x:v>
      </x:c>
      <x:c r="R194" s="19" t="n">
        <x:f>IF(P194="","",IF(ISNUMBER('第3日'!$D$74),'第3日'!$D$74,IF(VLOOKUP(O194,'敌人目录'!$A$6:$S$54,14,FALSE)&lt;&gt;VLOOKUP(O194,'敌人目录'!$A$6:$S$54,13,FALSE),VLOOKUP(O194,'敌人目录'!$A$6:$S$54,14,FALSE),-1)))</x:f>
        <x:v>-1</x:v>
      </x:c>
      <x:c r="S194" s="19" t="str">
        <x:f>'第3日'!$U$74</x:f>
        <x:v>可导入</x:v>
      </x:c>
      <x:c r="T194" s="19" t="str">
        <x:f>'第3日'!$N$61</x:f>
        <x:v>可导入</x:v>
      </x:c>
    </x:row>
    <x:row r="195" ht="22" customHeight="1">
      <x:c r="A195" s="19" t="n">
        <x:v>1</x:v>
      </x:c>
      <x:c r="B195" s="19" t="str">
        <x:v>tower_defense_formal</x:v>
      </x:c>
      <x:c r="C195" s="19" t="str">
        <x:v>wave_11</x:v>
      </x:c>
      <x:c r="D195" s="19" t="n">
        <x:v>11</x:v>
      </x:c>
      <x:c r="E195" s="19" t="n">
        <x:v>3</x:v>
      </x:c>
      <x:c r="F195" s="19" t="n">
        <x:v>3</x:v>
      </x:c>
      <x:c r="G195" s="19" t="str">
        <x:f>'第3日'!$B$61</x:f>
        <x:v>第11波 奥术重装</x:v>
      </x:c>
      <x:c r="H195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5" s="19" t="n">
        <x:f>'第3日'!$H$61</x:f>
        <x:v>0.24</x:v>
      </x:c>
      <x:c r="J195" s="19" t="n">
        <x:f>'第3日'!$J$61</x:f>
        <x:v>1</x:v>
      </x:c>
      <x:c r="K195" s="19" t="n">
        <x:f>'第3日'!$L$61</x:f>
        <x:v>88</x:v>
      </x:c>
      <x:c r="L195" s="19" t="str">
        <x:v>res://resources/audio/shenmu_town_combat.ogg</x:v>
      </x:c>
      <x:c r="M195" s="19" t="str">
        <x:v>res://resources/audio/shenmu_town_intermission.ogg</x:v>
      </x:c>
      <x:c r="N195" s="19" t="n">
        <x:v>11</x:v>
      </x:c>
      <x:c r="O195" s="19" t="str">
        <x:f>'第3日'!$B$75</x:f>
        <x:v>capoo_mage｜法师 Capoo</x:v>
      </x:c>
      <x:c r="P195" s="19" t="str">
        <x:f>'第3日'!$E$75</x:f>
        <x:v>capoo_mage</x:v>
      </x:c>
      <x:c r="Q195" s="19" t="n">
        <x:f>'第3日'!$C$75</x:f>
        <x:v>1</x:v>
      </x:c>
      <x:c r="R195" s="19" t="n">
        <x:f>IF(P195="","",IF(ISNUMBER('第3日'!$D$75),'第3日'!$D$75,IF(VLOOKUP(O195,'敌人目录'!$A$6:$S$54,14,FALSE)&lt;&gt;VLOOKUP(O195,'敌人目录'!$A$6:$S$54,13,FALSE),VLOOKUP(O195,'敌人目录'!$A$6:$S$54,14,FALSE),-1)))</x:f>
        <x:v>-1</x:v>
      </x:c>
      <x:c r="S195" s="19" t="str">
        <x:f>'第3日'!$U$75</x:f>
        <x:v>可导入</x:v>
      </x:c>
      <x:c r="T195" s="19" t="str">
        <x:f>'第3日'!$N$61</x:f>
        <x:v>可导入</x:v>
      </x:c>
    </x:row>
    <x:row r="196" ht="22" customHeight="1">
      <x:c r="A196" s="19" t="n">
        <x:v>1</x:v>
      </x:c>
      <x:c r="B196" s="19" t="str">
        <x:v>tower_defense_formal</x:v>
      </x:c>
      <x:c r="C196" s="19" t="str">
        <x:v>wave_11</x:v>
      </x:c>
      <x:c r="D196" s="19" t="n">
        <x:v>11</x:v>
      </x:c>
      <x:c r="E196" s="19" t="n">
        <x:v>3</x:v>
      </x:c>
      <x:c r="F196" s="19" t="n">
        <x:v>3</x:v>
      </x:c>
      <x:c r="G196" s="19" t="str">
        <x:f>'第3日'!$B$61</x:f>
        <x:v>第11波 奥术重装</x:v>
      </x:c>
      <x:c r="H196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6" s="19" t="n">
        <x:f>'第3日'!$H$61</x:f>
        <x:v>0.24</x:v>
      </x:c>
      <x:c r="J196" s="19" t="n">
        <x:f>'第3日'!$J$61</x:f>
        <x:v>1</x:v>
      </x:c>
      <x:c r="K196" s="19" t="n">
        <x:f>'第3日'!$L$61</x:f>
        <x:v>88</x:v>
      </x:c>
      <x:c r="L196" s="19" t="str">
        <x:v>res://resources/audio/shenmu_town_combat.ogg</x:v>
      </x:c>
      <x:c r="M196" s="19" t="str">
        <x:v>res://resources/audio/shenmu_town_intermission.ogg</x:v>
      </x:c>
      <x:c r="N196" s="19" t="n">
        <x:v>12</x:v>
      </x:c>
      <x:c r="O196" s="19" t="str">
        <x:f>'第3日'!$B$76</x:f>
        <x:v>stone_golem｜石头人</x:v>
      </x:c>
      <x:c r="P196" s="19" t="str">
        <x:f>'第3日'!$E$76</x:f>
        <x:v>stone_golem</x:v>
      </x:c>
      <x:c r="Q196" s="19" t="n">
        <x:f>'第3日'!$C$76</x:f>
        <x:v>1</x:v>
      </x:c>
      <x:c r="R196" s="19" t="n">
        <x:f>IF(P196="","",IF(ISNUMBER('第3日'!$D$76),'第3日'!$D$76,IF(VLOOKUP(O196,'敌人目录'!$A$6:$S$54,14,FALSE)&lt;&gt;VLOOKUP(O196,'敌人目录'!$A$6:$S$54,13,FALSE),VLOOKUP(O196,'敌人目录'!$A$6:$S$54,14,FALSE),-1)))</x:f>
        <x:v>-1</x:v>
      </x:c>
      <x:c r="S196" s="19" t="str">
        <x:f>'第3日'!$U$76</x:f>
        <x:v>可导入</x:v>
      </x:c>
      <x:c r="T196" s="19" t="str">
        <x:f>'第3日'!$N$61</x:f>
        <x:v>可导入</x:v>
      </x:c>
    </x:row>
    <x:row r="197" ht="22" customHeight="1">
      <x:c r="A197" s="19" t="n">
        <x:v>1</x:v>
      </x:c>
      <x:c r="B197" s="19" t="str">
        <x:v>tower_defense_formal</x:v>
      </x:c>
      <x:c r="C197" s="19" t="str">
        <x:v>wave_11</x:v>
      </x:c>
      <x:c r="D197" s="19" t="n">
        <x:v>11</x:v>
      </x:c>
      <x:c r="E197" s="19" t="n">
        <x:v>3</x:v>
      </x:c>
      <x:c r="F197" s="19" t="n">
        <x:v>3</x:v>
      </x:c>
      <x:c r="G197" s="19" t="str">
        <x:f>'第3日'!$B$61</x:f>
        <x:v>第11波 奥术重装</x:v>
      </x:c>
      <x:c r="H197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7" s="19" t="n">
        <x:f>'第3日'!$H$61</x:f>
        <x:v>0.24</x:v>
      </x:c>
      <x:c r="J197" s="19" t="n">
        <x:f>'第3日'!$J$61</x:f>
        <x:v>1</x:v>
      </x:c>
      <x:c r="K197" s="19" t="n">
        <x:f>'第3日'!$L$61</x:f>
        <x:v>88</x:v>
      </x:c>
      <x:c r="L197" s="19" t="str">
        <x:v>res://resources/audio/shenmu_town_combat.ogg</x:v>
      </x:c>
      <x:c r="M197" s="19" t="str">
        <x:v>res://resources/audio/shenmu_town_intermission.ogg</x:v>
      </x:c>
      <x:c r="N197" s="19" t="n">
        <x:v>13</x:v>
      </x:c>
      <x:c r="O197" s="19" t="n">
        <x:f>'第3日'!$B$77</x:f>
        <x:v>0</x:v>
      </x:c>
      <x:c r="P197" s="19" t="str">
        <x:f>'第3日'!$E$77</x:f>
      </x:c>
      <x:c r="Q197" s="19" t="n">
        <x:f>'第3日'!$C$77</x:f>
        <x:v>0</x:v>
      </x:c>
      <x:c r="R197" s="19" t="str">
        <x:f>IF(P197="","",IF(ISNUMBER('第3日'!$D$77),'第3日'!$D$77,IF(VLOOKUP(O197,'敌人目录'!$A$6:$S$54,14,FALSE)&lt;&gt;VLOOKUP(O197,'敌人目录'!$A$6:$S$54,13,FALSE),VLOOKUP(O197,'敌人目录'!$A$6:$S$54,14,FALSE),-1)))</x:f>
      </x:c>
      <x:c r="S197" s="19" t="n">
        <x:f>'第3日'!$U$77</x:f>
        <x:v>0</x:v>
      </x:c>
      <x:c r="T197" s="19" t="str">
        <x:f>'第3日'!$N$61</x:f>
        <x:v>可导入</x:v>
      </x:c>
    </x:row>
    <x:row r="198" ht="22" customHeight="1">
      <x:c r="A198" s="19" t="n">
        <x:v>1</x:v>
      </x:c>
      <x:c r="B198" s="19" t="str">
        <x:v>tower_defense_formal</x:v>
      </x:c>
      <x:c r="C198" s="19" t="str">
        <x:v>wave_11</x:v>
      </x:c>
      <x:c r="D198" s="19" t="n">
        <x:v>11</x:v>
      </x:c>
      <x:c r="E198" s="19" t="n">
        <x:v>3</x:v>
      </x:c>
      <x:c r="F198" s="19" t="n">
        <x:v>3</x:v>
      </x:c>
      <x:c r="G198" s="19" t="str">
        <x:f>'第3日'!$B$61</x:f>
        <x:v>第11波 奥术重装</x:v>
      </x:c>
      <x:c r="H198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8" s="19" t="n">
        <x:f>'第3日'!$H$61</x:f>
        <x:v>0.24</x:v>
      </x:c>
      <x:c r="J198" s="19" t="n">
        <x:f>'第3日'!$J$61</x:f>
        <x:v>1</x:v>
      </x:c>
      <x:c r="K198" s="19" t="n">
        <x:f>'第3日'!$L$61</x:f>
        <x:v>88</x:v>
      </x:c>
      <x:c r="L198" s="19" t="str">
        <x:v>res://resources/audio/shenmu_town_combat.ogg</x:v>
      </x:c>
      <x:c r="M198" s="19" t="str">
        <x:v>res://resources/audio/shenmu_town_intermission.ogg</x:v>
      </x:c>
      <x:c r="N198" s="19" t="n">
        <x:v>14</x:v>
      </x:c>
      <x:c r="O198" s="19" t="n">
        <x:f>'第3日'!$B$78</x:f>
        <x:v>0</x:v>
      </x:c>
      <x:c r="P198" s="19" t="str">
        <x:f>'第3日'!$E$78</x:f>
      </x:c>
      <x:c r="Q198" s="19" t="n">
        <x:f>'第3日'!$C$78</x:f>
        <x:v>0</x:v>
      </x:c>
      <x:c r="R198" s="19" t="str">
        <x:f>IF(P198="","",IF(ISNUMBER('第3日'!$D$78),'第3日'!$D$78,IF(VLOOKUP(O198,'敌人目录'!$A$6:$S$54,14,FALSE)&lt;&gt;VLOOKUP(O198,'敌人目录'!$A$6:$S$54,13,FALSE),VLOOKUP(O198,'敌人目录'!$A$6:$S$54,14,FALSE),-1)))</x:f>
      </x:c>
      <x:c r="S198" s="19" t="n">
        <x:f>'第3日'!$U$78</x:f>
        <x:v>0</x:v>
      </x:c>
      <x:c r="T198" s="19" t="str">
        <x:f>'第3日'!$N$61</x:f>
        <x:v>可导入</x:v>
      </x:c>
    </x:row>
    <x:row r="199" ht="22" customHeight="1">
      <x:c r="A199" s="19" t="n">
        <x:v>1</x:v>
      </x:c>
      <x:c r="B199" s="19" t="str">
        <x:v>tower_defense_formal</x:v>
      </x:c>
      <x:c r="C199" s="19" t="str">
        <x:v>wave_11</x:v>
      </x:c>
      <x:c r="D199" s="19" t="n">
        <x:v>11</x:v>
      </x:c>
      <x:c r="E199" s="19" t="n">
        <x:v>3</x:v>
      </x:c>
      <x:c r="F199" s="19" t="n">
        <x:v>3</x:v>
      </x:c>
      <x:c r="G199" s="19" t="str">
        <x:f>'第3日'!$B$61</x:f>
        <x:v>第11波 奥术重装</x:v>
      </x:c>
      <x:c r="H199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199" s="19" t="n">
        <x:f>'第3日'!$H$61</x:f>
        <x:v>0.24</x:v>
      </x:c>
      <x:c r="J199" s="19" t="n">
        <x:f>'第3日'!$J$61</x:f>
        <x:v>1</x:v>
      </x:c>
      <x:c r="K199" s="19" t="n">
        <x:f>'第3日'!$L$61</x:f>
        <x:v>88</x:v>
      </x:c>
      <x:c r="L199" s="19" t="str">
        <x:v>res://resources/audio/shenmu_town_combat.ogg</x:v>
      </x:c>
      <x:c r="M199" s="19" t="str">
        <x:v>res://resources/audio/shenmu_town_intermission.ogg</x:v>
      </x:c>
      <x:c r="N199" s="19" t="n">
        <x:v>15</x:v>
      </x:c>
      <x:c r="O199" s="19" t="n">
        <x:f>'第3日'!$B$79</x:f>
        <x:v>0</x:v>
      </x:c>
      <x:c r="P199" s="19" t="str">
        <x:f>'第3日'!$E$79</x:f>
      </x:c>
      <x:c r="Q199" s="19" t="n">
        <x:f>'第3日'!$C$79</x:f>
        <x:v>0</x:v>
      </x:c>
      <x:c r="R199" s="19" t="str">
        <x:f>IF(P199="","",IF(ISNUMBER('第3日'!$D$79),'第3日'!$D$79,IF(VLOOKUP(O199,'敌人目录'!$A$6:$S$54,14,FALSE)&lt;&gt;VLOOKUP(O199,'敌人目录'!$A$6:$S$54,13,FALSE),VLOOKUP(O199,'敌人目录'!$A$6:$S$54,14,FALSE),-1)))</x:f>
      </x:c>
      <x:c r="S199" s="19" t="n">
        <x:f>'第3日'!$U$79</x:f>
        <x:v>0</x:v>
      </x:c>
      <x:c r="T199" s="19" t="str">
        <x:f>'第3日'!$N$61</x:f>
        <x:v>可导入</x:v>
      </x:c>
    </x:row>
    <x:row r="200" ht="22" customHeight="1">
      <x:c r="A200" s="19" t="n">
        <x:v>1</x:v>
      </x:c>
      <x:c r="B200" s="19" t="str">
        <x:v>tower_defense_formal</x:v>
      </x:c>
      <x:c r="C200" s="19" t="str">
        <x:v>wave_11</x:v>
      </x:c>
      <x:c r="D200" s="19" t="n">
        <x:v>11</x:v>
      </x:c>
      <x:c r="E200" s="19" t="n">
        <x:v>3</x:v>
      </x:c>
      <x:c r="F200" s="19" t="n">
        <x:v>3</x:v>
      </x:c>
      <x:c r="G200" s="19" t="str">
        <x:f>'第3日'!$B$61</x:f>
        <x:v>第11波 奥术重装</x:v>
      </x:c>
      <x:c r="H200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200" s="19" t="n">
        <x:f>'第3日'!$H$61</x:f>
        <x:v>0.24</x:v>
      </x:c>
      <x:c r="J200" s="19" t="n">
        <x:f>'第3日'!$J$61</x:f>
        <x:v>1</x:v>
      </x:c>
      <x:c r="K200" s="19" t="n">
        <x:f>'第3日'!$L$61</x:f>
        <x:v>88</x:v>
      </x:c>
      <x:c r="L200" s="19" t="str">
        <x:v>res://resources/audio/shenmu_town_combat.ogg</x:v>
      </x:c>
      <x:c r="M200" s="19" t="str">
        <x:v>res://resources/audio/shenmu_town_intermission.ogg</x:v>
      </x:c>
      <x:c r="N200" s="19" t="n">
        <x:v>16</x:v>
      </x:c>
      <x:c r="O200" s="19" t="n">
        <x:f>'第3日'!$B$80</x:f>
        <x:v>0</x:v>
      </x:c>
      <x:c r="P200" s="19" t="str">
        <x:f>'第3日'!$E$80</x:f>
      </x:c>
      <x:c r="Q200" s="19" t="n">
        <x:f>'第3日'!$C$80</x:f>
        <x:v>0</x:v>
      </x:c>
      <x:c r="R200" s="19" t="str">
        <x:f>IF(P200="","",IF(ISNUMBER('第3日'!$D$80),'第3日'!$D$80,IF(VLOOKUP(O200,'敌人目录'!$A$6:$S$54,14,FALSE)&lt;&gt;VLOOKUP(O200,'敌人目录'!$A$6:$S$54,13,FALSE),VLOOKUP(O200,'敌人目录'!$A$6:$S$54,14,FALSE),-1)))</x:f>
      </x:c>
      <x:c r="S200" s="19" t="n">
        <x:f>'第3日'!$U$80</x:f>
        <x:v>0</x:v>
      </x:c>
      <x:c r="T200" s="19" t="str">
        <x:f>'第3日'!$N$61</x:f>
        <x:v>可导入</x:v>
      </x:c>
    </x:row>
    <x:row r="201" ht="22" customHeight="1">
      <x:c r="A201" s="19" t="n">
        <x:v>1</x:v>
      </x:c>
      <x:c r="B201" s="19" t="str">
        <x:v>tower_defense_formal</x:v>
      </x:c>
      <x:c r="C201" s="19" t="str">
        <x:v>wave_11</x:v>
      </x:c>
      <x:c r="D201" s="19" t="n">
        <x:v>11</x:v>
      </x:c>
      <x:c r="E201" s="19" t="n">
        <x:v>3</x:v>
      </x:c>
      <x:c r="F201" s="19" t="n">
        <x:v>3</x:v>
      </x:c>
      <x:c r="G201" s="19" t="str">
        <x:f>'第3日'!$B$61</x:f>
        <x:v>第11波 奥术重装</x:v>
      </x:c>
      <x:c r="H201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201" s="19" t="n">
        <x:f>'第3日'!$H$61</x:f>
        <x:v>0.24</x:v>
      </x:c>
      <x:c r="J201" s="19" t="n">
        <x:f>'第3日'!$J$61</x:f>
        <x:v>1</x:v>
      </x:c>
      <x:c r="K201" s="19" t="n">
        <x:f>'第3日'!$L$61</x:f>
        <x:v>88</x:v>
      </x:c>
      <x:c r="L201" s="19" t="str">
        <x:v>res://resources/audio/shenmu_town_combat.ogg</x:v>
      </x:c>
      <x:c r="M201" s="19" t="str">
        <x:v>res://resources/audio/shenmu_town_intermission.ogg</x:v>
      </x:c>
      <x:c r="N201" s="19" t="n">
        <x:v>17</x:v>
      </x:c>
      <x:c r="O201" s="19" t="n">
        <x:f>'第3日'!$B$81</x:f>
        <x:v>0</x:v>
      </x:c>
      <x:c r="P201" s="19" t="str">
        <x:f>'第3日'!$E$81</x:f>
      </x:c>
      <x:c r="Q201" s="19" t="n">
        <x:f>'第3日'!$C$81</x:f>
        <x:v>0</x:v>
      </x:c>
      <x:c r="R201" s="19" t="str">
        <x:f>IF(P201="","",IF(ISNUMBER('第3日'!$D$81),'第3日'!$D$81,IF(VLOOKUP(O201,'敌人目录'!$A$6:$S$54,14,FALSE)&lt;&gt;VLOOKUP(O201,'敌人目录'!$A$6:$S$54,13,FALSE),VLOOKUP(O201,'敌人目录'!$A$6:$S$54,14,FALSE),-1)))</x:f>
      </x:c>
      <x:c r="S201" s="19" t="n">
        <x:f>'第3日'!$U$81</x:f>
        <x:v>0</x:v>
      </x:c>
      <x:c r="T201" s="19" t="str">
        <x:f>'第3日'!$N$61</x:f>
        <x:v>可导入</x:v>
      </x:c>
    </x:row>
    <x:row r="202" ht="22" customHeight="1">
      <x:c r="A202" s="19" t="n">
        <x:v>1</x:v>
      </x:c>
      <x:c r="B202" s="19" t="str">
        <x:v>tower_defense_formal</x:v>
      </x:c>
      <x:c r="C202" s="19" t="str">
        <x:v>wave_11</x:v>
      </x:c>
      <x:c r="D202" s="19" t="n">
        <x:v>11</x:v>
      </x:c>
      <x:c r="E202" s="19" t="n">
        <x:v>3</x:v>
      </x:c>
      <x:c r="F202" s="19" t="n">
        <x:v>3</x:v>
      </x:c>
      <x:c r="G202" s="19" t="str">
        <x:f>'第3日'!$B$61</x:f>
        <x:v>第11波 奥术重装</x:v>
      </x:c>
      <x:c r="H202" s="19" t="n">
        <x:f>IF('第3日'!$B$62="开启",1,0)+IF('第3日'!$C$62="开启",2,0)+IF('第3日'!$D$62="开启",4,0)+IF('第3日'!$E$62="开启",8,0)+IF('第3日'!$F$62="开启",16,0)+IF('第3日'!$G$62="开启",32,0)</x:f>
        <x:v>63</x:v>
      </x:c>
      <x:c r="I202" s="19" t="n">
        <x:f>'第3日'!$H$61</x:f>
        <x:v>0.24</x:v>
      </x:c>
      <x:c r="J202" s="19" t="n">
        <x:f>'第3日'!$J$61</x:f>
        <x:v>1</x:v>
      </x:c>
      <x:c r="K202" s="19" t="n">
        <x:f>'第3日'!$L$61</x:f>
        <x:v>88</x:v>
      </x:c>
      <x:c r="L202" s="19" t="str">
        <x:v>res://resources/audio/shenmu_town_combat.ogg</x:v>
      </x:c>
      <x:c r="M202" s="19" t="str">
        <x:v>res://resources/audio/shenmu_town_intermission.ogg</x:v>
      </x:c>
      <x:c r="N202" s="19" t="n">
        <x:v>18</x:v>
      </x:c>
      <x:c r="O202" s="19" t="n">
        <x:f>'第3日'!$B$82</x:f>
        <x:v>0</x:v>
      </x:c>
      <x:c r="P202" s="19" t="n">
        <x:f>'第3日'!$E$82</x:f>
        <x:v>0</x:v>
      </x:c>
      <x:c r="Q202" s="19" t="n">
        <x:f>'第3日'!$C$82</x:f>
        <x:v>0</x:v>
      </x:c>
      <x:c r="R202" s="19" t="str">
        <x:f>IF(P202="","",IF(ISNUMBER('第3日'!$D$82),'第3日'!$D$82,IF(VLOOKUP(O202,'敌人目录'!$A$6:$S$54,14,FALSE)&lt;&gt;VLOOKUP(O202,'敌人目录'!$A$6:$S$54,13,FALSE),VLOOKUP(O202,'敌人目录'!$A$6:$S$54,14,FALSE),-1)))</x:f>
      </x:c>
      <x:c r="S202" s="19" t="n">
        <x:f>'第3日'!$U$82</x:f>
        <x:v>0</x:v>
      </x:c>
      <x:c r="T202" s="19" t="str">
        <x:f>'第3日'!$N$61</x:f>
        <x:v>可导入</x:v>
      </x:c>
    </x:row>
    <x:row r="203" ht="22" customHeight="1">
      <x:c r="A203" s="19" t="n">
        <x:v>1</x:v>
      </x:c>
      <x:c r="B203" s="19" t="str">
        <x:v>tower_defense_formal</x:v>
      </x:c>
      <x:c r="C203" s="19" t="str">
        <x:v>wave_12</x:v>
      </x:c>
      <x:c r="D203" s="19" t="n">
        <x:v>12</x:v>
      </x:c>
      <x:c r="E203" s="19" t="n">
        <x:v>3</x:v>
      </x:c>
      <x:c r="F203" s="19" t="n">
        <x:v>4</x:v>
      </x:c>
      <x:c r="G203" s="19" t="str">
        <x:f>'第3日'!$B$90</x:f>
        <x:v>第12波 城镇决战</x:v>
      </x:c>
      <x:c r="H203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03" s="19" t="n">
        <x:f>'第3日'!$H$90</x:f>
        <x:v>0.22</x:v>
      </x:c>
      <x:c r="J203" s="19" t="n">
        <x:f>'第3日'!$J$90</x:f>
        <x:v>1</x:v>
      </x:c>
      <x:c r="K203" s="19" t="n">
        <x:f>'第3日'!$L$90</x:f>
        <x:v>96</x:v>
      </x:c>
      <x:c r="L203" s="19" t="str">
        <x:v>res://resources/audio/shenmu_town_combat.ogg</x:v>
      </x:c>
      <x:c r="M203" s="19" t="str">
        <x:v>res://resources/audio/shenmu_town_intermission.ogg</x:v>
      </x:c>
      <x:c r="N203" s="19" t="n">
        <x:v>1</x:v>
      </x:c>
      <x:c r="O203" s="19" t="str">
        <x:f>'第3日'!$B$94</x:f>
        <x:v>yuanshi_insect_basic｜普通原石虫</x:v>
      </x:c>
      <x:c r="P203" s="19" t="str">
        <x:f>'第3日'!$E$94</x:f>
        <x:v>yuanshi_insect_basic</x:v>
      </x:c>
      <x:c r="Q203" s="19" t="n">
        <x:f>'第3日'!$C$94</x:f>
        <x:v>53</x:v>
      </x:c>
      <x:c r="R203" s="19" t="n">
        <x:f>IF(P203="","",IF(ISNUMBER('第3日'!$D$94),'第3日'!$D$94,IF(VLOOKUP(O203,'敌人目录'!$A$6:$S$54,14,FALSE)&lt;&gt;VLOOKUP(O203,'敌人目录'!$A$6:$S$54,13,FALSE),VLOOKUP(O203,'敌人目录'!$A$6:$S$54,14,FALSE),-1)))</x:f>
        <x:v>-1</x:v>
      </x:c>
      <x:c r="S203" s="19" t="str">
        <x:f>'第3日'!$U$94</x:f>
        <x:v>可导入</x:v>
      </x:c>
      <x:c r="T203" s="19" t="str">
        <x:f>'第3日'!$N$90</x:f>
        <x:v>可导入</x:v>
      </x:c>
    </x:row>
    <x:row r="204" ht="22" customHeight="1">
      <x:c r="A204" s="19" t="n">
        <x:v>1</x:v>
      </x:c>
      <x:c r="B204" s="19" t="str">
        <x:v>tower_defense_formal</x:v>
      </x:c>
      <x:c r="C204" s="19" t="str">
        <x:v>wave_12</x:v>
      </x:c>
      <x:c r="D204" s="19" t="n">
        <x:v>12</x:v>
      </x:c>
      <x:c r="E204" s="19" t="n">
        <x:v>3</x:v>
      </x:c>
      <x:c r="F204" s="19" t="n">
        <x:v>4</x:v>
      </x:c>
      <x:c r="G204" s="19" t="str">
        <x:f>'第3日'!$B$90</x:f>
        <x:v>第12波 城镇决战</x:v>
      </x:c>
      <x:c r="H204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04" s="19" t="n">
        <x:f>'第3日'!$H$90</x:f>
        <x:v>0.22</x:v>
      </x:c>
      <x:c r="J204" s="19" t="n">
        <x:f>'第3日'!$J$90</x:f>
        <x:v>1</x:v>
      </x:c>
      <x:c r="K204" s="19" t="n">
        <x:f>'第3日'!$L$90</x:f>
        <x:v>96</x:v>
      </x:c>
      <x:c r="L204" s="19" t="str">
        <x:v>res://resources/audio/shenmu_town_combat.ogg</x:v>
      </x:c>
      <x:c r="M204" s="19" t="str">
        <x:v>res://resources/audio/shenmu_town_intermission.ogg</x:v>
      </x:c>
      <x:c r="N204" s="19" t="n">
        <x:v>2</x:v>
      </x:c>
      <x:c r="O204" s="19" t="str">
        <x:f>'第3日'!$B$95</x:f>
        <x:v>yuanshi_insect_fast｜迅捷原石虫</x:v>
      </x:c>
      <x:c r="P204" s="19" t="str">
        <x:f>'第3日'!$E$95</x:f>
        <x:v>yuanshi_insect_fast</x:v>
      </x:c>
      <x:c r="Q204" s="19" t="n">
        <x:f>'第3日'!$C$95</x:f>
        <x:v>24</x:v>
      </x:c>
      <x:c r="R204" s="19" t="n">
        <x:f>IF(P204="","",IF(ISNUMBER('第3日'!$D$95),'第3日'!$D$95,IF(VLOOKUP(O204,'敌人目录'!$A$6:$S$54,14,FALSE)&lt;&gt;VLOOKUP(O204,'敌人目录'!$A$6:$S$54,13,FALSE),VLOOKUP(O204,'敌人目录'!$A$6:$S$54,14,FALSE),-1)))</x:f>
        <x:v>-1</x:v>
      </x:c>
      <x:c r="S204" s="19" t="str">
        <x:f>'第3日'!$U$95</x:f>
        <x:v>可导入</x:v>
      </x:c>
      <x:c r="T204" s="19" t="str">
        <x:f>'第3日'!$N$90</x:f>
        <x:v>可导入</x:v>
      </x:c>
    </x:row>
    <x:row r="205" ht="22" customHeight="1">
      <x:c r="A205" s="19" t="n">
        <x:v>1</x:v>
      </x:c>
      <x:c r="B205" s="19" t="str">
        <x:v>tower_defense_formal</x:v>
      </x:c>
      <x:c r="C205" s="19" t="str">
        <x:v>wave_12</x:v>
      </x:c>
      <x:c r="D205" s="19" t="n">
        <x:v>12</x:v>
      </x:c>
      <x:c r="E205" s="19" t="n">
        <x:v>3</x:v>
      </x:c>
      <x:c r="F205" s="19" t="n">
        <x:v>4</x:v>
      </x:c>
      <x:c r="G205" s="19" t="str">
        <x:f>'第3日'!$B$90</x:f>
        <x:v>第12波 城镇决战</x:v>
      </x:c>
      <x:c r="H205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05" s="19" t="n">
        <x:f>'第3日'!$H$90</x:f>
        <x:v>0.22</x:v>
      </x:c>
      <x:c r="J205" s="19" t="n">
        <x:f>'第3日'!$J$90</x:f>
        <x:v>1</x:v>
      </x:c>
      <x:c r="K205" s="19" t="n">
        <x:f>'第3日'!$L$90</x:f>
        <x:v>96</x:v>
      </x:c>
      <x:c r="L205" s="19" t="str">
        <x:v>res://resources/audio/shenmu_town_combat.ogg</x:v>
      </x:c>
      <x:c r="M205" s="19" t="str">
        <x:v>res://resources/audio/shenmu_town_intermission.ogg</x:v>
      </x:c>
      <x:c r="N205" s="19" t="n">
        <x:v>3</x:v>
      </x:c>
      <x:c r="O205" s="19" t="str">
        <x:f>'第3日'!$B$96</x:f>
        <x:v>yuanshi_insect_shell｜硬壳原石虫</x:v>
      </x:c>
      <x:c r="P205" s="19" t="str">
        <x:f>'第3日'!$E$96</x:f>
        <x:v>yuanshi_insect_shell</x:v>
      </x:c>
      <x:c r="Q205" s="19" t="n">
        <x:f>'第3日'!$C$96</x:f>
        <x:v>24</x:v>
      </x:c>
      <x:c r="R205" s="19" t="n">
        <x:f>IF(P205="","",IF(ISNUMBER('第3日'!$D$96),'第3日'!$D$96,IF(VLOOKUP(O205,'敌人目录'!$A$6:$S$54,14,FALSE)&lt;&gt;VLOOKUP(O205,'敌人目录'!$A$6:$S$54,13,FALSE),VLOOKUP(O205,'敌人目录'!$A$6:$S$54,14,FALSE),-1)))</x:f>
        <x:v>-1</x:v>
      </x:c>
      <x:c r="S205" s="19" t="str">
        <x:f>'第3日'!$U$96</x:f>
        <x:v>可导入</x:v>
      </x:c>
      <x:c r="T205" s="19" t="str">
        <x:f>'第3日'!$N$90</x:f>
        <x:v>可导入</x:v>
      </x:c>
    </x:row>
    <x:row r="206" ht="22" customHeight="1">
      <x:c r="A206" s="19" t="n">
        <x:v>1</x:v>
      </x:c>
      <x:c r="B206" s="19" t="str">
        <x:v>tower_defense_formal</x:v>
      </x:c>
      <x:c r="C206" s="19" t="str">
        <x:v>wave_12</x:v>
      </x:c>
      <x:c r="D206" s="19" t="n">
        <x:v>12</x:v>
      </x:c>
      <x:c r="E206" s="19" t="n">
        <x:v>3</x:v>
      </x:c>
      <x:c r="F206" s="19" t="n">
        <x:v>4</x:v>
      </x:c>
      <x:c r="G206" s="19" t="str">
        <x:f>'第3日'!$B$90</x:f>
        <x:v>第12波 城镇决战</x:v>
      </x:c>
      <x:c r="H206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06" s="19" t="n">
        <x:f>'第3日'!$H$90</x:f>
        <x:v>0.22</x:v>
      </x:c>
      <x:c r="J206" s="19" t="n">
        <x:f>'第3日'!$J$90</x:f>
        <x:v>1</x:v>
      </x:c>
      <x:c r="K206" s="19" t="n">
        <x:f>'第3日'!$L$90</x:f>
        <x:v>96</x:v>
      </x:c>
      <x:c r="L206" s="19" t="str">
        <x:v>res://resources/audio/shenmu_town_combat.ogg</x:v>
      </x:c>
      <x:c r="M206" s="19" t="str">
        <x:v>res://resources/audio/shenmu_town_intermission.ogg</x:v>
      </x:c>
      <x:c r="N206" s="19" t="n">
        <x:v>4</x:v>
      </x:c>
      <x:c r="O206" s="19" t="str">
        <x:f>'第3日'!$B$97</x:f>
        <x:v>yuanshi_insect_bomber｜自爆原石虫</x:v>
      </x:c>
      <x:c r="P206" s="19" t="str">
        <x:f>'第3日'!$E$97</x:f>
        <x:v>yuanshi_insect_bomber</x:v>
      </x:c>
      <x:c r="Q206" s="19" t="n">
        <x:f>'第3日'!$C$97</x:f>
        <x:v>20</x:v>
      </x:c>
      <x:c r="R206" s="19" t="n">
        <x:f>IF(P206="","",IF(ISNUMBER('第3日'!$D$97),'第3日'!$D$97,IF(VLOOKUP(O206,'敌人目录'!$A$6:$S$54,14,FALSE)&lt;&gt;VLOOKUP(O206,'敌人目录'!$A$6:$S$54,13,FALSE),VLOOKUP(O206,'敌人目录'!$A$6:$S$54,14,FALSE),-1)))</x:f>
        <x:v>-1</x:v>
      </x:c>
      <x:c r="S206" s="19" t="str">
        <x:f>'第3日'!$U$97</x:f>
        <x:v>可导入</x:v>
      </x:c>
      <x:c r="T206" s="19" t="str">
        <x:f>'第3日'!$N$90</x:f>
        <x:v>可导入</x:v>
      </x:c>
    </x:row>
    <x:row r="207" ht="22" customHeight="1">
      <x:c r="A207" s="19" t="n">
        <x:v>1</x:v>
      </x:c>
      <x:c r="B207" s="19" t="str">
        <x:v>tower_defense_formal</x:v>
      </x:c>
      <x:c r="C207" s="19" t="str">
        <x:v>wave_12</x:v>
      </x:c>
      <x:c r="D207" s="19" t="n">
        <x:v>12</x:v>
      </x:c>
      <x:c r="E207" s="19" t="n">
        <x:v>3</x:v>
      </x:c>
      <x:c r="F207" s="19" t="n">
        <x:v>4</x:v>
      </x:c>
      <x:c r="G207" s="19" t="str">
        <x:f>'第3日'!$B$90</x:f>
        <x:v>第12波 城镇决战</x:v>
      </x:c>
      <x:c r="H207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07" s="19" t="n">
        <x:f>'第3日'!$H$90</x:f>
        <x:v>0.22</x:v>
      </x:c>
      <x:c r="J207" s="19" t="n">
        <x:f>'第3日'!$J$90</x:f>
        <x:v>1</x:v>
      </x:c>
      <x:c r="K207" s="19" t="n">
        <x:f>'第3日'!$L$90</x:f>
        <x:v>96</x:v>
      </x:c>
      <x:c r="L207" s="19" t="str">
        <x:v>res://resources/audio/shenmu_town_combat.ogg</x:v>
      </x:c>
      <x:c r="M207" s="19" t="str">
        <x:v>res://resources/audio/shenmu_town_intermission.ogg</x:v>
      </x:c>
      <x:c r="N207" s="19" t="n">
        <x:v>5</x:v>
      </x:c>
      <x:c r="O207" s="19" t="str">
        <x:f>'第3日'!$B$98</x:f>
        <x:v>yuanshi_insect_purple_bomber｜紫晶自爆原石虫</x:v>
      </x:c>
      <x:c r="P207" s="19" t="str">
        <x:f>'第3日'!$E$98</x:f>
        <x:v>yuanshi_insect_purple_bomber</x:v>
      </x:c>
      <x:c r="Q207" s="19" t="n">
        <x:f>'第3日'!$C$98</x:f>
        <x:v>16</x:v>
      </x:c>
      <x:c r="R207" s="19" t="n">
        <x:f>IF(P207="","",IF(ISNUMBER('第3日'!$D$98),'第3日'!$D$98,IF(VLOOKUP(O207,'敌人目录'!$A$6:$S$54,14,FALSE)&lt;&gt;VLOOKUP(O207,'敌人目录'!$A$6:$S$54,13,FALSE),VLOOKUP(O207,'敌人目录'!$A$6:$S$54,14,FALSE),-1)))</x:f>
        <x:v>-1</x:v>
      </x:c>
      <x:c r="S207" s="19" t="str">
        <x:f>'第3日'!$U$98</x:f>
        <x:v>可导入</x:v>
      </x:c>
      <x:c r="T207" s="19" t="str">
        <x:f>'第3日'!$N$90</x:f>
        <x:v>可导入</x:v>
      </x:c>
    </x:row>
    <x:row r="208" ht="22" customHeight="1">
      <x:c r="A208" s="19" t="n">
        <x:v>1</x:v>
      </x:c>
      <x:c r="B208" s="19" t="str">
        <x:v>tower_defense_formal</x:v>
      </x:c>
      <x:c r="C208" s="19" t="str">
        <x:v>wave_12</x:v>
      </x:c>
      <x:c r="D208" s="19" t="n">
        <x:v>12</x:v>
      </x:c>
      <x:c r="E208" s="19" t="n">
        <x:v>3</x:v>
      </x:c>
      <x:c r="F208" s="19" t="n">
        <x:v>4</x:v>
      </x:c>
      <x:c r="G208" s="19" t="str">
        <x:f>'第3日'!$B$90</x:f>
        <x:v>第12波 城镇决战</x:v>
      </x:c>
      <x:c r="H208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08" s="19" t="n">
        <x:f>'第3日'!$H$90</x:f>
        <x:v>0.22</x:v>
      </x:c>
      <x:c r="J208" s="19" t="n">
        <x:f>'第3日'!$J$90</x:f>
        <x:v>1</x:v>
      </x:c>
      <x:c r="K208" s="19" t="n">
        <x:f>'第3日'!$L$90</x:f>
        <x:v>96</x:v>
      </x:c>
      <x:c r="L208" s="19" t="str">
        <x:v>res://resources/audio/shenmu_town_combat.ogg</x:v>
      </x:c>
      <x:c r="M208" s="19" t="str">
        <x:v>res://resources/audio/shenmu_town_intermission.ogg</x:v>
      </x:c>
      <x:c r="N208" s="19" t="n">
        <x:v>6</x:v>
      </x:c>
      <x:c r="O208" s="19" t="str">
        <x:f>'第3日'!$B$99</x:f>
        <x:v>yuanshi_insect_fire_ranged｜火焰弹原石虫</x:v>
      </x:c>
      <x:c r="P208" s="19" t="str">
        <x:f>'第3日'!$E$99</x:f>
        <x:v>yuanshi_insect_fire_ranged</x:v>
      </x:c>
      <x:c r="Q208" s="19" t="n">
        <x:f>'第3日'!$C$99</x:f>
        <x:v>20</x:v>
      </x:c>
      <x:c r="R208" s="19" t="n">
        <x:f>IF(P208="","",IF(ISNUMBER('第3日'!$D$99),'第3日'!$D$99,IF(VLOOKUP(O208,'敌人目录'!$A$6:$S$54,14,FALSE)&lt;&gt;VLOOKUP(O208,'敌人目录'!$A$6:$S$54,13,FALSE),VLOOKUP(O208,'敌人目录'!$A$6:$S$54,14,FALSE),-1)))</x:f>
        <x:v>-1</x:v>
      </x:c>
      <x:c r="S208" s="19" t="str">
        <x:f>'第3日'!$U$99</x:f>
        <x:v>可导入</x:v>
      </x:c>
      <x:c r="T208" s="19" t="str">
        <x:f>'第3日'!$N$90</x:f>
        <x:v>可导入</x:v>
      </x:c>
    </x:row>
    <x:row r="209" ht="22" customHeight="1">
      <x:c r="A209" s="19" t="n">
        <x:v>1</x:v>
      </x:c>
      <x:c r="B209" s="19" t="str">
        <x:v>tower_defense_formal</x:v>
      </x:c>
      <x:c r="C209" s="19" t="str">
        <x:v>wave_12</x:v>
      </x:c>
      <x:c r="D209" s="19" t="n">
        <x:v>12</x:v>
      </x:c>
      <x:c r="E209" s="19" t="n">
        <x:v>3</x:v>
      </x:c>
      <x:c r="F209" s="19" t="n">
        <x:v>4</x:v>
      </x:c>
      <x:c r="G209" s="19" t="str">
        <x:f>'第3日'!$B$90</x:f>
        <x:v>第12波 城镇决战</x:v>
      </x:c>
      <x:c r="H209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09" s="19" t="n">
        <x:f>'第3日'!$H$90</x:f>
        <x:v>0.22</x:v>
      </x:c>
      <x:c r="J209" s="19" t="n">
        <x:f>'第3日'!$J$90</x:f>
        <x:v>1</x:v>
      </x:c>
      <x:c r="K209" s="19" t="n">
        <x:f>'第3日'!$L$90</x:f>
        <x:v>96</x:v>
      </x:c>
      <x:c r="L209" s="19" t="str">
        <x:v>res://resources/audio/shenmu_town_combat.ogg</x:v>
      </x:c>
      <x:c r="M209" s="19" t="str">
        <x:v>res://resources/audio/shenmu_town_intermission.ogg</x:v>
      </x:c>
      <x:c r="N209" s="19" t="n">
        <x:v>7</x:v>
      </x:c>
      <x:c r="O209" s="19" t="str">
        <x:f>'第3日'!$B$100</x:f>
        <x:v>yuanshi_insect_green_shell｜翠壳原石虫</x:v>
      </x:c>
      <x:c r="P209" s="19" t="str">
        <x:f>'第3日'!$E$100</x:f>
        <x:v>yuanshi_insect_green_shell</x:v>
      </x:c>
      <x:c r="Q209" s="19" t="n">
        <x:f>'第3日'!$C$100</x:f>
        <x:v>20</x:v>
      </x:c>
      <x:c r="R209" s="19" t="n">
        <x:f>IF(P209="","",IF(ISNUMBER('第3日'!$D$100),'第3日'!$D$100,IF(VLOOKUP(O209,'敌人目录'!$A$6:$S$54,14,FALSE)&lt;&gt;VLOOKUP(O209,'敌人目录'!$A$6:$S$54,13,FALSE),VLOOKUP(O209,'敌人目录'!$A$6:$S$54,14,FALSE),-1)))</x:f>
        <x:v>-1</x:v>
      </x:c>
      <x:c r="S209" s="19" t="str">
        <x:f>'第3日'!$U$100</x:f>
        <x:v>可导入</x:v>
      </x:c>
      <x:c r="T209" s="19" t="str">
        <x:f>'第3日'!$N$90</x:f>
        <x:v>可导入</x:v>
      </x:c>
    </x:row>
    <x:row r="210" ht="22" customHeight="1">
      <x:c r="A210" s="19" t="n">
        <x:v>1</x:v>
      </x:c>
      <x:c r="B210" s="19" t="str">
        <x:v>tower_defense_formal</x:v>
      </x:c>
      <x:c r="C210" s="19" t="str">
        <x:v>wave_12</x:v>
      </x:c>
      <x:c r="D210" s="19" t="n">
        <x:v>12</x:v>
      </x:c>
      <x:c r="E210" s="19" t="n">
        <x:v>3</x:v>
      </x:c>
      <x:c r="F210" s="19" t="n">
        <x:v>4</x:v>
      </x:c>
      <x:c r="G210" s="19" t="str">
        <x:f>'第3日'!$B$90</x:f>
        <x:v>第12波 城镇决战</x:v>
      </x:c>
      <x:c r="H210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0" s="19" t="n">
        <x:f>'第3日'!$H$90</x:f>
        <x:v>0.22</x:v>
      </x:c>
      <x:c r="J210" s="19" t="n">
        <x:f>'第3日'!$J$90</x:f>
        <x:v>1</x:v>
      </x:c>
      <x:c r="K210" s="19" t="n">
        <x:f>'第3日'!$L$90</x:f>
        <x:v>96</x:v>
      </x:c>
      <x:c r="L210" s="19" t="str">
        <x:v>res://resources/audio/shenmu_town_combat.ogg</x:v>
      </x:c>
      <x:c r="M210" s="19" t="str">
        <x:v>res://resources/audio/shenmu_town_intermission.ogg</x:v>
      </x:c>
      <x:c r="N210" s="19" t="n">
        <x:v>8</x:v>
      </x:c>
      <x:c r="O210" s="19" t="str">
        <x:f>'第3日'!$B$101</x:f>
        <x:v>yuanshi_insect_guardian｜守护者原石虫</x:v>
      </x:c>
      <x:c r="P210" s="19" t="str">
        <x:f>'第3日'!$E$101</x:f>
        <x:v>yuanshi_insect_guardian</x:v>
      </x:c>
      <x:c r="Q210" s="19" t="n">
        <x:f>'第3日'!$C$101</x:f>
        <x:v>16</x:v>
      </x:c>
      <x:c r="R210" s="19" t="n">
        <x:f>IF(P210="","",IF(ISNUMBER('第3日'!$D$101),'第3日'!$D$101,IF(VLOOKUP(O210,'敌人目录'!$A$6:$S$54,14,FALSE)&lt;&gt;VLOOKUP(O210,'敌人目录'!$A$6:$S$54,13,FALSE),VLOOKUP(O210,'敌人目录'!$A$6:$S$54,14,FALSE),-1)))</x:f>
        <x:v>-1</x:v>
      </x:c>
      <x:c r="S210" s="19" t="str">
        <x:f>'第3日'!$U$101</x:f>
        <x:v>可导入</x:v>
      </x:c>
      <x:c r="T210" s="19" t="str">
        <x:f>'第3日'!$N$90</x:f>
        <x:v>可导入</x:v>
      </x:c>
    </x:row>
    <x:row r="211" ht="22" customHeight="1">
      <x:c r="A211" s="19" t="n">
        <x:v>1</x:v>
      </x:c>
      <x:c r="B211" s="19" t="str">
        <x:v>tower_defense_formal</x:v>
      </x:c>
      <x:c r="C211" s="19" t="str">
        <x:v>wave_12</x:v>
      </x:c>
      <x:c r="D211" s="19" t="n">
        <x:v>12</x:v>
      </x:c>
      <x:c r="E211" s="19" t="n">
        <x:v>3</x:v>
      </x:c>
      <x:c r="F211" s="19" t="n">
        <x:v>4</x:v>
      </x:c>
      <x:c r="G211" s="19" t="str">
        <x:f>'第3日'!$B$90</x:f>
        <x:v>第12波 城镇决战</x:v>
      </x:c>
      <x:c r="H211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1" s="19" t="n">
        <x:f>'第3日'!$H$90</x:f>
        <x:v>0.22</x:v>
      </x:c>
      <x:c r="J211" s="19" t="n">
        <x:f>'第3日'!$J$90</x:f>
        <x:v>1</x:v>
      </x:c>
      <x:c r="K211" s="19" t="n">
        <x:f>'第3日'!$L$90</x:f>
        <x:v>96</x:v>
      </x:c>
      <x:c r="L211" s="19" t="str">
        <x:v>res://resources/audio/shenmu_town_combat.ogg</x:v>
      </x:c>
      <x:c r="M211" s="19" t="str">
        <x:v>res://resources/audio/shenmu_town_intermission.ogg</x:v>
      </x:c>
      <x:c r="N211" s="19" t="n">
        <x:v>9</x:v>
      </x:c>
      <x:c r="O211" s="19" t="str">
        <x:f>'第3日'!$B$102</x:f>
        <x:v>capoo_ak47｜AK猫猫虫</x:v>
      </x:c>
      <x:c r="P211" s="19" t="str">
        <x:f>'第3日'!$E$102</x:f>
        <x:v>capoo_ak47</x:v>
      </x:c>
      <x:c r="Q211" s="19" t="n">
        <x:f>'第3日'!$C$102</x:f>
        <x:v>2</x:v>
      </x:c>
      <x:c r="R211" s="19" t="n">
        <x:f>IF(P211="","",IF(ISNUMBER('第3日'!$D$102),'第3日'!$D$102,IF(VLOOKUP(O211,'敌人目录'!$A$6:$S$54,14,FALSE)&lt;&gt;VLOOKUP(O211,'敌人目录'!$A$6:$S$54,13,FALSE),VLOOKUP(O211,'敌人目录'!$A$6:$S$54,14,FALSE),-1)))</x:f>
        <x:v>-1</x:v>
      </x:c>
      <x:c r="S211" s="19" t="str">
        <x:f>'第3日'!$U$102</x:f>
        <x:v>可导入</x:v>
      </x:c>
      <x:c r="T211" s="19" t="str">
        <x:f>'第3日'!$N$90</x:f>
        <x:v>可导入</x:v>
      </x:c>
    </x:row>
    <x:row r="212" ht="22" customHeight="1">
      <x:c r="A212" s="19" t="n">
        <x:v>1</x:v>
      </x:c>
      <x:c r="B212" s="19" t="str">
        <x:v>tower_defense_formal</x:v>
      </x:c>
      <x:c r="C212" s="19" t="str">
        <x:v>wave_12</x:v>
      </x:c>
      <x:c r="D212" s="19" t="n">
        <x:v>12</x:v>
      </x:c>
      <x:c r="E212" s="19" t="n">
        <x:v>3</x:v>
      </x:c>
      <x:c r="F212" s="19" t="n">
        <x:v>4</x:v>
      </x:c>
      <x:c r="G212" s="19" t="str">
        <x:f>'第3日'!$B$90</x:f>
        <x:v>第12波 城镇决战</x:v>
      </x:c>
      <x:c r="H212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2" s="19" t="n">
        <x:f>'第3日'!$H$90</x:f>
        <x:v>0.22</x:v>
      </x:c>
      <x:c r="J212" s="19" t="n">
        <x:f>'第3日'!$J$90</x:f>
        <x:v>1</x:v>
      </x:c>
      <x:c r="K212" s="19" t="n">
        <x:f>'第3日'!$L$90</x:f>
        <x:v>96</x:v>
      </x:c>
      <x:c r="L212" s="19" t="str">
        <x:v>res://resources/audio/shenmu_town_combat.ogg</x:v>
      </x:c>
      <x:c r="M212" s="19" t="str">
        <x:v>res://resources/audio/shenmu_town_intermission.ogg</x:v>
      </x:c>
      <x:c r="N212" s="19" t="n">
        <x:v>10</x:v>
      </x:c>
      <x:c r="O212" s="19" t="str">
        <x:f>'第3日'!$B$103</x:f>
        <x:v>capoo_knight｜骑士猫猫虫</x:v>
      </x:c>
      <x:c r="P212" s="19" t="str">
        <x:f>'第3日'!$E$103</x:f>
        <x:v>capoo_knight</x:v>
      </x:c>
      <x:c r="Q212" s="19" t="n">
        <x:f>'第3日'!$C$103</x:f>
        <x:v>2</x:v>
      </x:c>
      <x:c r="R212" s="19" t="n">
        <x:f>IF(P212="","",IF(ISNUMBER('第3日'!$D$103),'第3日'!$D$103,IF(VLOOKUP(O212,'敌人目录'!$A$6:$S$54,14,FALSE)&lt;&gt;VLOOKUP(O212,'敌人目录'!$A$6:$S$54,13,FALSE),VLOOKUP(O212,'敌人目录'!$A$6:$S$54,14,FALSE),-1)))</x:f>
        <x:v>-1</x:v>
      </x:c>
      <x:c r="S212" s="19" t="str">
        <x:f>'第3日'!$U$103</x:f>
        <x:v>可导入</x:v>
      </x:c>
      <x:c r="T212" s="19" t="str">
        <x:f>'第3日'!$N$90</x:f>
        <x:v>可导入</x:v>
      </x:c>
    </x:row>
    <x:row r="213" ht="22" customHeight="1">
      <x:c r="A213" s="19" t="n">
        <x:v>1</x:v>
      </x:c>
      <x:c r="B213" s="19" t="str">
        <x:v>tower_defense_formal</x:v>
      </x:c>
      <x:c r="C213" s="19" t="str">
        <x:v>wave_12</x:v>
      </x:c>
      <x:c r="D213" s="19" t="n">
        <x:v>12</x:v>
      </x:c>
      <x:c r="E213" s="19" t="n">
        <x:v>3</x:v>
      </x:c>
      <x:c r="F213" s="19" t="n">
        <x:v>4</x:v>
      </x:c>
      <x:c r="G213" s="19" t="str">
        <x:f>'第3日'!$B$90</x:f>
        <x:v>第12波 城镇决战</x:v>
      </x:c>
      <x:c r="H213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3" s="19" t="n">
        <x:f>'第3日'!$H$90</x:f>
        <x:v>0.22</x:v>
      </x:c>
      <x:c r="J213" s="19" t="n">
        <x:f>'第3日'!$J$90</x:f>
        <x:v>1</x:v>
      </x:c>
      <x:c r="K213" s="19" t="n">
        <x:f>'第3日'!$L$90</x:f>
        <x:v>96</x:v>
      </x:c>
      <x:c r="L213" s="19" t="str">
        <x:v>res://resources/audio/shenmu_town_combat.ogg</x:v>
      </x:c>
      <x:c r="M213" s="19" t="str">
        <x:v>res://resources/audio/shenmu_town_intermission.ogg</x:v>
      </x:c>
      <x:c r="N213" s="19" t="n">
        <x:v>11</x:v>
      </x:c>
      <x:c r="O213" s="19" t="str">
        <x:f>'第3日'!$B$104</x:f>
        <x:v>capoo_mage｜法师 Capoo</x:v>
      </x:c>
      <x:c r="P213" s="19" t="str">
        <x:f>'第3日'!$E$104</x:f>
        <x:v>capoo_mage</x:v>
      </x:c>
      <x:c r="Q213" s="19" t="n">
        <x:f>'第3日'!$C$104</x:f>
        <x:v>1</x:v>
      </x:c>
      <x:c r="R213" s="19" t="n">
        <x:f>IF(P213="","",IF(ISNUMBER('第3日'!$D$104),'第3日'!$D$104,IF(VLOOKUP(O213,'敌人目录'!$A$6:$S$54,14,FALSE)&lt;&gt;VLOOKUP(O213,'敌人目录'!$A$6:$S$54,13,FALSE),VLOOKUP(O213,'敌人目录'!$A$6:$S$54,14,FALSE),-1)))</x:f>
        <x:v>-1</x:v>
      </x:c>
      <x:c r="S213" s="19" t="str">
        <x:f>'第3日'!$U$104</x:f>
        <x:v>可导入</x:v>
      </x:c>
      <x:c r="T213" s="19" t="str">
        <x:f>'第3日'!$N$90</x:f>
        <x:v>可导入</x:v>
      </x:c>
    </x:row>
    <x:row r="214" ht="22" customHeight="1">
      <x:c r="A214" s="19" t="n">
        <x:v>1</x:v>
      </x:c>
      <x:c r="B214" s="19" t="str">
        <x:v>tower_defense_formal</x:v>
      </x:c>
      <x:c r="C214" s="19" t="str">
        <x:v>wave_12</x:v>
      </x:c>
      <x:c r="D214" s="19" t="n">
        <x:v>12</x:v>
      </x:c>
      <x:c r="E214" s="19" t="n">
        <x:v>3</x:v>
      </x:c>
      <x:c r="F214" s="19" t="n">
        <x:v>4</x:v>
      </x:c>
      <x:c r="G214" s="19" t="str">
        <x:f>'第3日'!$B$90</x:f>
        <x:v>第12波 城镇决战</x:v>
      </x:c>
      <x:c r="H214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4" s="19" t="n">
        <x:f>'第3日'!$H$90</x:f>
        <x:v>0.22</x:v>
      </x:c>
      <x:c r="J214" s="19" t="n">
        <x:f>'第3日'!$J$90</x:f>
        <x:v>1</x:v>
      </x:c>
      <x:c r="K214" s="19" t="n">
        <x:f>'第3日'!$L$90</x:f>
        <x:v>96</x:v>
      </x:c>
      <x:c r="L214" s="19" t="str">
        <x:v>res://resources/audio/shenmu_town_combat.ogg</x:v>
      </x:c>
      <x:c r="M214" s="19" t="str">
        <x:v>res://resources/audio/shenmu_town_intermission.ogg</x:v>
      </x:c>
      <x:c r="N214" s="19" t="n">
        <x:v>12</x:v>
      </x:c>
      <x:c r="O214" s="19" t="str">
        <x:f>'第3日'!$B$105</x:f>
        <x:v>capoo_rpg｜RPG猫猫虫</x:v>
      </x:c>
      <x:c r="P214" s="19" t="str">
        <x:f>'第3日'!$E$105</x:f>
        <x:v>capoo_rpg</x:v>
      </x:c>
      <x:c r="Q214" s="19" t="n">
        <x:f>'第3日'!$C$105</x:f>
        <x:v>1</x:v>
      </x:c>
      <x:c r="R214" s="19" t="n">
        <x:f>IF(P214="","",IF(ISNUMBER('第3日'!$D$105),'第3日'!$D$105,IF(VLOOKUP(O214,'敌人目录'!$A$6:$S$54,14,FALSE)&lt;&gt;VLOOKUP(O214,'敌人目录'!$A$6:$S$54,13,FALSE),VLOOKUP(O214,'敌人目录'!$A$6:$S$54,14,FALSE),-1)))</x:f>
        <x:v>-1</x:v>
      </x:c>
      <x:c r="S214" s="19" t="str">
        <x:f>'第3日'!$U$105</x:f>
        <x:v>可导入</x:v>
      </x:c>
      <x:c r="T214" s="19" t="str">
        <x:f>'第3日'!$N$90</x:f>
        <x:v>可导入</x:v>
      </x:c>
    </x:row>
    <x:row r="215" ht="22" customHeight="1">
      <x:c r="A215" s="19" t="n">
        <x:v>1</x:v>
      </x:c>
      <x:c r="B215" s="19" t="str">
        <x:v>tower_defense_formal</x:v>
      </x:c>
      <x:c r="C215" s="19" t="str">
        <x:v>wave_12</x:v>
      </x:c>
      <x:c r="D215" s="19" t="n">
        <x:v>12</x:v>
      </x:c>
      <x:c r="E215" s="19" t="n">
        <x:v>3</x:v>
      </x:c>
      <x:c r="F215" s="19" t="n">
        <x:v>4</x:v>
      </x:c>
      <x:c r="G215" s="19" t="str">
        <x:f>'第3日'!$B$90</x:f>
        <x:v>第12波 城镇决战</x:v>
      </x:c>
      <x:c r="H215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5" s="19" t="n">
        <x:f>'第3日'!$H$90</x:f>
        <x:v>0.22</x:v>
      </x:c>
      <x:c r="J215" s="19" t="n">
        <x:f>'第3日'!$J$90</x:f>
        <x:v>1</x:v>
      </x:c>
      <x:c r="K215" s="19" t="n">
        <x:f>'第3日'!$L$90</x:f>
        <x:v>96</x:v>
      </x:c>
      <x:c r="L215" s="19" t="str">
        <x:v>res://resources/audio/shenmu_town_combat.ogg</x:v>
      </x:c>
      <x:c r="M215" s="19" t="str">
        <x:v>res://resources/audio/shenmu_town_intermission.ogg</x:v>
      </x:c>
      <x:c r="N215" s="19" t="n">
        <x:v>13</x:v>
      </x:c>
      <x:c r="O215" s="19" t="str">
        <x:f>'第3日'!$B$106</x:f>
        <x:v>stone_golem｜石头人</x:v>
      </x:c>
      <x:c r="P215" s="19" t="str">
        <x:f>'第3日'!$E$106</x:f>
        <x:v>stone_golem</x:v>
      </x:c>
      <x:c r="Q215" s="19" t="n">
        <x:f>'第3日'!$C$106</x:f>
        <x:v>1</x:v>
      </x:c>
      <x:c r="R215" s="19" t="n">
        <x:f>IF(P215="","",IF(ISNUMBER('第3日'!$D$106),'第3日'!$D$106,IF(VLOOKUP(O215,'敌人目录'!$A$6:$S$54,14,FALSE)&lt;&gt;VLOOKUP(O215,'敌人目录'!$A$6:$S$54,13,FALSE),VLOOKUP(O215,'敌人目录'!$A$6:$S$54,14,FALSE),-1)))</x:f>
        <x:v>-1</x:v>
      </x:c>
      <x:c r="S215" s="19" t="str">
        <x:f>'第3日'!$U$106</x:f>
        <x:v>可导入</x:v>
      </x:c>
      <x:c r="T215" s="19" t="str">
        <x:f>'第3日'!$N$90</x:f>
        <x:v>可导入</x:v>
      </x:c>
    </x:row>
    <x:row r="216" ht="22" customHeight="1">
      <x:c r="A216" s="19" t="n">
        <x:v>1</x:v>
      </x:c>
      <x:c r="B216" s="19" t="str">
        <x:v>tower_defense_formal</x:v>
      </x:c>
      <x:c r="C216" s="19" t="str">
        <x:v>wave_12</x:v>
      </x:c>
      <x:c r="D216" s="19" t="n">
        <x:v>12</x:v>
      </x:c>
      <x:c r="E216" s="19" t="n">
        <x:v>3</x:v>
      </x:c>
      <x:c r="F216" s="19" t="n">
        <x:v>4</x:v>
      </x:c>
      <x:c r="G216" s="19" t="str">
        <x:f>'第3日'!$B$90</x:f>
        <x:v>第12波 城镇决战</x:v>
      </x:c>
      <x:c r="H216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6" s="19" t="n">
        <x:f>'第3日'!$H$90</x:f>
        <x:v>0.22</x:v>
      </x:c>
      <x:c r="J216" s="19" t="n">
        <x:f>'第3日'!$J$90</x:f>
        <x:v>1</x:v>
      </x:c>
      <x:c r="K216" s="19" t="n">
        <x:f>'第3日'!$L$90</x:f>
        <x:v>96</x:v>
      </x:c>
      <x:c r="L216" s="19" t="str">
        <x:v>res://resources/audio/shenmu_town_combat.ogg</x:v>
      </x:c>
      <x:c r="M216" s="19" t="str">
        <x:v>res://resources/audio/shenmu_town_intermission.ogg</x:v>
      </x:c>
      <x:c r="N216" s="19" t="n">
        <x:v>14</x:v>
      </x:c>
      <x:c r="O216" s="19" t="n">
        <x:f>'第3日'!$B$107</x:f>
        <x:v>0</x:v>
      </x:c>
      <x:c r="P216" s="19" t="str">
        <x:f>'第3日'!$E$107</x:f>
      </x:c>
      <x:c r="Q216" s="19" t="n">
        <x:f>'第3日'!$C$107</x:f>
        <x:v>0</x:v>
      </x:c>
      <x:c r="R216" s="19" t="str">
        <x:f>IF(P216="","",IF(ISNUMBER('第3日'!$D$107),'第3日'!$D$107,IF(VLOOKUP(O216,'敌人目录'!$A$6:$S$54,14,FALSE)&lt;&gt;VLOOKUP(O216,'敌人目录'!$A$6:$S$54,13,FALSE),VLOOKUP(O216,'敌人目录'!$A$6:$S$54,14,FALSE),-1)))</x:f>
      </x:c>
      <x:c r="S216" s="19" t="n">
        <x:f>'第3日'!$U$107</x:f>
        <x:v>0</x:v>
      </x:c>
      <x:c r="T216" s="19" t="str">
        <x:f>'第3日'!$N$90</x:f>
        <x:v>可导入</x:v>
      </x:c>
    </x:row>
    <x:row r="217" ht="22" customHeight="1">
      <x:c r="A217" s="19" t="n">
        <x:v>1</x:v>
      </x:c>
      <x:c r="B217" s="19" t="str">
        <x:v>tower_defense_formal</x:v>
      </x:c>
      <x:c r="C217" s="19" t="str">
        <x:v>wave_12</x:v>
      </x:c>
      <x:c r="D217" s="19" t="n">
        <x:v>12</x:v>
      </x:c>
      <x:c r="E217" s="19" t="n">
        <x:v>3</x:v>
      </x:c>
      <x:c r="F217" s="19" t="n">
        <x:v>4</x:v>
      </x:c>
      <x:c r="G217" s="19" t="str">
        <x:f>'第3日'!$B$90</x:f>
        <x:v>第12波 城镇决战</x:v>
      </x:c>
      <x:c r="H217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7" s="19" t="n">
        <x:f>'第3日'!$H$90</x:f>
        <x:v>0.22</x:v>
      </x:c>
      <x:c r="J217" s="19" t="n">
        <x:f>'第3日'!$J$90</x:f>
        <x:v>1</x:v>
      </x:c>
      <x:c r="K217" s="19" t="n">
        <x:f>'第3日'!$L$90</x:f>
        <x:v>96</x:v>
      </x:c>
      <x:c r="L217" s="19" t="str">
        <x:v>res://resources/audio/shenmu_town_combat.ogg</x:v>
      </x:c>
      <x:c r="M217" s="19" t="str">
        <x:v>res://resources/audio/shenmu_town_intermission.ogg</x:v>
      </x:c>
      <x:c r="N217" s="19" t="n">
        <x:v>15</x:v>
      </x:c>
      <x:c r="O217" s="19" t="n">
        <x:f>'第3日'!$B$108</x:f>
        <x:v>0</x:v>
      </x:c>
      <x:c r="P217" s="19" t="str">
        <x:f>'第3日'!$E$108</x:f>
      </x:c>
      <x:c r="Q217" s="19" t="n">
        <x:f>'第3日'!$C$108</x:f>
        <x:v>0</x:v>
      </x:c>
      <x:c r="R217" s="19" t="str">
        <x:f>IF(P217="","",IF(ISNUMBER('第3日'!$D$108),'第3日'!$D$108,IF(VLOOKUP(O217,'敌人目录'!$A$6:$S$54,14,FALSE)&lt;&gt;VLOOKUP(O217,'敌人目录'!$A$6:$S$54,13,FALSE),VLOOKUP(O217,'敌人目录'!$A$6:$S$54,14,FALSE),-1)))</x:f>
      </x:c>
      <x:c r="S217" s="19" t="n">
        <x:f>'第3日'!$U$108</x:f>
        <x:v>0</x:v>
      </x:c>
      <x:c r="T217" s="19" t="str">
        <x:f>'第3日'!$N$90</x:f>
        <x:v>可导入</x:v>
      </x:c>
    </x:row>
    <x:row r="218" ht="22" customHeight="1">
      <x:c r="A218" s="19" t="n">
        <x:v>1</x:v>
      </x:c>
      <x:c r="B218" s="19" t="str">
        <x:v>tower_defense_formal</x:v>
      </x:c>
      <x:c r="C218" s="19" t="str">
        <x:v>wave_12</x:v>
      </x:c>
      <x:c r="D218" s="19" t="n">
        <x:v>12</x:v>
      </x:c>
      <x:c r="E218" s="19" t="n">
        <x:v>3</x:v>
      </x:c>
      <x:c r="F218" s="19" t="n">
        <x:v>4</x:v>
      </x:c>
      <x:c r="G218" s="19" t="str">
        <x:f>'第3日'!$B$90</x:f>
        <x:v>第12波 城镇决战</x:v>
      </x:c>
      <x:c r="H218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8" s="19" t="n">
        <x:f>'第3日'!$H$90</x:f>
        <x:v>0.22</x:v>
      </x:c>
      <x:c r="J218" s="19" t="n">
        <x:f>'第3日'!$J$90</x:f>
        <x:v>1</x:v>
      </x:c>
      <x:c r="K218" s="19" t="n">
        <x:f>'第3日'!$L$90</x:f>
        <x:v>96</x:v>
      </x:c>
      <x:c r="L218" s="19" t="str">
        <x:v>res://resources/audio/shenmu_town_combat.ogg</x:v>
      </x:c>
      <x:c r="M218" s="19" t="str">
        <x:v>res://resources/audio/shenmu_town_intermission.ogg</x:v>
      </x:c>
      <x:c r="N218" s="19" t="n">
        <x:v>16</x:v>
      </x:c>
      <x:c r="O218" s="19" t="n">
        <x:f>'第3日'!$B$109</x:f>
        <x:v>0</x:v>
      </x:c>
      <x:c r="P218" s="19" t="str">
        <x:f>'第3日'!$E$109</x:f>
      </x:c>
      <x:c r="Q218" s="19" t="n">
        <x:f>'第3日'!$C$109</x:f>
        <x:v>0</x:v>
      </x:c>
      <x:c r="R218" s="19" t="str">
        <x:f>IF(P218="","",IF(ISNUMBER('第3日'!$D$109),'第3日'!$D$109,IF(VLOOKUP(O218,'敌人目录'!$A$6:$S$54,14,FALSE)&lt;&gt;VLOOKUP(O218,'敌人目录'!$A$6:$S$54,13,FALSE),VLOOKUP(O218,'敌人目录'!$A$6:$S$54,14,FALSE),-1)))</x:f>
      </x:c>
      <x:c r="S218" s="19" t="n">
        <x:f>'第3日'!$U$109</x:f>
        <x:v>0</x:v>
      </x:c>
      <x:c r="T218" s="19" t="str">
        <x:f>'第3日'!$N$90</x:f>
        <x:v>可导入</x:v>
      </x:c>
    </x:row>
    <x:row r="219" ht="22" customHeight="1">
      <x:c r="A219" s="19" t="n">
        <x:v>1</x:v>
      </x:c>
      <x:c r="B219" s="19" t="str">
        <x:v>tower_defense_formal</x:v>
      </x:c>
      <x:c r="C219" s="19" t="str">
        <x:v>wave_12</x:v>
      </x:c>
      <x:c r="D219" s="19" t="n">
        <x:v>12</x:v>
      </x:c>
      <x:c r="E219" s="19" t="n">
        <x:v>3</x:v>
      </x:c>
      <x:c r="F219" s="19" t="n">
        <x:v>4</x:v>
      </x:c>
      <x:c r="G219" s="19" t="str">
        <x:f>'第3日'!$B$90</x:f>
        <x:v>第12波 城镇决战</x:v>
      </x:c>
      <x:c r="H219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19" s="19" t="n">
        <x:f>'第3日'!$H$90</x:f>
        <x:v>0.22</x:v>
      </x:c>
      <x:c r="J219" s="19" t="n">
        <x:f>'第3日'!$J$90</x:f>
        <x:v>1</x:v>
      </x:c>
      <x:c r="K219" s="19" t="n">
        <x:f>'第3日'!$L$90</x:f>
        <x:v>96</x:v>
      </x:c>
      <x:c r="L219" s="19" t="str">
        <x:v>res://resources/audio/shenmu_town_combat.ogg</x:v>
      </x:c>
      <x:c r="M219" s="19" t="str">
        <x:v>res://resources/audio/shenmu_town_intermission.ogg</x:v>
      </x:c>
      <x:c r="N219" s="19" t="n">
        <x:v>17</x:v>
      </x:c>
      <x:c r="O219" s="19" t="n">
        <x:f>'第3日'!$B$110</x:f>
        <x:v>0</x:v>
      </x:c>
      <x:c r="P219" s="19" t="str">
        <x:f>'第3日'!$E$110</x:f>
      </x:c>
      <x:c r="Q219" s="19" t="n">
        <x:f>'第3日'!$C$110</x:f>
        <x:v>0</x:v>
      </x:c>
      <x:c r="R219" s="19" t="str">
        <x:f>IF(P219="","",IF(ISNUMBER('第3日'!$D$110),'第3日'!$D$110,IF(VLOOKUP(O219,'敌人目录'!$A$6:$S$54,14,FALSE)&lt;&gt;VLOOKUP(O219,'敌人目录'!$A$6:$S$54,13,FALSE),VLOOKUP(O219,'敌人目录'!$A$6:$S$54,14,FALSE),-1)))</x:f>
      </x:c>
      <x:c r="S219" s="19" t="n">
        <x:f>'第3日'!$U$110</x:f>
        <x:v>0</x:v>
      </x:c>
      <x:c r="T219" s="19" t="str">
        <x:f>'第3日'!$N$90</x:f>
        <x:v>可导入</x:v>
      </x:c>
    </x:row>
    <x:row r="220" ht="22" customHeight="1">
      <x:c r="A220" s="19" t="n">
        <x:v>1</x:v>
      </x:c>
      <x:c r="B220" s="19" t="str">
        <x:v>tower_defense_formal</x:v>
      </x:c>
      <x:c r="C220" s="19" t="str">
        <x:v>wave_12</x:v>
      </x:c>
      <x:c r="D220" s="19" t="n">
        <x:v>12</x:v>
      </x:c>
      <x:c r="E220" s="19" t="n">
        <x:v>3</x:v>
      </x:c>
      <x:c r="F220" s="19" t="n">
        <x:v>4</x:v>
      </x:c>
      <x:c r="G220" s="19" t="str">
        <x:f>'第3日'!$B$90</x:f>
        <x:v>第12波 城镇决战</x:v>
      </x:c>
      <x:c r="H220" s="19" t="n">
        <x:f>IF('第3日'!$B$91="开启",1,0)+IF('第3日'!$C$91="开启",2,0)+IF('第3日'!$D$91="开启",4,0)+IF('第3日'!$E$91="开启",8,0)+IF('第3日'!$F$91="开启",16,0)+IF('第3日'!$G$91="开启",32,0)</x:f>
        <x:v>63</x:v>
      </x:c>
      <x:c r="I220" s="19" t="n">
        <x:f>'第3日'!$H$90</x:f>
        <x:v>0.22</x:v>
      </x:c>
      <x:c r="J220" s="19" t="n">
        <x:f>'第3日'!$J$90</x:f>
        <x:v>1</x:v>
      </x:c>
      <x:c r="K220" s="19" t="n">
        <x:f>'第3日'!$L$90</x:f>
        <x:v>96</x:v>
      </x:c>
      <x:c r="L220" s="19" t="str">
        <x:v>res://resources/audio/shenmu_town_combat.ogg</x:v>
      </x:c>
      <x:c r="M220" s="19" t="str">
        <x:v>res://resources/audio/shenmu_town_intermission.ogg</x:v>
      </x:c>
      <x:c r="N220" s="19" t="n">
        <x:v>18</x:v>
      </x:c>
      <x:c r="O220" s="19" t="n">
        <x:f>'第3日'!$B$111</x:f>
        <x:v>0</x:v>
      </x:c>
      <x:c r="P220" s="19" t="n">
        <x:f>'第3日'!$E$111</x:f>
        <x:v>0</x:v>
      </x:c>
      <x:c r="Q220" s="19" t="n">
        <x:f>'第3日'!$C$111</x:f>
        <x:v>0</x:v>
      </x:c>
      <x:c r="R220" s="19" t="str">
        <x:f>IF(P220="","",IF(ISNUMBER('第3日'!$D$111),'第3日'!$D$111,IF(VLOOKUP(O220,'敌人目录'!$A$6:$S$54,14,FALSE)&lt;&gt;VLOOKUP(O220,'敌人目录'!$A$6:$S$54,13,FALSE),VLOOKUP(O220,'敌人目录'!$A$6:$S$54,14,FALSE),-1)))</x:f>
      </x:c>
      <x:c r="S220" s="19" t="n">
        <x:f>'第3日'!$U$111</x:f>
        <x:v>0</x:v>
      </x:c>
      <x:c r="T220" s="19" t="str">
        <x:f>'第3日'!$N$90</x:f>
        <x:v>可导入</x:v>
      </x:c>
    </x:row>
    <x:row r="221" ht="22" customHeight="1">
      <x:c r="A221" s="19" t="n">
        <x:v>1</x:v>
      </x:c>
      <x:c r="B221" s="19" t="str">
        <x:v>tower_defense_formal</x:v>
      </x:c>
      <x:c r="C221" s="19" t="str">
        <x:v>wave_13</x:v>
      </x:c>
      <x:c r="D221" s="19" t="n">
        <x:v>13</x:v>
      </x:c>
      <x:c r="E221" s="19" t="n">
        <x:v>4</x:v>
      </x:c>
      <x:c r="F221" s="19" t="n">
        <x:v>1</x:v>
      </x:c>
      <x:c r="G221" s="19" t="str">
        <x:f>'第4日'!$B$3</x:f>
        <x:v>第13波（待设计）</x:v>
      </x:c>
      <x:c r="H221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1" s="19" t="n">
        <x:f>'第4日'!$H$3</x:f>
        <x:v>0.22</x:v>
      </x:c>
      <x:c r="J221" s="19" t="n">
        <x:f>'第4日'!$J$3</x:f>
        <x:v>1</x:v>
      </x:c>
      <x:c r="K221" s="19" t="n">
        <x:f>'第4日'!$L$3</x:f>
        <x:v>96</x:v>
      </x:c>
      <x:c r="L221" s="19" t="str">
        <x:v>res://resources/audio/shenmu_town_combat.ogg</x:v>
      </x:c>
      <x:c r="M221" s="19" t="str">
        <x:v>res://resources/audio/shenmu_town_intermission.ogg</x:v>
      </x:c>
      <x:c r="N221" s="19" t="n">
        <x:v>1</x:v>
      </x:c>
      <x:c r="O221" s="19" t="n">
        <x:f>'第4日'!$B$7</x:f>
        <x:v>0</x:v>
      </x:c>
      <x:c r="P221" s="19" t="str">
        <x:f>'第4日'!$E$7</x:f>
      </x:c>
      <x:c r="Q221" s="19" t="n">
        <x:f>'第4日'!$C$7</x:f>
        <x:v>0</x:v>
      </x:c>
      <x:c r="R221" s="19" t="str">
        <x:f>IF(P221="","",IF(ISNUMBER('第4日'!$D$7),'第4日'!$D$7,IF(VLOOKUP(O221,'敌人目录'!$A$6:$S$54,14,FALSE)&lt;&gt;VLOOKUP(O221,'敌人目录'!$A$6:$S$54,13,FALSE),VLOOKUP(O221,'敌人目录'!$A$6:$S$54,14,FALSE),-1)))</x:f>
      </x:c>
      <x:c r="S221" s="19" t="n">
        <x:f>'第4日'!$U$7</x:f>
        <x:v>0</x:v>
      </x:c>
      <x:c r="T221" s="19" t="str">
        <x:f>'第4日'!$N$3</x:f>
        <x:v>待设计</x:v>
      </x:c>
    </x:row>
    <x:row r="222" ht="22" customHeight="1">
      <x:c r="A222" s="19" t="n">
        <x:v>1</x:v>
      </x:c>
      <x:c r="B222" s="19" t="str">
        <x:v>tower_defense_formal</x:v>
      </x:c>
      <x:c r="C222" s="19" t="str">
        <x:v>wave_13</x:v>
      </x:c>
      <x:c r="D222" s="19" t="n">
        <x:v>13</x:v>
      </x:c>
      <x:c r="E222" s="19" t="n">
        <x:v>4</x:v>
      </x:c>
      <x:c r="F222" s="19" t="n">
        <x:v>1</x:v>
      </x:c>
      <x:c r="G222" s="19" t="str">
        <x:f>'第4日'!$B$3</x:f>
        <x:v>第13波（待设计）</x:v>
      </x:c>
      <x:c r="H222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2" s="19" t="n">
        <x:f>'第4日'!$H$3</x:f>
        <x:v>0.22</x:v>
      </x:c>
      <x:c r="J222" s="19" t="n">
        <x:f>'第4日'!$J$3</x:f>
        <x:v>1</x:v>
      </x:c>
      <x:c r="K222" s="19" t="n">
        <x:f>'第4日'!$L$3</x:f>
        <x:v>96</x:v>
      </x:c>
      <x:c r="L222" s="19" t="str">
        <x:v>res://resources/audio/shenmu_town_combat.ogg</x:v>
      </x:c>
      <x:c r="M222" s="19" t="str">
        <x:v>res://resources/audio/shenmu_town_intermission.ogg</x:v>
      </x:c>
      <x:c r="N222" s="19" t="n">
        <x:v>2</x:v>
      </x:c>
      <x:c r="O222" s="19" t="n">
        <x:f>'第4日'!$B$8</x:f>
        <x:v>0</x:v>
      </x:c>
      <x:c r="P222" s="19" t="str">
        <x:f>'第4日'!$E$8</x:f>
      </x:c>
      <x:c r="Q222" s="19" t="n">
        <x:f>'第4日'!$C$8</x:f>
        <x:v>0</x:v>
      </x:c>
      <x:c r="R222" s="19" t="str">
        <x:f>IF(P222="","",IF(ISNUMBER('第4日'!$D$8),'第4日'!$D$8,IF(VLOOKUP(O222,'敌人目录'!$A$6:$S$54,14,FALSE)&lt;&gt;VLOOKUP(O222,'敌人目录'!$A$6:$S$54,13,FALSE),VLOOKUP(O222,'敌人目录'!$A$6:$S$54,14,FALSE),-1)))</x:f>
      </x:c>
      <x:c r="S222" s="19" t="n">
        <x:f>'第4日'!$U$8</x:f>
        <x:v>0</x:v>
      </x:c>
      <x:c r="T222" s="19" t="str">
        <x:f>'第4日'!$N$3</x:f>
        <x:v>待设计</x:v>
      </x:c>
    </x:row>
    <x:row r="223" ht="22" customHeight="1">
      <x:c r="A223" s="19" t="n">
        <x:v>1</x:v>
      </x:c>
      <x:c r="B223" s="19" t="str">
        <x:v>tower_defense_formal</x:v>
      </x:c>
      <x:c r="C223" s="19" t="str">
        <x:v>wave_13</x:v>
      </x:c>
      <x:c r="D223" s="19" t="n">
        <x:v>13</x:v>
      </x:c>
      <x:c r="E223" s="19" t="n">
        <x:v>4</x:v>
      </x:c>
      <x:c r="F223" s="19" t="n">
        <x:v>1</x:v>
      </x:c>
      <x:c r="G223" s="19" t="str">
        <x:f>'第4日'!$B$3</x:f>
        <x:v>第13波（待设计）</x:v>
      </x:c>
      <x:c r="H223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3" s="19" t="n">
        <x:f>'第4日'!$H$3</x:f>
        <x:v>0.22</x:v>
      </x:c>
      <x:c r="J223" s="19" t="n">
        <x:f>'第4日'!$J$3</x:f>
        <x:v>1</x:v>
      </x:c>
      <x:c r="K223" s="19" t="n">
        <x:f>'第4日'!$L$3</x:f>
        <x:v>96</x:v>
      </x:c>
      <x:c r="L223" s="19" t="str">
        <x:v>res://resources/audio/shenmu_town_combat.ogg</x:v>
      </x:c>
      <x:c r="M223" s="19" t="str">
        <x:v>res://resources/audio/shenmu_town_intermission.ogg</x:v>
      </x:c>
      <x:c r="N223" s="19" t="n">
        <x:v>3</x:v>
      </x:c>
      <x:c r="O223" s="19" t="n">
        <x:f>'第4日'!$B$9</x:f>
        <x:v>0</x:v>
      </x:c>
      <x:c r="P223" s="19" t="str">
        <x:f>'第4日'!$E$9</x:f>
      </x:c>
      <x:c r="Q223" s="19" t="n">
        <x:f>'第4日'!$C$9</x:f>
        <x:v>0</x:v>
      </x:c>
      <x:c r="R223" s="19" t="str">
        <x:f>IF(P223="","",IF(ISNUMBER('第4日'!$D$9),'第4日'!$D$9,IF(VLOOKUP(O223,'敌人目录'!$A$6:$S$54,14,FALSE)&lt;&gt;VLOOKUP(O223,'敌人目录'!$A$6:$S$54,13,FALSE),VLOOKUP(O223,'敌人目录'!$A$6:$S$54,14,FALSE),-1)))</x:f>
      </x:c>
      <x:c r="S223" s="19" t="n">
        <x:f>'第4日'!$U$9</x:f>
        <x:v>0</x:v>
      </x:c>
      <x:c r="T223" s="19" t="str">
        <x:f>'第4日'!$N$3</x:f>
        <x:v>待设计</x:v>
      </x:c>
    </x:row>
    <x:row r="224" ht="22" customHeight="1">
      <x:c r="A224" s="19" t="n">
        <x:v>1</x:v>
      </x:c>
      <x:c r="B224" s="19" t="str">
        <x:v>tower_defense_formal</x:v>
      </x:c>
      <x:c r="C224" s="19" t="str">
        <x:v>wave_13</x:v>
      </x:c>
      <x:c r="D224" s="19" t="n">
        <x:v>13</x:v>
      </x:c>
      <x:c r="E224" s="19" t="n">
        <x:v>4</x:v>
      </x:c>
      <x:c r="F224" s="19" t="n">
        <x:v>1</x:v>
      </x:c>
      <x:c r="G224" s="19" t="str">
        <x:f>'第4日'!$B$3</x:f>
        <x:v>第13波（待设计）</x:v>
      </x:c>
      <x:c r="H224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4" s="19" t="n">
        <x:f>'第4日'!$H$3</x:f>
        <x:v>0.22</x:v>
      </x:c>
      <x:c r="J224" s="19" t="n">
        <x:f>'第4日'!$J$3</x:f>
        <x:v>1</x:v>
      </x:c>
      <x:c r="K224" s="19" t="n">
        <x:f>'第4日'!$L$3</x:f>
        <x:v>96</x:v>
      </x:c>
      <x:c r="L224" s="19" t="str">
        <x:v>res://resources/audio/shenmu_town_combat.ogg</x:v>
      </x:c>
      <x:c r="M224" s="19" t="str">
        <x:v>res://resources/audio/shenmu_town_intermission.ogg</x:v>
      </x:c>
      <x:c r="N224" s="19" t="n">
        <x:v>4</x:v>
      </x:c>
      <x:c r="O224" s="19" t="n">
        <x:f>'第4日'!$B$10</x:f>
        <x:v>0</x:v>
      </x:c>
      <x:c r="P224" s="19" t="str">
        <x:f>'第4日'!$E$10</x:f>
      </x:c>
      <x:c r="Q224" s="19" t="n">
        <x:f>'第4日'!$C$10</x:f>
        <x:v>0</x:v>
      </x:c>
      <x:c r="R224" s="19" t="str">
        <x:f>IF(P224="","",IF(ISNUMBER('第4日'!$D$10),'第4日'!$D$10,IF(VLOOKUP(O224,'敌人目录'!$A$6:$S$54,14,FALSE)&lt;&gt;VLOOKUP(O224,'敌人目录'!$A$6:$S$54,13,FALSE),VLOOKUP(O224,'敌人目录'!$A$6:$S$54,14,FALSE),-1)))</x:f>
      </x:c>
      <x:c r="S224" s="19" t="n">
        <x:f>'第4日'!$U$10</x:f>
        <x:v>0</x:v>
      </x:c>
      <x:c r="T224" s="19" t="str">
        <x:f>'第4日'!$N$3</x:f>
        <x:v>待设计</x:v>
      </x:c>
    </x:row>
    <x:row r="225" ht="22" customHeight="1">
      <x:c r="A225" s="19" t="n">
        <x:v>1</x:v>
      </x:c>
      <x:c r="B225" s="19" t="str">
        <x:v>tower_defense_formal</x:v>
      </x:c>
      <x:c r="C225" s="19" t="str">
        <x:v>wave_13</x:v>
      </x:c>
      <x:c r="D225" s="19" t="n">
        <x:v>13</x:v>
      </x:c>
      <x:c r="E225" s="19" t="n">
        <x:v>4</x:v>
      </x:c>
      <x:c r="F225" s="19" t="n">
        <x:v>1</x:v>
      </x:c>
      <x:c r="G225" s="19" t="str">
        <x:f>'第4日'!$B$3</x:f>
        <x:v>第13波（待设计）</x:v>
      </x:c>
      <x:c r="H225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5" s="19" t="n">
        <x:f>'第4日'!$H$3</x:f>
        <x:v>0.22</x:v>
      </x:c>
      <x:c r="J225" s="19" t="n">
        <x:f>'第4日'!$J$3</x:f>
        <x:v>1</x:v>
      </x:c>
      <x:c r="K225" s="19" t="n">
        <x:f>'第4日'!$L$3</x:f>
        <x:v>96</x:v>
      </x:c>
      <x:c r="L225" s="19" t="str">
        <x:v>res://resources/audio/shenmu_town_combat.ogg</x:v>
      </x:c>
      <x:c r="M225" s="19" t="str">
        <x:v>res://resources/audio/shenmu_town_intermission.ogg</x:v>
      </x:c>
      <x:c r="N225" s="19" t="n">
        <x:v>5</x:v>
      </x:c>
      <x:c r="O225" s="19" t="n">
        <x:f>'第4日'!$B$11</x:f>
        <x:v>0</x:v>
      </x:c>
      <x:c r="P225" s="19" t="str">
        <x:f>'第4日'!$E$11</x:f>
      </x:c>
      <x:c r="Q225" s="19" t="n">
        <x:f>'第4日'!$C$11</x:f>
        <x:v>0</x:v>
      </x:c>
      <x:c r="R225" s="19" t="str">
        <x:f>IF(P225="","",IF(ISNUMBER('第4日'!$D$11),'第4日'!$D$11,IF(VLOOKUP(O225,'敌人目录'!$A$6:$S$54,14,FALSE)&lt;&gt;VLOOKUP(O225,'敌人目录'!$A$6:$S$54,13,FALSE),VLOOKUP(O225,'敌人目录'!$A$6:$S$54,14,FALSE),-1)))</x:f>
      </x:c>
      <x:c r="S225" s="19" t="n">
        <x:f>'第4日'!$U$11</x:f>
        <x:v>0</x:v>
      </x:c>
      <x:c r="T225" s="19" t="str">
        <x:f>'第4日'!$N$3</x:f>
        <x:v>待设计</x:v>
      </x:c>
    </x:row>
    <x:row r="226" ht="22" customHeight="1">
      <x:c r="A226" s="19" t="n">
        <x:v>1</x:v>
      </x:c>
      <x:c r="B226" s="19" t="str">
        <x:v>tower_defense_formal</x:v>
      </x:c>
      <x:c r="C226" s="19" t="str">
        <x:v>wave_13</x:v>
      </x:c>
      <x:c r="D226" s="19" t="n">
        <x:v>13</x:v>
      </x:c>
      <x:c r="E226" s="19" t="n">
        <x:v>4</x:v>
      </x:c>
      <x:c r="F226" s="19" t="n">
        <x:v>1</x:v>
      </x:c>
      <x:c r="G226" s="19" t="str">
        <x:f>'第4日'!$B$3</x:f>
        <x:v>第13波（待设计）</x:v>
      </x:c>
      <x:c r="H226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6" s="19" t="n">
        <x:f>'第4日'!$H$3</x:f>
        <x:v>0.22</x:v>
      </x:c>
      <x:c r="J226" s="19" t="n">
        <x:f>'第4日'!$J$3</x:f>
        <x:v>1</x:v>
      </x:c>
      <x:c r="K226" s="19" t="n">
        <x:f>'第4日'!$L$3</x:f>
        <x:v>96</x:v>
      </x:c>
      <x:c r="L226" s="19" t="str">
        <x:v>res://resources/audio/shenmu_town_combat.ogg</x:v>
      </x:c>
      <x:c r="M226" s="19" t="str">
        <x:v>res://resources/audio/shenmu_town_intermission.ogg</x:v>
      </x:c>
      <x:c r="N226" s="19" t="n">
        <x:v>6</x:v>
      </x:c>
      <x:c r="O226" s="19" t="n">
        <x:f>'第4日'!$B$12</x:f>
        <x:v>0</x:v>
      </x:c>
      <x:c r="P226" s="19" t="str">
        <x:f>'第4日'!$E$12</x:f>
      </x:c>
      <x:c r="Q226" s="19" t="n">
        <x:f>'第4日'!$C$12</x:f>
        <x:v>0</x:v>
      </x:c>
      <x:c r="R226" s="19" t="str">
        <x:f>IF(P226="","",IF(ISNUMBER('第4日'!$D$12),'第4日'!$D$12,IF(VLOOKUP(O226,'敌人目录'!$A$6:$S$54,14,FALSE)&lt;&gt;VLOOKUP(O226,'敌人目录'!$A$6:$S$54,13,FALSE),VLOOKUP(O226,'敌人目录'!$A$6:$S$54,14,FALSE),-1)))</x:f>
      </x:c>
      <x:c r="S226" s="19" t="n">
        <x:f>'第4日'!$U$12</x:f>
        <x:v>0</x:v>
      </x:c>
      <x:c r="T226" s="19" t="str">
        <x:f>'第4日'!$N$3</x:f>
        <x:v>待设计</x:v>
      </x:c>
    </x:row>
    <x:row r="227" ht="22" customHeight="1">
      <x:c r="A227" s="19" t="n">
        <x:v>1</x:v>
      </x:c>
      <x:c r="B227" s="19" t="str">
        <x:v>tower_defense_formal</x:v>
      </x:c>
      <x:c r="C227" s="19" t="str">
        <x:v>wave_13</x:v>
      </x:c>
      <x:c r="D227" s="19" t="n">
        <x:v>13</x:v>
      </x:c>
      <x:c r="E227" s="19" t="n">
        <x:v>4</x:v>
      </x:c>
      <x:c r="F227" s="19" t="n">
        <x:v>1</x:v>
      </x:c>
      <x:c r="G227" s="19" t="str">
        <x:f>'第4日'!$B$3</x:f>
        <x:v>第13波（待设计）</x:v>
      </x:c>
      <x:c r="H227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7" s="19" t="n">
        <x:f>'第4日'!$H$3</x:f>
        <x:v>0.22</x:v>
      </x:c>
      <x:c r="J227" s="19" t="n">
        <x:f>'第4日'!$J$3</x:f>
        <x:v>1</x:v>
      </x:c>
      <x:c r="K227" s="19" t="n">
        <x:f>'第4日'!$L$3</x:f>
        <x:v>96</x:v>
      </x:c>
      <x:c r="L227" s="19" t="str">
        <x:v>res://resources/audio/shenmu_town_combat.ogg</x:v>
      </x:c>
      <x:c r="M227" s="19" t="str">
        <x:v>res://resources/audio/shenmu_town_intermission.ogg</x:v>
      </x:c>
      <x:c r="N227" s="19" t="n">
        <x:v>7</x:v>
      </x:c>
      <x:c r="O227" s="19" t="n">
        <x:f>'第4日'!$B$13</x:f>
        <x:v>0</x:v>
      </x:c>
      <x:c r="P227" s="19" t="str">
        <x:f>'第4日'!$E$13</x:f>
      </x:c>
      <x:c r="Q227" s="19" t="n">
        <x:f>'第4日'!$C$13</x:f>
        <x:v>0</x:v>
      </x:c>
      <x:c r="R227" s="19" t="str">
        <x:f>IF(P227="","",IF(ISNUMBER('第4日'!$D$13),'第4日'!$D$13,IF(VLOOKUP(O227,'敌人目录'!$A$6:$S$54,14,FALSE)&lt;&gt;VLOOKUP(O227,'敌人目录'!$A$6:$S$54,13,FALSE),VLOOKUP(O227,'敌人目录'!$A$6:$S$54,14,FALSE),-1)))</x:f>
      </x:c>
      <x:c r="S227" s="19" t="n">
        <x:f>'第4日'!$U$13</x:f>
        <x:v>0</x:v>
      </x:c>
      <x:c r="T227" s="19" t="str">
        <x:f>'第4日'!$N$3</x:f>
        <x:v>待设计</x:v>
      </x:c>
    </x:row>
    <x:row r="228" ht="22" customHeight="1">
      <x:c r="A228" s="19" t="n">
        <x:v>1</x:v>
      </x:c>
      <x:c r="B228" s="19" t="str">
        <x:v>tower_defense_formal</x:v>
      </x:c>
      <x:c r="C228" s="19" t="str">
        <x:v>wave_13</x:v>
      </x:c>
      <x:c r="D228" s="19" t="n">
        <x:v>13</x:v>
      </x:c>
      <x:c r="E228" s="19" t="n">
        <x:v>4</x:v>
      </x:c>
      <x:c r="F228" s="19" t="n">
        <x:v>1</x:v>
      </x:c>
      <x:c r="G228" s="19" t="str">
        <x:f>'第4日'!$B$3</x:f>
        <x:v>第13波（待设计）</x:v>
      </x:c>
      <x:c r="H228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8" s="19" t="n">
        <x:f>'第4日'!$H$3</x:f>
        <x:v>0.22</x:v>
      </x:c>
      <x:c r="J228" s="19" t="n">
        <x:f>'第4日'!$J$3</x:f>
        <x:v>1</x:v>
      </x:c>
      <x:c r="K228" s="19" t="n">
        <x:f>'第4日'!$L$3</x:f>
        <x:v>96</x:v>
      </x:c>
      <x:c r="L228" s="19" t="str">
        <x:v>res://resources/audio/shenmu_town_combat.ogg</x:v>
      </x:c>
      <x:c r="M228" s="19" t="str">
        <x:v>res://resources/audio/shenmu_town_intermission.ogg</x:v>
      </x:c>
      <x:c r="N228" s="19" t="n">
        <x:v>8</x:v>
      </x:c>
      <x:c r="O228" s="19" t="n">
        <x:f>'第4日'!$B$14</x:f>
        <x:v>0</x:v>
      </x:c>
      <x:c r="P228" s="19" t="str">
        <x:f>'第4日'!$E$14</x:f>
      </x:c>
      <x:c r="Q228" s="19" t="n">
        <x:f>'第4日'!$C$14</x:f>
        <x:v>0</x:v>
      </x:c>
      <x:c r="R228" s="19" t="str">
        <x:f>IF(P228="","",IF(ISNUMBER('第4日'!$D$14),'第4日'!$D$14,IF(VLOOKUP(O228,'敌人目录'!$A$6:$S$54,14,FALSE)&lt;&gt;VLOOKUP(O228,'敌人目录'!$A$6:$S$54,13,FALSE),VLOOKUP(O228,'敌人目录'!$A$6:$S$54,14,FALSE),-1)))</x:f>
      </x:c>
      <x:c r="S228" s="19" t="n">
        <x:f>'第4日'!$U$14</x:f>
        <x:v>0</x:v>
      </x:c>
      <x:c r="T228" s="19" t="str">
        <x:f>'第4日'!$N$3</x:f>
        <x:v>待设计</x:v>
      </x:c>
    </x:row>
    <x:row r="229" ht="22" customHeight="1">
      <x:c r="A229" s="19" t="n">
        <x:v>1</x:v>
      </x:c>
      <x:c r="B229" s="19" t="str">
        <x:v>tower_defense_formal</x:v>
      </x:c>
      <x:c r="C229" s="19" t="str">
        <x:v>wave_13</x:v>
      </x:c>
      <x:c r="D229" s="19" t="n">
        <x:v>13</x:v>
      </x:c>
      <x:c r="E229" s="19" t="n">
        <x:v>4</x:v>
      </x:c>
      <x:c r="F229" s="19" t="n">
        <x:v>1</x:v>
      </x:c>
      <x:c r="G229" s="19" t="str">
        <x:f>'第4日'!$B$3</x:f>
        <x:v>第13波（待设计）</x:v>
      </x:c>
      <x:c r="H229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29" s="19" t="n">
        <x:f>'第4日'!$H$3</x:f>
        <x:v>0.22</x:v>
      </x:c>
      <x:c r="J229" s="19" t="n">
        <x:f>'第4日'!$J$3</x:f>
        <x:v>1</x:v>
      </x:c>
      <x:c r="K229" s="19" t="n">
        <x:f>'第4日'!$L$3</x:f>
        <x:v>96</x:v>
      </x:c>
      <x:c r="L229" s="19" t="str">
        <x:v>res://resources/audio/shenmu_town_combat.ogg</x:v>
      </x:c>
      <x:c r="M229" s="19" t="str">
        <x:v>res://resources/audio/shenmu_town_intermission.ogg</x:v>
      </x:c>
      <x:c r="N229" s="19" t="n">
        <x:v>9</x:v>
      </x:c>
      <x:c r="O229" s="19" t="n">
        <x:f>'第4日'!$B$15</x:f>
        <x:v>0</x:v>
      </x:c>
      <x:c r="P229" s="19" t="str">
        <x:f>'第4日'!$E$15</x:f>
      </x:c>
      <x:c r="Q229" s="19" t="n">
        <x:f>'第4日'!$C$15</x:f>
        <x:v>0</x:v>
      </x:c>
      <x:c r="R229" s="19" t="str">
        <x:f>IF(P229="","",IF(ISNUMBER('第4日'!$D$15),'第4日'!$D$15,IF(VLOOKUP(O229,'敌人目录'!$A$6:$S$54,14,FALSE)&lt;&gt;VLOOKUP(O229,'敌人目录'!$A$6:$S$54,13,FALSE),VLOOKUP(O229,'敌人目录'!$A$6:$S$54,14,FALSE),-1)))</x:f>
      </x:c>
      <x:c r="S229" s="19" t="n">
        <x:f>'第4日'!$U$15</x:f>
        <x:v>0</x:v>
      </x:c>
      <x:c r="T229" s="19" t="str">
        <x:f>'第4日'!$N$3</x:f>
        <x:v>待设计</x:v>
      </x:c>
    </x:row>
    <x:row r="230" ht="22" customHeight="1">
      <x:c r="A230" s="19" t="n">
        <x:v>1</x:v>
      </x:c>
      <x:c r="B230" s="19" t="str">
        <x:v>tower_defense_formal</x:v>
      </x:c>
      <x:c r="C230" s="19" t="str">
        <x:v>wave_13</x:v>
      </x:c>
      <x:c r="D230" s="19" t="n">
        <x:v>13</x:v>
      </x:c>
      <x:c r="E230" s="19" t="n">
        <x:v>4</x:v>
      </x:c>
      <x:c r="F230" s="19" t="n">
        <x:v>1</x:v>
      </x:c>
      <x:c r="G230" s="19" t="str">
        <x:f>'第4日'!$B$3</x:f>
        <x:v>第13波（待设计）</x:v>
      </x:c>
      <x:c r="H230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0" s="19" t="n">
        <x:f>'第4日'!$H$3</x:f>
        <x:v>0.22</x:v>
      </x:c>
      <x:c r="J230" s="19" t="n">
        <x:f>'第4日'!$J$3</x:f>
        <x:v>1</x:v>
      </x:c>
      <x:c r="K230" s="19" t="n">
        <x:f>'第4日'!$L$3</x:f>
        <x:v>96</x:v>
      </x:c>
      <x:c r="L230" s="19" t="str">
        <x:v>res://resources/audio/shenmu_town_combat.ogg</x:v>
      </x:c>
      <x:c r="M230" s="19" t="str">
        <x:v>res://resources/audio/shenmu_town_intermission.ogg</x:v>
      </x:c>
      <x:c r="N230" s="19" t="n">
        <x:v>10</x:v>
      </x:c>
      <x:c r="O230" s="19" t="n">
        <x:f>'第4日'!$B$16</x:f>
        <x:v>0</x:v>
      </x:c>
      <x:c r="P230" s="19" t="str">
        <x:f>'第4日'!$E$16</x:f>
      </x:c>
      <x:c r="Q230" s="19" t="n">
        <x:f>'第4日'!$C$16</x:f>
        <x:v>0</x:v>
      </x:c>
      <x:c r="R230" s="19" t="str">
        <x:f>IF(P230="","",IF(ISNUMBER('第4日'!$D$16),'第4日'!$D$16,IF(VLOOKUP(O230,'敌人目录'!$A$6:$S$54,14,FALSE)&lt;&gt;VLOOKUP(O230,'敌人目录'!$A$6:$S$54,13,FALSE),VLOOKUP(O230,'敌人目录'!$A$6:$S$54,14,FALSE),-1)))</x:f>
      </x:c>
      <x:c r="S230" s="19" t="n">
        <x:f>'第4日'!$U$16</x:f>
        <x:v>0</x:v>
      </x:c>
      <x:c r="T230" s="19" t="str">
        <x:f>'第4日'!$N$3</x:f>
        <x:v>待设计</x:v>
      </x:c>
    </x:row>
    <x:row r="231" ht="22" customHeight="1">
      <x:c r="A231" s="19" t="n">
        <x:v>1</x:v>
      </x:c>
      <x:c r="B231" s="19" t="str">
        <x:v>tower_defense_formal</x:v>
      </x:c>
      <x:c r="C231" s="19" t="str">
        <x:v>wave_13</x:v>
      </x:c>
      <x:c r="D231" s="19" t="n">
        <x:v>13</x:v>
      </x:c>
      <x:c r="E231" s="19" t="n">
        <x:v>4</x:v>
      </x:c>
      <x:c r="F231" s="19" t="n">
        <x:v>1</x:v>
      </x:c>
      <x:c r="G231" s="19" t="str">
        <x:f>'第4日'!$B$3</x:f>
        <x:v>第13波（待设计）</x:v>
      </x:c>
      <x:c r="H231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1" s="19" t="n">
        <x:f>'第4日'!$H$3</x:f>
        <x:v>0.22</x:v>
      </x:c>
      <x:c r="J231" s="19" t="n">
        <x:f>'第4日'!$J$3</x:f>
        <x:v>1</x:v>
      </x:c>
      <x:c r="K231" s="19" t="n">
        <x:f>'第4日'!$L$3</x:f>
        <x:v>96</x:v>
      </x:c>
      <x:c r="L231" s="19" t="str">
        <x:v>res://resources/audio/shenmu_town_combat.ogg</x:v>
      </x:c>
      <x:c r="M231" s="19" t="str">
        <x:v>res://resources/audio/shenmu_town_intermission.ogg</x:v>
      </x:c>
      <x:c r="N231" s="19" t="n">
        <x:v>11</x:v>
      </x:c>
      <x:c r="O231" s="19" t="n">
        <x:f>'第4日'!$B$17</x:f>
        <x:v>0</x:v>
      </x:c>
      <x:c r="P231" s="19" t="str">
        <x:f>'第4日'!$E$17</x:f>
      </x:c>
      <x:c r="Q231" s="19" t="n">
        <x:f>'第4日'!$C$17</x:f>
        <x:v>0</x:v>
      </x:c>
      <x:c r="R231" s="19" t="str">
        <x:f>IF(P231="","",IF(ISNUMBER('第4日'!$D$17),'第4日'!$D$17,IF(VLOOKUP(O231,'敌人目录'!$A$6:$S$54,14,FALSE)&lt;&gt;VLOOKUP(O231,'敌人目录'!$A$6:$S$54,13,FALSE),VLOOKUP(O231,'敌人目录'!$A$6:$S$54,14,FALSE),-1)))</x:f>
      </x:c>
      <x:c r="S231" s="19" t="n">
        <x:f>'第4日'!$U$17</x:f>
        <x:v>0</x:v>
      </x:c>
      <x:c r="T231" s="19" t="str">
        <x:f>'第4日'!$N$3</x:f>
        <x:v>待设计</x:v>
      </x:c>
    </x:row>
    <x:row r="232" ht="22" customHeight="1">
      <x:c r="A232" s="19" t="n">
        <x:v>1</x:v>
      </x:c>
      <x:c r="B232" s="19" t="str">
        <x:v>tower_defense_formal</x:v>
      </x:c>
      <x:c r="C232" s="19" t="str">
        <x:v>wave_13</x:v>
      </x:c>
      <x:c r="D232" s="19" t="n">
        <x:v>13</x:v>
      </x:c>
      <x:c r="E232" s="19" t="n">
        <x:v>4</x:v>
      </x:c>
      <x:c r="F232" s="19" t="n">
        <x:v>1</x:v>
      </x:c>
      <x:c r="G232" s="19" t="str">
        <x:f>'第4日'!$B$3</x:f>
        <x:v>第13波（待设计）</x:v>
      </x:c>
      <x:c r="H232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2" s="19" t="n">
        <x:f>'第4日'!$H$3</x:f>
        <x:v>0.22</x:v>
      </x:c>
      <x:c r="J232" s="19" t="n">
        <x:f>'第4日'!$J$3</x:f>
        <x:v>1</x:v>
      </x:c>
      <x:c r="K232" s="19" t="n">
        <x:f>'第4日'!$L$3</x:f>
        <x:v>96</x:v>
      </x:c>
      <x:c r="L232" s="19" t="str">
        <x:v>res://resources/audio/shenmu_town_combat.ogg</x:v>
      </x:c>
      <x:c r="M232" s="19" t="str">
        <x:v>res://resources/audio/shenmu_town_intermission.ogg</x:v>
      </x:c>
      <x:c r="N232" s="19" t="n">
        <x:v>12</x:v>
      </x:c>
      <x:c r="O232" s="19" t="n">
        <x:f>'第4日'!$B$18</x:f>
        <x:v>0</x:v>
      </x:c>
      <x:c r="P232" s="19" t="str">
        <x:f>'第4日'!$E$18</x:f>
      </x:c>
      <x:c r="Q232" s="19" t="n">
        <x:f>'第4日'!$C$18</x:f>
        <x:v>0</x:v>
      </x:c>
      <x:c r="R232" s="19" t="str">
        <x:f>IF(P232="","",IF(ISNUMBER('第4日'!$D$18),'第4日'!$D$18,IF(VLOOKUP(O232,'敌人目录'!$A$6:$S$54,14,FALSE)&lt;&gt;VLOOKUP(O232,'敌人目录'!$A$6:$S$54,13,FALSE),VLOOKUP(O232,'敌人目录'!$A$6:$S$54,14,FALSE),-1)))</x:f>
      </x:c>
      <x:c r="S232" s="19" t="n">
        <x:f>'第4日'!$U$18</x:f>
        <x:v>0</x:v>
      </x:c>
      <x:c r="T232" s="19" t="str">
        <x:f>'第4日'!$N$3</x:f>
        <x:v>待设计</x:v>
      </x:c>
    </x:row>
    <x:row r="233" ht="22" customHeight="1">
      <x:c r="A233" s="19" t="n">
        <x:v>1</x:v>
      </x:c>
      <x:c r="B233" s="19" t="str">
        <x:v>tower_defense_formal</x:v>
      </x:c>
      <x:c r="C233" s="19" t="str">
        <x:v>wave_13</x:v>
      </x:c>
      <x:c r="D233" s="19" t="n">
        <x:v>13</x:v>
      </x:c>
      <x:c r="E233" s="19" t="n">
        <x:v>4</x:v>
      </x:c>
      <x:c r="F233" s="19" t="n">
        <x:v>1</x:v>
      </x:c>
      <x:c r="G233" s="19" t="str">
        <x:f>'第4日'!$B$3</x:f>
        <x:v>第13波（待设计）</x:v>
      </x:c>
      <x:c r="H233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3" s="19" t="n">
        <x:f>'第4日'!$H$3</x:f>
        <x:v>0.22</x:v>
      </x:c>
      <x:c r="J233" s="19" t="n">
        <x:f>'第4日'!$J$3</x:f>
        <x:v>1</x:v>
      </x:c>
      <x:c r="K233" s="19" t="n">
        <x:f>'第4日'!$L$3</x:f>
        <x:v>96</x:v>
      </x:c>
      <x:c r="L233" s="19" t="str">
        <x:v>res://resources/audio/shenmu_town_combat.ogg</x:v>
      </x:c>
      <x:c r="M233" s="19" t="str">
        <x:v>res://resources/audio/shenmu_town_intermission.ogg</x:v>
      </x:c>
      <x:c r="N233" s="19" t="n">
        <x:v>13</x:v>
      </x:c>
      <x:c r="O233" s="19" t="n">
        <x:f>'第4日'!$B$19</x:f>
        <x:v>0</x:v>
      </x:c>
      <x:c r="P233" s="19" t="str">
        <x:f>'第4日'!$E$19</x:f>
      </x:c>
      <x:c r="Q233" s="19" t="n">
        <x:f>'第4日'!$C$19</x:f>
        <x:v>0</x:v>
      </x:c>
      <x:c r="R233" s="19" t="str">
        <x:f>IF(P233="","",IF(ISNUMBER('第4日'!$D$19),'第4日'!$D$19,IF(VLOOKUP(O233,'敌人目录'!$A$6:$S$54,14,FALSE)&lt;&gt;VLOOKUP(O233,'敌人目录'!$A$6:$S$54,13,FALSE),VLOOKUP(O233,'敌人目录'!$A$6:$S$54,14,FALSE),-1)))</x:f>
      </x:c>
      <x:c r="S233" s="19" t="n">
        <x:f>'第4日'!$U$19</x:f>
        <x:v>0</x:v>
      </x:c>
      <x:c r="T233" s="19" t="str">
        <x:f>'第4日'!$N$3</x:f>
        <x:v>待设计</x:v>
      </x:c>
    </x:row>
    <x:row r="234" ht="22" customHeight="1">
      <x:c r="A234" s="19" t="n">
        <x:v>1</x:v>
      </x:c>
      <x:c r="B234" s="19" t="str">
        <x:v>tower_defense_formal</x:v>
      </x:c>
      <x:c r="C234" s="19" t="str">
        <x:v>wave_13</x:v>
      </x:c>
      <x:c r="D234" s="19" t="n">
        <x:v>13</x:v>
      </x:c>
      <x:c r="E234" s="19" t="n">
        <x:v>4</x:v>
      </x:c>
      <x:c r="F234" s="19" t="n">
        <x:v>1</x:v>
      </x:c>
      <x:c r="G234" s="19" t="str">
        <x:f>'第4日'!$B$3</x:f>
        <x:v>第13波（待设计）</x:v>
      </x:c>
      <x:c r="H234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4" s="19" t="n">
        <x:f>'第4日'!$H$3</x:f>
        <x:v>0.22</x:v>
      </x:c>
      <x:c r="J234" s="19" t="n">
        <x:f>'第4日'!$J$3</x:f>
        <x:v>1</x:v>
      </x:c>
      <x:c r="K234" s="19" t="n">
        <x:f>'第4日'!$L$3</x:f>
        <x:v>96</x:v>
      </x:c>
      <x:c r="L234" s="19" t="str">
        <x:v>res://resources/audio/shenmu_town_combat.ogg</x:v>
      </x:c>
      <x:c r="M234" s="19" t="str">
        <x:v>res://resources/audio/shenmu_town_intermission.ogg</x:v>
      </x:c>
      <x:c r="N234" s="19" t="n">
        <x:v>14</x:v>
      </x:c>
      <x:c r="O234" s="19" t="n">
        <x:f>'第4日'!$B$20</x:f>
        <x:v>0</x:v>
      </x:c>
      <x:c r="P234" s="19" t="str">
        <x:f>'第4日'!$E$20</x:f>
      </x:c>
      <x:c r="Q234" s="19" t="n">
        <x:f>'第4日'!$C$20</x:f>
        <x:v>0</x:v>
      </x:c>
      <x:c r="R234" s="19" t="str">
        <x:f>IF(P234="","",IF(ISNUMBER('第4日'!$D$20),'第4日'!$D$20,IF(VLOOKUP(O234,'敌人目录'!$A$6:$S$54,14,FALSE)&lt;&gt;VLOOKUP(O234,'敌人目录'!$A$6:$S$54,13,FALSE),VLOOKUP(O234,'敌人目录'!$A$6:$S$54,14,FALSE),-1)))</x:f>
      </x:c>
      <x:c r="S234" s="19" t="n">
        <x:f>'第4日'!$U$20</x:f>
        <x:v>0</x:v>
      </x:c>
      <x:c r="T234" s="19" t="str">
        <x:f>'第4日'!$N$3</x:f>
        <x:v>待设计</x:v>
      </x:c>
    </x:row>
    <x:row r="235" ht="22" customHeight="1">
      <x:c r="A235" s="19" t="n">
        <x:v>1</x:v>
      </x:c>
      <x:c r="B235" s="19" t="str">
        <x:v>tower_defense_formal</x:v>
      </x:c>
      <x:c r="C235" s="19" t="str">
        <x:v>wave_13</x:v>
      </x:c>
      <x:c r="D235" s="19" t="n">
        <x:v>13</x:v>
      </x:c>
      <x:c r="E235" s="19" t="n">
        <x:v>4</x:v>
      </x:c>
      <x:c r="F235" s="19" t="n">
        <x:v>1</x:v>
      </x:c>
      <x:c r="G235" s="19" t="str">
        <x:f>'第4日'!$B$3</x:f>
        <x:v>第13波（待设计）</x:v>
      </x:c>
      <x:c r="H235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5" s="19" t="n">
        <x:f>'第4日'!$H$3</x:f>
        <x:v>0.22</x:v>
      </x:c>
      <x:c r="J235" s="19" t="n">
        <x:f>'第4日'!$J$3</x:f>
        <x:v>1</x:v>
      </x:c>
      <x:c r="K235" s="19" t="n">
        <x:f>'第4日'!$L$3</x:f>
        <x:v>96</x:v>
      </x:c>
      <x:c r="L235" s="19" t="str">
        <x:v>res://resources/audio/shenmu_town_combat.ogg</x:v>
      </x:c>
      <x:c r="M235" s="19" t="str">
        <x:v>res://resources/audio/shenmu_town_intermission.ogg</x:v>
      </x:c>
      <x:c r="N235" s="19" t="n">
        <x:v>15</x:v>
      </x:c>
      <x:c r="O235" s="19" t="n">
        <x:f>'第4日'!$B$21</x:f>
        <x:v>0</x:v>
      </x:c>
      <x:c r="P235" s="19" t="str">
        <x:f>'第4日'!$E$21</x:f>
      </x:c>
      <x:c r="Q235" s="19" t="n">
        <x:f>'第4日'!$C$21</x:f>
        <x:v>0</x:v>
      </x:c>
      <x:c r="R235" s="19" t="str">
        <x:f>IF(P235="","",IF(ISNUMBER('第4日'!$D$21),'第4日'!$D$21,IF(VLOOKUP(O235,'敌人目录'!$A$6:$S$54,14,FALSE)&lt;&gt;VLOOKUP(O235,'敌人目录'!$A$6:$S$54,13,FALSE),VLOOKUP(O235,'敌人目录'!$A$6:$S$54,14,FALSE),-1)))</x:f>
      </x:c>
      <x:c r="S235" s="19" t="n">
        <x:f>'第4日'!$U$21</x:f>
        <x:v>0</x:v>
      </x:c>
      <x:c r="T235" s="19" t="str">
        <x:f>'第4日'!$N$3</x:f>
        <x:v>待设计</x:v>
      </x:c>
    </x:row>
    <x:row r="236" ht="22" customHeight="1">
      <x:c r="A236" s="19" t="n">
        <x:v>1</x:v>
      </x:c>
      <x:c r="B236" s="19" t="str">
        <x:v>tower_defense_formal</x:v>
      </x:c>
      <x:c r="C236" s="19" t="str">
        <x:v>wave_13</x:v>
      </x:c>
      <x:c r="D236" s="19" t="n">
        <x:v>13</x:v>
      </x:c>
      <x:c r="E236" s="19" t="n">
        <x:v>4</x:v>
      </x:c>
      <x:c r="F236" s="19" t="n">
        <x:v>1</x:v>
      </x:c>
      <x:c r="G236" s="19" t="str">
        <x:f>'第4日'!$B$3</x:f>
        <x:v>第13波（待设计）</x:v>
      </x:c>
      <x:c r="H236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6" s="19" t="n">
        <x:f>'第4日'!$H$3</x:f>
        <x:v>0.22</x:v>
      </x:c>
      <x:c r="J236" s="19" t="n">
        <x:f>'第4日'!$J$3</x:f>
        <x:v>1</x:v>
      </x:c>
      <x:c r="K236" s="19" t="n">
        <x:f>'第4日'!$L$3</x:f>
        <x:v>96</x:v>
      </x:c>
      <x:c r="L236" s="19" t="str">
        <x:v>res://resources/audio/shenmu_town_combat.ogg</x:v>
      </x:c>
      <x:c r="M236" s="19" t="str">
        <x:v>res://resources/audio/shenmu_town_intermission.ogg</x:v>
      </x:c>
      <x:c r="N236" s="19" t="n">
        <x:v>16</x:v>
      </x:c>
      <x:c r="O236" s="19" t="n">
        <x:f>'第4日'!$B$22</x:f>
        <x:v>0</x:v>
      </x:c>
      <x:c r="P236" s="19" t="str">
        <x:f>'第4日'!$E$22</x:f>
      </x:c>
      <x:c r="Q236" s="19" t="n">
        <x:f>'第4日'!$C$22</x:f>
        <x:v>0</x:v>
      </x:c>
      <x:c r="R236" s="19" t="str">
        <x:f>IF(P236="","",IF(ISNUMBER('第4日'!$D$22),'第4日'!$D$22,IF(VLOOKUP(O236,'敌人目录'!$A$6:$S$54,14,FALSE)&lt;&gt;VLOOKUP(O236,'敌人目录'!$A$6:$S$54,13,FALSE),VLOOKUP(O236,'敌人目录'!$A$6:$S$54,14,FALSE),-1)))</x:f>
      </x:c>
      <x:c r="S236" s="19" t="n">
        <x:f>'第4日'!$U$22</x:f>
        <x:v>0</x:v>
      </x:c>
      <x:c r="T236" s="19" t="str">
        <x:f>'第4日'!$N$3</x:f>
        <x:v>待设计</x:v>
      </x:c>
    </x:row>
    <x:row r="237" ht="22" customHeight="1">
      <x:c r="A237" s="19" t="n">
        <x:v>1</x:v>
      </x:c>
      <x:c r="B237" s="19" t="str">
        <x:v>tower_defense_formal</x:v>
      </x:c>
      <x:c r="C237" s="19" t="str">
        <x:v>wave_13</x:v>
      </x:c>
      <x:c r="D237" s="19" t="n">
        <x:v>13</x:v>
      </x:c>
      <x:c r="E237" s="19" t="n">
        <x:v>4</x:v>
      </x:c>
      <x:c r="F237" s="19" t="n">
        <x:v>1</x:v>
      </x:c>
      <x:c r="G237" s="19" t="str">
        <x:f>'第4日'!$B$3</x:f>
        <x:v>第13波（待设计）</x:v>
      </x:c>
      <x:c r="H237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7" s="19" t="n">
        <x:f>'第4日'!$H$3</x:f>
        <x:v>0.22</x:v>
      </x:c>
      <x:c r="J237" s="19" t="n">
        <x:f>'第4日'!$J$3</x:f>
        <x:v>1</x:v>
      </x:c>
      <x:c r="K237" s="19" t="n">
        <x:f>'第4日'!$L$3</x:f>
        <x:v>96</x:v>
      </x:c>
      <x:c r="L237" s="19" t="str">
        <x:v>res://resources/audio/shenmu_town_combat.ogg</x:v>
      </x:c>
      <x:c r="M237" s="19" t="str">
        <x:v>res://resources/audio/shenmu_town_intermission.ogg</x:v>
      </x:c>
      <x:c r="N237" s="19" t="n">
        <x:v>17</x:v>
      </x:c>
      <x:c r="O237" s="19" t="n">
        <x:f>'第4日'!$B$23</x:f>
        <x:v>0</x:v>
      </x:c>
      <x:c r="P237" s="19" t="str">
        <x:f>'第4日'!$E$23</x:f>
      </x:c>
      <x:c r="Q237" s="19" t="n">
        <x:f>'第4日'!$C$23</x:f>
        <x:v>0</x:v>
      </x:c>
      <x:c r="R237" s="19" t="str">
        <x:f>IF(P237="","",IF(ISNUMBER('第4日'!$D$23),'第4日'!$D$23,IF(VLOOKUP(O237,'敌人目录'!$A$6:$S$54,14,FALSE)&lt;&gt;VLOOKUP(O237,'敌人目录'!$A$6:$S$54,13,FALSE),VLOOKUP(O237,'敌人目录'!$A$6:$S$54,14,FALSE),-1)))</x:f>
      </x:c>
      <x:c r="S237" s="19" t="n">
        <x:f>'第4日'!$U$23</x:f>
        <x:v>0</x:v>
      </x:c>
      <x:c r="T237" s="19" t="str">
        <x:f>'第4日'!$N$3</x:f>
        <x:v>待设计</x:v>
      </x:c>
    </x:row>
    <x:row r="238" ht="22" customHeight="1">
      <x:c r="A238" s="19" t="n">
        <x:v>1</x:v>
      </x:c>
      <x:c r="B238" s="19" t="str">
        <x:v>tower_defense_formal</x:v>
      </x:c>
      <x:c r="C238" s="19" t="str">
        <x:v>wave_13</x:v>
      </x:c>
      <x:c r="D238" s="19" t="n">
        <x:v>13</x:v>
      </x:c>
      <x:c r="E238" s="19" t="n">
        <x:v>4</x:v>
      </x:c>
      <x:c r="F238" s="19" t="n">
        <x:v>1</x:v>
      </x:c>
      <x:c r="G238" s="19" t="str">
        <x:f>'第4日'!$B$3</x:f>
        <x:v>第13波（待设计）</x:v>
      </x:c>
      <x:c r="H238" s="19" t="n">
        <x:f>IF('第4日'!$B$4="开启",1,0)+IF('第4日'!$C$4="开启",2,0)+IF('第4日'!$D$4="开启",4,0)+IF('第4日'!$E$4="开启",8,0)+IF('第4日'!$F$4="开启",16,0)+IF('第4日'!$G$4="开启",32,0)</x:f>
        <x:v>63</x:v>
      </x:c>
      <x:c r="I238" s="19" t="n">
        <x:f>'第4日'!$H$3</x:f>
        <x:v>0.22</x:v>
      </x:c>
      <x:c r="J238" s="19" t="n">
        <x:f>'第4日'!$J$3</x:f>
        <x:v>1</x:v>
      </x:c>
      <x:c r="K238" s="19" t="n">
        <x:f>'第4日'!$L$3</x:f>
        <x:v>96</x:v>
      </x:c>
      <x:c r="L238" s="19" t="str">
        <x:v>res://resources/audio/shenmu_town_combat.ogg</x:v>
      </x:c>
      <x:c r="M238" s="19" t="str">
        <x:v>res://resources/audio/shenmu_town_intermission.ogg</x:v>
      </x:c>
      <x:c r="N238" s="19" t="n">
        <x:v>18</x:v>
      </x:c>
      <x:c r="O238" s="19" t="n">
        <x:f>'第4日'!$B$24</x:f>
        <x:v>0</x:v>
      </x:c>
      <x:c r="P238" s="19" t="n">
        <x:f>'第4日'!$E$24</x:f>
        <x:v>0</x:v>
      </x:c>
      <x:c r="Q238" s="19" t="n">
        <x:f>'第4日'!$C$24</x:f>
        <x:v>0</x:v>
      </x:c>
      <x:c r="R238" s="19" t="str">
        <x:f>IF(P238="","",IF(ISNUMBER('第4日'!$D$24),'第4日'!$D$24,IF(VLOOKUP(O238,'敌人目录'!$A$6:$S$54,14,FALSE)&lt;&gt;VLOOKUP(O238,'敌人目录'!$A$6:$S$54,13,FALSE),VLOOKUP(O238,'敌人目录'!$A$6:$S$54,14,FALSE),-1)))</x:f>
      </x:c>
      <x:c r="S238" s="19" t="n">
        <x:f>'第4日'!$U$24</x:f>
        <x:v>0</x:v>
      </x:c>
      <x:c r="T238" s="19" t="str">
        <x:f>'第4日'!$N$3</x:f>
        <x:v>待设计</x:v>
      </x:c>
    </x:row>
    <x:row r="239" ht="22" customHeight="1">
      <x:c r="A239" s="19" t="n">
        <x:v>1</x:v>
      </x:c>
      <x:c r="B239" s="19" t="str">
        <x:v>tower_defense_formal</x:v>
      </x:c>
      <x:c r="C239" s="19" t="str">
        <x:v>wave_14</x:v>
      </x:c>
      <x:c r="D239" s="19" t="n">
        <x:v>14</x:v>
      </x:c>
      <x:c r="E239" s="19" t="n">
        <x:v>4</x:v>
      </x:c>
      <x:c r="F239" s="19" t="n">
        <x:v>2</x:v>
      </x:c>
      <x:c r="G239" s="19" t="str">
        <x:f>'第4日'!$B$32</x:f>
        <x:v>第14波（待设计）</x:v>
      </x:c>
      <x:c r="H239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39" s="19" t="n">
        <x:f>'第4日'!$H$32</x:f>
        <x:v>0.22</x:v>
      </x:c>
      <x:c r="J239" s="19" t="n">
        <x:f>'第4日'!$J$32</x:f>
        <x:v>1</x:v>
      </x:c>
      <x:c r="K239" s="19" t="n">
        <x:f>'第4日'!$L$32</x:f>
        <x:v>96</x:v>
      </x:c>
      <x:c r="L239" s="19" t="str">
        <x:v>res://resources/audio/shenmu_town_combat.ogg</x:v>
      </x:c>
      <x:c r="M239" s="19" t="str">
        <x:v>res://resources/audio/shenmu_town_intermission.ogg</x:v>
      </x:c>
      <x:c r="N239" s="19" t="n">
        <x:v>1</x:v>
      </x:c>
      <x:c r="O239" s="19" t="n">
        <x:f>'第4日'!$B$36</x:f>
        <x:v>0</x:v>
      </x:c>
      <x:c r="P239" s="19" t="str">
        <x:f>'第4日'!$E$36</x:f>
      </x:c>
      <x:c r="Q239" s="19" t="n">
        <x:f>'第4日'!$C$36</x:f>
        <x:v>0</x:v>
      </x:c>
      <x:c r="R239" s="19" t="str">
        <x:f>IF(P239="","",IF(ISNUMBER('第4日'!$D$36),'第4日'!$D$36,IF(VLOOKUP(O239,'敌人目录'!$A$6:$S$54,14,FALSE)&lt;&gt;VLOOKUP(O239,'敌人目录'!$A$6:$S$54,13,FALSE),VLOOKUP(O239,'敌人目录'!$A$6:$S$54,14,FALSE),-1)))</x:f>
      </x:c>
      <x:c r="S239" s="19" t="n">
        <x:f>'第4日'!$U$36</x:f>
        <x:v>0</x:v>
      </x:c>
      <x:c r="T239" s="19" t="str">
        <x:f>'第4日'!$N$32</x:f>
        <x:v>待设计</x:v>
      </x:c>
    </x:row>
    <x:row r="240" ht="22" customHeight="1">
      <x:c r="A240" s="19" t="n">
        <x:v>1</x:v>
      </x:c>
      <x:c r="B240" s="19" t="str">
        <x:v>tower_defense_formal</x:v>
      </x:c>
      <x:c r="C240" s="19" t="str">
        <x:v>wave_14</x:v>
      </x:c>
      <x:c r="D240" s="19" t="n">
        <x:v>14</x:v>
      </x:c>
      <x:c r="E240" s="19" t="n">
        <x:v>4</x:v>
      </x:c>
      <x:c r="F240" s="19" t="n">
        <x:v>2</x:v>
      </x:c>
      <x:c r="G240" s="19" t="str">
        <x:f>'第4日'!$B$32</x:f>
        <x:v>第14波（待设计）</x:v>
      </x:c>
      <x:c r="H240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0" s="19" t="n">
        <x:f>'第4日'!$H$32</x:f>
        <x:v>0.22</x:v>
      </x:c>
      <x:c r="J240" s="19" t="n">
        <x:f>'第4日'!$J$32</x:f>
        <x:v>1</x:v>
      </x:c>
      <x:c r="K240" s="19" t="n">
        <x:f>'第4日'!$L$32</x:f>
        <x:v>96</x:v>
      </x:c>
      <x:c r="L240" s="19" t="str">
        <x:v>res://resources/audio/shenmu_town_combat.ogg</x:v>
      </x:c>
      <x:c r="M240" s="19" t="str">
        <x:v>res://resources/audio/shenmu_town_intermission.ogg</x:v>
      </x:c>
      <x:c r="N240" s="19" t="n">
        <x:v>2</x:v>
      </x:c>
      <x:c r="O240" s="19" t="n">
        <x:f>'第4日'!$B$37</x:f>
        <x:v>0</x:v>
      </x:c>
      <x:c r="P240" s="19" t="str">
        <x:f>'第4日'!$E$37</x:f>
      </x:c>
      <x:c r="Q240" s="19" t="n">
        <x:f>'第4日'!$C$37</x:f>
        <x:v>0</x:v>
      </x:c>
      <x:c r="R240" s="19" t="str">
        <x:f>IF(P240="","",IF(ISNUMBER('第4日'!$D$37),'第4日'!$D$37,IF(VLOOKUP(O240,'敌人目录'!$A$6:$S$54,14,FALSE)&lt;&gt;VLOOKUP(O240,'敌人目录'!$A$6:$S$54,13,FALSE),VLOOKUP(O240,'敌人目录'!$A$6:$S$54,14,FALSE),-1)))</x:f>
      </x:c>
      <x:c r="S240" s="19" t="n">
        <x:f>'第4日'!$U$37</x:f>
        <x:v>0</x:v>
      </x:c>
      <x:c r="T240" s="19" t="str">
        <x:f>'第4日'!$N$32</x:f>
        <x:v>待设计</x:v>
      </x:c>
    </x:row>
    <x:row r="241" ht="22" customHeight="1">
      <x:c r="A241" s="19" t="n">
        <x:v>1</x:v>
      </x:c>
      <x:c r="B241" s="19" t="str">
        <x:v>tower_defense_formal</x:v>
      </x:c>
      <x:c r="C241" s="19" t="str">
        <x:v>wave_14</x:v>
      </x:c>
      <x:c r="D241" s="19" t="n">
        <x:v>14</x:v>
      </x:c>
      <x:c r="E241" s="19" t="n">
        <x:v>4</x:v>
      </x:c>
      <x:c r="F241" s="19" t="n">
        <x:v>2</x:v>
      </x:c>
      <x:c r="G241" s="19" t="str">
        <x:f>'第4日'!$B$32</x:f>
        <x:v>第14波（待设计）</x:v>
      </x:c>
      <x:c r="H241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1" s="19" t="n">
        <x:f>'第4日'!$H$32</x:f>
        <x:v>0.22</x:v>
      </x:c>
      <x:c r="J241" s="19" t="n">
        <x:f>'第4日'!$J$32</x:f>
        <x:v>1</x:v>
      </x:c>
      <x:c r="K241" s="19" t="n">
        <x:f>'第4日'!$L$32</x:f>
        <x:v>96</x:v>
      </x:c>
      <x:c r="L241" s="19" t="str">
        <x:v>res://resources/audio/shenmu_town_combat.ogg</x:v>
      </x:c>
      <x:c r="M241" s="19" t="str">
        <x:v>res://resources/audio/shenmu_town_intermission.ogg</x:v>
      </x:c>
      <x:c r="N241" s="19" t="n">
        <x:v>3</x:v>
      </x:c>
      <x:c r="O241" s="19" t="n">
        <x:f>'第4日'!$B$38</x:f>
        <x:v>0</x:v>
      </x:c>
      <x:c r="P241" s="19" t="str">
        <x:f>'第4日'!$E$38</x:f>
      </x:c>
      <x:c r="Q241" s="19" t="n">
        <x:f>'第4日'!$C$38</x:f>
        <x:v>0</x:v>
      </x:c>
      <x:c r="R241" s="19" t="str">
        <x:f>IF(P241="","",IF(ISNUMBER('第4日'!$D$38),'第4日'!$D$38,IF(VLOOKUP(O241,'敌人目录'!$A$6:$S$54,14,FALSE)&lt;&gt;VLOOKUP(O241,'敌人目录'!$A$6:$S$54,13,FALSE),VLOOKUP(O241,'敌人目录'!$A$6:$S$54,14,FALSE),-1)))</x:f>
      </x:c>
      <x:c r="S241" s="19" t="n">
        <x:f>'第4日'!$U$38</x:f>
        <x:v>0</x:v>
      </x:c>
      <x:c r="T241" s="19" t="str">
        <x:f>'第4日'!$N$32</x:f>
        <x:v>待设计</x:v>
      </x:c>
    </x:row>
    <x:row r="242" ht="22" customHeight="1">
      <x:c r="A242" s="19" t="n">
        <x:v>1</x:v>
      </x:c>
      <x:c r="B242" s="19" t="str">
        <x:v>tower_defense_formal</x:v>
      </x:c>
      <x:c r="C242" s="19" t="str">
        <x:v>wave_14</x:v>
      </x:c>
      <x:c r="D242" s="19" t="n">
        <x:v>14</x:v>
      </x:c>
      <x:c r="E242" s="19" t="n">
        <x:v>4</x:v>
      </x:c>
      <x:c r="F242" s="19" t="n">
        <x:v>2</x:v>
      </x:c>
      <x:c r="G242" s="19" t="str">
        <x:f>'第4日'!$B$32</x:f>
        <x:v>第14波（待设计）</x:v>
      </x:c>
      <x:c r="H242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2" s="19" t="n">
        <x:f>'第4日'!$H$32</x:f>
        <x:v>0.22</x:v>
      </x:c>
      <x:c r="J242" s="19" t="n">
        <x:f>'第4日'!$J$32</x:f>
        <x:v>1</x:v>
      </x:c>
      <x:c r="K242" s="19" t="n">
        <x:f>'第4日'!$L$32</x:f>
        <x:v>96</x:v>
      </x:c>
      <x:c r="L242" s="19" t="str">
        <x:v>res://resources/audio/shenmu_town_combat.ogg</x:v>
      </x:c>
      <x:c r="M242" s="19" t="str">
        <x:v>res://resources/audio/shenmu_town_intermission.ogg</x:v>
      </x:c>
      <x:c r="N242" s="19" t="n">
        <x:v>4</x:v>
      </x:c>
      <x:c r="O242" s="19" t="n">
        <x:f>'第4日'!$B$39</x:f>
        <x:v>0</x:v>
      </x:c>
      <x:c r="P242" s="19" t="str">
        <x:f>'第4日'!$E$39</x:f>
      </x:c>
      <x:c r="Q242" s="19" t="n">
        <x:f>'第4日'!$C$39</x:f>
        <x:v>0</x:v>
      </x:c>
      <x:c r="R242" s="19" t="str">
        <x:f>IF(P242="","",IF(ISNUMBER('第4日'!$D$39),'第4日'!$D$39,IF(VLOOKUP(O242,'敌人目录'!$A$6:$S$54,14,FALSE)&lt;&gt;VLOOKUP(O242,'敌人目录'!$A$6:$S$54,13,FALSE),VLOOKUP(O242,'敌人目录'!$A$6:$S$54,14,FALSE),-1)))</x:f>
      </x:c>
      <x:c r="S242" s="19" t="n">
        <x:f>'第4日'!$U$39</x:f>
        <x:v>0</x:v>
      </x:c>
      <x:c r="T242" s="19" t="str">
        <x:f>'第4日'!$N$32</x:f>
        <x:v>待设计</x:v>
      </x:c>
    </x:row>
    <x:row r="243" ht="22" customHeight="1">
      <x:c r="A243" s="19" t="n">
        <x:v>1</x:v>
      </x:c>
      <x:c r="B243" s="19" t="str">
        <x:v>tower_defense_formal</x:v>
      </x:c>
      <x:c r="C243" s="19" t="str">
        <x:v>wave_14</x:v>
      </x:c>
      <x:c r="D243" s="19" t="n">
        <x:v>14</x:v>
      </x:c>
      <x:c r="E243" s="19" t="n">
        <x:v>4</x:v>
      </x:c>
      <x:c r="F243" s="19" t="n">
        <x:v>2</x:v>
      </x:c>
      <x:c r="G243" s="19" t="str">
        <x:f>'第4日'!$B$32</x:f>
        <x:v>第14波（待设计）</x:v>
      </x:c>
      <x:c r="H243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3" s="19" t="n">
        <x:f>'第4日'!$H$32</x:f>
        <x:v>0.22</x:v>
      </x:c>
      <x:c r="J243" s="19" t="n">
        <x:f>'第4日'!$J$32</x:f>
        <x:v>1</x:v>
      </x:c>
      <x:c r="K243" s="19" t="n">
        <x:f>'第4日'!$L$32</x:f>
        <x:v>96</x:v>
      </x:c>
      <x:c r="L243" s="19" t="str">
        <x:v>res://resources/audio/shenmu_town_combat.ogg</x:v>
      </x:c>
      <x:c r="M243" s="19" t="str">
        <x:v>res://resources/audio/shenmu_town_intermission.ogg</x:v>
      </x:c>
      <x:c r="N243" s="19" t="n">
        <x:v>5</x:v>
      </x:c>
      <x:c r="O243" s="19" t="n">
        <x:f>'第4日'!$B$40</x:f>
        <x:v>0</x:v>
      </x:c>
      <x:c r="P243" s="19" t="str">
        <x:f>'第4日'!$E$40</x:f>
      </x:c>
      <x:c r="Q243" s="19" t="n">
        <x:f>'第4日'!$C$40</x:f>
        <x:v>0</x:v>
      </x:c>
      <x:c r="R243" s="19" t="str">
        <x:f>IF(P243="","",IF(ISNUMBER('第4日'!$D$40),'第4日'!$D$40,IF(VLOOKUP(O243,'敌人目录'!$A$6:$S$54,14,FALSE)&lt;&gt;VLOOKUP(O243,'敌人目录'!$A$6:$S$54,13,FALSE),VLOOKUP(O243,'敌人目录'!$A$6:$S$54,14,FALSE),-1)))</x:f>
      </x:c>
      <x:c r="S243" s="19" t="n">
        <x:f>'第4日'!$U$40</x:f>
        <x:v>0</x:v>
      </x:c>
      <x:c r="T243" s="19" t="str">
        <x:f>'第4日'!$N$32</x:f>
        <x:v>待设计</x:v>
      </x:c>
    </x:row>
    <x:row r="244" ht="22" customHeight="1">
      <x:c r="A244" s="19" t="n">
        <x:v>1</x:v>
      </x:c>
      <x:c r="B244" s="19" t="str">
        <x:v>tower_defense_formal</x:v>
      </x:c>
      <x:c r="C244" s="19" t="str">
        <x:v>wave_14</x:v>
      </x:c>
      <x:c r="D244" s="19" t="n">
        <x:v>14</x:v>
      </x:c>
      <x:c r="E244" s="19" t="n">
        <x:v>4</x:v>
      </x:c>
      <x:c r="F244" s="19" t="n">
        <x:v>2</x:v>
      </x:c>
      <x:c r="G244" s="19" t="str">
        <x:f>'第4日'!$B$32</x:f>
        <x:v>第14波（待设计）</x:v>
      </x:c>
      <x:c r="H244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4" s="19" t="n">
        <x:f>'第4日'!$H$32</x:f>
        <x:v>0.22</x:v>
      </x:c>
      <x:c r="J244" s="19" t="n">
        <x:f>'第4日'!$J$32</x:f>
        <x:v>1</x:v>
      </x:c>
      <x:c r="K244" s="19" t="n">
        <x:f>'第4日'!$L$32</x:f>
        <x:v>96</x:v>
      </x:c>
      <x:c r="L244" s="19" t="str">
        <x:v>res://resources/audio/shenmu_town_combat.ogg</x:v>
      </x:c>
      <x:c r="M244" s="19" t="str">
        <x:v>res://resources/audio/shenmu_town_intermission.ogg</x:v>
      </x:c>
      <x:c r="N244" s="19" t="n">
        <x:v>6</x:v>
      </x:c>
      <x:c r="O244" s="19" t="n">
        <x:f>'第4日'!$B$41</x:f>
        <x:v>0</x:v>
      </x:c>
      <x:c r="P244" s="19" t="str">
        <x:f>'第4日'!$E$41</x:f>
      </x:c>
      <x:c r="Q244" s="19" t="n">
        <x:f>'第4日'!$C$41</x:f>
        <x:v>0</x:v>
      </x:c>
      <x:c r="R244" s="19" t="str">
        <x:f>IF(P244="","",IF(ISNUMBER('第4日'!$D$41),'第4日'!$D$41,IF(VLOOKUP(O244,'敌人目录'!$A$6:$S$54,14,FALSE)&lt;&gt;VLOOKUP(O244,'敌人目录'!$A$6:$S$54,13,FALSE),VLOOKUP(O244,'敌人目录'!$A$6:$S$54,14,FALSE),-1)))</x:f>
      </x:c>
      <x:c r="S244" s="19" t="n">
        <x:f>'第4日'!$U$41</x:f>
        <x:v>0</x:v>
      </x:c>
      <x:c r="T244" s="19" t="str">
        <x:f>'第4日'!$N$32</x:f>
        <x:v>待设计</x:v>
      </x:c>
    </x:row>
    <x:row r="245" ht="22" customHeight="1">
      <x:c r="A245" s="19" t="n">
        <x:v>1</x:v>
      </x:c>
      <x:c r="B245" s="19" t="str">
        <x:v>tower_defense_formal</x:v>
      </x:c>
      <x:c r="C245" s="19" t="str">
        <x:v>wave_14</x:v>
      </x:c>
      <x:c r="D245" s="19" t="n">
        <x:v>14</x:v>
      </x:c>
      <x:c r="E245" s="19" t="n">
        <x:v>4</x:v>
      </x:c>
      <x:c r="F245" s="19" t="n">
        <x:v>2</x:v>
      </x:c>
      <x:c r="G245" s="19" t="str">
        <x:f>'第4日'!$B$32</x:f>
        <x:v>第14波（待设计）</x:v>
      </x:c>
      <x:c r="H245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5" s="19" t="n">
        <x:f>'第4日'!$H$32</x:f>
        <x:v>0.22</x:v>
      </x:c>
      <x:c r="J245" s="19" t="n">
        <x:f>'第4日'!$J$32</x:f>
        <x:v>1</x:v>
      </x:c>
      <x:c r="K245" s="19" t="n">
        <x:f>'第4日'!$L$32</x:f>
        <x:v>96</x:v>
      </x:c>
      <x:c r="L245" s="19" t="str">
        <x:v>res://resources/audio/shenmu_town_combat.ogg</x:v>
      </x:c>
      <x:c r="M245" s="19" t="str">
        <x:v>res://resources/audio/shenmu_town_intermission.ogg</x:v>
      </x:c>
      <x:c r="N245" s="19" t="n">
        <x:v>7</x:v>
      </x:c>
      <x:c r="O245" s="19" t="n">
        <x:f>'第4日'!$B$42</x:f>
        <x:v>0</x:v>
      </x:c>
      <x:c r="P245" s="19" t="str">
        <x:f>'第4日'!$E$42</x:f>
      </x:c>
      <x:c r="Q245" s="19" t="n">
        <x:f>'第4日'!$C$42</x:f>
        <x:v>0</x:v>
      </x:c>
      <x:c r="R245" s="19" t="str">
        <x:f>IF(P245="","",IF(ISNUMBER('第4日'!$D$42),'第4日'!$D$42,IF(VLOOKUP(O245,'敌人目录'!$A$6:$S$54,14,FALSE)&lt;&gt;VLOOKUP(O245,'敌人目录'!$A$6:$S$54,13,FALSE),VLOOKUP(O245,'敌人目录'!$A$6:$S$54,14,FALSE),-1)))</x:f>
      </x:c>
      <x:c r="S245" s="19" t="n">
        <x:f>'第4日'!$U$42</x:f>
        <x:v>0</x:v>
      </x:c>
      <x:c r="T245" s="19" t="str">
        <x:f>'第4日'!$N$32</x:f>
        <x:v>待设计</x:v>
      </x:c>
    </x:row>
    <x:row r="246" ht="22" customHeight="1">
      <x:c r="A246" s="19" t="n">
        <x:v>1</x:v>
      </x:c>
      <x:c r="B246" s="19" t="str">
        <x:v>tower_defense_formal</x:v>
      </x:c>
      <x:c r="C246" s="19" t="str">
        <x:v>wave_14</x:v>
      </x:c>
      <x:c r="D246" s="19" t="n">
        <x:v>14</x:v>
      </x:c>
      <x:c r="E246" s="19" t="n">
        <x:v>4</x:v>
      </x:c>
      <x:c r="F246" s="19" t="n">
        <x:v>2</x:v>
      </x:c>
      <x:c r="G246" s="19" t="str">
        <x:f>'第4日'!$B$32</x:f>
        <x:v>第14波（待设计）</x:v>
      </x:c>
      <x:c r="H246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6" s="19" t="n">
        <x:f>'第4日'!$H$32</x:f>
        <x:v>0.22</x:v>
      </x:c>
      <x:c r="J246" s="19" t="n">
        <x:f>'第4日'!$J$32</x:f>
        <x:v>1</x:v>
      </x:c>
      <x:c r="K246" s="19" t="n">
        <x:f>'第4日'!$L$32</x:f>
        <x:v>96</x:v>
      </x:c>
      <x:c r="L246" s="19" t="str">
        <x:v>res://resources/audio/shenmu_town_combat.ogg</x:v>
      </x:c>
      <x:c r="M246" s="19" t="str">
        <x:v>res://resources/audio/shenmu_town_intermission.ogg</x:v>
      </x:c>
      <x:c r="N246" s="19" t="n">
        <x:v>8</x:v>
      </x:c>
      <x:c r="O246" s="19" t="n">
        <x:f>'第4日'!$B$43</x:f>
        <x:v>0</x:v>
      </x:c>
      <x:c r="P246" s="19" t="str">
        <x:f>'第4日'!$E$43</x:f>
      </x:c>
      <x:c r="Q246" s="19" t="n">
        <x:f>'第4日'!$C$43</x:f>
        <x:v>0</x:v>
      </x:c>
      <x:c r="R246" s="19" t="str">
        <x:f>IF(P246="","",IF(ISNUMBER('第4日'!$D$43),'第4日'!$D$43,IF(VLOOKUP(O246,'敌人目录'!$A$6:$S$54,14,FALSE)&lt;&gt;VLOOKUP(O246,'敌人目录'!$A$6:$S$54,13,FALSE),VLOOKUP(O246,'敌人目录'!$A$6:$S$54,14,FALSE),-1)))</x:f>
      </x:c>
      <x:c r="S246" s="19" t="n">
        <x:f>'第4日'!$U$43</x:f>
        <x:v>0</x:v>
      </x:c>
      <x:c r="T246" s="19" t="str">
        <x:f>'第4日'!$N$32</x:f>
        <x:v>待设计</x:v>
      </x:c>
    </x:row>
    <x:row r="247" ht="22" customHeight="1">
      <x:c r="A247" s="19" t="n">
        <x:v>1</x:v>
      </x:c>
      <x:c r="B247" s="19" t="str">
        <x:v>tower_defense_formal</x:v>
      </x:c>
      <x:c r="C247" s="19" t="str">
        <x:v>wave_14</x:v>
      </x:c>
      <x:c r="D247" s="19" t="n">
        <x:v>14</x:v>
      </x:c>
      <x:c r="E247" s="19" t="n">
        <x:v>4</x:v>
      </x:c>
      <x:c r="F247" s="19" t="n">
        <x:v>2</x:v>
      </x:c>
      <x:c r="G247" s="19" t="str">
        <x:f>'第4日'!$B$32</x:f>
        <x:v>第14波（待设计）</x:v>
      </x:c>
      <x:c r="H247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7" s="19" t="n">
        <x:f>'第4日'!$H$32</x:f>
        <x:v>0.22</x:v>
      </x:c>
      <x:c r="J247" s="19" t="n">
        <x:f>'第4日'!$J$32</x:f>
        <x:v>1</x:v>
      </x:c>
      <x:c r="K247" s="19" t="n">
        <x:f>'第4日'!$L$32</x:f>
        <x:v>96</x:v>
      </x:c>
      <x:c r="L247" s="19" t="str">
        <x:v>res://resources/audio/shenmu_town_combat.ogg</x:v>
      </x:c>
      <x:c r="M247" s="19" t="str">
        <x:v>res://resources/audio/shenmu_town_intermission.ogg</x:v>
      </x:c>
      <x:c r="N247" s="19" t="n">
        <x:v>9</x:v>
      </x:c>
      <x:c r="O247" s="19" t="n">
        <x:f>'第4日'!$B$44</x:f>
        <x:v>0</x:v>
      </x:c>
      <x:c r="P247" s="19" t="str">
        <x:f>'第4日'!$E$44</x:f>
      </x:c>
      <x:c r="Q247" s="19" t="n">
        <x:f>'第4日'!$C$44</x:f>
        <x:v>0</x:v>
      </x:c>
      <x:c r="R247" s="19" t="str">
        <x:f>IF(P247="","",IF(ISNUMBER('第4日'!$D$44),'第4日'!$D$44,IF(VLOOKUP(O247,'敌人目录'!$A$6:$S$54,14,FALSE)&lt;&gt;VLOOKUP(O247,'敌人目录'!$A$6:$S$54,13,FALSE),VLOOKUP(O247,'敌人目录'!$A$6:$S$54,14,FALSE),-1)))</x:f>
      </x:c>
      <x:c r="S247" s="19" t="n">
        <x:f>'第4日'!$U$44</x:f>
        <x:v>0</x:v>
      </x:c>
      <x:c r="T247" s="19" t="str">
        <x:f>'第4日'!$N$32</x:f>
        <x:v>待设计</x:v>
      </x:c>
    </x:row>
    <x:row r="248" ht="22" customHeight="1">
      <x:c r="A248" s="19" t="n">
        <x:v>1</x:v>
      </x:c>
      <x:c r="B248" s="19" t="str">
        <x:v>tower_defense_formal</x:v>
      </x:c>
      <x:c r="C248" s="19" t="str">
        <x:v>wave_14</x:v>
      </x:c>
      <x:c r="D248" s="19" t="n">
        <x:v>14</x:v>
      </x:c>
      <x:c r="E248" s="19" t="n">
        <x:v>4</x:v>
      </x:c>
      <x:c r="F248" s="19" t="n">
        <x:v>2</x:v>
      </x:c>
      <x:c r="G248" s="19" t="str">
        <x:f>'第4日'!$B$32</x:f>
        <x:v>第14波（待设计）</x:v>
      </x:c>
      <x:c r="H248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8" s="19" t="n">
        <x:f>'第4日'!$H$32</x:f>
        <x:v>0.22</x:v>
      </x:c>
      <x:c r="J248" s="19" t="n">
        <x:f>'第4日'!$J$32</x:f>
        <x:v>1</x:v>
      </x:c>
      <x:c r="K248" s="19" t="n">
        <x:f>'第4日'!$L$32</x:f>
        <x:v>96</x:v>
      </x:c>
      <x:c r="L248" s="19" t="str">
        <x:v>res://resources/audio/shenmu_town_combat.ogg</x:v>
      </x:c>
      <x:c r="M248" s="19" t="str">
        <x:v>res://resources/audio/shenmu_town_intermission.ogg</x:v>
      </x:c>
      <x:c r="N248" s="19" t="n">
        <x:v>10</x:v>
      </x:c>
      <x:c r="O248" s="19" t="n">
        <x:f>'第4日'!$B$45</x:f>
        <x:v>0</x:v>
      </x:c>
      <x:c r="P248" s="19" t="str">
        <x:f>'第4日'!$E$45</x:f>
      </x:c>
      <x:c r="Q248" s="19" t="n">
        <x:f>'第4日'!$C$45</x:f>
        <x:v>0</x:v>
      </x:c>
      <x:c r="R248" s="19" t="str">
        <x:f>IF(P248="","",IF(ISNUMBER('第4日'!$D$45),'第4日'!$D$45,IF(VLOOKUP(O248,'敌人目录'!$A$6:$S$54,14,FALSE)&lt;&gt;VLOOKUP(O248,'敌人目录'!$A$6:$S$54,13,FALSE),VLOOKUP(O248,'敌人目录'!$A$6:$S$54,14,FALSE),-1)))</x:f>
      </x:c>
      <x:c r="S248" s="19" t="n">
        <x:f>'第4日'!$U$45</x:f>
        <x:v>0</x:v>
      </x:c>
      <x:c r="T248" s="19" t="str">
        <x:f>'第4日'!$N$32</x:f>
        <x:v>待设计</x:v>
      </x:c>
    </x:row>
    <x:row r="249" ht="22" customHeight="1">
      <x:c r="A249" s="19" t="n">
        <x:v>1</x:v>
      </x:c>
      <x:c r="B249" s="19" t="str">
        <x:v>tower_defense_formal</x:v>
      </x:c>
      <x:c r="C249" s="19" t="str">
        <x:v>wave_14</x:v>
      </x:c>
      <x:c r="D249" s="19" t="n">
        <x:v>14</x:v>
      </x:c>
      <x:c r="E249" s="19" t="n">
        <x:v>4</x:v>
      </x:c>
      <x:c r="F249" s="19" t="n">
        <x:v>2</x:v>
      </x:c>
      <x:c r="G249" s="19" t="str">
        <x:f>'第4日'!$B$32</x:f>
        <x:v>第14波（待设计）</x:v>
      </x:c>
      <x:c r="H249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49" s="19" t="n">
        <x:f>'第4日'!$H$32</x:f>
        <x:v>0.22</x:v>
      </x:c>
      <x:c r="J249" s="19" t="n">
        <x:f>'第4日'!$J$32</x:f>
        <x:v>1</x:v>
      </x:c>
      <x:c r="K249" s="19" t="n">
        <x:f>'第4日'!$L$32</x:f>
        <x:v>96</x:v>
      </x:c>
      <x:c r="L249" s="19" t="str">
        <x:v>res://resources/audio/shenmu_town_combat.ogg</x:v>
      </x:c>
      <x:c r="M249" s="19" t="str">
        <x:v>res://resources/audio/shenmu_town_intermission.ogg</x:v>
      </x:c>
      <x:c r="N249" s="19" t="n">
        <x:v>11</x:v>
      </x:c>
      <x:c r="O249" s="19" t="n">
        <x:f>'第4日'!$B$46</x:f>
        <x:v>0</x:v>
      </x:c>
      <x:c r="P249" s="19" t="str">
        <x:f>'第4日'!$E$46</x:f>
      </x:c>
      <x:c r="Q249" s="19" t="n">
        <x:f>'第4日'!$C$46</x:f>
        <x:v>0</x:v>
      </x:c>
      <x:c r="R249" s="19" t="str">
        <x:f>IF(P249="","",IF(ISNUMBER('第4日'!$D$46),'第4日'!$D$46,IF(VLOOKUP(O249,'敌人目录'!$A$6:$S$54,14,FALSE)&lt;&gt;VLOOKUP(O249,'敌人目录'!$A$6:$S$54,13,FALSE),VLOOKUP(O249,'敌人目录'!$A$6:$S$54,14,FALSE),-1)))</x:f>
      </x:c>
      <x:c r="S249" s="19" t="n">
        <x:f>'第4日'!$U$46</x:f>
        <x:v>0</x:v>
      </x:c>
      <x:c r="T249" s="19" t="str">
        <x:f>'第4日'!$N$32</x:f>
        <x:v>待设计</x:v>
      </x:c>
    </x:row>
    <x:row r="250" ht="22" customHeight="1">
      <x:c r="A250" s="19" t="n">
        <x:v>1</x:v>
      </x:c>
      <x:c r="B250" s="19" t="str">
        <x:v>tower_defense_formal</x:v>
      </x:c>
      <x:c r="C250" s="19" t="str">
        <x:v>wave_14</x:v>
      </x:c>
      <x:c r="D250" s="19" t="n">
        <x:v>14</x:v>
      </x:c>
      <x:c r="E250" s="19" t="n">
        <x:v>4</x:v>
      </x:c>
      <x:c r="F250" s="19" t="n">
        <x:v>2</x:v>
      </x:c>
      <x:c r="G250" s="19" t="str">
        <x:f>'第4日'!$B$32</x:f>
        <x:v>第14波（待设计）</x:v>
      </x:c>
      <x:c r="H250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50" s="19" t="n">
        <x:f>'第4日'!$H$32</x:f>
        <x:v>0.22</x:v>
      </x:c>
      <x:c r="J250" s="19" t="n">
        <x:f>'第4日'!$J$32</x:f>
        <x:v>1</x:v>
      </x:c>
      <x:c r="K250" s="19" t="n">
        <x:f>'第4日'!$L$32</x:f>
        <x:v>96</x:v>
      </x:c>
      <x:c r="L250" s="19" t="str">
        <x:v>res://resources/audio/shenmu_town_combat.ogg</x:v>
      </x:c>
      <x:c r="M250" s="19" t="str">
        <x:v>res://resources/audio/shenmu_town_intermission.ogg</x:v>
      </x:c>
      <x:c r="N250" s="19" t="n">
        <x:v>12</x:v>
      </x:c>
      <x:c r="O250" s="19" t="n">
        <x:f>'第4日'!$B$47</x:f>
        <x:v>0</x:v>
      </x:c>
      <x:c r="P250" s="19" t="str">
        <x:f>'第4日'!$E$47</x:f>
      </x:c>
      <x:c r="Q250" s="19" t="n">
        <x:f>'第4日'!$C$47</x:f>
        <x:v>0</x:v>
      </x:c>
      <x:c r="R250" s="19" t="str">
        <x:f>IF(P250="","",IF(ISNUMBER('第4日'!$D$47),'第4日'!$D$47,IF(VLOOKUP(O250,'敌人目录'!$A$6:$S$54,14,FALSE)&lt;&gt;VLOOKUP(O250,'敌人目录'!$A$6:$S$54,13,FALSE),VLOOKUP(O250,'敌人目录'!$A$6:$S$54,14,FALSE),-1)))</x:f>
      </x:c>
      <x:c r="S250" s="19" t="n">
        <x:f>'第4日'!$U$47</x:f>
        <x:v>0</x:v>
      </x:c>
      <x:c r="T250" s="19" t="str">
        <x:f>'第4日'!$N$32</x:f>
        <x:v>待设计</x:v>
      </x:c>
    </x:row>
    <x:row r="251" ht="22" customHeight="1">
      <x:c r="A251" s="19" t="n">
        <x:v>1</x:v>
      </x:c>
      <x:c r="B251" s="19" t="str">
        <x:v>tower_defense_formal</x:v>
      </x:c>
      <x:c r="C251" s="19" t="str">
        <x:v>wave_14</x:v>
      </x:c>
      <x:c r="D251" s="19" t="n">
        <x:v>14</x:v>
      </x:c>
      <x:c r="E251" s="19" t="n">
        <x:v>4</x:v>
      </x:c>
      <x:c r="F251" s="19" t="n">
        <x:v>2</x:v>
      </x:c>
      <x:c r="G251" s="19" t="str">
        <x:f>'第4日'!$B$32</x:f>
        <x:v>第14波（待设计）</x:v>
      </x:c>
      <x:c r="H251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51" s="19" t="n">
        <x:f>'第4日'!$H$32</x:f>
        <x:v>0.22</x:v>
      </x:c>
      <x:c r="J251" s="19" t="n">
        <x:f>'第4日'!$J$32</x:f>
        <x:v>1</x:v>
      </x:c>
      <x:c r="K251" s="19" t="n">
        <x:f>'第4日'!$L$32</x:f>
        <x:v>96</x:v>
      </x:c>
      <x:c r="L251" s="19" t="str">
        <x:v>res://resources/audio/shenmu_town_combat.ogg</x:v>
      </x:c>
      <x:c r="M251" s="19" t="str">
        <x:v>res://resources/audio/shenmu_town_intermission.ogg</x:v>
      </x:c>
      <x:c r="N251" s="19" t="n">
        <x:v>13</x:v>
      </x:c>
      <x:c r="O251" s="19" t="n">
        <x:f>'第4日'!$B$48</x:f>
        <x:v>0</x:v>
      </x:c>
      <x:c r="P251" s="19" t="str">
        <x:f>'第4日'!$E$48</x:f>
      </x:c>
      <x:c r="Q251" s="19" t="n">
        <x:f>'第4日'!$C$48</x:f>
        <x:v>0</x:v>
      </x:c>
      <x:c r="R251" s="19" t="str">
        <x:f>IF(P251="","",IF(ISNUMBER('第4日'!$D$48),'第4日'!$D$48,IF(VLOOKUP(O251,'敌人目录'!$A$6:$S$54,14,FALSE)&lt;&gt;VLOOKUP(O251,'敌人目录'!$A$6:$S$54,13,FALSE),VLOOKUP(O251,'敌人目录'!$A$6:$S$54,14,FALSE),-1)))</x:f>
      </x:c>
      <x:c r="S251" s="19" t="n">
        <x:f>'第4日'!$U$48</x:f>
        <x:v>0</x:v>
      </x:c>
      <x:c r="T251" s="19" t="str">
        <x:f>'第4日'!$N$32</x:f>
        <x:v>待设计</x:v>
      </x:c>
    </x:row>
    <x:row r="252" ht="22" customHeight="1">
      <x:c r="A252" s="19" t="n">
        <x:v>1</x:v>
      </x:c>
      <x:c r="B252" s="19" t="str">
        <x:v>tower_defense_formal</x:v>
      </x:c>
      <x:c r="C252" s="19" t="str">
        <x:v>wave_14</x:v>
      </x:c>
      <x:c r="D252" s="19" t="n">
        <x:v>14</x:v>
      </x:c>
      <x:c r="E252" s="19" t="n">
        <x:v>4</x:v>
      </x:c>
      <x:c r="F252" s="19" t="n">
        <x:v>2</x:v>
      </x:c>
      <x:c r="G252" s="19" t="str">
        <x:f>'第4日'!$B$32</x:f>
        <x:v>第14波（待设计）</x:v>
      </x:c>
      <x:c r="H252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52" s="19" t="n">
        <x:f>'第4日'!$H$32</x:f>
        <x:v>0.22</x:v>
      </x:c>
      <x:c r="J252" s="19" t="n">
        <x:f>'第4日'!$J$32</x:f>
        <x:v>1</x:v>
      </x:c>
      <x:c r="K252" s="19" t="n">
        <x:f>'第4日'!$L$32</x:f>
        <x:v>96</x:v>
      </x:c>
      <x:c r="L252" s="19" t="str">
        <x:v>res://resources/audio/shenmu_town_combat.ogg</x:v>
      </x:c>
      <x:c r="M252" s="19" t="str">
        <x:v>res://resources/audio/shenmu_town_intermission.ogg</x:v>
      </x:c>
      <x:c r="N252" s="19" t="n">
        <x:v>14</x:v>
      </x:c>
      <x:c r="O252" s="19" t="n">
        <x:f>'第4日'!$B$49</x:f>
        <x:v>0</x:v>
      </x:c>
      <x:c r="P252" s="19" t="str">
        <x:f>'第4日'!$E$49</x:f>
      </x:c>
      <x:c r="Q252" s="19" t="n">
        <x:f>'第4日'!$C$49</x:f>
        <x:v>0</x:v>
      </x:c>
      <x:c r="R252" s="19" t="str">
        <x:f>IF(P252="","",IF(ISNUMBER('第4日'!$D$49),'第4日'!$D$49,IF(VLOOKUP(O252,'敌人目录'!$A$6:$S$54,14,FALSE)&lt;&gt;VLOOKUP(O252,'敌人目录'!$A$6:$S$54,13,FALSE),VLOOKUP(O252,'敌人目录'!$A$6:$S$54,14,FALSE),-1)))</x:f>
      </x:c>
      <x:c r="S252" s="19" t="n">
        <x:f>'第4日'!$U$49</x:f>
        <x:v>0</x:v>
      </x:c>
      <x:c r="T252" s="19" t="str">
        <x:f>'第4日'!$N$32</x:f>
        <x:v>待设计</x:v>
      </x:c>
    </x:row>
    <x:row r="253" ht="22" customHeight="1">
      <x:c r="A253" s="19" t="n">
        <x:v>1</x:v>
      </x:c>
      <x:c r="B253" s="19" t="str">
        <x:v>tower_defense_formal</x:v>
      </x:c>
      <x:c r="C253" s="19" t="str">
        <x:v>wave_14</x:v>
      </x:c>
      <x:c r="D253" s="19" t="n">
        <x:v>14</x:v>
      </x:c>
      <x:c r="E253" s="19" t="n">
        <x:v>4</x:v>
      </x:c>
      <x:c r="F253" s="19" t="n">
        <x:v>2</x:v>
      </x:c>
      <x:c r="G253" s="19" t="str">
        <x:f>'第4日'!$B$32</x:f>
        <x:v>第14波（待设计）</x:v>
      </x:c>
      <x:c r="H253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53" s="19" t="n">
        <x:f>'第4日'!$H$32</x:f>
        <x:v>0.22</x:v>
      </x:c>
      <x:c r="J253" s="19" t="n">
        <x:f>'第4日'!$J$32</x:f>
        <x:v>1</x:v>
      </x:c>
      <x:c r="K253" s="19" t="n">
        <x:f>'第4日'!$L$32</x:f>
        <x:v>96</x:v>
      </x:c>
      <x:c r="L253" s="19" t="str">
        <x:v>res://resources/audio/shenmu_town_combat.ogg</x:v>
      </x:c>
      <x:c r="M253" s="19" t="str">
        <x:v>res://resources/audio/shenmu_town_intermission.ogg</x:v>
      </x:c>
      <x:c r="N253" s="19" t="n">
        <x:v>15</x:v>
      </x:c>
      <x:c r="O253" s="19" t="n">
        <x:f>'第4日'!$B$50</x:f>
        <x:v>0</x:v>
      </x:c>
      <x:c r="P253" s="19" t="str">
        <x:f>'第4日'!$E$50</x:f>
      </x:c>
      <x:c r="Q253" s="19" t="n">
        <x:f>'第4日'!$C$50</x:f>
        <x:v>0</x:v>
      </x:c>
      <x:c r="R253" s="19" t="str">
        <x:f>IF(P253="","",IF(ISNUMBER('第4日'!$D$50),'第4日'!$D$50,IF(VLOOKUP(O253,'敌人目录'!$A$6:$S$54,14,FALSE)&lt;&gt;VLOOKUP(O253,'敌人目录'!$A$6:$S$54,13,FALSE),VLOOKUP(O253,'敌人目录'!$A$6:$S$54,14,FALSE),-1)))</x:f>
      </x:c>
      <x:c r="S253" s="19" t="n">
        <x:f>'第4日'!$U$50</x:f>
        <x:v>0</x:v>
      </x:c>
      <x:c r="T253" s="19" t="str">
        <x:f>'第4日'!$N$32</x:f>
        <x:v>待设计</x:v>
      </x:c>
    </x:row>
    <x:row r="254" ht="22" customHeight="1">
      <x:c r="A254" s="19" t="n">
        <x:v>1</x:v>
      </x:c>
      <x:c r="B254" s="19" t="str">
        <x:v>tower_defense_formal</x:v>
      </x:c>
      <x:c r="C254" s="19" t="str">
        <x:v>wave_14</x:v>
      </x:c>
      <x:c r="D254" s="19" t="n">
        <x:v>14</x:v>
      </x:c>
      <x:c r="E254" s="19" t="n">
        <x:v>4</x:v>
      </x:c>
      <x:c r="F254" s="19" t="n">
        <x:v>2</x:v>
      </x:c>
      <x:c r="G254" s="19" t="str">
        <x:f>'第4日'!$B$32</x:f>
        <x:v>第14波（待设计）</x:v>
      </x:c>
      <x:c r="H254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54" s="19" t="n">
        <x:f>'第4日'!$H$32</x:f>
        <x:v>0.22</x:v>
      </x:c>
      <x:c r="J254" s="19" t="n">
        <x:f>'第4日'!$J$32</x:f>
        <x:v>1</x:v>
      </x:c>
      <x:c r="K254" s="19" t="n">
        <x:f>'第4日'!$L$32</x:f>
        <x:v>96</x:v>
      </x:c>
      <x:c r="L254" s="19" t="str">
        <x:v>res://resources/audio/shenmu_town_combat.ogg</x:v>
      </x:c>
      <x:c r="M254" s="19" t="str">
        <x:v>res://resources/audio/shenmu_town_intermission.ogg</x:v>
      </x:c>
      <x:c r="N254" s="19" t="n">
        <x:v>16</x:v>
      </x:c>
      <x:c r="O254" s="19" t="n">
        <x:f>'第4日'!$B$51</x:f>
        <x:v>0</x:v>
      </x:c>
      <x:c r="P254" s="19" t="str">
        <x:f>'第4日'!$E$51</x:f>
      </x:c>
      <x:c r="Q254" s="19" t="n">
        <x:f>'第4日'!$C$51</x:f>
        <x:v>0</x:v>
      </x:c>
      <x:c r="R254" s="19" t="str">
        <x:f>IF(P254="","",IF(ISNUMBER('第4日'!$D$51),'第4日'!$D$51,IF(VLOOKUP(O254,'敌人目录'!$A$6:$S$54,14,FALSE)&lt;&gt;VLOOKUP(O254,'敌人目录'!$A$6:$S$54,13,FALSE),VLOOKUP(O254,'敌人目录'!$A$6:$S$54,14,FALSE),-1)))</x:f>
      </x:c>
      <x:c r="S254" s="19" t="n">
        <x:f>'第4日'!$U$51</x:f>
        <x:v>0</x:v>
      </x:c>
      <x:c r="T254" s="19" t="str">
        <x:f>'第4日'!$N$32</x:f>
        <x:v>待设计</x:v>
      </x:c>
    </x:row>
    <x:row r="255" ht="22" customHeight="1">
      <x:c r="A255" s="19" t="n">
        <x:v>1</x:v>
      </x:c>
      <x:c r="B255" s="19" t="str">
        <x:v>tower_defense_formal</x:v>
      </x:c>
      <x:c r="C255" s="19" t="str">
        <x:v>wave_14</x:v>
      </x:c>
      <x:c r="D255" s="19" t="n">
        <x:v>14</x:v>
      </x:c>
      <x:c r="E255" s="19" t="n">
        <x:v>4</x:v>
      </x:c>
      <x:c r="F255" s="19" t="n">
        <x:v>2</x:v>
      </x:c>
      <x:c r="G255" s="19" t="str">
        <x:f>'第4日'!$B$32</x:f>
        <x:v>第14波（待设计）</x:v>
      </x:c>
      <x:c r="H255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55" s="19" t="n">
        <x:f>'第4日'!$H$32</x:f>
        <x:v>0.22</x:v>
      </x:c>
      <x:c r="J255" s="19" t="n">
        <x:f>'第4日'!$J$32</x:f>
        <x:v>1</x:v>
      </x:c>
      <x:c r="K255" s="19" t="n">
        <x:f>'第4日'!$L$32</x:f>
        <x:v>96</x:v>
      </x:c>
      <x:c r="L255" s="19" t="str">
        <x:v>res://resources/audio/shenmu_town_combat.ogg</x:v>
      </x:c>
      <x:c r="M255" s="19" t="str">
        <x:v>res://resources/audio/shenmu_town_intermission.ogg</x:v>
      </x:c>
      <x:c r="N255" s="19" t="n">
        <x:v>17</x:v>
      </x:c>
      <x:c r="O255" s="19" t="n">
        <x:f>'第4日'!$B$52</x:f>
        <x:v>0</x:v>
      </x:c>
      <x:c r="P255" s="19" t="str">
        <x:f>'第4日'!$E$52</x:f>
      </x:c>
      <x:c r="Q255" s="19" t="n">
        <x:f>'第4日'!$C$52</x:f>
        <x:v>0</x:v>
      </x:c>
      <x:c r="R255" s="19" t="str">
        <x:f>IF(P255="","",IF(ISNUMBER('第4日'!$D$52),'第4日'!$D$52,IF(VLOOKUP(O255,'敌人目录'!$A$6:$S$54,14,FALSE)&lt;&gt;VLOOKUP(O255,'敌人目录'!$A$6:$S$54,13,FALSE),VLOOKUP(O255,'敌人目录'!$A$6:$S$54,14,FALSE),-1)))</x:f>
      </x:c>
      <x:c r="S255" s="19" t="n">
        <x:f>'第4日'!$U$52</x:f>
        <x:v>0</x:v>
      </x:c>
      <x:c r="T255" s="19" t="str">
        <x:f>'第4日'!$N$32</x:f>
        <x:v>待设计</x:v>
      </x:c>
    </x:row>
    <x:row r="256" ht="22" customHeight="1">
      <x:c r="A256" s="19" t="n">
        <x:v>1</x:v>
      </x:c>
      <x:c r="B256" s="19" t="str">
        <x:v>tower_defense_formal</x:v>
      </x:c>
      <x:c r="C256" s="19" t="str">
        <x:v>wave_14</x:v>
      </x:c>
      <x:c r="D256" s="19" t="n">
        <x:v>14</x:v>
      </x:c>
      <x:c r="E256" s="19" t="n">
        <x:v>4</x:v>
      </x:c>
      <x:c r="F256" s="19" t="n">
        <x:v>2</x:v>
      </x:c>
      <x:c r="G256" s="19" t="str">
        <x:f>'第4日'!$B$32</x:f>
        <x:v>第14波（待设计）</x:v>
      </x:c>
      <x:c r="H256" s="19" t="n">
        <x:f>IF('第4日'!$B$33="开启",1,0)+IF('第4日'!$C$33="开启",2,0)+IF('第4日'!$D$33="开启",4,0)+IF('第4日'!$E$33="开启",8,0)+IF('第4日'!$F$33="开启",16,0)+IF('第4日'!$G$33="开启",32,0)</x:f>
        <x:v>63</x:v>
      </x:c>
      <x:c r="I256" s="19" t="n">
        <x:f>'第4日'!$H$32</x:f>
        <x:v>0.22</x:v>
      </x:c>
      <x:c r="J256" s="19" t="n">
        <x:f>'第4日'!$J$32</x:f>
        <x:v>1</x:v>
      </x:c>
      <x:c r="K256" s="19" t="n">
        <x:f>'第4日'!$L$32</x:f>
        <x:v>96</x:v>
      </x:c>
      <x:c r="L256" s="19" t="str">
        <x:v>res://resources/audio/shenmu_town_combat.ogg</x:v>
      </x:c>
      <x:c r="M256" s="19" t="str">
        <x:v>res://resources/audio/shenmu_town_intermission.ogg</x:v>
      </x:c>
      <x:c r="N256" s="19" t="n">
        <x:v>18</x:v>
      </x:c>
      <x:c r="O256" s="19" t="n">
        <x:f>'第4日'!$B$53</x:f>
        <x:v>0</x:v>
      </x:c>
      <x:c r="P256" s="19" t="n">
        <x:f>'第4日'!$E$53</x:f>
        <x:v>0</x:v>
      </x:c>
      <x:c r="Q256" s="19" t="n">
        <x:f>'第4日'!$C$53</x:f>
        <x:v>0</x:v>
      </x:c>
      <x:c r="R256" s="19" t="str">
        <x:f>IF(P256="","",IF(ISNUMBER('第4日'!$D$53),'第4日'!$D$53,IF(VLOOKUP(O256,'敌人目录'!$A$6:$S$54,14,FALSE)&lt;&gt;VLOOKUP(O256,'敌人目录'!$A$6:$S$54,13,FALSE),VLOOKUP(O256,'敌人目录'!$A$6:$S$54,14,FALSE),-1)))</x:f>
      </x:c>
      <x:c r="S256" s="19" t="n">
        <x:f>'第4日'!$U$53</x:f>
        <x:v>0</x:v>
      </x:c>
      <x:c r="T256" s="19" t="str">
        <x:f>'第4日'!$N$32</x:f>
        <x:v>待设计</x:v>
      </x:c>
    </x:row>
    <x:row r="257" ht="22" customHeight="1">
      <x:c r="A257" s="19" t="n">
        <x:v>1</x:v>
      </x:c>
      <x:c r="B257" s="19" t="str">
        <x:v>tower_defense_formal</x:v>
      </x:c>
      <x:c r="C257" s="19" t="str">
        <x:v>wave_15</x:v>
      </x:c>
      <x:c r="D257" s="19" t="n">
        <x:v>15</x:v>
      </x:c>
      <x:c r="E257" s="19" t="n">
        <x:v>4</x:v>
      </x:c>
      <x:c r="F257" s="19" t="n">
        <x:v>3</x:v>
      </x:c>
      <x:c r="G257" s="19" t="str">
        <x:f>'第4日'!$B$61</x:f>
        <x:v>第15波（待设计）</x:v>
      </x:c>
      <x:c r="H257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57" s="19" t="n">
        <x:f>'第4日'!$H$61</x:f>
        <x:v>0.22</x:v>
      </x:c>
      <x:c r="J257" s="19" t="n">
        <x:f>'第4日'!$J$61</x:f>
        <x:v>1</x:v>
      </x:c>
      <x:c r="K257" s="19" t="n">
        <x:f>'第4日'!$L$61</x:f>
        <x:v>96</x:v>
      </x:c>
      <x:c r="L257" s="19" t="str">
        <x:v>res://resources/audio/shenmu_town_combat.ogg</x:v>
      </x:c>
      <x:c r="M257" s="19" t="str">
        <x:v>res://resources/audio/shenmu_town_intermission.ogg</x:v>
      </x:c>
      <x:c r="N257" s="19" t="n">
        <x:v>1</x:v>
      </x:c>
      <x:c r="O257" s="19" t="n">
        <x:f>'第4日'!$B$65</x:f>
        <x:v>0</x:v>
      </x:c>
      <x:c r="P257" s="19" t="str">
        <x:f>'第4日'!$E$65</x:f>
      </x:c>
      <x:c r="Q257" s="19" t="n">
        <x:f>'第4日'!$C$65</x:f>
        <x:v>0</x:v>
      </x:c>
      <x:c r="R257" s="19" t="str">
        <x:f>IF(P257="","",IF(ISNUMBER('第4日'!$D$65),'第4日'!$D$65,IF(VLOOKUP(O257,'敌人目录'!$A$6:$S$54,14,FALSE)&lt;&gt;VLOOKUP(O257,'敌人目录'!$A$6:$S$54,13,FALSE),VLOOKUP(O257,'敌人目录'!$A$6:$S$54,14,FALSE),-1)))</x:f>
      </x:c>
      <x:c r="S257" s="19" t="n">
        <x:f>'第4日'!$U$65</x:f>
        <x:v>0</x:v>
      </x:c>
      <x:c r="T257" s="19" t="str">
        <x:f>'第4日'!$N$61</x:f>
        <x:v>待设计</x:v>
      </x:c>
    </x:row>
    <x:row r="258" ht="22" customHeight="1">
      <x:c r="A258" s="19" t="n">
        <x:v>1</x:v>
      </x:c>
      <x:c r="B258" s="19" t="str">
        <x:v>tower_defense_formal</x:v>
      </x:c>
      <x:c r="C258" s="19" t="str">
        <x:v>wave_15</x:v>
      </x:c>
      <x:c r="D258" s="19" t="n">
        <x:v>15</x:v>
      </x:c>
      <x:c r="E258" s="19" t="n">
        <x:v>4</x:v>
      </x:c>
      <x:c r="F258" s="19" t="n">
        <x:v>3</x:v>
      </x:c>
      <x:c r="G258" s="19" t="str">
        <x:f>'第4日'!$B$61</x:f>
        <x:v>第15波（待设计）</x:v>
      </x:c>
      <x:c r="H258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58" s="19" t="n">
        <x:f>'第4日'!$H$61</x:f>
        <x:v>0.22</x:v>
      </x:c>
      <x:c r="J258" s="19" t="n">
        <x:f>'第4日'!$J$61</x:f>
        <x:v>1</x:v>
      </x:c>
      <x:c r="K258" s="19" t="n">
        <x:f>'第4日'!$L$61</x:f>
        <x:v>96</x:v>
      </x:c>
      <x:c r="L258" s="19" t="str">
        <x:v>res://resources/audio/shenmu_town_combat.ogg</x:v>
      </x:c>
      <x:c r="M258" s="19" t="str">
        <x:v>res://resources/audio/shenmu_town_intermission.ogg</x:v>
      </x:c>
      <x:c r="N258" s="19" t="n">
        <x:v>2</x:v>
      </x:c>
      <x:c r="O258" s="19" t="n">
        <x:f>'第4日'!$B$66</x:f>
        <x:v>0</x:v>
      </x:c>
      <x:c r="P258" s="19" t="str">
        <x:f>'第4日'!$E$66</x:f>
      </x:c>
      <x:c r="Q258" s="19" t="n">
        <x:f>'第4日'!$C$66</x:f>
        <x:v>0</x:v>
      </x:c>
      <x:c r="R258" s="19" t="str">
        <x:f>IF(P258="","",IF(ISNUMBER('第4日'!$D$66),'第4日'!$D$66,IF(VLOOKUP(O258,'敌人目录'!$A$6:$S$54,14,FALSE)&lt;&gt;VLOOKUP(O258,'敌人目录'!$A$6:$S$54,13,FALSE),VLOOKUP(O258,'敌人目录'!$A$6:$S$54,14,FALSE),-1)))</x:f>
      </x:c>
      <x:c r="S258" s="19" t="n">
        <x:f>'第4日'!$U$66</x:f>
        <x:v>0</x:v>
      </x:c>
      <x:c r="T258" s="19" t="str">
        <x:f>'第4日'!$N$61</x:f>
        <x:v>待设计</x:v>
      </x:c>
    </x:row>
    <x:row r="259" ht="22" customHeight="1">
      <x:c r="A259" s="19" t="n">
        <x:v>1</x:v>
      </x:c>
      <x:c r="B259" s="19" t="str">
        <x:v>tower_defense_formal</x:v>
      </x:c>
      <x:c r="C259" s="19" t="str">
        <x:v>wave_15</x:v>
      </x:c>
      <x:c r="D259" s="19" t="n">
        <x:v>15</x:v>
      </x:c>
      <x:c r="E259" s="19" t="n">
        <x:v>4</x:v>
      </x:c>
      <x:c r="F259" s="19" t="n">
        <x:v>3</x:v>
      </x:c>
      <x:c r="G259" s="19" t="str">
        <x:f>'第4日'!$B$61</x:f>
        <x:v>第15波（待设计）</x:v>
      </x:c>
      <x:c r="H259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59" s="19" t="n">
        <x:f>'第4日'!$H$61</x:f>
        <x:v>0.22</x:v>
      </x:c>
      <x:c r="J259" s="19" t="n">
        <x:f>'第4日'!$J$61</x:f>
        <x:v>1</x:v>
      </x:c>
      <x:c r="K259" s="19" t="n">
        <x:f>'第4日'!$L$61</x:f>
        <x:v>96</x:v>
      </x:c>
      <x:c r="L259" s="19" t="str">
        <x:v>res://resources/audio/shenmu_town_combat.ogg</x:v>
      </x:c>
      <x:c r="M259" s="19" t="str">
        <x:v>res://resources/audio/shenmu_town_intermission.ogg</x:v>
      </x:c>
      <x:c r="N259" s="19" t="n">
        <x:v>3</x:v>
      </x:c>
      <x:c r="O259" s="19" t="n">
        <x:f>'第4日'!$B$67</x:f>
        <x:v>0</x:v>
      </x:c>
      <x:c r="P259" s="19" t="str">
        <x:f>'第4日'!$E$67</x:f>
      </x:c>
      <x:c r="Q259" s="19" t="n">
        <x:f>'第4日'!$C$67</x:f>
        <x:v>0</x:v>
      </x:c>
      <x:c r="R259" s="19" t="str">
        <x:f>IF(P259="","",IF(ISNUMBER('第4日'!$D$67),'第4日'!$D$67,IF(VLOOKUP(O259,'敌人目录'!$A$6:$S$54,14,FALSE)&lt;&gt;VLOOKUP(O259,'敌人目录'!$A$6:$S$54,13,FALSE),VLOOKUP(O259,'敌人目录'!$A$6:$S$54,14,FALSE),-1)))</x:f>
      </x:c>
      <x:c r="S259" s="19" t="n">
        <x:f>'第4日'!$U$67</x:f>
        <x:v>0</x:v>
      </x:c>
      <x:c r="T259" s="19" t="str">
        <x:f>'第4日'!$N$61</x:f>
        <x:v>待设计</x:v>
      </x:c>
    </x:row>
    <x:row r="260" ht="22" customHeight="1">
      <x:c r="A260" s="19" t="n">
        <x:v>1</x:v>
      </x:c>
      <x:c r="B260" s="19" t="str">
        <x:v>tower_defense_formal</x:v>
      </x:c>
      <x:c r="C260" s="19" t="str">
        <x:v>wave_15</x:v>
      </x:c>
      <x:c r="D260" s="19" t="n">
        <x:v>15</x:v>
      </x:c>
      <x:c r="E260" s="19" t="n">
        <x:v>4</x:v>
      </x:c>
      <x:c r="F260" s="19" t="n">
        <x:v>3</x:v>
      </x:c>
      <x:c r="G260" s="19" t="str">
        <x:f>'第4日'!$B$61</x:f>
        <x:v>第15波（待设计）</x:v>
      </x:c>
      <x:c r="H260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0" s="19" t="n">
        <x:f>'第4日'!$H$61</x:f>
        <x:v>0.22</x:v>
      </x:c>
      <x:c r="J260" s="19" t="n">
        <x:f>'第4日'!$J$61</x:f>
        <x:v>1</x:v>
      </x:c>
      <x:c r="K260" s="19" t="n">
        <x:f>'第4日'!$L$61</x:f>
        <x:v>96</x:v>
      </x:c>
      <x:c r="L260" s="19" t="str">
        <x:v>res://resources/audio/shenmu_town_combat.ogg</x:v>
      </x:c>
      <x:c r="M260" s="19" t="str">
        <x:v>res://resources/audio/shenmu_town_intermission.ogg</x:v>
      </x:c>
      <x:c r="N260" s="19" t="n">
        <x:v>4</x:v>
      </x:c>
      <x:c r="O260" s="19" t="n">
        <x:f>'第4日'!$B$68</x:f>
        <x:v>0</x:v>
      </x:c>
      <x:c r="P260" s="19" t="str">
        <x:f>'第4日'!$E$68</x:f>
      </x:c>
      <x:c r="Q260" s="19" t="n">
        <x:f>'第4日'!$C$68</x:f>
        <x:v>0</x:v>
      </x:c>
      <x:c r="R260" s="19" t="str">
        <x:f>IF(P260="","",IF(ISNUMBER('第4日'!$D$68),'第4日'!$D$68,IF(VLOOKUP(O260,'敌人目录'!$A$6:$S$54,14,FALSE)&lt;&gt;VLOOKUP(O260,'敌人目录'!$A$6:$S$54,13,FALSE),VLOOKUP(O260,'敌人目录'!$A$6:$S$54,14,FALSE),-1)))</x:f>
      </x:c>
      <x:c r="S260" s="19" t="n">
        <x:f>'第4日'!$U$68</x:f>
        <x:v>0</x:v>
      </x:c>
      <x:c r="T260" s="19" t="str">
        <x:f>'第4日'!$N$61</x:f>
        <x:v>待设计</x:v>
      </x:c>
    </x:row>
    <x:row r="261" ht="22" customHeight="1">
      <x:c r="A261" s="19" t="n">
        <x:v>1</x:v>
      </x:c>
      <x:c r="B261" s="19" t="str">
        <x:v>tower_defense_formal</x:v>
      </x:c>
      <x:c r="C261" s="19" t="str">
        <x:v>wave_15</x:v>
      </x:c>
      <x:c r="D261" s="19" t="n">
        <x:v>15</x:v>
      </x:c>
      <x:c r="E261" s="19" t="n">
        <x:v>4</x:v>
      </x:c>
      <x:c r="F261" s="19" t="n">
        <x:v>3</x:v>
      </x:c>
      <x:c r="G261" s="19" t="str">
        <x:f>'第4日'!$B$61</x:f>
        <x:v>第15波（待设计）</x:v>
      </x:c>
      <x:c r="H261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1" s="19" t="n">
        <x:f>'第4日'!$H$61</x:f>
        <x:v>0.22</x:v>
      </x:c>
      <x:c r="J261" s="19" t="n">
        <x:f>'第4日'!$J$61</x:f>
        <x:v>1</x:v>
      </x:c>
      <x:c r="K261" s="19" t="n">
        <x:f>'第4日'!$L$61</x:f>
        <x:v>96</x:v>
      </x:c>
      <x:c r="L261" s="19" t="str">
        <x:v>res://resources/audio/shenmu_town_combat.ogg</x:v>
      </x:c>
      <x:c r="M261" s="19" t="str">
        <x:v>res://resources/audio/shenmu_town_intermission.ogg</x:v>
      </x:c>
      <x:c r="N261" s="19" t="n">
        <x:v>5</x:v>
      </x:c>
      <x:c r="O261" s="19" t="n">
        <x:f>'第4日'!$B$69</x:f>
        <x:v>0</x:v>
      </x:c>
      <x:c r="P261" s="19" t="str">
        <x:f>'第4日'!$E$69</x:f>
      </x:c>
      <x:c r="Q261" s="19" t="n">
        <x:f>'第4日'!$C$69</x:f>
        <x:v>0</x:v>
      </x:c>
      <x:c r="R261" s="19" t="str">
        <x:f>IF(P261="","",IF(ISNUMBER('第4日'!$D$69),'第4日'!$D$69,IF(VLOOKUP(O261,'敌人目录'!$A$6:$S$54,14,FALSE)&lt;&gt;VLOOKUP(O261,'敌人目录'!$A$6:$S$54,13,FALSE),VLOOKUP(O261,'敌人目录'!$A$6:$S$54,14,FALSE),-1)))</x:f>
      </x:c>
      <x:c r="S261" s="19" t="n">
        <x:f>'第4日'!$U$69</x:f>
        <x:v>0</x:v>
      </x:c>
      <x:c r="T261" s="19" t="str">
        <x:f>'第4日'!$N$61</x:f>
        <x:v>待设计</x:v>
      </x:c>
    </x:row>
    <x:row r="262" ht="22" customHeight="1">
      <x:c r="A262" s="19" t="n">
        <x:v>1</x:v>
      </x:c>
      <x:c r="B262" s="19" t="str">
        <x:v>tower_defense_formal</x:v>
      </x:c>
      <x:c r="C262" s="19" t="str">
        <x:v>wave_15</x:v>
      </x:c>
      <x:c r="D262" s="19" t="n">
        <x:v>15</x:v>
      </x:c>
      <x:c r="E262" s="19" t="n">
        <x:v>4</x:v>
      </x:c>
      <x:c r="F262" s="19" t="n">
        <x:v>3</x:v>
      </x:c>
      <x:c r="G262" s="19" t="str">
        <x:f>'第4日'!$B$61</x:f>
        <x:v>第15波（待设计）</x:v>
      </x:c>
      <x:c r="H262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2" s="19" t="n">
        <x:f>'第4日'!$H$61</x:f>
        <x:v>0.22</x:v>
      </x:c>
      <x:c r="J262" s="19" t="n">
        <x:f>'第4日'!$J$61</x:f>
        <x:v>1</x:v>
      </x:c>
      <x:c r="K262" s="19" t="n">
        <x:f>'第4日'!$L$61</x:f>
        <x:v>96</x:v>
      </x:c>
      <x:c r="L262" s="19" t="str">
        <x:v>res://resources/audio/shenmu_town_combat.ogg</x:v>
      </x:c>
      <x:c r="M262" s="19" t="str">
        <x:v>res://resources/audio/shenmu_town_intermission.ogg</x:v>
      </x:c>
      <x:c r="N262" s="19" t="n">
        <x:v>6</x:v>
      </x:c>
      <x:c r="O262" s="19" t="n">
        <x:f>'第4日'!$B$70</x:f>
        <x:v>0</x:v>
      </x:c>
      <x:c r="P262" s="19" t="str">
        <x:f>'第4日'!$E$70</x:f>
      </x:c>
      <x:c r="Q262" s="19" t="n">
        <x:f>'第4日'!$C$70</x:f>
        <x:v>0</x:v>
      </x:c>
      <x:c r="R262" s="19" t="str">
        <x:f>IF(P262="","",IF(ISNUMBER('第4日'!$D$70),'第4日'!$D$70,IF(VLOOKUP(O262,'敌人目录'!$A$6:$S$54,14,FALSE)&lt;&gt;VLOOKUP(O262,'敌人目录'!$A$6:$S$54,13,FALSE),VLOOKUP(O262,'敌人目录'!$A$6:$S$54,14,FALSE),-1)))</x:f>
      </x:c>
      <x:c r="S262" s="19" t="n">
        <x:f>'第4日'!$U$70</x:f>
        <x:v>0</x:v>
      </x:c>
      <x:c r="T262" s="19" t="str">
        <x:f>'第4日'!$N$61</x:f>
        <x:v>待设计</x:v>
      </x:c>
    </x:row>
    <x:row r="263" ht="22" customHeight="1">
      <x:c r="A263" s="19" t="n">
        <x:v>1</x:v>
      </x:c>
      <x:c r="B263" s="19" t="str">
        <x:v>tower_defense_formal</x:v>
      </x:c>
      <x:c r="C263" s="19" t="str">
        <x:v>wave_15</x:v>
      </x:c>
      <x:c r="D263" s="19" t="n">
        <x:v>15</x:v>
      </x:c>
      <x:c r="E263" s="19" t="n">
        <x:v>4</x:v>
      </x:c>
      <x:c r="F263" s="19" t="n">
        <x:v>3</x:v>
      </x:c>
      <x:c r="G263" s="19" t="str">
        <x:f>'第4日'!$B$61</x:f>
        <x:v>第15波（待设计）</x:v>
      </x:c>
      <x:c r="H263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3" s="19" t="n">
        <x:f>'第4日'!$H$61</x:f>
        <x:v>0.22</x:v>
      </x:c>
      <x:c r="J263" s="19" t="n">
        <x:f>'第4日'!$J$61</x:f>
        <x:v>1</x:v>
      </x:c>
      <x:c r="K263" s="19" t="n">
        <x:f>'第4日'!$L$61</x:f>
        <x:v>96</x:v>
      </x:c>
      <x:c r="L263" s="19" t="str">
        <x:v>res://resources/audio/shenmu_town_combat.ogg</x:v>
      </x:c>
      <x:c r="M263" s="19" t="str">
        <x:v>res://resources/audio/shenmu_town_intermission.ogg</x:v>
      </x:c>
      <x:c r="N263" s="19" t="n">
        <x:v>7</x:v>
      </x:c>
      <x:c r="O263" s="19" t="n">
        <x:f>'第4日'!$B$71</x:f>
        <x:v>0</x:v>
      </x:c>
      <x:c r="P263" s="19" t="str">
        <x:f>'第4日'!$E$71</x:f>
      </x:c>
      <x:c r="Q263" s="19" t="n">
        <x:f>'第4日'!$C$71</x:f>
        <x:v>0</x:v>
      </x:c>
      <x:c r="R263" s="19" t="str">
        <x:f>IF(P263="","",IF(ISNUMBER('第4日'!$D$71),'第4日'!$D$71,IF(VLOOKUP(O263,'敌人目录'!$A$6:$S$54,14,FALSE)&lt;&gt;VLOOKUP(O263,'敌人目录'!$A$6:$S$54,13,FALSE),VLOOKUP(O263,'敌人目录'!$A$6:$S$54,14,FALSE),-1)))</x:f>
      </x:c>
      <x:c r="S263" s="19" t="n">
        <x:f>'第4日'!$U$71</x:f>
        <x:v>0</x:v>
      </x:c>
      <x:c r="T263" s="19" t="str">
        <x:f>'第4日'!$N$61</x:f>
        <x:v>待设计</x:v>
      </x:c>
    </x:row>
    <x:row r="264" ht="22" customHeight="1">
      <x:c r="A264" s="19" t="n">
        <x:v>1</x:v>
      </x:c>
      <x:c r="B264" s="19" t="str">
        <x:v>tower_defense_formal</x:v>
      </x:c>
      <x:c r="C264" s="19" t="str">
        <x:v>wave_15</x:v>
      </x:c>
      <x:c r="D264" s="19" t="n">
        <x:v>15</x:v>
      </x:c>
      <x:c r="E264" s="19" t="n">
        <x:v>4</x:v>
      </x:c>
      <x:c r="F264" s="19" t="n">
        <x:v>3</x:v>
      </x:c>
      <x:c r="G264" s="19" t="str">
        <x:f>'第4日'!$B$61</x:f>
        <x:v>第15波（待设计）</x:v>
      </x:c>
      <x:c r="H264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4" s="19" t="n">
        <x:f>'第4日'!$H$61</x:f>
        <x:v>0.22</x:v>
      </x:c>
      <x:c r="J264" s="19" t="n">
        <x:f>'第4日'!$J$61</x:f>
        <x:v>1</x:v>
      </x:c>
      <x:c r="K264" s="19" t="n">
        <x:f>'第4日'!$L$61</x:f>
        <x:v>96</x:v>
      </x:c>
      <x:c r="L264" s="19" t="str">
        <x:v>res://resources/audio/shenmu_town_combat.ogg</x:v>
      </x:c>
      <x:c r="M264" s="19" t="str">
        <x:v>res://resources/audio/shenmu_town_intermission.ogg</x:v>
      </x:c>
      <x:c r="N264" s="19" t="n">
        <x:v>8</x:v>
      </x:c>
      <x:c r="O264" s="19" t="n">
        <x:f>'第4日'!$B$72</x:f>
        <x:v>0</x:v>
      </x:c>
      <x:c r="P264" s="19" t="str">
        <x:f>'第4日'!$E$72</x:f>
      </x:c>
      <x:c r="Q264" s="19" t="n">
        <x:f>'第4日'!$C$72</x:f>
        <x:v>0</x:v>
      </x:c>
      <x:c r="R264" s="19" t="str">
        <x:f>IF(P264="","",IF(ISNUMBER('第4日'!$D$72),'第4日'!$D$72,IF(VLOOKUP(O264,'敌人目录'!$A$6:$S$54,14,FALSE)&lt;&gt;VLOOKUP(O264,'敌人目录'!$A$6:$S$54,13,FALSE),VLOOKUP(O264,'敌人目录'!$A$6:$S$54,14,FALSE),-1)))</x:f>
      </x:c>
      <x:c r="S264" s="19" t="n">
        <x:f>'第4日'!$U$72</x:f>
        <x:v>0</x:v>
      </x:c>
      <x:c r="T264" s="19" t="str">
        <x:f>'第4日'!$N$61</x:f>
        <x:v>待设计</x:v>
      </x:c>
    </x:row>
    <x:row r="265" ht="22" customHeight="1">
      <x:c r="A265" s="19" t="n">
        <x:v>1</x:v>
      </x:c>
      <x:c r="B265" s="19" t="str">
        <x:v>tower_defense_formal</x:v>
      </x:c>
      <x:c r="C265" s="19" t="str">
        <x:v>wave_15</x:v>
      </x:c>
      <x:c r="D265" s="19" t="n">
        <x:v>15</x:v>
      </x:c>
      <x:c r="E265" s="19" t="n">
        <x:v>4</x:v>
      </x:c>
      <x:c r="F265" s="19" t="n">
        <x:v>3</x:v>
      </x:c>
      <x:c r="G265" s="19" t="str">
        <x:f>'第4日'!$B$61</x:f>
        <x:v>第15波（待设计）</x:v>
      </x:c>
      <x:c r="H265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5" s="19" t="n">
        <x:f>'第4日'!$H$61</x:f>
        <x:v>0.22</x:v>
      </x:c>
      <x:c r="J265" s="19" t="n">
        <x:f>'第4日'!$J$61</x:f>
        <x:v>1</x:v>
      </x:c>
      <x:c r="K265" s="19" t="n">
        <x:f>'第4日'!$L$61</x:f>
        <x:v>96</x:v>
      </x:c>
      <x:c r="L265" s="19" t="str">
        <x:v>res://resources/audio/shenmu_town_combat.ogg</x:v>
      </x:c>
      <x:c r="M265" s="19" t="str">
        <x:v>res://resources/audio/shenmu_town_intermission.ogg</x:v>
      </x:c>
      <x:c r="N265" s="19" t="n">
        <x:v>9</x:v>
      </x:c>
      <x:c r="O265" s="19" t="n">
        <x:f>'第4日'!$B$73</x:f>
        <x:v>0</x:v>
      </x:c>
      <x:c r="P265" s="19" t="str">
        <x:f>'第4日'!$E$73</x:f>
      </x:c>
      <x:c r="Q265" s="19" t="n">
        <x:f>'第4日'!$C$73</x:f>
        <x:v>0</x:v>
      </x:c>
      <x:c r="R265" s="19" t="str">
        <x:f>IF(P265="","",IF(ISNUMBER('第4日'!$D$73),'第4日'!$D$73,IF(VLOOKUP(O265,'敌人目录'!$A$6:$S$54,14,FALSE)&lt;&gt;VLOOKUP(O265,'敌人目录'!$A$6:$S$54,13,FALSE),VLOOKUP(O265,'敌人目录'!$A$6:$S$54,14,FALSE),-1)))</x:f>
      </x:c>
      <x:c r="S265" s="19" t="n">
        <x:f>'第4日'!$U$73</x:f>
        <x:v>0</x:v>
      </x:c>
      <x:c r="T265" s="19" t="str">
        <x:f>'第4日'!$N$61</x:f>
        <x:v>待设计</x:v>
      </x:c>
    </x:row>
    <x:row r="266" ht="22" customHeight="1">
      <x:c r="A266" s="19" t="n">
        <x:v>1</x:v>
      </x:c>
      <x:c r="B266" s="19" t="str">
        <x:v>tower_defense_formal</x:v>
      </x:c>
      <x:c r="C266" s="19" t="str">
        <x:v>wave_15</x:v>
      </x:c>
      <x:c r="D266" s="19" t="n">
        <x:v>15</x:v>
      </x:c>
      <x:c r="E266" s="19" t="n">
        <x:v>4</x:v>
      </x:c>
      <x:c r="F266" s="19" t="n">
        <x:v>3</x:v>
      </x:c>
      <x:c r="G266" s="19" t="str">
        <x:f>'第4日'!$B$61</x:f>
        <x:v>第15波（待设计）</x:v>
      </x:c>
      <x:c r="H266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6" s="19" t="n">
        <x:f>'第4日'!$H$61</x:f>
        <x:v>0.22</x:v>
      </x:c>
      <x:c r="J266" s="19" t="n">
        <x:f>'第4日'!$J$61</x:f>
        <x:v>1</x:v>
      </x:c>
      <x:c r="K266" s="19" t="n">
        <x:f>'第4日'!$L$61</x:f>
        <x:v>96</x:v>
      </x:c>
      <x:c r="L266" s="19" t="str">
        <x:v>res://resources/audio/shenmu_town_combat.ogg</x:v>
      </x:c>
      <x:c r="M266" s="19" t="str">
        <x:v>res://resources/audio/shenmu_town_intermission.ogg</x:v>
      </x:c>
      <x:c r="N266" s="19" t="n">
        <x:v>10</x:v>
      </x:c>
      <x:c r="O266" s="19" t="n">
        <x:f>'第4日'!$B$74</x:f>
        <x:v>0</x:v>
      </x:c>
      <x:c r="P266" s="19" t="str">
        <x:f>'第4日'!$E$74</x:f>
      </x:c>
      <x:c r="Q266" s="19" t="n">
        <x:f>'第4日'!$C$74</x:f>
        <x:v>0</x:v>
      </x:c>
      <x:c r="R266" s="19" t="str">
        <x:f>IF(P266="","",IF(ISNUMBER('第4日'!$D$74),'第4日'!$D$74,IF(VLOOKUP(O266,'敌人目录'!$A$6:$S$54,14,FALSE)&lt;&gt;VLOOKUP(O266,'敌人目录'!$A$6:$S$54,13,FALSE),VLOOKUP(O266,'敌人目录'!$A$6:$S$54,14,FALSE),-1)))</x:f>
      </x:c>
      <x:c r="S266" s="19" t="n">
        <x:f>'第4日'!$U$74</x:f>
        <x:v>0</x:v>
      </x:c>
      <x:c r="T266" s="19" t="str">
        <x:f>'第4日'!$N$61</x:f>
        <x:v>待设计</x:v>
      </x:c>
    </x:row>
    <x:row r="267" ht="22" customHeight="1">
      <x:c r="A267" s="19" t="n">
        <x:v>1</x:v>
      </x:c>
      <x:c r="B267" s="19" t="str">
        <x:v>tower_defense_formal</x:v>
      </x:c>
      <x:c r="C267" s="19" t="str">
        <x:v>wave_15</x:v>
      </x:c>
      <x:c r="D267" s="19" t="n">
        <x:v>15</x:v>
      </x:c>
      <x:c r="E267" s="19" t="n">
        <x:v>4</x:v>
      </x:c>
      <x:c r="F267" s="19" t="n">
        <x:v>3</x:v>
      </x:c>
      <x:c r="G267" s="19" t="str">
        <x:f>'第4日'!$B$61</x:f>
        <x:v>第15波（待设计）</x:v>
      </x:c>
      <x:c r="H267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7" s="19" t="n">
        <x:f>'第4日'!$H$61</x:f>
        <x:v>0.22</x:v>
      </x:c>
      <x:c r="J267" s="19" t="n">
        <x:f>'第4日'!$J$61</x:f>
        <x:v>1</x:v>
      </x:c>
      <x:c r="K267" s="19" t="n">
        <x:f>'第4日'!$L$61</x:f>
        <x:v>96</x:v>
      </x:c>
      <x:c r="L267" s="19" t="str">
        <x:v>res://resources/audio/shenmu_town_combat.ogg</x:v>
      </x:c>
      <x:c r="M267" s="19" t="str">
        <x:v>res://resources/audio/shenmu_town_intermission.ogg</x:v>
      </x:c>
      <x:c r="N267" s="19" t="n">
        <x:v>11</x:v>
      </x:c>
      <x:c r="O267" s="19" t="n">
        <x:f>'第4日'!$B$75</x:f>
        <x:v>0</x:v>
      </x:c>
      <x:c r="P267" s="19" t="str">
        <x:f>'第4日'!$E$75</x:f>
      </x:c>
      <x:c r="Q267" s="19" t="n">
        <x:f>'第4日'!$C$75</x:f>
        <x:v>0</x:v>
      </x:c>
      <x:c r="R267" s="19" t="str">
        <x:f>IF(P267="","",IF(ISNUMBER('第4日'!$D$75),'第4日'!$D$75,IF(VLOOKUP(O267,'敌人目录'!$A$6:$S$54,14,FALSE)&lt;&gt;VLOOKUP(O267,'敌人目录'!$A$6:$S$54,13,FALSE),VLOOKUP(O267,'敌人目录'!$A$6:$S$54,14,FALSE),-1)))</x:f>
      </x:c>
      <x:c r="S267" s="19" t="n">
        <x:f>'第4日'!$U$75</x:f>
        <x:v>0</x:v>
      </x:c>
      <x:c r="T267" s="19" t="str">
        <x:f>'第4日'!$N$61</x:f>
        <x:v>待设计</x:v>
      </x:c>
    </x:row>
    <x:row r="268" ht="22" customHeight="1">
      <x:c r="A268" s="19" t="n">
        <x:v>1</x:v>
      </x:c>
      <x:c r="B268" s="19" t="str">
        <x:v>tower_defense_formal</x:v>
      </x:c>
      <x:c r="C268" s="19" t="str">
        <x:v>wave_15</x:v>
      </x:c>
      <x:c r="D268" s="19" t="n">
        <x:v>15</x:v>
      </x:c>
      <x:c r="E268" s="19" t="n">
        <x:v>4</x:v>
      </x:c>
      <x:c r="F268" s="19" t="n">
        <x:v>3</x:v>
      </x:c>
      <x:c r="G268" s="19" t="str">
        <x:f>'第4日'!$B$61</x:f>
        <x:v>第15波（待设计）</x:v>
      </x:c>
      <x:c r="H268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8" s="19" t="n">
        <x:f>'第4日'!$H$61</x:f>
        <x:v>0.22</x:v>
      </x:c>
      <x:c r="J268" s="19" t="n">
        <x:f>'第4日'!$J$61</x:f>
        <x:v>1</x:v>
      </x:c>
      <x:c r="K268" s="19" t="n">
        <x:f>'第4日'!$L$61</x:f>
        <x:v>96</x:v>
      </x:c>
      <x:c r="L268" s="19" t="str">
        <x:v>res://resources/audio/shenmu_town_combat.ogg</x:v>
      </x:c>
      <x:c r="M268" s="19" t="str">
        <x:v>res://resources/audio/shenmu_town_intermission.ogg</x:v>
      </x:c>
      <x:c r="N268" s="19" t="n">
        <x:v>12</x:v>
      </x:c>
      <x:c r="O268" s="19" t="n">
        <x:f>'第4日'!$B$76</x:f>
        <x:v>0</x:v>
      </x:c>
      <x:c r="P268" s="19" t="str">
        <x:f>'第4日'!$E$76</x:f>
      </x:c>
      <x:c r="Q268" s="19" t="n">
        <x:f>'第4日'!$C$76</x:f>
        <x:v>0</x:v>
      </x:c>
      <x:c r="R268" s="19" t="str">
        <x:f>IF(P268="","",IF(ISNUMBER('第4日'!$D$76),'第4日'!$D$76,IF(VLOOKUP(O268,'敌人目录'!$A$6:$S$54,14,FALSE)&lt;&gt;VLOOKUP(O268,'敌人目录'!$A$6:$S$54,13,FALSE),VLOOKUP(O268,'敌人目录'!$A$6:$S$54,14,FALSE),-1)))</x:f>
      </x:c>
      <x:c r="S268" s="19" t="n">
        <x:f>'第4日'!$U$76</x:f>
        <x:v>0</x:v>
      </x:c>
      <x:c r="T268" s="19" t="str">
        <x:f>'第4日'!$N$61</x:f>
        <x:v>待设计</x:v>
      </x:c>
    </x:row>
    <x:row r="269" ht="22" customHeight="1">
      <x:c r="A269" s="19" t="n">
        <x:v>1</x:v>
      </x:c>
      <x:c r="B269" s="19" t="str">
        <x:v>tower_defense_formal</x:v>
      </x:c>
      <x:c r="C269" s="19" t="str">
        <x:v>wave_15</x:v>
      </x:c>
      <x:c r="D269" s="19" t="n">
        <x:v>15</x:v>
      </x:c>
      <x:c r="E269" s="19" t="n">
        <x:v>4</x:v>
      </x:c>
      <x:c r="F269" s="19" t="n">
        <x:v>3</x:v>
      </x:c>
      <x:c r="G269" s="19" t="str">
        <x:f>'第4日'!$B$61</x:f>
        <x:v>第15波（待设计）</x:v>
      </x:c>
      <x:c r="H269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69" s="19" t="n">
        <x:f>'第4日'!$H$61</x:f>
        <x:v>0.22</x:v>
      </x:c>
      <x:c r="J269" s="19" t="n">
        <x:f>'第4日'!$J$61</x:f>
        <x:v>1</x:v>
      </x:c>
      <x:c r="K269" s="19" t="n">
        <x:f>'第4日'!$L$61</x:f>
        <x:v>96</x:v>
      </x:c>
      <x:c r="L269" s="19" t="str">
        <x:v>res://resources/audio/shenmu_town_combat.ogg</x:v>
      </x:c>
      <x:c r="M269" s="19" t="str">
        <x:v>res://resources/audio/shenmu_town_intermission.ogg</x:v>
      </x:c>
      <x:c r="N269" s="19" t="n">
        <x:v>13</x:v>
      </x:c>
      <x:c r="O269" s="19" t="n">
        <x:f>'第4日'!$B$77</x:f>
        <x:v>0</x:v>
      </x:c>
      <x:c r="P269" s="19" t="str">
        <x:f>'第4日'!$E$77</x:f>
      </x:c>
      <x:c r="Q269" s="19" t="n">
        <x:f>'第4日'!$C$77</x:f>
        <x:v>0</x:v>
      </x:c>
      <x:c r="R269" s="19" t="str">
        <x:f>IF(P269="","",IF(ISNUMBER('第4日'!$D$77),'第4日'!$D$77,IF(VLOOKUP(O269,'敌人目录'!$A$6:$S$54,14,FALSE)&lt;&gt;VLOOKUP(O269,'敌人目录'!$A$6:$S$54,13,FALSE),VLOOKUP(O269,'敌人目录'!$A$6:$S$54,14,FALSE),-1)))</x:f>
      </x:c>
      <x:c r="S269" s="19" t="n">
        <x:f>'第4日'!$U$77</x:f>
        <x:v>0</x:v>
      </x:c>
      <x:c r="T269" s="19" t="str">
        <x:f>'第4日'!$N$61</x:f>
        <x:v>待设计</x:v>
      </x:c>
    </x:row>
    <x:row r="270" ht="22" customHeight="1">
      <x:c r="A270" s="19" t="n">
        <x:v>1</x:v>
      </x:c>
      <x:c r="B270" s="19" t="str">
        <x:v>tower_defense_formal</x:v>
      </x:c>
      <x:c r="C270" s="19" t="str">
        <x:v>wave_15</x:v>
      </x:c>
      <x:c r="D270" s="19" t="n">
        <x:v>15</x:v>
      </x:c>
      <x:c r="E270" s="19" t="n">
        <x:v>4</x:v>
      </x:c>
      <x:c r="F270" s="19" t="n">
        <x:v>3</x:v>
      </x:c>
      <x:c r="G270" s="19" t="str">
        <x:f>'第4日'!$B$61</x:f>
        <x:v>第15波（待设计）</x:v>
      </x:c>
      <x:c r="H270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70" s="19" t="n">
        <x:f>'第4日'!$H$61</x:f>
        <x:v>0.22</x:v>
      </x:c>
      <x:c r="J270" s="19" t="n">
        <x:f>'第4日'!$J$61</x:f>
        <x:v>1</x:v>
      </x:c>
      <x:c r="K270" s="19" t="n">
        <x:f>'第4日'!$L$61</x:f>
        <x:v>96</x:v>
      </x:c>
      <x:c r="L270" s="19" t="str">
        <x:v>res://resources/audio/shenmu_town_combat.ogg</x:v>
      </x:c>
      <x:c r="M270" s="19" t="str">
        <x:v>res://resources/audio/shenmu_town_intermission.ogg</x:v>
      </x:c>
      <x:c r="N270" s="19" t="n">
        <x:v>14</x:v>
      </x:c>
      <x:c r="O270" s="19" t="n">
        <x:f>'第4日'!$B$78</x:f>
        <x:v>0</x:v>
      </x:c>
      <x:c r="P270" s="19" t="str">
        <x:f>'第4日'!$E$78</x:f>
      </x:c>
      <x:c r="Q270" s="19" t="n">
        <x:f>'第4日'!$C$78</x:f>
        <x:v>0</x:v>
      </x:c>
      <x:c r="R270" s="19" t="str">
        <x:f>IF(P270="","",IF(ISNUMBER('第4日'!$D$78),'第4日'!$D$78,IF(VLOOKUP(O270,'敌人目录'!$A$6:$S$54,14,FALSE)&lt;&gt;VLOOKUP(O270,'敌人目录'!$A$6:$S$54,13,FALSE),VLOOKUP(O270,'敌人目录'!$A$6:$S$54,14,FALSE),-1)))</x:f>
      </x:c>
      <x:c r="S270" s="19" t="n">
        <x:f>'第4日'!$U$78</x:f>
        <x:v>0</x:v>
      </x:c>
      <x:c r="T270" s="19" t="str">
        <x:f>'第4日'!$N$61</x:f>
        <x:v>待设计</x:v>
      </x:c>
    </x:row>
    <x:row r="271" ht="22" customHeight="1">
      <x:c r="A271" s="19" t="n">
        <x:v>1</x:v>
      </x:c>
      <x:c r="B271" s="19" t="str">
        <x:v>tower_defense_formal</x:v>
      </x:c>
      <x:c r="C271" s="19" t="str">
        <x:v>wave_15</x:v>
      </x:c>
      <x:c r="D271" s="19" t="n">
        <x:v>15</x:v>
      </x:c>
      <x:c r="E271" s="19" t="n">
        <x:v>4</x:v>
      </x:c>
      <x:c r="F271" s="19" t="n">
        <x:v>3</x:v>
      </x:c>
      <x:c r="G271" s="19" t="str">
        <x:f>'第4日'!$B$61</x:f>
        <x:v>第15波（待设计）</x:v>
      </x:c>
      <x:c r="H271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71" s="19" t="n">
        <x:f>'第4日'!$H$61</x:f>
        <x:v>0.22</x:v>
      </x:c>
      <x:c r="J271" s="19" t="n">
        <x:f>'第4日'!$J$61</x:f>
        <x:v>1</x:v>
      </x:c>
      <x:c r="K271" s="19" t="n">
        <x:f>'第4日'!$L$61</x:f>
        <x:v>96</x:v>
      </x:c>
      <x:c r="L271" s="19" t="str">
        <x:v>res://resources/audio/shenmu_town_combat.ogg</x:v>
      </x:c>
      <x:c r="M271" s="19" t="str">
        <x:v>res://resources/audio/shenmu_town_intermission.ogg</x:v>
      </x:c>
      <x:c r="N271" s="19" t="n">
        <x:v>15</x:v>
      </x:c>
      <x:c r="O271" s="19" t="n">
        <x:f>'第4日'!$B$79</x:f>
        <x:v>0</x:v>
      </x:c>
      <x:c r="P271" s="19" t="str">
        <x:f>'第4日'!$E$79</x:f>
      </x:c>
      <x:c r="Q271" s="19" t="n">
        <x:f>'第4日'!$C$79</x:f>
        <x:v>0</x:v>
      </x:c>
      <x:c r="R271" s="19" t="str">
        <x:f>IF(P271="","",IF(ISNUMBER('第4日'!$D$79),'第4日'!$D$79,IF(VLOOKUP(O271,'敌人目录'!$A$6:$S$54,14,FALSE)&lt;&gt;VLOOKUP(O271,'敌人目录'!$A$6:$S$54,13,FALSE),VLOOKUP(O271,'敌人目录'!$A$6:$S$54,14,FALSE),-1)))</x:f>
      </x:c>
      <x:c r="S271" s="19" t="n">
        <x:f>'第4日'!$U$79</x:f>
        <x:v>0</x:v>
      </x:c>
      <x:c r="T271" s="19" t="str">
        <x:f>'第4日'!$N$61</x:f>
        <x:v>待设计</x:v>
      </x:c>
    </x:row>
    <x:row r="272" ht="22" customHeight="1">
      <x:c r="A272" s="19" t="n">
        <x:v>1</x:v>
      </x:c>
      <x:c r="B272" s="19" t="str">
        <x:v>tower_defense_formal</x:v>
      </x:c>
      <x:c r="C272" s="19" t="str">
        <x:v>wave_15</x:v>
      </x:c>
      <x:c r="D272" s="19" t="n">
        <x:v>15</x:v>
      </x:c>
      <x:c r="E272" s="19" t="n">
        <x:v>4</x:v>
      </x:c>
      <x:c r="F272" s="19" t="n">
        <x:v>3</x:v>
      </x:c>
      <x:c r="G272" s="19" t="str">
        <x:f>'第4日'!$B$61</x:f>
        <x:v>第15波（待设计）</x:v>
      </x:c>
      <x:c r="H272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72" s="19" t="n">
        <x:f>'第4日'!$H$61</x:f>
        <x:v>0.22</x:v>
      </x:c>
      <x:c r="J272" s="19" t="n">
        <x:f>'第4日'!$J$61</x:f>
        <x:v>1</x:v>
      </x:c>
      <x:c r="K272" s="19" t="n">
        <x:f>'第4日'!$L$61</x:f>
        <x:v>96</x:v>
      </x:c>
      <x:c r="L272" s="19" t="str">
        <x:v>res://resources/audio/shenmu_town_combat.ogg</x:v>
      </x:c>
      <x:c r="M272" s="19" t="str">
        <x:v>res://resources/audio/shenmu_town_intermission.ogg</x:v>
      </x:c>
      <x:c r="N272" s="19" t="n">
        <x:v>16</x:v>
      </x:c>
      <x:c r="O272" s="19" t="n">
        <x:f>'第4日'!$B$80</x:f>
        <x:v>0</x:v>
      </x:c>
      <x:c r="P272" s="19" t="str">
        <x:f>'第4日'!$E$80</x:f>
      </x:c>
      <x:c r="Q272" s="19" t="n">
        <x:f>'第4日'!$C$80</x:f>
        <x:v>0</x:v>
      </x:c>
      <x:c r="R272" s="19" t="str">
        <x:f>IF(P272="","",IF(ISNUMBER('第4日'!$D$80),'第4日'!$D$80,IF(VLOOKUP(O272,'敌人目录'!$A$6:$S$54,14,FALSE)&lt;&gt;VLOOKUP(O272,'敌人目录'!$A$6:$S$54,13,FALSE),VLOOKUP(O272,'敌人目录'!$A$6:$S$54,14,FALSE),-1)))</x:f>
      </x:c>
      <x:c r="S272" s="19" t="n">
        <x:f>'第4日'!$U$80</x:f>
        <x:v>0</x:v>
      </x:c>
      <x:c r="T272" s="19" t="str">
        <x:f>'第4日'!$N$61</x:f>
        <x:v>待设计</x:v>
      </x:c>
    </x:row>
    <x:row r="273" ht="22" customHeight="1">
      <x:c r="A273" s="19" t="n">
        <x:v>1</x:v>
      </x:c>
      <x:c r="B273" s="19" t="str">
        <x:v>tower_defense_formal</x:v>
      </x:c>
      <x:c r="C273" s="19" t="str">
        <x:v>wave_15</x:v>
      </x:c>
      <x:c r="D273" s="19" t="n">
        <x:v>15</x:v>
      </x:c>
      <x:c r="E273" s="19" t="n">
        <x:v>4</x:v>
      </x:c>
      <x:c r="F273" s="19" t="n">
        <x:v>3</x:v>
      </x:c>
      <x:c r="G273" s="19" t="str">
        <x:f>'第4日'!$B$61</x:f>
        <x:v>第15波（待设计）</x:v>
      </x:c>
      <x:c r="H273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73" s="19" t="n">
        <x:f>'第4日'!$H$61</x:f>
        <x:v>0.22</x:v>
      </x:c>
      <x:c r="J273" s="19" t="n">
        <x:f>'第4日'!$J$61</x:f>
        <x:v>1</x:v>
      </x:c>
      <x:c r="K273" s="19" t="n">
        <x:f>'第4日'!$L$61</x:f>
        <x:v>96</x:v>
      </x:c>
      <x:c r="L273" s="19" t="str">
        <x:v>res://resources/audio/shenmu_town_combat.ogg</x:v>
      </x:c>
      <x:c r="M273" s="19" t="str">
        <x:v>res://resources/audio/shenmu_town_intermission.ogg</x:v>
      </x:c>
      <x:c r="N273" s="19" t="n">
        <x:v>17</x:v>
      </x:c>
      <x:c r="O273" s="19" t="n">
        <x:f>'第4日'!$B$81</x:f>
        <x:v>0</x:v>
      </x:c>
      <x:c r="P273" s="19" t="str">
        <x:f>'第4日'!$E$81</x:f>
      </x:c>
      <x:c r="Q273" s="19" t="n">
        <x:f>'第4日'!$C$81</x:f>
        <x:v>0</x:v>
      </x:c>
      <x:c r="R273" s="19" t="str">
        <x:f>IF(P273="","",IF(ISNUMBER('第4日'!$D$81),'第4日'!$D$81,IF(VLOOKUP(O273,'敌人目录'!$A$6:$S$54,14,FALSE)&lt;&gt;VLOOKUP(O273,'敌人目录'!$A$6:$S$54,13,FALSE),VLOOKUP(O273,'敌人目录'!$A$6:$S$54,14,FALSE),-1)))</x:f>
      </x:c>
      <x:c r="S273" s="19" t="n">
        <x:f>'第4日'!$U$81</x:f>
        <x:v>0</x:v>
      </x:c>
      <x:c r="T273" s="19" t="str">
        <x:f>'第4日'!$N$61</x:f>
        <x:v>待设计</x:v>
      </x:c>
    </x:row>
    <x:row r="274" ht="22" customHeight="1">
      <x:c r="A274" s="19" t="n">
        <x:v>1</x:v>
      </x:c>
      <x:c r="B274" s="19" t="str">
        <x:v>tower_defense_formal</x:v>
      </x:c>
      <x:c r="C274" s="19" t="str">
        <x:v>wave_15</x:v>
      </x:c>
      <x:c r="D274" s="19" t="n">
        <x:v>15</x:v>
      </x:c>
      <x:c r="E274" s="19" t="n">
        <x:v>4</x:v>
      </x:c>
      <x:c r="F274" s="19" t="n">
        <x:v>3</x:v>
      </x:c>
      <x:c r="G274" s="19" t="str">
        <x:f>'第4日'!$B$61</x:f>
        <x:v>第15波（待设计）</x:v>
      </x:c>
      <x:c r="H274" s="19" t="n">
        <x:f>IF('第4日'!$B$62="开启",1,0)+IF('第4日'!$C$62="开启",2,0)+IF('第4日'!$D$62="开启",4,0)+IF('第4日'!$E$62="开启",8,0)+IF('第4日'!$F$62="开启",16,0)+IF('第4日'!$G$62="开启",32,0)</x:f>
        <x:v>63</x:v>
      </x:c>
      <x:c r="I274" s="19" t="n">
        <x:f>'第4日'!$H$61</x:f>
        <x:v>0.22</x:v>
      </x:c>
      <x:c r="J274" s="19" t="n">
        <x:f>'第4日'!$J$61</x:f>
        <x:v>1</x:v>
      </x:c>
      <x:c r="K274" s="19" t="n">
        <x:f>'第4日'!$L$61</x:f>
        <x:v>96</x:v>
      </x:c>
      <x:c r="L274" s="19" t="str">
        <x:v>res://resources/audio/shenmu_town_combat.ogg</x:v>
      </x:c>
      <x:c r="M274" s="19" t="str">
        <x:v>res://resources/audio/shenmu_town_intermission.ogg</x:v>
      </x:c>
      <x:c r="N274" s="19" t="n">
        <x:v>18</x:v>
      </x:c>
      <x:c r="O274" s="19" t="n">
        <x:f>'第4日'!$B$82</x:f>
        <x:v>0</x:v>
      </x:c>
      <x:c r="P274" s="19" t="n">
        <x:f>'第4日'!$E$82</x:f>
        <x:v>0</x:v>
      </x:c>
      <x:c r="Q274" s="19" t="n">
        <x:f>'第4日'!$C$82</x:f>
        <x:v>0</x:v>
      </x:c>
      <x:c r="R274" s="19" t="str">
        <x:f>IF(P274="","",IF(ISNUMBER('第4日'!$D$82),'第4日'!$D$82,IF(VLOOKUP(O274,'敌人目录'!$A$6:$S$54,14,FALSE)&lt;&gt;VLOOKUP(O274,'敌人目录'!$A$6:$S$54,13,FALSE),VLOOKUP(O274,'敌人目录'!$A$6:$S$54,14,FALSE),-1)))</x:f>
      </x:c>
      <x:c r="S274" s="19" t="n">
        <x:f>'第4日'!$U$82</x:f>
        <x:v>0</x:v>
      </x:c>
      <x:c r="T274" s="19" t="str">
        <x:f>'第4日'!$N$61</x:f>
        <x:v>待设计</x:v>
      </x:c>
    </x:row>
    <x:row r="275" ht="22" customHeight="1">
      <x:c r="A275" s="19" t="n">
        <x:v>1</x:v>
      </x:c>
      <x:c r="B275" s="19" t="str">
        <x:v>tower_defense_formal</x:v>
      </x:c>
      <x:c r="C275" s="19" t="str">
        <x:v>wave_16</x:v>
      </x:c>
      <x:c r="D275" s="19" t="n">
        <x:v>16</x:v>
      </x:c>
      <x:c r="E275" s="19" t="n">
        <x:v>4</x:v>
      </x:c>
      <x:c r="F275" s="19" t="n">
        <x:v>4</x:v>
      </x:c>
      <x:c r="G275" s="19" t="str">
        <x:f>'第4日'!$B$90</x:f>
        <x:v>第16波（待设计）</x:v>
      </x:c>
      <x:c r="H275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75" s="19" t="n">
        <x:f>'第4日'!$H$90</x:f>
        <x:v>0.22</x:v>
      </x:c>
      <x:c r="J275" s="19" t="n">
        <x:f>'第4日'!$J$90</x:f>
        <x:v>1</x:v>
      </x:c>
      <x:c r="K275" s="19" t="n">
        <x:f>'第4日'!$L$90</x:f>
        <x:v>96</x:v>
      </x:c>
      <x:c r="L275" s="19" t="str">
        <x:v>res://resources/audio/shenmu_town_combat.ogg</x:v>
      </x:c>
      <x:c r="M275" s="19" t="str">
        <x:v>res://resources/audio/shenmu_town_intermission.ogg</x:v>
      </x:c>
      <x:c r="N275" s="19" t="n">
        <x:v>1</x:v>
      </x:c>
      <x:c r="O275" s="19" t="n">
        <x:f>'第4日'!$B$94</x:f>
        <x:v>0</x:v>
      </x:c>
      <x:c r="P275" s="19" t="str">
        <x:f>'第4日'!$E$94</x:f>
      </x:c>
      <x:c r="Q275" s="19" t="n">
        <x:f>'第4日'!$C$94</x:f>
        <x:v>0</x:v>
      </x:c>
      <x:c r="R275" s="19" t="str">
        <x:f>IF(P275="","",IF(ISNUMBER('第4日'!$D$94),'第4日'!$D$94,IF(VLOOKUP(O275,'敌人目录'!$A$6:$S$54,14,FALSE)&lt;&gt;VLOOKUP(O275,'敌人目录'!$A$6:$S$54,13,FALSE),VLOOKUP(O275,'敌人目录'!$A$6:$S$54,14,FALSE),-1)))</x:f>
      </x:c>
      <x:c r="S275" s="19" t="n">
        <x:f>'第4日'!$U$94</x:f>
        <x:v>0</x:v>
      </x:c>
      <x:c r="T275" s="19" t="str">
        <x:f>'第4日'!$N$90</x:f>
        <x:v>待设计</x:v>
      </x:c>
    </x:row>
    <x:row r="276" ht="22" customHeight="1">
      <x:c r="A276" s="19" t="n">
        <x:v>1</x:v>
      </x:c>
      <x:c r="B276" s="19" t="str">
        <x:v>tower_defense_formal</x:v>
      </x:c>
      <x:c r="C276" s="19" t="str">
        <x:v>wave_16</x:v>
      </x:c>
      <x:c r="D276" s="19" t="n">
        <x:v>16</x:v>
      </x:c>
      <x:c r="E276" s="19" t="n">
        <x:v>4</x:v>
      </x:c>
      <x:c r="F276" s="19" t="n">
        <x:v>4</x:v>
      </x:c>
      <x:c r="G276" s="19" t="str">
        <x:f>'第4日'!$B$90</x:f>
        <x:v>第16波（待设计）</x:v>
      </x:c>
      <x:c r="H276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76" s="19" t="n">
        <x:f>'第4日'!$H$90</x:f>
        <x:v>0.22</x:v>
      </x:c>
      <x:c r="J276" s="19" t="n">
        <x:f>'第4日'!$J$90</x:f>
        <x:v>1</x:v>
      </x:c>
      <x:c r="K276" s="19" t="n">
        <x:f>'第4日'!$L$90</x:f>
        <x:v>96</x:v>
      </x:c>
      <x:c r="L276" s="19" t="str">
        <x:v>res://resources/audio/shenmu_town_combat.ogg</x:v>
      </x:c>
      <x:c r="M276" s="19" t="str">
        <x:v>res://resources/audio/shenmu_town_intermission.ogg</x:v>
      </x:c>
      <x:c r="N276" s="19" t="n">
        <x:v>2</x:v>
      </x:c>
      <x:c r="O276" s="19" t="n">
        <x:f>'第4日'!$B$95</x:f>
        <x:v>0</x:v>
      </x:c>
      <x:c r="P276" s="19" t="str">
        <x:f>'第4日'!$E$95</x:f>
      </x:c>
      <x:c r="Q276" s="19" t="n">
        <x:f>'第4日'!$C$95</x:f>
        <x:v>0</x:v>
      </x:c>
      <x:c r="R276" s="19" t="str">
        <x:f>IF(P276="","",IF(ISNUMBER('第4日'!$D$95),'第4日'!$D$95,IF(VLOOKUP(O276,'敌人目录'!$A$6:$S$54,14,FALSE)&lt;&gt;VLOOKUP(O276,'敌人目录'!$A$6:$S$54,13,FALSE),VLOOKUP(O276,'敌人目录'!$A$6:$S$54,14,FALSE),-1)))</x:f>
      </x:c>
      <x:c r="S276" s="19" t="n">
        <x:f>'第4日'!$U$95</x:f>
        <x:v>0</x:v>
      </x:c>
      <x:c r="T276" s="19" t="str">
        <x:f>'第4日'!$N$90</x:f>
        <x:v>待设计</x:v>
      </x:c>
    </x:row>
    <x:row r="277" ht="22" customHeight="1">
      <x:c r="A277" s="19" t="n">
        <x:v>1</x:v>
      </x:c>
      <x:c r="B277" s="19" t="str">
        <x:v>tower_defense_formal</x:v>
      </x:c>
      <x:c r="C277" s="19" t="str">
        <x:v>wave_16</x:v>
      </x:c>
      <x:c r="D277" s="19" t="n">
        <x:v>16</x:v>
      </x:c>
      <x:c r="E277" s="19" t="n">
        <x:v>4</x:v>
      </x:c>
      <x:c r="F277" s="19" t="n">
        <x:v>4</x:v>
      </x:c>
      <x:c r="G277" s="19" t="str">
        <x:f>'第4日'!$B$90</x:f>
        <x:v>第16波（待设计）</x:v>
      </x:c>
      <x:c r="H277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77" s="19" t="n">
        <x:f>'第4日'!$H$90</x:f>
        <x:v>0.22</x:v>
      </x:c>
      <x:c r="J277" s="19" t="n">
        <x:f>'第4日'!$J$90</x:f>
        <x:v>1</x:v>
      </x:c>
      <x:c r="K277" s="19" t="n">
        <x:f>'第4日'!$L$90</x:f>
        <x:v>96</x:v>
      </x:c>
      <x:c r="L277" s="19" t="str">
        <x:v>res://resources/audio/shenmu_town_combat.ogg</x:v>
      </x:c>
      <x:c r="M277" s="19" t="str">
        <x:v>res://resources/audio/shenmu_town_intermission.ogg</x:v>
      </x:c>
      <x:c r="N277" s="19" t="n">
        <x:v>3</x:v>
      </x:c>
      <x:c r="O277" s="19" t="n">
        <x:f>'第4日'!$B$96</x:f>
        <x:v>0</x:v>
      </x:c>
      <x:c r="P277" s="19" t="str">
        <x:f>'第4日'!$E$96</x:f>
      </x:c>
      <x:c r="Q277" s="19" t="n">
        <x:f>'第4日'!$C$96</x:f>
        <x:v>0</x:v>
      </x:c>
      <x:c r="R277" s="19" t="str">
        <x:f>IF(P277="","",IF(ISNUMBER('第4日'!$D$96),'第4日'!$D$96,IF(VLOOKUP(O277,'敌人目录'!$A$6:$S$54,14,FALSE)&lt;&gt;VLOOKUP(O277,'敌人目录'!$A$6:$S$54,13,FALSE),VLOOKUP(O277,'敌人目录'!$A$6:$S$54,14,FALSE),-1)))</x:f>
      </x:c>
      <x:c r="S277" s="19" t="n">
        <x:f>'第4日'!$U$96</x:f>
        <x:v>0</x:v>
      </x:c>
      <x:c r="T277" s="19" t="str">
        <x:f>'第4日'!$N$90</x:f>
        <x:v>待设计</x:v>
      </x:c>
    </x:row>
    <x:row r="278" ht="22" customHeight="1">
      <x:c r="A278" s="19" t="n">
        <x:v>1</x:v>
      </x:c>
      <x:c r="B278" s="19" t="str">
        <x:v>tower_defense_formal</x:v>
      </x:c>
      <x:c r="C278" s="19" t="str">
        <x:v>wave_16</x:v>
      </x:c>
      <x:c r="D278" s="19" t="n">
        <x:v>16</x:v>
      </x:c>
      <x:c r="E278" s="19" t="n">
        <x:v>4</x:v>
      </x:c>
      <x:c r="F278" s="19" t="n">
        <x:v>4</x:v>
      </x:c>
      <x:c r="G278" s="19" t="str">
        <x:f>'第4日'!$B$90</x:f>
        <x:v>第16波（待设计）</x:v>
      </x:c>
      <x:c r="H278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78" s="19" t="n">
        <x:f>'第4日'!$H$90</x:f>
        <x:v>0.22</x:v>
      </x:c>
      <x:c r="J278" s="19" t="n">
        <x:f>'第4日'!$J$90</x:f>
        <x:v>1</x:v>
      </x:c>
      <x:c r="K278" s="19" t="n">
        <x:f>'第4日'!$L$90</x:f>
        <x:v>96</x:v>
      </x:c>
      <x:c r="L278" s="19" t="str">
        <x:v>res://resources/audio/shenmu_town_combat.ogg</x:v>
      </x:c>
      <x:c r="M278" s="19" t="str">
        <x:v>res://resources/audio/shenmu_town_intermission.ogg</x:v>
      </x:c>
      <x:c r="N278" s="19" t="n">
        <x:v>4</x:v>
      </x:c>
      <x:c r="O278" s="19" t="n">
        <x:f>'第4日'!$B$97</x:f>
        <x:v>0</x:v>
      </x:c>
      <x:c r="P278" s="19" t="str">
        <x:f>'第4日'!$E$97</x:f>
      </x:c>
      <x:c r="Q278" s="19" t="n">
        <x:f>'第4日'!$C$97</x:f>
        <x:v>0</x:v>
      </x:c>
      <x:c r="R278" s="19" t="str">
        <x:f>IF(P278="","",IF(ISNUMBER('第4日'!$D$97),'第4日'!$D$97,IF(VLOOKUP(O278,'敌人目录'!$A$6:$S$54,14,FALSE)&lt;&gt;VLOOKUP(O278,'敌人目录'!$A$6:$S$54,13,FALSE),VLOOKUP(O278,'敌人目录'!$A$6:$S$54,14,FALSE),-1)))</x:f>
      </x:c>
      <x:c r="S278" s="19" t="n">
        <x:f>'第4日'!$U$97</x:f>
        <x:v>0</x:v>
      </x:c>
      <x:c r="T278" s="19" t="str">
        <x:f>'第4日'!$N$90</x:f>
        <x:v>待设计</x:v>
      </x:c>
    </x:row>
    <x:row r="279" ht="22" customHeight="1">
      <x:c r="A279" s="19" t="n">
        <x:v>1</x:v>
      </x:c>
      <x:c r="B279" s="19" t="str">
        <x:v>tower_defense_formal</x:v>
      </x:c>
      <x:c r="C279" s="19" t="str">
        <x:v>wave_16</x:v>
      </x:c>
      <x:c r="D279" s="19" t="n">
        <x:v>16</x:v>
      </x:c>
      <x:c r="E279" s="19" t="n">
        <x:v>4</x:v>
      </x:c>
      <x:c r="F279" s="19" t="n">
        <x:v>4</x:v>
      </x:c>
      <x:c r="G279" s="19" t="str">
        <x:f>'第4日'!$B$90</x:f>
        <x:v>第16波（待设计）</x:v>
      </x:c>
      <x:c r="H279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79" s="19" t="n">
        <x:f>'第4日'!$H$90</x:f>
        <x:v>0.22</x:v>
      </x:c>
      <x:c r="J279" s="19" t="n">
        <x:f>'第4日'!$J$90</x:f>
        <x:v>1</x:v>
      </x:c>
      <x:c r="K279" s="19" t="n">
        <x:f>'第4日'!$L$90</x:f>
        <x:v>96</x:v>
      </x:c>
      <x:c r="L279" s="19" t="str">
        <x:v>res://resources/audio/shenmu_town_combat.ogg</x:v>
      </x:c>
      <x:c r="M279" s="19" t="str">
        <x:v>res://resources/audio/shenmu_town_intermission.ogg</x:v>
      </x:c>
      <x:c r="N279" s="19" t="n">
        <x:v>5</x:v>
      </x:c>
      <x:c r="O279" s="19" t="n">
        <x:f>'第4日'!$B$98</x:f>
        <x:v>0</x:v>
      </x:c>
      <x:c r="P279" s="19" t="str">
        <x:f>'第4日'!$E$98</x:f>
      </x:c>
      <x:c r="Q279" s="19" t="n">
        <x:f>'第4日'!$C$98</x:f>
        <x:v>0</x:v>
      </x:c>
      <x:c r="R279" s="19" t="str">
        <x:f>IF(P279="","",IF(ISNUMBER('第4日'!$D$98),'第4日'!$D$98,IF(VLOOKUP(O279,'敌人目录'!$A$6:$S$54,14,FALSE)&lt;&gt;VLOOKUP(O279,'敌人目录'!$A$6:$S$54,13,FALSE),VLOOKUP(O279,'敌人目录'!$A$6:$S$54,14,FALSE),-1)))</x:f>
      </x:c>
      <x:c r="S279" s="19" t="n">
        <x:f>'第4日'!$U$98</x:f>
        <x:v>0</x:v>
      </x:c>
      <x:c r="T279" s="19" t="str">
        <x:f>'第4日'!$N$90</x:f>
        <x:v>待设计</x:v>
      </x:c>
    </x:row>
    <x:row r="280" ht="22" customHeight="1">
      <x:c r="A280" s="19" t="n">
        <x:v>1</x:v>
      </x:c>
      <x:c r="B280" s="19" t="str">
        <x:v>tower_defense_formal</x:v>
      </x:c>
      <x:c r="C280" s="19" t="str">
        <x:v>wave_16</x:v>
      </x:c>
      <x:c r="D280" s="19" t="n">
        <x:v>16</x:v>
      </x:c>
      <x:c r="E280" s="19" t="n">
        <x:v>4</x:v>
      </x:c>
      <x:c r="F280" s="19" t="n">
        <x:v>4</x:v>
      </x:c>
      <x:c r="G280" s="19" t="str">
        <x:f>'第4日'!$B$90</x:f>
        <x:v>第16波（待设计）</x:v>
      </x:c>
      <x:c r="H280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0" s="19" t="n">
        <x:f>'第4日'!$H$90</x:f>
        <x:v>0.22</x:v>
      </x:c>
      <x:c r="J280" s="19" t="n">
        <x:f>'第4日'!$J$90</x:f>
        <x:v>1</x:v>
      </x:c>
      <x:c r="K280" s="19" t="n">
        <x:f>'第4日'!$L$90</x:f>
        <x:v>96</x:v>
      </x:c>
      <x:c r="L280" s="19" t="str">
        <x:v>res://resources/audio/shenmu_town_combat.ogg</x:v>
      </x:c>
      <x:c r="M280" s="19" t="str">
        <x:v>res://resources/audio/shenmu_town_intermission.ogg</x:v>
      </x:c>
      <x:c r="N280" s="19" t="n">
        <x:v>6</x:v>
      </x:c>
      <x:c r="O280" s="19" t="n">
        <x:f>'第4日'!$B$99</x:f>
        <x:v>0</x:v>
      </x:c>
      <x:c r="P280" s="19" t="str">
        <x:f>'第4日'!$E$99</x:f>
      </x:c>
      <x:c r="Q280" s="19" t="n">
        <x:f>'第4日'!$C$99</x:f>
        <x:v>0</x:v>
      </x:c>
      <x:c r="R280" s="19" t="str">
        <x:f>IF(P280="","",IF(ISNUMBER('第4日'!$D$99),'第4日'!$D$99,IF(VLOOKUP(O280,'敌人目录'!$A$6:$S$54,14,FALSE)&lt;&gt;VLOOKUP(O280,'敌人目录'!$A$6:$S$54,13,FALSE),VLOOKUP(O280,'敌人目录'!$A$6:$S$54,14,FALSE),-1)))</x:f>
      </x:c>
      <x:c r="S280" s="19" t="n">
        <x:f>'第4日'!$U$99</x:f>
        <x:v>0</x:v>
      </x:c>
      <x:c r="T280" s="19" t="str">
        <x:f>'第4日'!$N$90</x:f>
        <x:v>待设计</x:v>
      </x:c>
    </x:row>
    <x:row r="281" ht="22" customHeight="1">
      <x:c r="A281" s="19" t="n">
        <x:v>1</x:v>
      </x:c>
      <x:c r="B281" s="19" t="str">
        <x:v>tower_defense_formal</x:v>
      </x:c>
      <x:c r="C281" s="19" t="str">
        <x:v>wave_16</x:v>
      </x:c>
      <x:c r="D281" s="19" t="n">
        <x:v>16</x:v>
      </x:c>
      <x:c r="E281" s="19" t="n">
        <x:v>4</x:v>
      </x:c>
      <x:c r="F281" s="19" t="n">
        <x:v>4</x:v>
      </x:c>
      <x:c r="G281" s="19" t="str">
        <x:f>'第4日'!$B$90</x:f>
        <x:v>第16波（待设计）</x:v>
      </x:c>
      <x:c r="H281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1" s="19" t="n">
        <x:f>'第4日'!$H$90</x:f>
        <x:v>0.22</x:v>
      </x:c>
      <x:c r="J281" s="19" t="n">
        <x:f>'第4日'!$J$90</x:f>
        <x:v>1</x:v>
      </x:c>
      <x:c r="K281" s="19" t="n">
        <x:f>'第4日'!$L$90</x:f>
        <x:v>96</x:v>
      </x:c>
      <x:c r="L281" s="19" t="str">
        <x:v>res://resources/audio/shenmu_town_combat.ogg</x:v>
      </x:c>
      <x:c r="M281" s="19" t="str">
        <x:v>res://resources/audio/shenmu_town_intermission.ogg</x:v>
      </x:c>
      <x:c r="N281" s="19" t="n">
        <x:v>7</x:v>
      </x:c>
      <x:c r="O281" s="19" t="n">
        <x:f>'第4日'!$B$100</x:f>
        <x:v>0</x:v>
      </x:c>
      <x:c r="P281" s="19" t="str">
        <x:f>'第4日'!$E$100</x:f>
      </x:c>
      <x:c r="Q281" s="19" t="n">
        <x:f>'第4日'!$C$100</x:f>
        <x:v>0</x:v>
      </x:c>
      <x:c r="R281" s="19" t="str">
        <x:f>IF(P281="","",IF(ISNUMBER('第4日'!$D$100),'第4日'!$D$100,IF(VLOOKUP(O281,'敌人目录'!$A$6:$S$54,14,FALSE)&lt;&gt;VLOOKUP(O281,'敌人目录'!$A$6:$S$54,13,FALSE),VLOOKUP(O281,'敌人目录'!$A$6:$S$54,14,FALSE),-1)))</x:f>
      </x:c>
      <x:c r="S281" s="19" t="n">
        <x:f>'第4日'!$U$100</x:f>
        <x:v>0</x:v>
      </x:c>
      <x:c r="T281" s="19" t="str">
        <x:f>'第4日'!$N$90</x:f>
        <x:v>待设计</x:v>
      </x:c>
    </x:row>
    <x:row r="282" ht="22" customHeight="1">
      <x:c r="A282" s="19" t="n">
        <x:v>1</x:v>
      </x:c>
      <x:c r="B282" s="19" t="str">
        <x:v>tower_defense_formal</x:v>
      </x:c>
      <x:c r="C282" s="19" t="str">
        <x:v>wave_16</x:v>
      </x:c>
      <x:c r="D282" s="19" t="n">
        <x:v>16</x:v>
      </x:c>
      <x:c r="E282" s="19" t="n">
        <x:v>4</x:v>
      </x:c>
      <x:c r="F282" s="19" t="n">
        <x:v>4</x:v>
      </x:c>
      <x:c r="G282" s="19" t="str">
        <x:f>'第4日'!$B$90</x:f>
        <x:v>第16波（待设计）</x:v>
      </x:c>
      <x:c r="H282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2" s="19" t="n">
        <x:f>'第4日'!$H$90</x:f>
        <x:v>0.22</x:v>
      </x:c>
      <x:c r="J282" s="19" t="n">
        <x:f>'第4日'!$J$90</x:f>
        <x:v>1</x:v>
      </x:c>
      <x:c r="K282" s="19" t="n">
        <x:f>'第4日'!$L$90</x:f>
        <x:v>96</x:v>
      </x:c>
      <x:c r="L282" s="19" t="str">
        <x:v>res://resources/audio/shenmu_town_combat.ogg</x:v>
      </x:c>
      <x:c r="M282" s="19" t="str">
        <x:v>res://resources/audio/shenmu_town_intermission.ogg</x:v>
      </x:c>
      <x:c r="N282" s="19" t="n">
        <x:v>8</x:v>
      </x:c>
      <x:c r="O282" s="19" t="n">
        <x:f>'第4日'!$B$101</x:f>
        <x:v>0</x:v>
      </x:c>
      <x:c r="P282" s="19" t="str">
        <x:f>'第4日'!$E$101</x:f>
      </x:c>
      <x:c r="Q282" s="19" t="n">
        <x:f>'第4日'!$C$101</x:f>
        <x:v>0</x:v>
      </x:c>
      <x:c r="R282" s="19" t="str">
        <x:f>IF(P282="","",IF(ISNUMBER('第4日'!$D$101),'第4日'!$D$101,IF(VLOOKUP(O282,'敌人目录'!$A$6:$S$54,14,FALSE)&lt;&gt;VLOOKUP(O282,'敌人目录'!$A$6:$S$54,13,FALSE),VLOOKUP(O282,'敌人目录'!$A$6:$S$54,14,FALSE),-1)))</x:f>
      </x:c>
      <x:c r="S282" s="19" t="n">
        <x:f>'第4日'!$U$101</x:f>
        <x:v>0</x:v>
      </x:c>
      <x:c r="T282" s="19" t="str">
        <x:f>'第4日'!$N$90</x:f>
        <x:v>待设计</x:v>
      </x:c>
    </x:row>
    <x:row r="283" ht="22" customHeight="1">
      <x:c r="A283" s="19" t="n">
        <x:v>1</x:v>
      </x:c>
      <x:c r="B283" s="19" t="str">
        <x:v>tower_defense_formal</x:v>
      </x:c>
      <x:c r="C283" s="19" t="str">
        <x:v>wave_16</x:v>
      </x:c>
      <x:c r="D283" s="19" t="n">
        <x:v>16</x:v>
      </x:c>
      <x:c r="E283" s="19" t="n">
        <x:v>4</x:v>
      </x:c>
      <x:c r="F283" s="19" t="n">
        <x:v>4</x:v>
      </x:c>
      <x:c r="G283" s="19" t="str">
        <x:f>'第4日'!$B$90</x:f>
        <x:v>第16波（待设计）</x:v>
      </x:c>
      <x:c r="H283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3" s="19" t="n">
        <x:f>'第4日'!$H$90</x:f>
        <x:v>0.22</x:v>
      </x:c>
      <x:c r="J283" s="19" t="n">
        <x:f>'第4日'!$J$90</x:f>
        <x:v>1</x:v>
      </x:c>
      <x:c r="K283" s="19" t="n">
        <x:f>'第4日'!$L$90</x:f>
        <x:v>96</x:v>
      </x:c>
      <x:c r="L283" s="19" t="str">
        <x:v>res://resources/audio/shenmu_town_combat.ogg</x:v>
      </x:c>
      <x:c r="M283" s="19" t="str">
        <x:v>res://resources/audio/shenmu_town_intermission.ogg</x:v>
      </x:c>
      <x:c r="N283" s="19" t="n">
        <x:v>9</x:v>
      </x:c>
      <x:c r="O283" s="19" t="n">
        <x:f>'第4日'!$B$102</x:f>
        <x:v>0</x:v>
      </x:c>
      <x:c r="P283" s="19" t="str">
        <x:f>'第4日'!$E$102</x:f>
      </x:c>
      <x:c r="Q283" s="19" t="n">
        <x:f>'第4日'!$C$102</x:f>
        <x:v>0</x:v>
      </x:c>
      <x:c r="R283" s="19" t="str">
        <x:f>IF(P283="","",IF(ISNUMBER('第4日'!$D$102),'第4日'!$D$102,IF(VLOOKUP(O283,'敌人目录'!$A$6:$S$54,14,FALSE)&lt;&gt;VLOOKUP(O283,'敌人目录'!$A$6:$S$54,13,FALSE),VLOOKUP(O283,'敌人目录'!$A$6:$S$54,14,FALSE),-1)))</x:f>
      </x:c>
      <x:c r="S283" s="19" t="n">
        <x:f>'第4日'!$U$102</x:f>
        <x:v>0</x:v>
      </x:c>
      <x:c r="T283" s="19" t="str">
        <x:f>'第4日'!$N$90</x:f>
        <x:v>待设计</x:v>
      </x:c>
    </x:row>
    <x:row r="284" ht="22" customHeight="1">
      <x:c r="A284" s="19" t="n">
        <x:v>1</x:v>
      </x:c>
      <x:c r="B284" s="19" t="str">
        <x:v>tower_defense_formal</x:v>
      </x:c>
      <x:c r="C284" s="19" t="str">
        <x:v>wave_16</x:v>
      </x:c>
      <x:c r="D284" s="19" t="n">
        <x:v>16</x:v>
      </x:c>
      <x:c r="E284" s="19" t="n">
        <x:v>4</x:v>
      </x:c>
      <x:c r="F284" s="19" t="n">
        <x:v>4</x:v>
      </x:c>
      <x:c r="G284" s="19" t="str">
        <x:f>'第4日'!$B$90</x:f>
        <x:v>第16波（待设计）</x:v>
      </x:c>
      <x:c r="H284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4" s="19" t="n">
        <x:f>'第4日'!$H$90</x:f>
        <x:v>0.22</x:v>
      </x:c>
      <x:c r="J284" s="19" t="n">
        <x:f>'第4日'!$J$90</x:f>
        <x:v>1</x:v>
      </x:c>
      <x:c r="K284" s="19" t="n">
        <x:f>'第4日'!$L$90</x:f>
        <x:v>96</x:v>
      </x:c>
      <x:c r="L284" s="19" t="str">
        <x:v>res://resources/audio/shenmu_town_combat.ogg</x:v>
      </x:c>
      <x:c r="M284" s="19" t="str">
        <x:v>res://resources/audio/shenmu_town_intermission.ogg</x:v>
      </x:c>
      <x:c r="N284" s="19" t="n">
        <x:v>10</x:v>
      </x:c>
      <x:c r="O284" s="19" t="n">
        <x:f>'第4日'!$B$103</x:f>
        <x:v>0</x:v>
      </x:c>
      <x:c r="P284" s="19" t="str">
        <x:f>'第4日'!$E$103</x:f>
      </x:c>
      <x:c r="Q284" s="19" t="n">
        <x:f>'第4日'!$C$103</x:f>
        <x:v>0</x:v>
      </x:c>
      <x:c r="R284" s="19" t="str">
        <x:f>IF(P284="","",IF(ISNUMBER('第4日'!$D$103),'第4日'!$D$103,IF(VLOOKUP(O284,'敌人目录'!$A$6:$S$54,14,FALSE)&lt;&gt;VLOOKUP(O284,'敌人目录'!$A$6:$S$54,13,FALSE),VLOOKUP(O284,'敌人目录'!$A$6:$S$54,14,FALSE),-1)))</x:f>
      </x:c>
      <x:c r="S284" s="19" t="n">
        <x:f>'第4日'!$U$103</x:f>
        <x:v>0</x:v>
      </x:c>
      <x:c r="T284" s="19" t="str">
        <x:f>'第4日'!$N$90</x:f>
        <x:v>待设计</x:v>
      </x:c>
    </x:row>
    <x:row r="285" ht="22" customHeight="1">
      <x:c r="A285" s="19" t="n">
        <x:v>1</x:v>
      </x:c>
      <x:c r="B285" s="19" t="str">
        <x:v>tower_defense_formal</x:v>
      </x:c>
      <x:c r="C285" s="19" t="str">
        <x:v>wave_16</x:v>
      </x:c>
      <x:c r="D285" s="19" t="n">
        <x:v>16</x:v>
      </x:c>
      <x:c r="E285" s="19" t="n">
        <x:v>4</x:v>
      </x:c>
      <x:c r="F285" s="19" t="n">
        <x:v>4</x:v>
      </x:c>
      <x:c r="G285" s="19" t="str">
        <x:f>'第4日'!$B$90</x:f>
        <x:v>第16波（待设计）</x:v>
      </x:c>
      <x:c r="H285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5" s="19" t="n">
        <x:f>'第4日'!$H$90</x:f>
        <x:v>0.22</x:v>
      </x:c>
      <x:c r="J285" s="19" t="n">
        <x:f>'第4日'!$J$90</x:f>
        <x:v>1</x:v>
      </x:c>
      <x:c r="K285" s="19" t="n">
        <x:f>'第4日'!$L$90</x:f>
        <x:v>96</x:v>
      </x:c>
      <x:c r="L285" s="19" t="str">
        <x:v>res://resources/audio/shenmu_town_combat.ogg</x:v>
      </x:c>
      <x:c r="M285" s="19" t="str">
        <x:v>res://resources/audio/shenmu_town_intermission.ogg</x:v>
      </x:c>
      <x:c r="N285" s="19" t="n">
        <x:v>11</x:v>
      </x:c>
      <x:c r="O285" s="19" t="n">
        <x:f>'第4日'!$B$104</x:f>
        <x:v>0</x:v>
      </x:c>
      <x:c r="P285" s="19" t="str">
        <x:f>'第4日'!$E$104</x:f>
      </x:c>
      <x:c r="Q285" s="19" t="n">
        <x:f>'第4日'!$C$104</x:f>
        <x:v>0</x:v>
      </x:c>
      <x:c r="R285" s="19" t="str">
        <x:f>IF(P285="","",IF(ISNUMBER('第4日'!$D$104),'第4日'!$D$104,IF(VLOOKUP(O285,'敌人目录'!$A$6:$S$54,14,FALSE)&lt;&gt;VLOOKUP(O285,'敌人目录'!$A$6:$S$54,13,FALSE),VLOOKUP(O285,'敌人目录'!$A$6:$S$54,14,FALSE),-1)))</x:f>
      </x:c>
      <x:c r="S285" s="19" t="n">
        <x:f>'第4日'!$U$104</x:f>
        <x:v>0</x:v>
      </x:c>
      <x:c r="T285" s="19" t="str">
        <x:f>'第4日'!$N$90</x:f>
        <x:v>待设计</x:v>
      </x:c>
    </x:row>
    <x:row r="286" ht="22" customHeight="1">
      <x:c r="A286" s="19" t="n">
        <x:v>1</x:v>
      </x:c>
      <x:c r="B286" s="19" t="str">
        <x:v>tower_defense_formal</x:v>
      </x:c>
      <x:c r="C286" s="19" t="str">
        <x:v>wave_16</x:v>
      </x:c>
      <x:c r="D286" s="19" t="n">
        <x:v>16</x:v>
      </x:c>
      <x:c r="E286" s="19" t="n">
        <x:v>4</x:v>
      </x:c>
      <x:c r="F286" s="19" t="n">
        <x:v>4</x:v>
      </x:c>
      <x:c r="G286" s="19" t="str">
        <x:f>'第4日'!$B$90</x:f>
        <x:v>第16波（待设计）</x:v>
      </x:c>
      <x:c r="H286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6" s="19" t="n">
        <x:f>'第4日'!$H$90</x:f>
        <x:v>0.22</x:v>
      </x:c>
      <x:c r="J286" s="19" t="n">
        <x:f>'第4日'!$J$90</x:f>
        <x:v>1</x:v>
      </x:c>
      <x:c r="K286" s="19" t="n">
        <x:f>'第4日'!$L$90</x:f>
        <x:v>96</x:v>
      </x:c>
      <x:c r="L286" s="19" t="str">
        <x:v>res://resources/audio/shenmu_town_combat.ogg</x:v>
      </x:c>
      <x:c r="M286" s="19" t="str">
        <x:v>res://resources/audio/shenmu_town_intermission.ogg</x:v>
      </x:c>
      <x:c r="N286" s="19" t="n">
        <x:v>12</x:v>
      </x:c>
      <x:c r="O286" s="19" t="n">
        <x:f>'第4日'!$B$105</x:f>
        <x:v>0</x:v>
      </x:c>
      <x:c r="P286" s="19" t="str">
        <x:f>'第4日'!$E$105</x:f>
      </x:c>
      <x:c r="Q286" s="19" t="n">
        <x:f>'第4日'!$C$105</x:f>
        <x:v>0</x:v>
      </x:c>
      <x:c r="R286" s="19" t="str">
        <x:f>IF(P286="","",IF(ISNUMBER('第4日'!$D$105),'第4日'!$D$105,IF(VLOOKUP(O286,'敌人目录'!$A$6:$S$54,14,FALSE)&lt;&gt;VLOOKUP(O286,'敌人目录'!$A$6:$S$54,13,FALSE),VLOOKUP(O286,'敌人目录'!$A$6:$S$54,14,FALSE),-1)))</x:f>
      </x:c>
      <x:c r="S286" s="19" t="n">
        <x:f>'第4日'!$U$105</x:f>
        <x:v>0</x:v>
      </x:c>
      <x:c r="T286" s="19" t="str">
        <x:f>'第4日'!$N$90</x:f>
        <x:v>待设计</x:v>
      </x:c>
    </x:row>
    <x:row r="287" ht="22" customHeight="1">
      <x:c r="A287" s="19" t="n">
        <x:v>1</x:v>
      </x:c>
      <x:c r="B287" s="19" t="str">
        <x:v>tower_defense_formal</x:v>
      </x:c>
      <x:c r="C287" s="19" t="str">
        <x:v>wave_16</x:v>
      </x:c>
      <x:c r="D287" s="19" t="n">
        <x:v>16</x:v>
      </x:c>
      <x:c r="E287" s="19" t="n">
        <x:v>4</x:v>
      </x:c>
      <x:c r="F287" s="19" t="n">
        <x:v>4</x:v>
      </x:c>
      <x:c r="G287" s="19" t="str">
        <x:f>'第4日'!$B$90</x:f>
        <x:v>第16波（待设计）</x:v>
      </x:c>
      <x:c r="H287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7" s="19" t="n">
        <x:f>'第4日'!$H$90</x:f>
        <x:v>0.22</x:v>
      </x:c>
      <x:c r="J287" s="19" t="n">
        <x:f>'第4日'!$J$90</x:f>
        <x:v>1</x:v>
      </x:c>
      <x:c r="K287" s="19" t="n">
        <x:f>'第4日'!$L$90</x:f>
        <x:v>96</x:v>
      </x:c>
      <x:c r="L287" s="19" t="str">
        <x:v>res://resources/audio/shenmu_town_combat.ogg</x:v>
      </x:c>
      <x:c r="M287" s="19" t="str">
        <x:v>res://resources/audio/shenmu_town_intermission.ogg</x:v>
      </x:c>
      <x:c r="N287" s="19" t="n">
        <x:v>13</x:v>
      </x:c>
      <x:c r="O287" s="19" t="n">
        <x:f>'第4日'!$B$106</x:f>
        <x:v>0</x:v>
      </x:c>
      <x:c r="P287" s="19" t="str">
        <x:f>'第4日'!$E$106</x:f>
      </x:c>
      <x:c r="Q287" s="19" t="n">
        <x:f>'第4日'!$C$106</x:f>
        <x:v>0</x:v>
      </x:c>
      <x:c r="R287" s="19" t="str">
        <x:f>IF(P287="","",IF(ISNUMBER('第4日'!$D$106),'第4日'!$D$106,IF(VLOOKUP(O287,'敌人目录'!$A$6:$S$54,14,FALSE)&lt;&gt;VLOOKUP(O287,'敌人目录'!$A$6:$S$54,13,FALSE),VLOOKUP(O287,'敌人目录'!$A$6:$S$54,14,FALSE),-1)))</x:f>
      </x:c>
      <x:c r="S287" s="19" t="n">
        <x:f>'第4日'!$U$106</x:f>
        <x:v>0</x:v>
      </x:c>
      <x:c r="T287" s="19" t="str">
        <x:f>'第4日'!$N$90</x:f>
        <x:v>待设计</x:v>
      </x:c>
    </x:row>
    <x:row r="288" ht="22" customHeight="1">
      <x:c r="A288" s="19" t="n">
        <x:v>1</x:v>
      </x:c>
      <x:c r="B288" s="19" t="str">
        <x:v>tower_defense_formal</x:v>
      </x:c>
      <x:c r="C288" s="19" t="str">
        <x:v>wave_16</x:v>
      </x:c>
      <x:c r="D288" s="19" t="n">
        <x:v>16</x:v>
      </x:c>
      <x:c r="E288" s="19" t="n">
        <x:v>4</x:v>
      </x:c>
      <x:c r="F288" s="19" t="n">
        <x:v>4</x:v>
      </x:c>
      <x:c r="G288" s="19" t="str">
        <x:f>'第4日'!$B$90</x:f>
        <x:v>第16波（待设计）</x:v>
      </x:c>
      <x:c r="H288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8" s="19" t="n">
        <x:f>'第4日'!$H$90</x:f>
        <x:v>0.22</x:v>
      </x:c>
      <x:c r="J288" s="19" t="n">
        <x:f>'第4日'!$J$90</x:f>
        <x:v>1</x:v>
      </x:c>
      <x:c r="K288" s="19" t="n">
        <x:f>'第4日'!$L$90</x:f>
        <x:v>96</x:v>
      </x:c>
      <x:c r="L288" s="19" t="str">
        <x:v>res://resources/audio/shenmu_town_combat.ogg</x:v>
      </x:c>
      <x:c r="M288" s="19" t="str">
        <x:v>res://resources/audio/shenmu_town_intermission.ogg</x:v>
      </x:c>
      <x:c r="N288" s="19" t="n">
        <x:v>14</x:v>
      </x:c>
      <x:c r="O288" s="19" t="n">
        <x:f>'第4日'!$B$107</x:f>
        <x:v>0</x:v>
      </x:c>
      <x:c r="P288" s="19" t="str">
        <x:f>'第4日'!$E$107</x:f>
      </x:c>
      <x:c r="Q288" s="19" t="n">
        <x:f>'第4日'!$C$107</x:f>
        <x:v>0</x:v>
      </x:c>
      <x:c r="R288" s="19" t="str">
        <x:f>IF(P288="","",IF(ISNUMBER('第4日'!$D$107),'第4日'!$D$107,IF(VLOOKUP(O288,'敌人目录'!$A$6:$S$54,14,FALSE)&lt;&gt;VLOOKUP(O288,'敌人目录'!$A$6:$S$54,13,FALSE),VLOOKUP(O288,'敌人目录'!$A$6:$S$54,14,FALSE),-1)))</x:f>
      </x:c>
      <x:c r="S288" s="19" t="n">
        <x:f>'第4日'!$U$107</x:f>
        <x:v>0</x:v>
      </x:c>
      <x:c r="T288" s="19" t="str">
        <x:f>'第4日'!$N$90</x:f>
        <x:v>待设计</x:v>
      </x:c>
    </x:row>
    <x:row r="289" ht="22" customHeight="1">
      <x:c r="A289" s="19" t="n">
        <x:v>1</x:v>
      </x:c>
      <x:c r="B289" s="19" t="str">
        <x:v>tower_defense_formal</x:v>
      </x:c>
      <x:c r="C289" s="19" t="str">
        <x:v>wave_16</x:v>
      </x:c>
      <x:c r="D289" s="19" t="n">
        <x:v>16</x:v>
      </x:c>
      <x:c r="E289" s="19" t="n">
        <x:v>4</x:v>
      </x:c>
      <x:c r="F289" s="19" t="n">
        <x:v>4</x:v>
      </x:c>
      <x:c r="G289" s="19" t="str">
        <x:f>'第4日'!$B$90</x:f>
        <x:v>第16波（待设计）</x:v>
      </x:c>
      <x:c r="H289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89" s="19" t="n">
        <x:f>'第4日'!$H$90</x:f>
        <x:v>0.22</x:v>
      </x:c>
      <x:c r="J289" s="19" t="n">
        <x:f>'第4日'!$J$90</x:f>
        <x:v>1</x:v>
      </x:c>
      <x:c r="K289" s="19" t="n">
        <x:f>'第4日'!$L$90</x:f>
        <x:v>96</x:v>
      </x:c>
      <x:c r="L289" s="19" t="str">
        <x:v>res://resources/audio/shenmu_town_combat.ogg</x:v>
      </x:c>
      <x:c r="M289" s="19" t="str">
        <x:v>res://resources/audio/shenmu_town_intermission.ogg</x:v>
      </x:c>
      <x:c r="N289" s="19" t="n">
        <x:v>15</x:v>
      </x:c>
      <x:c r="O289" s="19" t="n">
        <x:f>'第4日'!$B$108</x:f>
        <x:v>0</x:v>
      </x:c>
      <x:c r="P289" s="19" t="str">
        <x:f>'第4日'!$E$108</x:f>
      </x:c>
      <x:c r="Q289" s="19" t="n">
        <x:f>'第4日'!$C$108</x:f>
        <x:v>0</x:v>
      </x:c>
      <x:c r="R289" s="19" t="str">
        <x:f>IF(P289="","",IF(ISNUMBER('第4日'!$D$108),'第4日'!$D$108,IF(VLOOKUP(O289,'敌人目录'!$A$6:$S$54,14,FALSE)&lt;&gt;VLOOKUP(O289,'敌人目录'!$A$6:$S$54,13,FALSE),VLOOKUP(O289,'敌人目录'!$A$6:$S$54,14,FALSE),-1)))</x:f>
      </x:c>
      <x:c r="S289" s="19" t="n">
        <x:f>'第4日'!$U$108</x:f>
        <x:v>0</x:v>
      </x:c>
      <x:c r="T289" s="19" t="str">
        <x:f>'第4日'!$N$90</x:f>
        <x:v>待设计</x:v>
      </x:c>
    </x:row>
    <x:row r="290" ht="22" customHeight="1">
      <x:c r="A290" s="19" t="n">
        <x:v>1</x:v>
      </x:c>
      <x:c r="B290" s="19" t="str">
        <x:v>tower_defense_formal</x:v>
      </x:c>
      <x:c r="C290" s="19" t="str">
        <x:v>wave_16</x:v>
      </x:c>
      <x:c r="D290" s="19" t="n">
        <x:v>16</x:v>
      </x:c>
      <x:c r="E290" s="19" t="n">
        <x:v>4</x:v>
      </x:c>
      <x:c r="F290" s="19" t="n">
        <x:v>4</x:v>
      </x:c>
      <x:c r="G290" s="19" t="str">
        <x:f>'第4日'!$B$90</x:f>
        <x:v>第16波（待设计）</x:v>
      </x:c>
      <x:c r="H290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90" s="19" t="n">
        <x:f>'第4日'!$H$90</x:f>
        <x:v>0.22</x:v>
      </x:c>
      <x:c r="J290" s="19" t="n">
        <x:f>'第4日'!$J$90</x:f>
        <x:v>1</x:v>
      </x:c>
      <x:c r="K290" s="19" t="n">
        <x:f>'第4日'!$L$90</x:f>
        <x:v>96</x:v>
      </x:c>
      <x:c r="L290" s="19" t="str">
        <x:v>res://resources/audio/shenmu_town_combat.ogg</x:v>
      </x:c>
      <x:c r="M290" s="19" t="str">
        <x:v>res://resources/audio/shenmu_town_intermission.ogg</x:v>
      </x:c>
      <x:c r="N290" s="19" t="n">
        <x:v>16</x:v>
      </x:c>
      <x:c r="O290" s="19" t="n">
        <x:f>'第4日'!$B$109</x:f>
        <x:v>0</x:v>
      </x:c>
      <x:c r="P290" s="19" t="str">
        <x:f>'第4日'!$E$109</x:f>
      </x:c>
      <x:c r="Q290" s="19" t="n">
        <x:f>'第4日'!$C$109</x:f>
        <x:v>0</x:v>
      </x:c>
      <x:c r="R290" s="19" t="str">
        <x:f>IF(P290="","",IF(ISNUMBER('第4日'!$D$109),'第4日'!$D$109,IF(VLOOKUP(O290,'敌人目录'!$A$6:$S$54,14,FALSE)&lt;&gt;VLOOKUP(O290,'敌人目录'!$A$6:$S$54,13,FALSE),VLOOKUP(O290,'敌人目录'!$A$6:$S$54,14,FALSE),-1)))</x:f>
      </x:c>
      <x:c r="S290" s="19" t="n">
        <x:f>'第4日'!$U$109</x:f>
        <x:v>0</x:v>
      </x:c>
      <x:c r="T290" s="19" t="str">
        <x:f>'第4日'!$N$90</x:f>
        <x:v>待设计</x:v>
      </x:c>
    </x:row>
    <x:row r="291" ht="22" customHeight="1">
      <x:c r="A291" s="19" t="n">
        <x:v>1</x:v>
      </x:c>
      <x:c r="B291" s="19" t="str">
        <x:v>tower_defense_formal</x:v>
      </x:c>
      <x:c r="C291" s="19" t="str">
        <x:v>wave_16</x:v>
      </x:c>
      <x:c r="D291" s="19" t="n">
        <x:v>16</x:v>
      </x:c>
      <x:c r="E291" s="19" t="n">
        <x:v>4</x:v>
      </x:c>
      <x:c r="F291" s="19" t="n">
        <x:v>4</x:v>
      </x:c>
      <x:c r="G291" s="19" t="str">
        <x:f>'第4日'!$B$90</x:f>
        <x:v>第16波（待设计）</x:v>
      </x:c>
      <x:c r="H291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91" s="19" t="n">
        <x:f>'第4日'!$H$90</x:f>
        <x:v>0.22</x:v>
      </x:c>
      <x:c r="J291" s="19" t="n">
        <x:f>'第4日'!$J$90</x:f>
        <x:v>1</x:v>
      </x:c>
      <x:c r="K291" s="19" t="n">
        <x:f>'第4日'!$L$90</x:f>
        <x:v>96</x:v>
      </x:c>
      <x:c r="L291" s="19" t="str">
        <x:v>res://resources/audio/shenmu_town_combat.ogg</x:v>
      </x:c>
      <x:c r="M291" s="19" t="str">
        <x:v>res://resources/audio/shenmu_town_intermission.ogg</x:v>
      </x:c>
      <x:c r="N291" s="19" t="n">
        <x:v>17</x:v>
      </x:c>
      <x:c r="O291" s="19" t="n">
        <x:f>'第4日'!$B$110</x:f>
        <x:v>0</x:v>
      </x:c>
      <x:c r="P291" s="19" t="str">
        <x:f>'第4日'!$E$110</x:f>
      </x:c>
      <x:c r="Q291" s="19" t="n">
        <x:f>'第4日'!$C$110</x:f>
        <x:v>0</x:v>
      </x:c>
      <x:c r="R291" s="19" t="str">
        <x:f>IF(P291="","",IF(ISNUMBER('第4日'!$D$110),'第4日'!$D$110,IF(VLOOKUP(O291,'敌人目录'!$A$6:$S$54,14,FALSE)&lt;&gt;VLOOKUP(O291,'敌人目录'!$A$6:$S$54,13,FALSE),VLOOKUP(O291,'敌人目录'!$A$6:$S$54,14,FALSE),-1)))</x:f>
      </x:c>
      <x:c r="S291" s="19" t="n">
        <x:f>'第4日'!$U$110</x:f>
        <x:v>0</x:v>
      </x:c>
      <x:c r="T291" s="19" t="str">
        <x:f>'第4日'!$N$90</x:f>
        <x:v>待设计</x:v>
      </x:c>
    </x:row>
    <x:row r="292" ht="22" customHeight="1">
      <x:c r="A292" s="19" t="n">
        <x:v>1</x:v>
      </x:c>
      <x:c r="B292" s="19" t="str">
        <x:v>tower_defense_formal</x:v>
      </x:c>
      <x:c r="C292" s="19" t="str">
        <x:v>wave_16</x:v>
      </x:c>
      <x:c r="D292" s="19" t="n">
        <x:v>16</x:v>
      </x:c>
      <x:c r="E292" s="19" t="n">
        <x:v>4</x:v>
      </x:c>
      <x:c r="F292" s="19" t="n">
        <x:v>4</x:v>
      </x:c>
      <x:c r="G292" s="19" t="str">
        <x:f>'第4日'!$B$90</x:f>
        <x:v>第16波（待设计）</x:v>
      </x:c>
      <x:c r="H292" s="19" t="n">
        <x:f>IF('第4日'!$B$91="开启",1,0)+IF('第4日'!$C$91="开启",2,0)+IF('第4日'!$D$91="开启",4,0)+IF('第4日'!$E$91="开启",8,0)+IF('第4日'!$F$91="开启",16,0)+IF('第4日'!$G$91="开启",32,0)</x:f>
        <x:v>63</x:v>
      </x:c>
      <x:c r="I292" s="19" t="n">
        <x:f>'第4日'!$H$90</x:f>
        <x:v>0.22</x:v>
      </x:c>
      <x:c r="J292" s="19" t="n">
        <x:f>'第4日'!$J$90</x:f>
        <x:v>1</x:v>
      </x:c>
      <x:c r="K292" s="19" t="n">
        <x:f>'第4日'!$L$90</x:f>
        <x:v>96</x:v>
      </x:c>
      <x:c r="L292" s="19" t="str">
        <x:v>res://resources/audio/shenmu_town_combat.ogg</x:v>
      </x:c>
      <x:c r="M292" s="19" t="str">
        <x:v>res://resources/audio/shenmu_town_intermission.ogg</x:v>
      </x:c>
      <x:c r="N292" s="19" t="n">
        <x:v>18</x:v>
      </x:c>
      <x:c r="O292" s="19" t="n">
        <x:f>'第4日'!$B$111</x:f>
        <x:v>0</x:v>
      </x:c>
      <x:c r="P292" s="19" t="n">
        <x:f>'第4日'!$E$111</x:f>
        <x:v>0</x:v>
      </x:c>
      <x:c r="Q292" s="19" t="n">
        <x:f>'第4日'!$C$111</x:f>
        <x:v>0</x:v>
      </x:c>
      <x:c r="R292" s="19" t="str">
        <x:f>IF(P292="","",IF(ISNUMBER('第4日'!$D$111),'第4日'!$D$111,IF(VLOOKUP(O292,'敌人目录'!$A$6:$S$54,14,FALSE)&lt;&gt;VLOOKUP(O292,'敌人目录'!$A$6:$S$54,13,FALSE),VLOOKUP(O292,'敌人目录'!$A$6:$S$54,14,FALSE),-1)))</x:f>
      </x:c>
      <x:c r="S292" s="19" t="n">
        <x:f>'第4日'!$U$111</x:f>
        <x:v>0</x:v>
      </x:c>
      <x:c r="T292" s="19" t="str">
        <x:f>'第4日'!$N$90</x:f>
        <x:v>待设计</x:v>
      </x:c>
    </x:row>
  </x:sheetData>
  <x:mergeCells>
    <x:mergeCell ref="A1:T1"/>
  </x:mergeCells>
  <x:conditionalFormatting sqref="S5:T292">
    <x:cfRule type="containsText" dxfId="119" priority="1" operator="containsText" text="可导入"/>
    <x:cfRule type="containsText" dxfId="120" priority="2" operator="containsText" text="待设计"/>
    <x:cfRule type="containsText" dxfId="121" priority="3" operator="containsText" text="需修正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34" hidden="0" customWidth="1"/>
    <x:col min="3" max="3" width="28" hidden="0" customWidth="1"/>
    <x:col min="4" max="4" width="58" hidden="0" customWidth="1"/>
    <x:col min="5" max="5" width="4" hidden="0" customWidth="1"/>
    <x:col min="6" max="6" width="16" hidden="0" customWidth="1"/>
    <x:col min="7" max="7" width="4" hidden="0" customWidth="1"/>
    <x:col min="8" max="8" width="10" hidden="0" customWidth="1"/>
    <x:col min="9" max="9" width="4" hidden="0" customWidth="1"/>
    <x:col min="10" max="10" width="12" hidden="0" customWidth="1"/>
    <x:col min="11" max="11" width="4" hidden="0" customWidth="1"/>
    <x:col min="12" max="12" width="22" hidden="0" customWidth="1"/>
    <x:col min="13" max="13" width="72" hidden="0" customWidth="1"/>
    <x:col min="14" max="14" width="4" hidden="0" customWidth="1"/>
    <x:col min="15" max="15" width="28" hidden="0" customWidth="1"/>
    <x:col min="16" max="16" width="64" hidden="0" customWidth="1"/>
  </x:cols>
  <x:sheetData>
    <x:row r="1" ht="36" customHeight="1">
      <x:c r="A1" s="66" t="str">
        <x:v>系统数据（稳定 ID、下拉列表与回读元数据，请勿编辑）</x:v>
      </x:c>
      <x:c r="B1" s="66" t="str">
        <x:v>系统数据（稳定 ID、下拉列表与回读元数据，请勿编辑）</x:v>
      </x:c>
      <x:c r="C1" s="66" t="str">
        <x:v>系统数据（稳定 ID、下拉列表与回读元数据，请勿编辑）</x:v>
      </x:c>
      <x:c r="D1" s="66" t="str">
        <x:v>系统数据（稳定 ID、下拉列表与回读元数据，请勿编辑）</x:v>
      </x:c>
      <x:c r="E1" s="66" t="str">
        <x:v>系统数据（稳定 ID、下拉列表与回读元数据，请勿编辑）</x:v>
      </x:c>
      <x:c r="F1" s="66" t="str">
        <x:v>系统数据（稳定 ID、下拉列表与回读元数据，请勿编辑）</x:v>
      </x:c>
      <x:c r="G1" s="66" t="str">
        <x:v>系统数据（稳定 ID、下拉列表与回读元数据，请勿编辑）</x:v>
      </x:c>
      <x:c r="H1" s="66" t="str">
        <x:v>系统数据（稳定 ID、下拉列表与回读元数据，请勿编辑）</x:v>
      </x:c>
      <x:c r="I1" s="66" t="str">
        <x:v>系统数据（稳定 ID、下拉列表与回读元数据，请勿编辑）</x:v>
      </x:c>
      <x:c r="J1" s="66" t="str">
        <x:v>系统数据（稳定 ID、下拉列表与回读元数据，请勿编辑）</x:v>
      </x:c>
      <x:c r="K1" s="66" t="str">
        <x:v>系统数据（稳定 ID、下拉列表与回读元数据，请勿编辑）</x:v>
      </x:c>
      <x:c r="L1" s="66" t="str">
        <x:v>系统数据（稳定 ID、下拉列表与回读元数据，请勿编辑）</x:v>
      </x:c>
      <x:c r="M1" s="66" t="str">
        <x:v>系统数据（稳定 ID、下拉列表与回读元数据，请勿编辑）</x:v>
      </x:c>
      <x:c r="N1" s="66" t="str">
        <x:v>系统数据（稳定 ID、下拉列表与回读元数据，请勿编辑）</x:v>
      </x:c>
      <x:c r="O1" s="66" t="str">
        <x:v>系统数据（稳定 ID、下拉列表与回读元数据，请勿编辑）</x:v>
      </x:c>
      <x:c r="P1" s="66" t="str">
        <x:v>系统数据（稳定 ID、下拉列表与回读元数据，请勿编辑）</x:v>
      </x:c>
    </x:row>
    <x:row r="2">
      <x:c r="A2" s="31"/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</x:row>
    <x:row r="3" ht="30" customHeight="1">
      <x:c r="A3" s="63" t="str">
        <x:v>敌人下拉显示项</x:v>
      </x:c>
      <x:c r="B3" s="63" t="str">
        <x:v>稳定ID</x:v>
      </x:c>
      <x:c r="C3" s="63" t="str">
        <x:v>名称</x:v>
      </x:c>
      <x:c r="D3" s="63" t="str">
        <x:v>配置路径</x:v>
      </x:c>
      <x:c r="E3" s="31"/>
      <x:c r="F3" s="63" t="str">
        <x:v>出生点开关</x:v>
      </x:c>
      <x:c r="G3" s="31"/>
      <x:c r="H3" s="63" t="str">
        <x:v>玩家数</x:v>
      </x:c>
      <x:c r="I3" s="31"/>
      <x:c r="J3" s="63" t="str">
        <x:v>息壤倍率</x:v>
      </x:c>
      <x:c r="K3" s="31"/>
      <x:c r="L3" s="63" t="str">
        <x:v>元数据</x:v>
      </x:c>
      <x:c r="M3" s="63" t="str">
        <x:v>值</x:v>
      </x:c>
      <x:c r="N3" s="31"/>
      <x:c r="O3" s="63" t="str">
        <x:v>正式音乐</x:v>
      </x:c>
      <x:c r="P3" s="63" t="str">
        <x:v>路径</x:v>
      </x:c>
    </x:row>
    <x:row r="4">
      <x:c r="A4" s="19" t="str">
        <x:v>yuanshi_insect_basic｜普通原石虫</x:v>
      </x:c>
      <x:c r="B4" s="19" t="str">
        <x:v>yuanshi_insect_basic</x:v>
      </x:c>
      <x:c r="C4" s="19" t="str">
        <x:v>普通原石虫</x:v>
      </x:c>
      <x:c r="D4" s="19" t="str">
        <x:v>res://resources/config/enemies/yuanshi_insect_basic.tres</x:v>
      </x:c>
      <x:c r="E4" s="31"/>
      <x:c r="F4" s="19" t="str">
        <x:v>开启</x:v>
      </x:c>
      <x:c r="G4" s="31"/>
      <x:c r="H4" s="19" t="n">
        <x:v>1</x:v>
      </x:c>
      <x:c r="I4" s="31"/>
      <x:c r="J4" s="19" t="n">
        <x:v>1</x:v>
      </x:c>
      <x:c r="K4" s="31"/>
      <x:c r="L4" s="19" t="str">
        <x:v>schema_version</x:v>
      </x:c>
      <x:c r="M4" s="19" t="n">
        <x:v>1</x:v>
      </x:c>
      <x:c r="N4" s="31"/>
      <x:c r="O4" s="19" t="str">
        <x:v>shenmu_forest_combat</x:v>
      </x:c>
      <x:c r="P4" s="19" t="str">
        <x:v>res://resources/audio/shenmu_forest_combat.ogg</x:v>
      </x:c>
    </x:row>
    <x:row r="5">
      <x:c r="A5" s="19" t="str">
        <x:v>yuanshi_insect_shell｜硬壳原石虫</x:v>
      </x:c>
      <x:c r="B5" s="19" t="str">
        <x:v>yuanshi_insect_shell</x:v>
      </x:c>
      <x:c r="C5" s="19" t="str">
        <x:v>硬壳原石虫</x:v>
      </x:c>
      <x:c r="D5" s="19" t="str">
        <x:v>res://resources/config/enemies/yuanshi_insect_shell.tres</x:v>
      </x:c>
      <x:c r="E5" s="31"/>
      <x:c r="F5" s="19" t="str">
        <x:v>关闭</x:v>
      </x:c>
      <x:c r="G5" s="31"/>
      <x:c r="H5" s="19" t="n">
        <x:v>2</x:v>
      </x:c>
      <x:c r="I5" s="31"/>
      <x:c r="J5" s="19" t="n">
        <x:v>2</x:v>
      </x:c>
      <x:c r="K5" s="31"/>
      <x:c r="L5" s="19" t="str">
        <x:v>workbook_id</x:v>
      </x:c>
      <x:c r="M5" s="19" t="str">
        <x:v>tower_defense_wave_designer_v1</x:v>
      </x:c>
      <x:c r="N5" s="31"/>
      <x:c r="O5" s="19" t="str">
        <x:v>shenmu_forest_intermission</x:v>
      </x:c>
      <x:c r="P5" s="19" t="str">
        <x:v>res://resources/audio/shenmu_forest_intermission.ogg</x:v>
      </x:c>
    </x:row>
    <x:row r="6">
      <x:c r="A6" s="19" t="str">
        <x:v>yuanshi_insect_fast｜迅捷原石虫</x:v>
      </x:c>
      <x:c r="B6" s="19" t="str">
        <x:v>yuanshi_insect_fast</x:v>
      </x:c>
      <x:c r="C6" s="19" t="str">
        <x:v>迅捷原石虫</x:v>
      </x:c>
      <x:c r="D6" s="19" t="str">
        <x:v>res://resources/config/enemies/yuanshi_insect_fast.tres</x:v>
      </x:c>
      <x:c r="E6" s="31"/>
      <x:c r="F6" s="31"/>
      <x:c r="G6" s="31"/>
      <x:c r="H6" s="19" t="n">
        <x:v>3</x:v>
      </x:c>
      <x:c r="I6" s="31"/>
      <x:c r="J6" s="31"/>
      <x:c r="K6" s="31"/>
      <x:c r="L6" s="19" t="str">
        <x:v>campaign_id</x:v>
      </x:c>
      <x:c r="M6" s="19" t="str">
        <x:v>tower_defense_formal</x:v>
      </x:c>
      <x:c r="N6" s="31"/>
      <x:c r="O6" s="19" t="str">
        <x:v>shenmu_swamp_combat</x:v>
      </x:c>
      <x:c r="P6" s="19" t="str">
        <x:v>res://resources/audio/shenmu_swamp_combat.ogg</x:v>
      </x:c>
    </x:row>
    <x:row r="7">
      <x:c r="A7" s="19" t="str">
        <x:v>yuanshi_insect_bomber｜自爆原石虫</x:v>
      </x:c>
      <x:c r="B7" s="19" t="str">
        <x:v>yuanshi_insect_bomber</x:v>
      </x:c>
      <x:c r="C7" s="19" t="str">
        <x:v>自爆原石虫</x:v>
      </x:c>
      <x:c r="D7" s="19" t="str">
        <x:v>res://resources/config/enemies/yuanshi_insect_bomber.tres</x:v>
      </x:c>
      <x:c r="E7" s="31"/>
      <x:c r="F7" s="31"/>
      <x:c r="G7" s="31"/>
      <x:c r="H7" s="19" t="n">
        <x:v>4</x:v>
      </x:c>
      <x:c r="I7" s="31"/>
      <x:c r="J7" s="31"/>
      <x:c r="K7" s="31"/>
      <x:c r="L7" s="19" t="str">
        <x:v>catalog_sha256</x:v>
      </x:c>
      <x:c r="M7" s="19" t="str">
        <x:v>b1fe8380d773e1597266e16f821f218f409f50807d0f37e8e2cf139bc0c16be8</x:v>
      </x:c>
      <x:c r="N7" s="31"/>
      <x:c r="O7" s="19" t="str">
        <x:v>shenmu_swamp_intermission</x:v>
      </x:c>
      <x:c r="P7" s="19" t="str">
        <x:v>res://resources/audio/shenmu_swamp_intermission.ogg</x:v>
      </x:c>
    </x:row>
    <x:row r="8">
      <x:c r="A8" s="19" t="str">
        <x:v>yuanshi_insect_purple_bomber｜紫晶自爆原石虫</x:v>
      </x:c>
      <x:c r="B8" s="19" t="str">
        <x:v>yuanshi_insect_purple_bomber</x:v>
      </x:c>
      <x:c r="C8" s="19" t="str">
        <x:v>紫晶自爆原石虫</x:v>
      </x:c>
      <x:c r="D8" s="19" t="str">
        <x:v>res://resources/config/enemies/yuanshi_insect_purple_bomber.tres</x:v>
      </x:c>
      <x:c r="E8" s="31"/>
      <x:c r="F8" s="31"/>
      <x:c r="G8" s="31"/>
      <x:c r="H8" s="31"/>
      <x:c r="I8" s="31"/>
      <x:c r="J8" s="31"/>
      <x:c r="K8" s="31"/>
      <x:c r="L8" s="19" t="str">
        <x:v>target_wave_count</x:v>
      </x:c>
      <x:c r="M8" s="19" t="n">
        <x:v>16</x:v>
      </x:c>
      <x:c r="N8" s="31"/>
      <x:c r="O8" s="19" t="str">
        <x:v>shenmu_town_combat</x:v>
      </x:c>
      <x:c r="P8" s="19" t="str">
        <x:v>res://resources/audio/shenmu_town_combat.ogg</x:v>
      </x:c>
    </x:row>
    <x:row r="9">
      <x:c r="A9" s="19" t="str">
        <x:v>yuanshi_insect_green_shell｜翠壳原石虫</x:v>
      </x:c>
      <x:c r="B9" s="19" t="str">
        <x:v>yuanshi_insect_green_shell</x:v>
      </x:c>
      <x:c r="C9" s="19" t="str">
        <x:v>翠壳原石虫</x:v>
      </x:c>
      <x:c r="D9" s="19" t="str">
        <x:v>res://resources/config/enemies/yuanshi_insect_green_shell.tres</x:v>
      </x:c>
      <x:c r="E9" s="31"/>
      <x:c r="F9" s="31"/>
      <x:c r="G9" s="31"/>
      <x:c r="H9" s="31"/>
      <x:c r="I9" s="31"/>
      <x:c r="J9" s="31"/>
      <x:c r="K9" s="31"/>
      <x:c r="L9" s="19" t="str">
        <x:v>boss_id</x:v>
      </x:c>
      <x:c r="M9" s="19" t="str">
        <x:v>linglan_boss</x:v>
      </x:c>
      <x:c r="N9" s="31"/>
      <x:c r="O9" s="19" t="str">
        <x:v>shenmu_town_intermission</x:v>
      </x:c>
      <x:c r="P9" s="19" t="str">
        <x:v>res://resources/audio/shenmu_town_intermission.ogg</x:v>
      </x:c>
    </x:row>
    <x:row r="10">
      <x:c r="A10" s="19" t="str">
        <x:v>yuanshi_insect_fire_ranged｜火焰弹原石虫</x:v>
      </x:c>
      <x:c r="B10" s="19" t="str">
        <x:v>yuanshi_insect_fire_ranged</x:v>
      </x:c>
      <x:c r="C10" s="19" t="str">
        <x:v>火焰弹原石虫</x:v>
      </x:c>
      <x:c r="D10" s="19" t="str">
        <x:v>res://resources/config/enemies/yuanshi_insect_fire_ranged.tres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</x:row>
    <x:row r="11">
      <x:c r="A11" s="19" t="str">
        <x:v>yuanshi_insect_guardian｜守护者原石虫</x:v>
      </x:c>
      <x:c r="B11" s="19" t="str">
        <x:v>yuanshi_insect_guardian</x:v>
      </x:c>
      <x:c r="C11" s="19" t="str">
        <x:v>守护者原石虫</x:v>
      </x:c>
      <x:c r="D11" s="19" t="str">
        <x:v>res://resources/config/enemies/yuanshi_insect_guardian.tres</x:v>
      </x:c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</x:row>
    <x:row r="12">
      <x:c r="A12" s="19" t="str">
        <x:v>stone_eroded_yuanshi_insect_basic｜被石头侵蚀的普通原石虫</x:v>
      </x:c>
      <x:c r="B12" s="19" t="str">
        <x:v>stone_eroded_yuanshi_insect_basic</x:v>
      </x:c>
      <x:c r="C12" s="19" t="str">
        <x:v>被石头侵蚀的普通原石虫</x:v>
      </x:c>
      <x:c r="D12" s="19" t="str">
        <x:v>res://resources/config/enemies/stone_eroded_yuanshi_insect_basic.tres</x:v>
      </x:c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</x:row>
    <x:row r="13">
      <x:c r="A13" s="19" t="str">
        <x:v>stone_eroded_yuanshi_insect_shell｜被石头侵蚀的硬壳原石虫</x:v>
      </x:c>
      <x:c r="B13" s="19" t="str">
        <x:v>stone_eroded_yuanshi_insect_shell</x:v>
      </x:c>
      <x:c r="C13" s="19" t="str">
        <x:v>被石头侵蚀的硬壳原石虫</x:v>
      </x:c>
      <x:c r="D13" s="19" t="str">
        <x:v>res://resources/config/enemies/stone_eroded_yuanshi_insect_shell.tres</x:v>
      </x:c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</x:row>
    <x:row r="14">
      <x:c r="A14" s="19" t="str">
        <x:v>stone_eroded_yuanshi_insect_fast｜被石头侵蚀的迅捷原石虫</x:v>
      </x:c>
      <x:c r="B14" s="19" t="str">
        <x:v>stone_eroded_yuanshi_insect_fast</x:v>
      </x:c>
      <x:c r="C14" s="19" t="str">
        <x:v>被石头侵蚀的迅捷原石虫</x:v>
      </x:c>
      <x:c r="D14" s="19" t="str">
        <x:v>res://resources/config/enemies/stone_eroded_yuanshi_insect_fast.tres</x:v>
      </x:c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</x:row>
    <x:row r="15">
      <x:c r="A15" s="19" t="str">
        <x:v>stone_eroded_yuanshi_insect_bomber｜被石头侵蚀的自爆原石虫</x:v>
      </x:c>
      <x:c r="B15" s="19" t="str">
        <x:v>stone_eroded_yuanshi_insect_bomber</x:v>
      </x:c>
      <x:c r="C15" s="19" t="str">
        <x:v>被石头侵蚀的自爆原石虫</x:v>
      </x:c>
      <x:c r="D15" s="19" t="str">
        <x:v>res://resources/config/enemies/stone_eroded_yuanshi_insect_bomber.tres</x:v>
      </x:c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</x:row>
    <x:row r="16">
      <x:c r="A16" s="19" t="str">
        <x:v>stone_eroded_yuanshi_insect_purple_bomber｜被石头侵蚀的紫晶自爆原石虫</x:v>
      </x:c>
      <x:c r="B16" s="19" t="str">
        <x:v>stone_eroded_yuanshi_insect_purple_bomber</x:v>
      </x:c>
      <x:c r="C16" s="19" t="str">
        <x:v>被石头侵蚀的紫晶自爆原石虫</x:v>
      </x:c>
      <x:c r="D16" s="19" t="str">
        <x:v>res://resources/config/enemies/stone_eroded_yuanshi_insect_purple_bomber.tres</x:v>
      </x:c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</x:row>
    <x:row r="17">
      <x:c r="A17" s="19" t="str">
        <x:v>stone_eroded_yuanshi_insect_green_shell｜被石头侵蚀的翠壳原石虫</x:v>
      </x:c>
      <x:c r="B17" s="19" t="str">
        <x:v>stone_eroded_yuanshi_insect_green_shell</x:v>
      </x:c>
      <x:c r="C17" s="19" t="str">
        <x:v>被石头侵蚀的翠壳原石虫</x:v>
      </x:c>
      <x:c r="D17" s="19" t="str">
        <x:v>res://resources/config/enemies/stone_eroded_yuanshi_insect_green_shell.tres</x:v>
      </x:c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</x:row>
    <x:row r="18">
      <x:c r="A18" s="19" t="str">
        <x:v>stone_eroded_yuanshi_insect_fire_ranged｜被石头侵蚀的火焰弹原石虫</x:v>
      </x:c>
      <x:c r="B18" s="19" t="str">
        <x:v>stone_eroded_yuanshi_insect_fire_ranged</x:v>
      </x:c>
      <x:c r="C18" s="19" t="str">
        <x:v>被石头侵蚀的火焰弹原石虫</x:v>
      </x:c>
      <x:c r="D18" s="19" t="str">
        <x:v>res://resources/config/enemies/stone_eroded_yuanshi_insect_fire_ranged.tres</x:v>
      </x:c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</x:row>
    <x:row r="19">
      <x:c r="A19" s="19" t="str">
        <x:v>stone_eroded_yuanshi_insect_guardian｜被石头侵蚀的守护者原石虫</x:v>
      </x:c>
      <x:c r="B19" s="19" t="str">
        <x:v>stone_eroded_yuanshi_insect_guardian</x:v>
      </x:c>
      <x:c r="C19" s="19" t="str">
        <x:v>被石头侵蚀的守护者原石虫</x:v>
      </x:c>
      <x:c r="D19" s="19" t="str">
        <x:v>res://resources/config/enemies/stone_eroded_yuanshi_insect_guardian.tres</x:v>
      </x:c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</x:row>
    <x:row r="20">
      <x:c r="A20" s="19" t="str">
        <x:v>slime_basic｜史莱姆</x:v>
      </x:c>
      <x:c r="B20" s="19" t="str">
        <x:v>slime_basic</x:v>
      </x:c>
      <x:c r="C20" s="19" t="str">
        <x:v>史莱姆</x:v>
      </x:c>
      <x:c r="D20" s="19" t="str">
        <x:v>res://resources/config/enemies/slime.tres</x:v>
      </x:c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</x:row>
    <x:row r="21">
      <x:c r="A21" s="19" t="str">
        <x:v>slime_fire｜火焰史莱姆</x:v>
      </x:c>
      <x:c r="B21" s="19" t="str">
        <x:v>slime_fire</x:v>
      </x:c>
      <x:c r="C21" s="19" t="str">
        <x:v>火焰史莱姆</x:v>
      </x:c>
      <x:c r="D21" s="19" t="str">
        <x:v>res://resources/config/enemies/slime_fire.tres</x:v>
      </x:c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</x:row>
    <x:row r="22">
      <x:c r="A22" s="19" t="str">
        <x:v>slime_frost｜寒冰史莱姆</x:v>
      </x:c>
      <x:c r="B22" s="19" t="str">
        <x:v>slime_frost</x:v>
      </x:c>
      <x:c r="C22" s="19" t="str">
        <x:v>寒冰史莱姆</x:v>
      </x:c>
      <x:c r="D22" s="19" t="str">
        <x:v>res://resources/config/enemies/slime_frost.tres</x:v>
      </x:c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</x:row>
    <x:row r="23">
      <x:c r="A23" s="19" t="str">
        <x:v>slime_green｜绿色史莱姆</x:v>
      </x:c>
      <x:c r="B23" s="19" t="str">
        <x:v>slime_green</x:v>
      </x:c>
      <x:c r="C23" s="19" t="str">
        <x:v>绿色史莱姆</x:v>
      </x:c>
      <x:c r="D23" s="19" t="str">
        <x:v>res://resources/config/enemies/slime_green.tres</x:v>
      </x:c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</x:row>
    <x:row r="24">
      <x:c r="A24" s="19" t="str">
        <x:v>slime_golden｜黄金史莱姆</x:v>
      </x:c>
      <x:c r="B24" s="19" t="str">
        <x:v>slime_golden</x:v>
      </x:c>
      <x:c r="C24" s="19" t="str">
        <x:v>黄金史莱姆</x:v>
      </x:c>
      <x:c r="D24" s="19" t="str">
        <x:v>res://resources/config/enemies/slime_golden.tres</x:v>
      </x:c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</x:row>
    <x:row r="25">
      <x:c r="A25" s="19" t="str">
        <x:v>stone_eroded_slime｜被石头侵蚀的史莱姆</x:v>
      </x:c>
      <x:c r="B25" s="19" t="str">
        <x:v>stone_eroded_slime</x:v>
      </x:c>
      <x:c r="C25" s="19" t="str">
        <x:v>被石头侵蚀的史莱姆</x:v>
      </x:c>
      <x:c r="D25" s="19" t="str">
        <x:v>res://resources/config/enemies/stone_eroded_slime.tres</x:v>
      </x:c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</x:row>
    <x:row r="26">
      <x:c r="A26" s="19" t="str">
        <x:v>stone_eroded_slime_fire｜被石头侵蚀的火焰史莱姆</x:v>
      </x:c>
      <x:c r="B26" s="19" t="str">
        <x:v>stone_eroded_slime_fire</x:v>
      </x:c>
      <x:c r="C26" s="19" t="str">
        <x:v>被石头侵蚀的火焰史莱姆</x:v>
      </x:c>
      <x:c r="D26" s="19" t="str">
        <x:v>res://resources/config/enemies/stone_eroded_slime_fire.tres</x:v>
      </x:c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</x:row>
    <x:row r="27">
      <x:c r="A27" s="19" t="str">
        <x:v>stone_eroded_slime_frost｜被石头侵蚀的寒冰史莱姆</x:v>
      </x:c>
      <x:c r="B27" s="19" t="str">
        <x:v>stone_eroded_slime_frost</x:v>
      </x:c>
      <x:c r="C27" s="19" t="str">
        <x:v>被石头侵蚀的寒冰史莱姆</x:v>
      </x:c>
      <x:c r="D27" s="19" t="str">
        <x:v>res://resources/config/enemies/stone_eroded_slime_frost.tres</x:v>
      </x:c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</x:row>
    <x:row r="28">
      <x:c r="A28" s="19" t="str">
        <x:v>stone_eroded_slime_green｜被石头侵蚀的绿色史莱姆</x:v>
      </x:c>
      <x:c r="B28" s="19" t="str">
        <x:v>stone_eroded_slime_green</x:v>
      </x:c>
      <x:c r="C28" s="19" t="str">
        <x:v>被石头侵蚀的绿色史莱姆</x:v>
      </x:c>
      <x:c r="D28" s="19" t="str">
        <x:v>res://resources/config/enemies/stone_eroded_slime_green.tres</x:v>
      </x:c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</x:row>
    <x:row r="29">
      <x:c r="A29" s="19" t="str">
        <x:v>stone_eroded_slime_golden｜被石头侵蚀的黄金史莱姆</x:v>
      </x:c>
      <x:c r="B29" s="19" t="str">
        <x:v>stone_eroded_slime_golden</x:v>
      </x:c>
      <x:c r="C29" s="19" t="str">
        <x:v>被石头侵蚀的黄金史莱姆</x:v>
      </x:c>
      <x:c r="D29" s="19" t="str">
        <x:v>res://resources/config/enemies/stone_eroded_slime_golden.tres</x:v>
      </x:c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</x:row>
    <x:row r="30">
      <x:c r="A30" s="19" t="str">
        <x:v>capoo_knight｜骑士猫猫虫</x:v>
      </x:c>
      <x:c r="B30" s="19" t="str">
        <x:v>capoo_knight</x:v>
      </x:c>
      <x:c r="C30" s="19" t="str">
        <x:v>骑士猫猫虫</x:v>
      </x:c>
      <x:c r="D30" s="19" t="str">
        <x:v>res://resources/config/enemies/capoo_knight.tres</x:v>
      </x:c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</x:row>
    <x:row r="31">
      <x:c r="A31" s="19" t="str">
        <x:v>capoo_knight_elite｜精英骑士猫猫虫</x:v>
      </x:c>
      <x:c r="B31" s="19" t="str">
        <x:v>capoo_knight_elite</x:v>
      </x:c>
      <x:c r="C31" s="19" t="str">
        <x:v>精英骑士猫猫虫</x:v>
      </x:c>
      <x:c r="D31" s="19" t="str">
        <x:v>res://resources/config/enemies/capoo_knight_elite.tres</x:v>
      </x:c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</x:row>
    <x:row r="32">
      <x:c r="A32" s="19" t="str">
        <x:v>capoo_swordsman｜剑客猫猫虫</x:v>
      </x:c>
      <x:c r="B32" s="19" t="str">
        <x:v>capoo_swordsman</x:v>
      </x:c>
      <x:c r="C32" s="19" t="str">
        <x:v>剑客猫猫虫</x:v>
      </x:c>
      <x:c r="D32" s="19" t="str">
        <x:v>res://resources/config/enemies/capoo_swordsman.tres</x:v>
      </x:c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</x:row>
    <x:row r="33">
      <x:c r="A33" s="19" t="str">
        <x:v>capoo_smg｜冲锋枪 Capoo</x:v>
      </x:c>
      <x:c r="B33" s="19" t="str">
        <x:v>capoo_smg</x:v>
      </x:c>
      <x:c r="C33" s="19" t="str">
        <x:v>冲锋枪 Capoo</x:v>
      </x:c>
      <x:c r="D33" s="19" t="str">
        <x:v>res://resources/config/enemies/capoo_smg.tres</x:v>
      </x:c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</x:row>
    <x:row r="34">
      <x:c r="A34" s="19" t="str">
        <x:v>capoo_ak47｜AK猫猫虫</x:v>
      </x:c>
      <x:c r="B34" s="19" t="str">
        <x:v>capoo_ak47</x:v>
      </x:c>
      <x:c r="C34" s="19" t="str">
        <x:v>AK猫猫虫</x:v>
      </x:c>
      <x:c r="D34" s="19" t="str">
        <x:v>res://resources/config/enemies/capoo_ak47.tres</x:v>
      </x:c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</x:row>
    <x:row r="35">
      <x:c r="A35" s="19" t="str">
        <x:v>capoo_rpg｜RPG猫猫虫</x:v>
      </x:c>
      <x:c r="B35" s="19" t="str">
        <x:v>capoo_rpg</x:v>
      </x:c>
      <x:c r="C35" s="19" t="str">
        <x:v>RPG猫猫虫</x:v>
      </x:c>
      <x:c r="D35" s="19" t="str">
        <x:v>res://resources/config/enemies/capoo_rpg.tres</x:v>
      </x:c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</x:row>
    <x:row r="36">
      <x:c r="A36" s="19" t="str">
        <x:v>capoo_mage｜法师 Capoo</x:v>
      </x:c>
      <x:c r="B36" s="19" t="str">
        <x:v>capoo_mage</x:v>
      </x:c>
      <x:c r="C36" s="19" t="str">
        <x:v>法师 Capoo</x:v>
      </x:c>
      <x:c r="D36" s="19" t="str">
        <x:v>res://resources/config/enemies/capoo_mage.tres</x:v>
      </x:c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</x:row>
    <x:row r="37">
      <x:c r="A37" s="19" t="str">
        <x:v>capoo_sniper｜狙击手 Capoo</x:v>
      </x:c>
      <x:c r="B37" s="19" t="str">
        <x:v>capoo_sniper</x:v>
      </x:c>
      <x:c r="C37" s="19" t="str">
        <x:v>狙击手 Capoo</x:v>
      </x:c>
      <x:c r="D37" s="19" t="str">
        <x:v>res://resources/config/enemies/capoo_sniper.tres</x:v>
      </x:c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</x:row>
    <x:row r="38">
      <x:c r="A38" s="19" t="str">
        <x:v>stone_eroded_capoo_knight｜被石头侵蚀的骑士猫猫虫</x:v>
      </x:c>
      <x:c r="B38" s="19" t="str">
        <x:v>stone_eroded_capoo_knight</x:v>
      </x:c>
      <x:c r="C38" s="19" t="str">
        <x:v>被石头侵蚀的骑士猫猫虫</x:v>
      </x:c>
      <x:c r="D38" s="19" t="str">
        <x:v>res://resources/config/enemies/stone_eroded_capoo_knight.tres</x:v>
      </x:c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</x:row>
    <x:row r="39">
      <x:c r="A39" s="19" t="str">
        <x:v>stone_eroded_capoo_knight_elite｜被石头侵蚀的精英骑士猫猫虫</x:v>
      </x:c>
      <x:c r="B39" s="19" t="str">
        <x:v>stone_eroded_capoo_knight_elite</x:v>
      </x:c>
      <x:c r="C39" s="19" t="str">
        <x:v>被石头侵蚀的精英骑士猫猫虫</x:v>
      </x:c>
      <x:c r="D39" s="19" t="str">
        <x:v>res://resources/config/enemies/stone_eroded_capoo_knight_elite.tres</x:v>
      </x:c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</x:row>
    <x:row r="40">
      <x:c r="A40" s="19" t="str">
        <x:v>stone_eroded_capoo_swordsman｜被石头侵蚀的剑客猫猫虫</x:v>
      </x:c>
      <x:c r="B40" s="19" t="str">
        <x:v>stone_eroded_capoo_swordsman</x:v>
      </x:c>
      <x:c r="C40" s="19" t="str">
        <x:v>被石头侵蚀的剑客猫猫虫</x:v>
      </x:c>
      <x:c r="D40" s="19" t="str">
        <x:v>res://resources/config/enemies/stone_eroded_capoo_swordsman.tres</x:v>
      </x:c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</x:row>
    <x:row r="41">
      <x:c r="A41" s="19" t="str">
        <x:v>stone_eroded_capoo_smg｜被石头侵蚀的冲锋枪 Capoo</x:v>
      </x:c>
      <x:c r="B41" s="19" t="str">
        <x:v>stone_eroded_capoo_smg</x:v>
      </x:c>
      <x:c r="C41" s="19" t="str">
        <x:v>被石头侵蚀的冲锋枪 Capoo</x:v>
      </x:c>
      <x:c r="D41" s="19" t="str">
        <x:v>res://resources/config/enemies/stone_eroded_capoo_smg.tres</x:v>
      </x:c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</x:row>
    <x:row r="42">
      <x:c r="A42" s="19" t="str">
        <x:v>stone_eroded_capoo_ak47｜被石头侵蚀的AK猫猫虫</x:v>
      </x:c>
      <x:c r="B42" s="19" t="str">
        <x:v>stone_eroded_capoo_ak47</x:v>
      </x:c>
      <x:c r="C42" s="19" t="str">
        <x:v>被石头侵蚀的AK猫猫虫</x:v>
      </x:c>
      <x:c r="D42" s="19" t="str">
        <x:v>res://resources/config/enemies/stone_eroded_capoo_ak47.tres</x:v>
      </x:c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</x:row>
    <x:row r="43">
      <x:c r="A43" s="19" t="str">
        <x:v>stone_eroded_capoo_rpg｜被石头侵蚀的RPG猫猫虫</x:v>
      </x:c>
      <x:c r="B43" s="19" t="str">
        <x:v>stone_eroded_capoo_rpg</x:v>
      </x:c>
      <x:c r="C43" s="19" t="str">
        <x:v>被石头侵蚀的RPG猫猫虫</x:v>
      </x:c>
      <x:c r="D43" s="19" t="str">
        <x:v>res://resources/config/enemies/stone_eroded_capoo_rpg.tres</x:v>
      </x:c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</x:row>
    <x:row r="44">
      <x:c r="A44" s="19" t="str">
        <x:v>stone_eroded_capoo_mage｜被石头侵蚀的法师 Capoo</x:v>
      </x:c>
      <x:c r="B44" s="19" t="str">
        <x:v>stone_eroded_capoo_mage</x:v>
      </x:c>
      <x:c r="C44" s="19" t="str">
        <x:v>被石头侵蚀的法师 Capoo</x:v>
      </x:c>
      <x:c r="D44" s="19" t="str">
        <x:v>res://resources/config/enemies/stone_eroded_capoo_mage.tres</x:v>
      </x:c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</x:row>
    <x:row r="45">
      <x:c r="A45" s="19" t="str">
        <x:v>stone_eroded_capoo_sniper｜被石头侵蚀的狙击手 Capoo</x:v>
      </x:c>
      <x:c r="B45" s="19" t="str">
        <x:v>stone_eroded_capoo_sniper</x:v>
      </x:c>
      <x:c r="C45" s="19" t="str">
        <x:v>被石头侵蚀的狙击手 Capoo</x:v>
      </x:c>
      <x:c r="D45" s="19" t="str">
        <x:v>res://resources/config/enemies/stone_eroded_capoo_sniper.tres</x:v>
      </x:c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</x:row>
    <x:row r="46">
      <x:c r="A46" s="19" t="str">
        <x:v>fire_sorcerer｜火焰术士</x:v>
      </x:c>
      <x:c r="B46" s="19" t="str">
        <x:v>fire_sorcerer</x:v>
      </x:c>
      <x:c r="C46" s="19" t="str">
        <x:v>火焰术士</x:v>
      </x:c>
      <x:c r="D46" s="19" t="str">
        <x:v>res://resources/config/enemies/fire_sorcerer.tres</x:v>
      </x:c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</x:row>
    <x:row r="47">
      <x:c r="A47" s="19" t="str">
        <x:v>fire_sorcerer_elite｜精英火焰术士</x:v>
      </x:c>
      <x:c r="B47" s="19" t="str">
        <x:v>fire_sorcerer_elite</x:v>
      </x:c>
      <x:c r="C47" s="19" t="str">
        <x:v>精英火焰术士</x:v>
      </x:c>
      <x:c r="D47" s="19" t="str">
        <x:v>res://resources/config/enemies/fire_sorcerer_elite.tres</x:v>
      </x:c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</x:row>
    <x:row r="48">
      <x:c r="A48" s="19" t="str">
        <x:v>frost_sorcerer｜寒冰术士</x:v>
      </x:c>
      <x:c r="B48" s="19" t="str">
        <x:v>frost_sorcerer</x:v>
      </x:c>
      <x:c r="C48" s="19" t="str">
        <x:v>寒冰术士</x:v>
      </x:c>
      <x:c r="D48" s="19" t="str">
        <x:v>res://resources/config/enemies/frost_sorcerer.tres</x:v>
      </x:c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</x:row>
    <x:row r="49">
      <x:c r="A49" s="19" t="str">
        <x:v>frost_sorcerer_elite｜精英冰霜术士</x:v>
      </x:c>
      <x:c r="B49" s="19" t="str">
        <x:v>frost_sorcerer_elite</x:v>
      </x:c>
      <x:c r="C49" s="19" t="str">
        <x:v>精英冰霜术士</x:v>
      </x:c>
      <x:c r="D49" s="19" t="str">
        <x:v>res://resources/config/enemies/frost_sorcerer_elite.tres</x:v>
      </x:c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</x:row>
    <x:row r="50">
      <x:c r="A50" s="19" t="str">
        <x:v>lightning_sorcerer｜雷电术士</x:v>
      </x:c>
      <x:c r="B50" s="19" t="str">
        <x:v>lightning_sorcerer</x:v>
      </x:c>
      <x:c r="C50" s="19" t="str">
        <x:v>雷电术士</x:v>
      </x:c>
      <x:c r="D50" s="19" t="str">
        <x:v>res://resources/config/enemies/lightning_sorcerer.tres</x:v>
      </x:c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</x:row>
    <x:row r="51">
      <x:c r="A51" s="19" t="str">
        <x:v>stone_golem｜石头人</x:v>
      </x:c>
      <x:c r="B51" s="19" t="str">
        <x:v>stone_golem</x:v>
      </x:c>
      <x:c r="C51" s="19" t="str">
        <x:v>石头人</x:v>
      </x:c>
      <x:c r="D51" s="19" t="str">
        <x:v>res://resources/config/enemies/stone_golem.tres</x:v>
      </x:c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</x:row>
    <x:row r="52">
      <x:c r="A52" s="19" t="str">
        <x:v>stone_golem_elite｜精英石头人</x:v>
      </x:c>
      <x:c r="B52" s="19" t="str">
        <x:v>stone_golem_elite</x:v>
      </x:c>
      <x:c r="C52" s="19" t="str">
        <x:v>精英石头人</x:v>
      </x:c>
      <x:c r="D52" s="19" t="str">
        <x:v>res://resources/config/enemies/stone_golem_elite.tres</x:v>
      </x:c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</x:row>
  </x:sheetData>
  <x:mergeCells>
    <x:mergeCell ref="A1:P1"/>
  </x:mergeCells>
  <x:pageMargins left="0.7" right="0.7" top="0.75" bottom="0.75" header="0.3" footer="0.3"/>
</x:worksheet>
</file>