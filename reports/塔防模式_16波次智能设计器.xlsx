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h\Documents\arc-nice\reports\"/>
    </mc:Choice>
  </mc:AlternateContent>
  <xr:revisionPtr revIDLastSave="0" documentId="13_ncr:1_{417A2BF6-8719-46F2-8602-49927F61FA8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使用说明" sheetId="1" r:id="rId1"/>
    <sheet name="总览" sheetId="2" r:id="rId2"/>
    <sheet name="全局设置" sheetId="3" r:id="rId3"/>
    <sheet name="第1日" sheetId="4" r:id="rId4"/>
    <sheet name="第2日" sheetId="5" r:id="rId5"/>
    <sheet name="第3日" sheetId="6" r:id="rId6"/>
    <sheet name="第4日" sheetId="7" r:id="rId7"/>
    <sheet name="敌人目录" sheetId="8" r:id="rId8"/>
    <sheet name="敌人导入数据（勿改）" sheetId="9" r:id="rId9"/>
    <sheet name="导入数据（勿改）" sheetId="10" r:id="rId10"/>
    <sheet name="系统数据（勿改）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92" i="10" l="1"/>
  <c r="O292" i="10"/>
  <c r="P292" i="10" s="1"/>
  <c r="K292" i="10"/>
  <c r="J292" i="10"/>
  <c r="I292" i="10"/>
  <c r="H292" i="10"/>
  <c r="G292" i="10"/>
  <c r="Q291" i="10"/>
  <c r="O291" i="10"/>
  <c r="P291" i="10" s="1"/>
  <c r="K291" i="10"/>
  <c r="J291" i="10"/>
  <c r="I291" i="10"/>
  <c r="H291" i="10"/>
  <c r="G291" i="10"/>
  <c r="Q290" i="10"/>
  <c r="O290" i="10"/>
  <c r="P290" i="10" s="1"/>
  <c r="K290" i="10"/>
  <c r="J290" i="10"/>
  <c r="I290" i="10"/>
  <c r="H290" i="10"/>
  <c r="G290" i="10"/>
  <c r="Q289" i="10"/>
  <c r="O289" i="10"/>
  <c r="P289" i="10" s="1"/>
  <c r="K289" i="10"/>
  <c r="J289" i="10"/>
  <c r="I289" i="10"/>
  <c r="H289" i="10"/>
  <c r="G289" i="10"/>
  <c r="Q288" i="10"/>
  <c r="O288" i="10"/>
  <c r="P288" i="10" s="1"/>
  <c r="K288" i="10"/>
  <c r="J288" i="10"/>
  <c r="I288" i="10"/>
  <c r="H288" i="10"/>
  <c r="G288" i="10"/>
  <c r="Q287" i="10"/>
  <c r="O287" i="10"/>
  <c r="P287" i="10" s="1"/>
  <c r="K287" i="10"/>
  <c r="J287" i="10"/>
  <c r="I287" i="10"/>
  <c r="H287" i="10"/>
  <c r="G287" i="10"/>
  <c r="Q286" i="10"/>
  <c r="O286" i="10"/>
  <c r="P286" i="10" s="1"/>
  <c r="K286" i="10"/>
  <c r="J286" i="10"/>
  <c r="I286" i="10"/>
  <c r="H286" i="10"/>
  <c r="G286" i="10"/>
  <c r="Q285" i="10"/>
  <c r="O285" i="10"/>
  <c r="P285" i="10" s="1"/>
  <c r="K285" i="10"/>
  <c r="J285" i="10"/>
  <c r="I285" i="10"/>
  <c r="H285" i="10"/>
  <c r="G285" i="10"/>
  <c r="Q284" i="10"/>
  <c r="O284" i="10"/>
  <c r="P284" i="10" s="1"/>
  <c r="K284" i="10"/>
  <c r="J284" i="10"/>
  <c r="I284" i="10"/>
  <c r="H284" i="10"/>
  <c r="G284" i="10"/>
  <c r="Q283" i="10"/>
  <c r="O283" i="10"/>
  <c r="P283" i="10" s="1"/>
  <c r="K283" i="10"/>
  <c r="J283" i="10"/>
  <c r="I283" i="10"/>
  <c r="H283" i="10"/>
  <c r="G283" i="10"/>
  <c r="Q282" i="10"/>
  <c r="O282" i="10"/>
  <c r="P282" i="10" s="1"/>
  <c r="K282" i="10"/>
  <c r="J282" i="10"/>
  <c r="I282" i="10"/>
  <c r="H282" i="10"/>
  <c r="G282" i="10"/>
  <c r="Q281" i="10"/>
  <c r="O281" i="10"/>
  <c r="P281" i="10" s="1"/>
  <c r="K281" i="10"/>
  <c r="J281" i="10"/>
  <c r="I281" i="10"/>
  <c r="H281" i="10"/>
  <c r="G281" i="10"/>
  <c r="Q280" i="10"/>
  <c r="O280" i="10"/>
  <c r="P280" i="10" s="1"/>
  <c r="K280" i="10"/>
  <c r="J280" i="10"/>
  <c r="I280" i="10"/>
  <c r="H280" i="10"/>
  <c r="G280" i="10"/>
  <c r="Q279" i="10"/>
  <c r="O279" i="10"/>
  <c r="P279" i="10" s="1"/>
  <c r="K279" i="10"/>
  <c r="J279" i="10"/>
  <c r="I279" i="10"/>
  <c r="H279" i="10"/>
  <c r="G279" i="10"/>
  <c r="Q278" i="10"/>
  <c r="O278" i="10"/>
  <c r="P278" i="10" s="1"/>
  <c r="K278" i="10"/>
  <c r="J278" i="10"/>
  <c r="I278" i="10"/>
  <c r="H278" i="10"/>
  <c r="G278" i="10"/>
  <c r="Q277" i="10"/>
  <c r="O277" i="10"/>
  <c r="P277" i="10" s="1"/>
  <c r="K277" i="10"/>
  <c r="J277" i="10"/>
  <c r="I277" i="10"/>
  <c r="H277" i="10"/>
  <c r="G277" i="10"/>
  <c r="Q276" i="10"/>
  <c r="O276" i="10"/>
  <c r="P276" i="10" s="1"/>
  <c r="K276" i="10"/>
  <c r="J276" i="10"/>
  <c r="I276" i="10"/>
  <c r="H276" i="10"/>
  <c r="G276" i="10"/>
  <c r="Q275" i="10"/>
  <c r="O275" i="10"/>
  <c r="P275" i="10" s="1"/>
  <c r="K275" i="10"/>
  <c r="J275" i="10"/>
  <c r="I275" i="10"/>
  <c r="H275" i="10"/>
  <c r="G275" i="10"/>
  <c r="Q274" i="10"/>
  <c r="O274" i="10"/>
  <c r="P274" i="10" s="1"/>
  <c r="K274" i="10"/>
  <c r="J274" i="10"/>
  <c r="I274" i="10"/>
  <c r="H274" i="10"/>
  <c r="G274" i="10"/>
  <c r="Q273" i="10"/>
  <c r="O273" i="10"/>
  <c r="P273" i="10" s="1"/>
  <c r="K273" i="10"/>
  <c r="J273" i="10"/>
  <c r="I273" i="10"/>
  <c r="H273" i="10"/>
  <c r="G273" i="10"/>
  <c r="Q272" i="10"/>
  <c r="O272" i="10"/>
  <c r="P272" i="10" s="1"/>
  <c r="K272" i="10"/>
  <c r="J272" i="10"/>
  <c r="I272" i="10"/>
  <c r="H272" i="10"/>
  <c r="G272" i="10"/>
  <c r="Q271" i="10"/>
  <c r="O271" i="10"/>
  <c r="P271" i="10" s="1"/>
  <c r="K271" i="10"/>
  <c r="J271" i="10"/>
  <c r="I271" i="10"/>
  <c r="H271" i="10"/>
  <c r="G271" i="10"/>
  <c r="Q270" i="10"/>
  <c r="O270" i="10"/>
  <c r="P270" i="10" s="1"/>
  <c r="K270" i="10"/>
  <c r="J270" i="10"/>
  <c r="I270" i="10"/>
  <c r="H270" i="10"/>
  <c r="G270" i="10"/>
  <c r="Q269" i="10"/>
  <c r="O269" i="10"/>
  <c r="P269" i="10" s="1"/>
  <c r="K269" i="10"/>
  <c r="J269" i="10"/>
  <c r="I269" i="10"/>
  <c r="H269" i="10"/>
  <c r="G269" i="10"/>
  <c r="Q268" i="10"/>
  <c r="O268" i="10"/>
  <c r="P268" i="10" s="1"/>
  <c r="K268" i="10"/>
  <c r="J268" i="10"/>
  <c r="I268" i="10"/>
  <c r="H268" i="10"/>
  <c r="G268" i="10"/>
  <c r="Q267" i="10"/>
  <c r="O267" i="10"/>
  <c r="P267" i="10" s="1"/>
  <c r="K267" i="10"/>
  <c r="J267" i="10"/>
  <c r="I267" i="10"/>
  <c r="H267" i="10"/>
  <c r="G267" i="10"/>
  <c r="Q266" i="10"/>
  <c r="O266" i="10"/>
  <c r="P266" i="10" s="1"/>
  <c r="K266" i="10"/>
  <c r="J266" i="10"/>
  <c r="I266" i="10"/>
  <c r="H266" i="10"/>
  <c r="G266" i="10"/>
  <c r="Q265" i="10"/>
  <c r="O265" i="10"/>
  <c r="P265" i="10" s="1"/>
  <c r="K265" i="10"/>
  <c r="J265" i="10"/>
  <c r="I265" i="10"/>
  <c r="H265" i="10"/>
  <c r="G265" i="10"/>
  <c r="Q264" i="10"/>
  <c r="O264" i="10"/>
  <c r="P264" i="10" s="1"/>
  <c r="K264" i="10"/>
  <c r="J264" i="10"/>
  <c r="I264" i="10"/>
  <c r="H264" i="10"/>
  <c r="G264" i="10"/>
  <c r="Q263" i="10"/>
  <c r="O263" i="10"/>
  <c r="P263" i="10" s="1"/>
  <c r="K263" i="10"/>
  <c r="J263" i="10"/>
  <c r="I263" i="10"/>
  <c r="H263" i="10"/>
  <c r="G263" i="10"/>
  <c r="Q262" i="10"/>
  <c r="O262" i="10"/>
  <c r="P262" i="10" s="1"/>
  <c r="K262" i="10"/>
  <c r="J262" i="10"/>
  <c r="I262" i="10"/>
  <c r="H262" i="10"/>
  <c r="G262" i="10"/>
  <c r="Q261" i="10"/>
  <c r="O261" i="10"/>
  <c r="P261" i="10" s="1"/>
  <c r="K261" i="10"/>
  <c r="J261" i="10"/>
  <c r="I261" i="10"/>
  <c r="H261" i="10"/>
  <c r="G261" i="10"/>
  <c r="Q260" i="10"/>
  <c r="O260" i="10"/>
  <c r="P260" i="10" s="1"/>
  <c r="K260" i="10"/>
  <c r="J260" i="10"/>
  <c r="I260" i="10"/>
  <c r="H260" i="10"/>
  <c r="G260" i="10"/>
  <c r="Q259" i="10"/>
  <c r="O259" i="10"/>
  <c r="P259" i="10" s="1"/>
  <c r="K259" i="10"/>
  <c r="J259" i="10"/>
  <c r="I259" i="10"/>
  <c r="H259" i="10"/>
  <c r="G259" i="10"/>
  <c r="Q258" i="10"/>
  <c r="O258" i="10"/>
  <c r="P258" i="10" s="1"/>
  <c r="K258" i="10"/>
  <c r="J258" i="10"/>
  <c r="I258" i="10"/>
  <c r="H258" i="10"/>
  <c r="G258" i="10"/>
  <c r="Q257" i="10"/>
  <c r="O257" i="10"/>
  <c r="P257" i="10" s="1"/>
  <c r="K257" i="10"/>
  <c r="J257" i="10"/>
  <c r="I257" i="10"/>
  <c r="H257" i="10"/>
  <c r="G257" i="10"/>
  <c r="Q256" i="10"/>
  <c r="O256" i="10"/>
  <c r="P256" i="10" s="1"/>
  <c r="K256" i="10"/>
  <c r="J256" i="10"/>
  <c r="I256" i="10"/>
  <c r="H256" i="10"/>
  <c r="G256" i="10"/>
  <c r="Q255" i="10"/>
  <c r="O255" i="10"/>
  <c r="P255" i="10" s="1"/>
  <c r="K255" i="10"/>
  <c r="J255" i="10"/>
  <c r="I255" i="10"/>
  <c r="H255" i="10"/>
  <c r="G255" i="10"/>
  <c r="Q254" i="10"/>
  <c r="O254" i="10"/>
  <c r="P254" i="10" s="1"/>
  <c r="K254" i="10"/>
  <c r="J254" i="10"/>
  <c r="I254" i="10"/>
  <c r="H254" i="10"/>
  <c r="G254" i="10"/>
  <c r="Q253" i="10"/>
  <c r="O253" i="10"/>
  <c r="P253" i="10" s="1"/>
  <c r="K253" i="10"/>
  <c r="J253" i="10"/>
  <c r="I253" i="10"/>
  <c r="H253" i="10"/>
  <c r="G253" i="10"/>
  <c r="Q252" i="10"/>
  <c r="O252" i="10"/>
  <c r="P252" i="10" s="1"/>
  <c r="K252" i="10"/>
  <c r="J252" i="10"/>
  <c r="I252" i="10"/>
  <c r="H252" i="10"/>
  <c r="G252" i="10"/>
  <c r="Q251" i="10"/>
  <c r="O251" i="10"/>
  <c r="P251" i="10" s="1"/>
  <c r="K251" i="10"/>
  <c r="J251" i="10"/>
  <c r="I251" i="10"/>
  <c r="H251" i="10"/>
  <c r="G251" i="10"/>
  <c r="Q250" i="10"/>
  <c r="O250" i="10"/>
  <c r="P250" i="10" s="1"/>
  <c r="K250" i="10"/>
  <c r="J250" i="10"/>
  <c r="I250" i="10"/>
  <c r="H250" i="10"/>
  <c r="G250" i="10"/>
  <c r="Q249" i="10"/>
  <c r="O249" i="10"/>
  <c r="P249" i="10" s="1"/>
  <c r="K249" i="10"/>
  <c r="J249" i="10"/>
  <c r="I249" i="10"/>
  <c r="H249" i="10"/>
  <c r="G249" i="10"/>
  <c r="Q248" i="10"/>
  <c r="O248" i="10"/>
  <c r="P248" i="10" s="1"/>
  <c r="K248" i="10"/>
  <c r="J248" i="10"/>
  <c r="I248" i="10"/>
  <c r="H248" i="10"/>
  <c r="G248" i="10"/>
  <c r="Q247" i="10"/>
  <c r="O247" i="10"/>
  <c r="P247" i="10" s="1"/>
  <c r="K247" i="10"/>
  <c r="J247" i="10"/>
  <c r="I247" i="10"/>
  <c r="H247" i="10"/>
  <c r="G247" i="10"/>
  <c r="Q246" i="10"/>
  <c r="O246" i="10"/>
  <c r="P246" i="10" s="1"/>
  <c r="K246" i="10"/>
  <c r="J246" i="10"/>
  <c r="I246" i="10"/>
  <c r="H246" i="10"/>
  <c r="G246" i="10"/>
  <c r="Q245" i="10"/>
  <c r="O245" i="10"/>
  <c r="P245" i="10" s="1"/>
  <c r="K245" i="10"/>
  <c r="J245" i="10"/>
  <c r="I245" i="10"/>
  <c r="H245" i="10"/>
  <c r="G245" i="10"/>
  <c r="Q244" i="10"/>
  <c r="O244" i="10"/>
  <c r="P244" i="10" s="1"/>
  <c r="K244" i="10"/>
  <c r="J244" i="10"/>
  <c r="I244" i="10"/>
  <c r="H244" i="10"/>
  <c r="G244" i="10"/>
  <c r="Q243" i="10"/>
  <c r="O243" i="10"/>
  <c r="P243" i="10" s="1"/>
  <c r="K243" i="10"/>
  <c r="J243" i="10"/>
  <c r="I243" i="10"/>
  <c r="H243" i="10"/>
  <c r="G243" i="10"/>
  <c r="Q242" i="10"/>
  <c r="O242" i="10"/>
  <c r="P242" i="10" s="1"/>
  <c r="K242" i="10"/>
  <c r="J242" i="10"/>
  <c r="I242" i="10"/>
  <c r="H242" i="10"/>
  <c r="G242" i="10"/>
  <c r="Q241" i="10"/>
  <c r="O241" i="10"/>
  <c r="P241" i="10" s="1"/>
  <c r="K241" i="10"/>
  <c r="J241" i="10"/>
  <c r="I241" i="10"/>
  <c r="H241" i="10"/>
  <c r="G241" i="10"/>
  <c r="Q240" i="10"/>
  <c r="O240" i="10"/>
  <c r="P240" i="10" s="1"/>
  <c r="K240" i="10"/>
  <c r="J240" i="10"/>
  <c r="I240" i="10"/>
  <c r="H240" i="10"/>
  <c r="G240" i="10"/>
  <c r="Q239" i="10"/>
  <c r="O239" i="10"/>
  <c r="P239" i="10" s="1"/>
  <c r="K239" i="10"/>
  <c r="J239" i="10"/>
  <c r="I239" i="10"/>
  <c r="H239" i="10"/>
  <c r="G239" i="10"/>
  <c r="Q238" i="10"/>
  <c r="O238" i="10"/>
  <c r="P238" i="10" s="1"/>
  <c r="K238" i="10"/>
  <c r="J238" i="10"/>
  <c r="I238" i="10"/>
  <c r="H238" i="10"/>
  <c r="G238" i="10"/>
  <c r="Q237" i="10"/>
  <c r="O237" i="10"/>
  <c r="P237" i="10" s="1"/>
  <c r="K237" i="10"/>
  <c r="J237" i="10"/>
  <c r="I237" i="10"/>
  <c r="H237" i="10"/>
  <c r="G237" i="10"/>
  <c r="Q236" i="10"/>
  <c r="O236" i="10"/>
  <c r="P236" i="10" s="1"/>
  <c r="K236" i="10"/>
  <c r="J236" i="10"/>
  <c r="I236" i="10"/>
  <c r="H236" i="10"/>
  <c r="G236" i="10"/>
  <c r="Q235" i="10"/>
  <c r="O235" i="10"/>
  <c r="P235" i="10" s="1"/>
  <c r="K235" i="10"/>
  <c r="J235" i="10"/>
  <c r="I235" i="10"/>
  <c r="H235" i="10"/>
  <c r="G235" i="10"/>
  <c r="Q234" i="10"/>
  <c r="O234" i="10"/>
  <c r="P234" i="10" s="1"/>
  <c r="K234" i="10"/>
  <c r="J234" i="10"/>
  <c r="I234" i="10"/>
  <c r="H234" i="10"/>
  <c r="G234" i="10"/>
  <c r="Q233" i="10"/>
  <c r="O233" i="10"/>
  <c r="P233" i="10" s="1"/>
  <c r="K233" i="10"/>
  <c r="J233" i="10"/>
  <c r="I233" i="10"/>
  <c r="H233" i="10"/>
  <c r="G233" i="10"/>
  <c r="Q232" i="10"/>
  <c r="O232" i="10"/>
  <c r="P232" i="10" s="1"/>
  <c r="K232" i="10"/>
  <c r="J232" i="10"/>
  <c r="I232" i="10"/>
  <c r="H232" i="10"/>
  <c r="G232" i="10"/>
  <c r="Q231" i="10"/>
  <c r="O231" i="10"/>
  <c r="P231" i="10" s="1"/>
  <c r="K231" i="10"/>
  <c r="J231" i="10"/>
  <c r="I231" i="10"/>
  <c r="H231" i="10"/>
  <c r="G231" i="10"/>
  <c r="Q230" i="10"/>
  <c r="O230" i="10"/>
  <c r="P230" i="10" s="1"/>
  <c r="K230" i="10"/>
  <c r="J230" i="10"/>
  <c r="I230" i="10"/>
  <c r="H230" i="10"/>
  <c r="G230" i="10"/>
  <c r="Q229" i="10"/>
  <c r="O229" i="10"/>
  <c r="P229" i="10" s="1"/>
  <c r="K229" i="10"/>
  <c r="J229" i="10"/>
  <c r="I229" i="10"/>
  <c r="H229" i="10"/>
  <c r="G229" i="10"/>
  <c r="Q228" i="10"/>
  <c r="O228" i="10"/>
  <c r="P228" i="10" s="1"/>
  <c r="K228" i="10"/>
  <c r="J228" i="10"/>
  <c r="I228" i="10"/>
  <c r="H228" i="10"/>
  <c r="G228" i="10"/>
  <c r="Q227" i="10"/>
  <c r="O227" i="10"/>
  <c r="P227" i="10" s="1"/>
  <c r="K227" i="10"/>
  <c r="J227" i="10"/>
  <c r="I227" i="10"/>
  <c r="H227" i="10"/>
  <c r="G227" i="10"/>
  <c r="Q226" i="10"/>
  <c r="O226" i="10"/>
  <c r="P226" i="10" s="1"/>
  <c r="K226" i="10"/>
  <c r="J226" i="10"/>
  <c r="I226" i="10"/>
  <c r="H226" i="10"/>
  <c r="G226" i="10"/>
  <c r="Q225" i="10"/>
  <c r="O225" i="10"/>
  <c r="P225" i="10" s="1"/>
  <c r="K225" i="10"/>
  <c r="J225" i="10"/>
  <c r="I225" i="10"/>
  <c r="H225" i="10"/>
  <c r="G225" i="10"/>
  <c r="Q224" i="10"/>
  <c r="O224" i="10"/>
  <c r="P224" i="10" s="1"/>
  <c r="K224" i="10"/>
  <c r="J224" i="10"/>
  <c r="I224" i="10"/>
  <c r="H224" i="10"/>
  <c r="G224" i="10"/>
  <c r="Q223" i="10"/>
  <c r="O223" i="10"/>
  <c r="P223" i="10" s="1"/>
  <c r="K223" i="10"/>
  <c r="J223" i="10"/>
  <c r="I223" i="10"/>
  <c r="H223" i="10"/>
  <c r="G223" i="10"/>
  <c r="Q222" i="10"/>
  <c r="O222" i="10"/>
  <c r="P222" i="10" s="1"/>
  <c r="K222" i="10"/>
  <c r="J222" i="10"/>
  <c r="I222" i="10"/>
  <c r="H222" i="10"/>
  <c r="G222" i="10"/>
  <c r="Q221" i="10"/>
  <c r="O221" i="10"/>
  <c r="P221" i="10" s="1"/>
  <c r="K221" i="10"/>
  <c r="J221" i="10"/>
  <c r="I221" i="10"/>
  <c r="H221" i="10"/>
  <c r="G221" i="10"/>
  <c r="Q220" i="10"/>
  <c r="O220" i="10"/>
  <c r="P220" i="10" s="1"/>
  <c r="K220" i="10"/>
  <c r="J220" i="10"/>
  <c r="I220" i="10"/>
  <c r="H220" i="10"/>
  <c r="G220" i="10"/>
  <c r="Q219" i="10"/>
  <c r="O219" i="10"/>
  <c r="P219" i="10" s="1"/>
  <c r="K219" i="10"/>
  <c r="J219" i="10"/>
  <c r="I219" i="10"/>
  <c r="H219" i="10"/>
  <c r="G219" i="10"/>
  <c r="Q218" i="10"/>
  <c r="O218" i="10"/>
  <c r="P218" i="10" s="1"/>
  <c r="K218" i="10"/>
  <c r="J218" i="10"/>
  <c r="I218" i="10"/>
  <c r="H218" i="10"/>
  <c r="G218" i="10"/>
  <c r="Q217" i="10"/>
  <c r="O217" i="10"/>
  <c r="P217" i="10" s="1"/>
  <c r="K217" i="10"/>
  <c r="J217" i="10"/>
  <c r="I217" i="10"/>
  <c r="H217" i="10"/>
  <c r="G217" i="10"/>
  <c r="Q216" i="10"/>
  <c r="O216" i="10"/>
  <c r="P216" i="10" s="1"/>
  <c r="K216" i="10"/>
  <c r="J216" i="10"/>
  <c r="I216" i="10"/>
  <c r="H216" i="10"/>
  <c r="G216" i="10"/>
  <c r="Q215" i="10"/>
  <c r="O215" i="10"/>
  <c r="P215" i="10" s="1"/>
  <c r="K215" i="10"/>
  <c r="J215" i="10"/>
  <c r="I215" i="10"/>
  <c r="H215" i="10"/>
  <c r="G215" i="10"/>
  <c r="Q214" i="10"/>
  <c r="O214" i="10"/>
  <c r="P214" i="10" s="1"/>
  <c r="K214" i="10"/>
  <c r="J214" i="10"/>
  <c r="I214" i="10"/>
  <c r="H214" i="10"/>
  <c r="G214" i="10"/>
  <c r="Q213" i="10"/>
  <c r="O213" i="10"/>
  <c r="P213" i="10" s="1"/>
  <c r="K213" i="10"/>
  <c r="J213" i="10"/>
  <c r="I213" i="10"/>
  <c r="H213" i="10"/>
  <c r="G213" i="10"/>
  <c r="Q212" i="10"/>
  <c r="O212" i="10"/>
  <c r="P212" i="10" s="1"/>
  <c r="K212" i="10"/>
  <c r="J212" i="10"/>
  <c r="I212" i="10"/>
  <c r="H212" i="10"/>
  <c r="G212" i="10"/>
  <c r="Q211" i="10"/>
  <c r="O211" i="10"/>
  <c r="P211" i="10" s="1"/>
  <c r="K211" i="10"/>
  <c r="J211" i="10"/>
  <c r="I211" i="10"/>
  <c r="H211" i="10"/>
  <c r="G211" i="10"/>
  <c r="Q210" i="10"/>
  <c r="O210" i="10"/>
  <c r="P210" i="10" s="1"/>
  <c r="K210" i="10"/>
  <c r="J210" i="10"/>
  <c r="I210" i="10"/>
  <c r="H210" i="10"/>
  <c r="G210" i="10"/>
  <c r="Q209" i="10"/>
  <c r="O209" i="10"/>
  <c r="P209" i="10" s="1"/>
  <c r="K209" i="10"/>
  <c r="J209" i="10"/>
  <c r="I209" i="10"/>
  <c r="H209" i="10"/>
  <c r="G209" i="10"/>
  <c r="Q208" i="10"/>
  <c r="O208" i="10"/>
  <c r="P208" i="10" s="1"/>
  <c r="K208" i="10"/>
  <c r="J208" i="10"/>
  <c r="I208" i="10"/>
  <c r="H208" i="10"/>
  <c r="G208" i="10"/>
  <c r="Q207" i="10"/>
  <c r="O207" i="10"/>
  <c r="P207" i="10" s="1"/>
  <c r="K207" i="10"/>
  <c r="J207" i="10"/>
  <c r="I207" i="10"/>
  <c r="H207" i="10"/>
  <c r="G207" i="10"/>
  <c r="Q206" i="10"/>
  <c r="O206" i="10"/>
  <c r="P206" i="10" s="1"/>
  <c r="K206" i="10"/>
  <c r="J206" i="10"/>
  <c r="I206" i="10"/>
  <c r="H206" i="10"/>
  <c r="G206" i="10"/>
  <c r="Q205" i="10"/>
  <c r="O205" i="10"/>
  <c r="P205" i="10" s="1"/>
  <c r="K205" i="10"/>
  <c r="J205" i="10"/>
  <c r="I205" i="10"/>
  <c r="H205" i="10"/>
  <c r="G205" i="10"/>
  <c r="Q204" i="10"/>
  <c r="O204" i="10"/>
  <c r="P204" i="10" s="1"/>
  <c r="K204" i="10"/>
  <c r="J204" i="10"/>
  <c r="I204" i="10"/>
  <c r="H204" i="10"/>
  <c r="G204" i="10"/>
  <c r="Q203" i="10"/>
  <c r="O203" i="10"/>
  <c r="P203" i="10" s="1"/>
  <c r="K203" i="10"/>
  <c r="J203" i="10"/>
  <c r="I203" i="10"/>
  <c r="H203" i="10"/>
  <c r="G203" i="10"/>
  <c r="Q202" i="10"/>
  <c r="O202" i="10"/>
  <c r="P202" i="10" s="1"/>
  <c r="K202" i="10"/>
  <c r="J202" i="10"/>
  <c r="I202" i="10"/>
  <c r="H202" i="10"/>
  <c r="G202" i="10"/>
  <c r="Q201" i="10"/>
  <c r="O201" i="10"/>
  <c r="P201" i="10" s="1"/>
  <c r="K201" i="10"/>
  <c r="J201" i="10"/>
  <c r="I201" i="10"/>
  <c r="H201" i="10"/>
  <c r="G201" i="10"/>
  <c r="Q200" i="10"/>
  <c r="O200" i="10"/>
  <c r="P200" i="10" s="1"/>
  <c r="K200" i="10"/>
  <c r="J200" i="10"/>
  <c r="I200" i="10"/>
  <c r="H200" i="10"/>
  <c r="G200" i="10"/>
  <c r="Q199" i="10"/>
  <c r="O199" i="10"/>
  <c r="P199" i="10" s="1"/>
  <c r="K199" i="10"/>
  <c r="J199" i="10"/>
  <c r="I199" i="10"/>
  <c r="H199" i="10"/>
  <c r="G199" i="10"/>
  <c r="Q198" i="10"/>
  <c r="O198" i="10"/>
  <c r="P198" i="10" s="1"/>
  <c r="K198" i="10"/>
  <c r="J198" i="10"/>
  <c r="I198" i="10"/>
  <c r="H198" i="10"/>
  <c r="G198" i="10"/>
  <c r="Q197" i="10"/>
  <c r="O197" i="10"/>
  <c r="P197" i="10" s="1"/>
  <c r="K197" i="10"/>
  <c r="J197" i="10"/>
  <c r="I197" i="10"/>
  <c r="H197" i="10"/>
  <c r="G197" i="10"/>
  <c r="Q196" i="10"/>
  <c r="O196" i="10"/>
  <c r="P196" i="10" s="1"/>
  <c r="K196" i="10"/>
  <c r="J196" i="10"/>
  <c r="I196" i="10"/>
  <c r="H196" i="10"/>
  <c r="G196" i="10"/>
  <c r="Q195" i="10"/>
  <c r="O195" i="10"/>
  <c r="P195" i="10" s="1"/>
  <c r="K195" i="10"/>
  <c r="J195" i="10"/>
  <c r="I195" i="10"/>
  <c r="H195" i="10"/>
  <c r="G195" i="10"/>
  <c r="Q194" i="10"/>
  <c r="O194" i="10"/>
  <c r="P194" i="10" s="1"/>
  <c r="K194" i="10"/>
  <c r="J194" i="10"/>
  <c r="I194" i="10"/>
  <c r="H194" i="10"/>
  <c r="G194" i="10"/>
  <c r="Q193" i="10"/>
  <c r="O193" i="10"/>
  <c r="P193" i="10" s="1"/>
  <c r="K193" i="10"/>
  <c r="J193" i="10"/>
  <c r="I193" i="10"/>
  <c r="H193" i="10"/>
  <c r="G193" i="10"/>
  <c r="Q192" i="10"/>
  <c r="O192" i="10"/>
  <c r="P192" i="10" s="1"/>
  <c r="K192" i="10"/>
  <c r="J192" i="10"/>
  <c r="I192" i="10"/>
  <c r="H192" i="10"/>
  <c r="G192" i="10"/>
  <c r="Q191" i="10"/>
  <c r="O191" i="10"/>
  <c r="P191" i="10" s="1"/>
  <c r="K191" i="10"/>
  <c r="J191" i="10"/>
  <c r="I191" i="10"/>
  <c r="H191" i="10"/>
  <c r="G191" i="10"/>
  <c r="Q190" i="10"/>
  <c r="O190" i="10"/>
  <c r="P190" i="10" s="1"/>
  <c r="K190" i="10"/>
  <c r="J190" i="10"/>
  <c r="I190" i="10"/>
  <c r="H190" i="10"/>
  <c r="G190" i="10"/>
  <c r="Q189" i="10"/>
  <c r="O189" i="10"/>
  <c r="P189" i="10" s="1"/>
  <c r="K189" i="10"/>
  <c r="J189" i="10"/>
  <c r="I189" i="10"/>
  <c r="H189" i="10"/>
  <c r="G189" i="10"/>
  <c r="Q188" i="10"/>
  <c r="O188" i="10"/>
  <c r="P188" i="10" s="1"/>
  <c r="K188" i="10"/>
  <c r="J188" i="10"/>
  <c r="I188" i="10"/>
  <c r="H188" i="10"/>
  <c r="G188" i="10"/>
  <c r="Q187" i="10"/>
  <c r="O187" i="10"/>
  <c r="P187" i="10" s="1"/>
  <c r="K187" i="10"/>
  <c r="J187" i="10"/>
  <c r="I187" i="10"/>
  <c r="H187" i="10"/>
  <c r="G187" i="10"/>
  <c r="Q186" i="10"/>
  <c r="O186" i="10"/>
  <c r="P186" i="10" s="1"/>
  <c r="K186" i="10"/>
  <c r="J186" i="10"/>
  <c r="I186" i="10"/>
  <c r="H186" i="10"/>
  <c r="G186" i="10"/>
  <c r="Q185" i="10"/>
  <c r="O185" i="10"/>
  <c r="P185" i="10" s="1"/>
  <c r="K185" i="10"/>
  <c r="J185" i="10"/>
  <c r="I185" i="10"/>
  <c r="H185" i="10"/>
  <c r="G185" i="10"/>
  <c r="Q184" i="10"/>
  <c r="O184" i="10"/>
  <c r="P184" i="10" s="1"/>
  <c r="K184" i="10"/>
  <c r="J184" i="10"/>
  <c r="I184" i="10"/>
  <c r="H184" i="10"/>
  <c r="G184" i="10"/>
  <c r="Q183" i="10"/>
  <c r="O183" i="10"/>
  <c r="P183" i="10" s="1"/>
  <c r="K183" i="10"/>
  <c r="J183" i="10"/>
  <c r="I183" i="10"/>
  <c r="H183" i="10"/>
  <c r="G183" i="10"/>
  <c r="Q182" i="10"/>
  <c r="O182" i="10"/>
  <c r="P182" i="10" s="1"/>
  <c r="K182" i="10"/>
  <c r="J182" i="10"/>
  <c r="I182" i="10"/>
  <c r="H182" i="10"/>
  <c r="G182" i="10"/>
  <c r="Q181" i="10"/>
  <c r="O181" i="10"/>
  <c r="P181" i="10" s="1"/>
  <c r="K181" i="10"/>
  <c r="J181" i="10"/>
  <c r="I181" i="10"/>
  <c r="H181" i="10"/>
  <c r="G181" i="10"/>
  <c r="Q180" i="10"/>
  <c r="O180" i="10"/>
  <c r="P180" i="10" s="1"/>
  <c r="K180" i="10"/>
  <c r="J180" i="10"/>
  <c r="I180" i="10"/>
  <c r="H180" i="10"/>
  <c r="G180" i="10"/>
  <c r="Q179" i="10"/>
  <c r="O179" i="10"/>
  <c r="P179" i="10" s="1"/>
  <c r="K179" i="10"/>
  <c r="J179" i="10"/>
  <c r="I179" i="10"/>
  <c r="H179" i="10"/>
  <c r="G179" i="10"/>
  <c r="Q178" i="10"/>
  <c r="O178" i="10"/>
  <c r="P178" i="10" s="1"/>
  <c r="K178" i="10"/>
  <c r="J178" i="10"/>
  <c r="I178" i="10"/>
  <c r="H178" i="10"/>
  <c r="G178" i="10"/>
  <c r="Q177" i="10"/>
  <c r="O177" i="10"/>
  <c r="P177" i="10" s="1"/>
  <c r="K177" i="10"/>
  <c r="J177" i="10"/>
  <c r="I177" i="10"/>
  <c r="H177" i="10"/>
  <c r="G177" i="10"/>
  <c r="Q176" i="10"/>
  <c r="O176" i="10"/>
  <c r="P176" i="10" s="1"/>
  <c r="K176" i="10"/>
  <c r="J176" i="10"/>
  <c r="I176" i="10"/>
  <c r="H176" i="10"/>
  <c r="G176" i="10"/>
  <c r="Q175" i="10"/>
  <c r="O175" i="10"/>
  <c r="P175" i="10" s="1"/>
  <c r="K175" i="10"/>
  <c r="J175" i="10"/>
  <c r="I175" i="10"/>
  <c r="H175" i="10"/>
  <c r="G175" i="10"/>
  <c r="Q174" i="10"/>
  <c r="O174" i="10"/>
  <c r="P174" i="10" s="1"/>
  <c r="K174" i="10"/>
  <c r="J174" i="10"/>
  <c r="I174" i="10"/>
  <c r="H174" i="10"/>
  <c r="G174" i="10"/>
  <c r="Q173" i="10"/>
  <c r="O173" i="10"/>
  <c r="P173" i="10" s="1"/>
  <c r="K173" i="10"/>
  <c r="J173" i="10"/>
  <c r="I173" i="10"/>
  <c r="H173" i="10"/>
  <c r="G173" i="10"/>
  <c r="Q172" i="10"/>
  <c r="O172" i="10"/>
  <c r="P172" i="10" s="1"/>
  <c r="K172" i="10"/>
  <c r="J172" i="10"/>
  <c r="I172" i="10"/>
  <c r="H172" i="10"/>
  <c r="G172" i="10"/>
  <c r="Q171" i="10"/>
  <c r="O171" i="10"/>
  <c r="P171" i="10" s="1"/>
  <c r="K171" i="10"/>
  <c r="J171" i="10"/>
  <c r="I171" i="10"/>
  <c r="H171" i="10"/>
  <c r="G171" i="10"/>
  <c r="Q170" i="10"/>
  <c r="O170" i="10"/>
  <c r="P170" i="10" s="1"/>
  <c r="K170" i="10"/>
  <c r="J170" i="10"/>
  <c r="I170" i="10"/>
  <c r="H170" i="10"/>
  <c r="G170" i="10"/>
  <c r="Q169" i="10"/>
  <c r="O169" i="10"/>
  <c r="P169" i="10" s="1"/>
  <c r="K169" i="10"/>
  <c r="J169" i="10"/>
  <c r="I169" i="10"/>
  <c r="H169" i="10"/>
  <c r="G169" i="10"/>
  <c r="Q168" i="10"/>
  <c r="O168" i="10"/>
  <c r="P168" i="10" s="1"/>
  <c r="K168" i="10"/>
  <c r="J168" i="10"/>
  <c r="I168" i="10"/>
  <c r="H168" i="10"/>
  <c r="G168" i="10"/>
  <c r="Q167" i="10"/>
  <c r="O167" i="10"/>
  <c r="P167" i="10" s="1"/>
  <c r="K167" i="10"/>
  <c r="J167" i="10"/>
  <c r="I167" i="10"/>
  <c r="H167" i="10"/>
  <c r="G167" i="10"/>
  <c r="Q166" i="10"/>
  <c r="O166" i="10"/>
  <c r="P166" i="10" s="1"/>
  <c r="K166" i="10"/>
  <c r="J166" i="10"/>
  <c r="I166" i="10"/>
  <c r="H166" i="10"/>
  <c r="G166" i="10"/>
  <c r="Q165" i="10"/>
  <c r="O165" i="10"/>
  <c r="P165" i="10" s="1"/>
  <c r="K165" i="10"/>
  <c r="J165" i="10"/>
  <c r="I165" i="10"/>
  <c r="H165" i="10"/>
  <c r="G165" i="10"/>
  <c r="Q164" i="10"/>
  <c r="O164" i="10"/>
  <c r="P164" i="10" s="1"/>
  <c r="K164" i="10"/>
  <c r="J164" i="10"/>
  <c r="I164" i="10"/>
  <c r="H164" i="10"/>
  <c r="G164" i="10"/>
  <c r="Q163" i="10"/>
  <c r="O163" i="10"/>
  <c r="P163" i="10" s="1"/>
  <c r="K163" i="10"/>
  <c r="J163" i="10"/>
  <c r="I163" i="10"/>
  <c r="H163" i="10"/>
  <c r="G163" i="10"/>
  <c r="Q162" i="10"/>
  <c r="O162" i="10"/>
  <c r="P162" i="10" s="1"/>
  <c r="K162" i="10"/>
  <c r="J162" i="10"/>
  <c r="I162" i="10"/>
  <c r="H162" i="10"/>
  <c r="G162" i="10"/>
  <c r="Q161" i="10"/>
  <c r="O161" i="10"/>
  <c r="P161" i="10" s="1"/>
  <c r="K161" i="10"/>
  <c r="J161" i="10"/>
  <c r="I161" i="10"/>
  <c r="H161" i="10"/>
  <c r="G161" i="10"/>
  <c r="Q160" i="10"/>
  <c r="O160" i="10"/>
  <c r="P160" i="10" s="1"/>
  <c r="K160" i="10"/>
  <c r="J160" i="10"/>
  <c r="I160" i="10"/>
  <c r="H160" i="10"/>
  <c r="G160" i="10"/>
  <c r="Q159" i="10"/>
  <c r="O159" i="10"/>
  <c r="P159" i="10" s="1"/>
  <c r="K159" i="10"/>
  <c r="J159" i="10"/>
  <c r="I159" i="10"/>
  <c r="H159" i="10"/>
  <c r="G159" i="10"/>
  <c r="Q158" i="10"/>
  <c r="O158" i="10"/>
  <c r="P158" i="10" s="1"/>
  <c r="K158" i="10"/>
  <c r="J158" i="10"/>
  <c r="I158" i="10"/>
  <c r="H158" i="10"/>
  <c r="G158" i="10"/>
  <c r="Q157" i="10"/>
  <c r="O157" i="10"/>
  <c r="P157" i="10" s="1"/>
  <c r="K157" i="10"/>
  <c r="J157" i="10"/>
  <c r="I157" i="10"/>
  <c r="H157" i="10"/>
  <c r="G157" i="10"/>
  <c r="Q156" i="10"/>
  <c r="O156" i="10"/>
  <c r="P156" i="10" s="1"/>
  <c r="K156" i="10"/>
  <c r="J156" i="10"/>
  <c r="I156" i="10"/>
  <c r="H156" i="10"/>
  <c r="G156" i="10"/>
  <c r="Q155" i="10"/>
  <c r="O155" i="10"/>
  <c r="P155" i="10" s="1"/>
  <c r="K155" i="10"/>
  <c r="J155" i="10"/>
  <c r="I155" i="10"/>
  <c r="H155" i="10"/>
  <c r="G155" i="10"/>
  <c r="Q154" i="10"/>
  <c r="O154" i="10"/>
  <c r="P154" i="10" s="1"/>
  <c r="K154" i="10"/>
  <c r="J154" i="10"/>
  <c r="I154" i="10"/>
  <c r="H154" i="10"/>
  <c r="G154" i="10"/>
  <c r="Q153" i="10"/>
  <c r="O153" i="10"/>
  <c r="P153" i="10" s="1"/>
  <c r="K153" i="10"/>
  <c r="J153" i="10"/>
  <c r="I153" i="10"/>
  <c r="H153" i="10"/>
  <c r="G153" i="10"/>
  <c r="Q152" i="10"/>
  <c r="O152" i="10"/>
  <c r="P152" i="10" s="1"/>
  <c r="K152" i="10"/>
  <c r="J152" i="10"/>
  <c r="I152" i="10"/>
  <c r="H152" i="10"/>
  <c r="G152" i="10"/>
  <c r="Q151" i="10"/>
  <c r="O151" i="10"/>
  <c r="P151" i="10" s="1"/>
  <c r="K151" i="10"/>
  <c r="J151" i="10"/>
  <c r="I151" i="10"/>
  <c r="H151" i="10"/>
  <c r="G151" i="10"/>
  <c r="Q150" i="10"/>
  <c r="O150" i="10"/>
  <c r="P150" i="10" s="1"/>
  <c r="K150" i="10"/>
  <c r="J150" i="10"/>
  <c r="I150" i="10"/>
  <c r="H150" i="10"/>
  <c r="G150" i="10"/>
  <c r="Q149" i="10"/>
  <c r="O149" i="10"/>
  <c r="P149" i="10" s="1"/>
  <c r="K149" i="10"/>
  <c r="J149" i="10"/>
  <c r="I149" i="10"/>
  <c r="H149" i="10"/>
  <c r="G149" i="10"/>
  <c r="Q148" i="10"/>
  <c r="O148" i="10"/>
  <c r="P148" i="10" s="1"/>
  <c r="K148" i="10"/>
  <c r="J148" i="10"/>
  <c r="I148" i="10"/>
  <c r="H148" i="10"/>
  <c r="G148" i="10"/>
  <c r="Q147" i="10"/>
  <c r="O147" i="10"/>
  <c r="P147" i="10" s="1"/>
  <c r="K147" i="10"/>
  <c r="J147" i="10"/>
  <c r="I147" i="10"/>
  <c r="H147" i="10"/>
  <c r="G147" i="10"/>
  <c r="Q146" i="10"/>
  <c r="O146" i="10"/>
  <c r="P146" i="10" s="1"/>
  <c r="K146" i="10"/>
  <c r="J146" i="10"/>
  <c r="I146" i="10"/>
  <c r="H146" i="10"/>
  <c r="G146" i="10"/>
  <c r="Q145" i="10"/>
  <c r="O145" i="10"/>
  <c r="P145" i="10" s="1"/>
  <c r="K145" i="10"/>
  <c r="J145" i="10"/>
  <c r="I145" i="10"/>
  <c r="H145" i="10"/>
  <c r="G145" i="10"/>
  <c r="Q144" i="10"/>
  <c r="O144" i="10"/>
  <c r="P144" i="10" s="1"/>
  <c r="K144" i="10"/>
  <c r="J144" i="10"/>
  <c r="I144" i="10"/>
  <c r="H144" i="10"/>
  <c r="G144" i="10"/>
  <c r="Q143" i="10"/>
  <c r="O143" i="10"/>
  <c r="P143" i="10" s="1"/>
  <c r="K143" i="10"/>
  <c r="J143" i="10"/>
  <c r="I143" i="10"/>
  <c r="H143" i="10"/>
  <c r="G143" i="10"/>
  <c r="Q142" i="10"/>
  <c r="O142" i="10"/>
  <c r="P142" i="10" s="1"/>
  <c r="K142" i="10"/>
  <c r="J142" i="10"/>
  <c r="I142" i="10"/>
  <c r="H142" i="10"/>
  <c r="G142" i="10"/>
  <c r="Q141" i="10"/>
  <c r="O141" i="10"/>
  <c r="P141" i="10" s="1"/>
  <c r="K141" i="10"/>
  <c r="J141" i="10"/>
  <c r="I141" i="10"/>
  <c r="H141" i="10"/>
  <c r="G141" i="10"/>
  <c r="Q140" i="10"/>
  <c r="O140" i="10"/>
  <c r="P140" i="10" s="1"/>
  <c r="K140" i="10"/>
  <c r="J140" i="10"/>
  <c r="I140" i="10"/>
  <c r="H140" i="10"/>
  <c r="G140" i="10"/>
  <c r="Q139" i="10"/>
  <c r="P139" i="10"/>
  <c r="O139" i="10"/>
  <c r="K139" i="10"/>
  <c r="J139" i="10"/>
  <c r="I139" i="10"/>
  <c r="H139" i="10"/>
  <c r="G139" i="10"/>
  <c r="Q138" i="10"/>
  <c r="O138" i="10"/>
  <c r="P138" i="10" s="1"/>
  <c r="K138" i="10"/>
  <c r="J138" i="10"/>
  <c r="I138" i="10"/>
  <c r="H138" i="10"/>
  <c r="G138" i="10"/>
  <c r="Q137" i="10"/>
  <c r="O137" i="10"/>
  <c r="P137" i="10" s="1"/>
  <c r="K137" i="10"/>
  <c r="J137" i="10"/>
  <c r="I137" i="10"/>
  <c r="H137" i="10"/>
  <c r="G137" i="10"/>
  <c r="Q136" i="10"/>
  <c r="O136" i="10"/>
  <c r="P136" i="10" s="1"/>
  <c r="K136" i="10"/>
  <c r="J136" i="10"/>
  <c r="I136" i="10"/>
  <c r="H136" i="10"/>
  <c r="G136" i="10"/>
  <c r="Q135" i="10"/>
  <c r="O135" i="10"/>
  <c r="P135" i="10" s="1"/>
  <c r="K135" i="10"/>
  <c r="J135" i="10"/>
  <c r="I135" i="10"/>
  <c r="H135" i="10"/>
  <c r="G135" i="10"/>
  <c r="Q134" i="10"/>
  <c r="O134" i="10"/>
  <c r="P134" i="10" s="1"/>
  <c r="K134" i="10"/>
  <c r="J134" i="10"/>
  <c r="I134" i="10"/>
  <c r="H134" i="10"/>
  <c r="G134" i="10"/>
  <c r="Q133" i="10"/>
  <c r="O133" i="10"/>
  <c r="P133" i="10" s="1"/>
  <c r="K133" i="10"/>
  <c r="J133" i="10"/>
  <c r="I133" i="10"/>
  <c r="H133" i="10"/>
  <c r="G133" i="10"/>
  <c r="Q132" i="10"/>
  <c r="O132" i="10"/>
  <c r="P132" i="10" s="1"/>
  <c r="K132" i="10"/>
  <c r="J132" i="10"/>
  <c r="I132" i="10"/>
  <c r="H132" i="10"/>
  <c r="G132" i="10"/>
  <c r="Q131" i="10"/>
  <c r="O131" i="10"/>
  <c r="P131" i="10" s="1"/>
  <c r="K131" i="10"/>
  <c r="J131" i="10"/>
  <c r="I131" i="10"/>
  <c r="H131" i="10"/>
  <c r="G131" i="10"/>
  <c r="Q130" i="10"/>
  <c r="O130" i="10"/>
  <c r="P130" i="10" s="1"/>
  <c r="K130" i="10"/>
  <c r="J130" i="10"/>
  <c r="I130" i="10"/>
  <c r="H130" i="10"/>
  <c r="G130" i="10"/>
  <c r="Q129" i="10"/>
  <c r="O129" i="10"/>
  <c r="P129" i="10" s="1"/>
  <c r="K129" i="10"/>
  <c r="J129" i="10"/>
  <c r="I129" i="10"/>
  <c r="H129" i="10"/>
  <c r="G129" i="10"/>
  <c r="Q128" i="10"/>
  <c r="O128" i="10"/>
  <c r="P128" i="10" s="1"/>
  <c r="K128" i="10"/>
  <c r="J128" i="10"/>
  <c r="I128" i="10"/>
  <c r="H128" i="10"/>
  <c r="G128" i="10"/>
  <c r="Q127" i="10"/>
  <c r="O127" i="10"/>
  <c r="P127" i="10" s="1"/>
  <c r="K127" i="10"/>
  <c r="J127" i="10"/>
  <c r="I127" i="10"/>
  <c r="H127" i="10"/>
  <c r="G127" i="10"/>
  <c r="Q126" i="10"/>
  <c r="O126" i="10"/>
  <c r="P126" i="10" s="1"/>
  <c r="K126" i="10"/>
  <c r="J126" i="10"/>
  <c r="I126" i="10"/>
  <c r="H126" i="10"/>
  <c r="G126" i="10"/>
  <c r="Q125" i="10"/>
  <c r="O125" i="10"/>
  <c r="P125" i="10" s="1"/>
  <c r="K125" i="10"/>
  <c r="J125" i="10"/>
  <c r="I125" i="10"/>
  <c r="H125" i="10"/>
  <c r="G125" i="10"/>
  <c r="Q124" i="10"/>
  <c r="O124" i="10"/>
  <c r="P124" i="10" s="1"/>
  <c r="K124" i="10"/>
  <c r="J124" i="10"/>
  <c r="I124" i="10"/>
  <c r="H124" i="10"/>
  <c r="G124" i="10"/>
  <c r="Q123" i="10"/>
  <c r="O123" i="10"/>
  <c r="P123" i="10" s="1"/>
  <c r="K123" i="10"/>
  <c r="J123" i="10"/>
  <c r="I123" i="10"/>
  <c r="H123" i="10"/>
  <c r="G123" i="10"/>
  <c r="Q122" i="10"/>
  <c r="O122" i="10"/>
  <c r="P122" i="10" s="1"/>
  <c r="K122" i="10"/>
  <c r="J122" i="10"/>
  <c r="I122" i="10"/>
  <c r="H122" i="10"/>
  <c r="G122" i="10"/>
  <c r="Q121" i="10"/>
  <c r="O121" i="10"/>
  <c r="P121" i="10" s="1"/>
  <c r="K121" i="10"/>
  <c r="J121" i="10"/>
  <c r="I121" i="10"/>
  <c r="H121" i="10"/>
  <c r="G121" i="10"/>
  <c r="Q120" i="10"/>
  <c r="O120" i="10"/>
  <c r="P120" i="10" s="1"/>
  <c r="K120" i="10"/>
  <c r="J120" i="10"/>
  <c r="I120" i="10"/>
  <c r="H120" i="10"/>
  <c r="G120" i="10"/>
  <c r="Q119" i="10"/>
  <c r="O119" i="10"/>
  <c r="P119" i="10" s="1"/>
  <c r="K119" i="10"/>
  <c r="J119" i="10"/>
  <c r="I119" i="10"/>
  <c r="H119" i="10"/>
  <c r="G119" i="10"/>
  <c r="Q118" i="10"/>
  <c r="O118" i="10"/>
  <c r="P118" i="10" s="1"/>
  <c r="K118" i="10"/>
  <c r="J118" i="10"/>
  <c r="I118" i="10"/>
  <c r="H118" i="10"/>
  <c r="G118" i="10"/>
  <c r="Q117" i="10"/>
  <c r="O117" i="10"/>
  <c r="P117" i="10" s="1"/>
  <c r="K117" i="10"/>
  <c r="J117" i="10"/>
  <c r="I117" i="10"/>
  <c r="H117" i="10"/>
  <c r="G117" i="10"/>
  <c r="Q116" i="10"/>
  <c r="O116" i="10"/>
  <c r="P116" i="10" s="1"/>
  <c r="K116" i="10"/>
  <c r="J116" i="10"/>
  <c r="I116" i="10"/>
  <c r="H116" i="10"/>
  <c r="G116" i="10"/>
  <c r="Q115" i="10"/>
  <c r="O115" i="10"/>
  <c r="P115" i="10" s="1"/>
  <c r="K115" i="10"/>
  <c r="J115" i="10"/>
  <c r="I115" i="10"/>
  <c r="H115" i="10"/>
  <c r="G115" i="10"/>
  <c r="Q114" i="10"/>
  <c r="O114" i="10"/>
  <c r="P114" i="10" s="1"/>
  <c r="K114" i="10"/>
  <c r="J114" i="10"/>
  <c r="I114" i="10"/>
  <c r="H114" i="10"/>
  <c r="G114" i="10"/>
  <c r="Q113" i="10"/>
  <c r="O113" i="10"/>
  <c r="P113" i="10" s="1"/>
  <c r="K113" i="10"/>
  <c r="J113" i="10"/>
  <c r="I113" i="10"/>
  <c r="H113" i="10"/>
  <c r="G113" i="10"/>
  <c r="Q112" i="10"/>
  <c r="O112" i="10"/>
  <c r="P112" i="10" s="1"/>
  <c r="K112" i="10"/>
  <c r="J112" i="10"/>
  <c r="I112" i="10"/>
  <c r="H112" i="10"/>
  <c r="G112" i="10"/>
  <c r="Q111" i="10"/>
  <c r="O111" i="10"/>
  <c r="P111" i="10" s="1"/>
  <c r="K111" i="10"/>
  <c r="J111" i="10"/>
  <c r="I111" i="10"/>
  <c r="H111" i="10"/>
  <c r="G111" i="10"/>
  <c r="Q110" i="10"/>
  <c r="O110" i="10"/>
  <c r="P110" i="10" s="1"/>
  <c r="K110" i="10"/>
  <c r="J110" i="10"/>
  <c r="I110" i="10"/>
  <c r="H110" i="10"/>
  <c r="G110" i="10"/>
  <c r="Q109" i="10"/>
  <c r="O109" i="10"/>
  <c r="P109" i="10" s="1"/>
  <c r="K109" i="10"/>
  <c r="J109" i="10"/>
  <c r="I109" i="10"/>
  <c r="H109" i="10"/>
  <c r="G109" i="10"/>
  <c r="Q108" i="10"/>
  <c r="O108" i="10"/>
  <c r="P108" i="10" s="1"/>
  <c r="K108" i="10"/>
  <c r="J108" i="10"/>
  <c r="I108" i="10"/>
  <c r="H108" i="10"/>
  <c r="G108" i="10"/>
  <c r="Q107" i="10"/>
  <c r="O107" i="10"/>
  <c r="P107" i="10" s="1"/>
  <c r="K107" i="10"/>
  <c r="J107" i="10"/>
  <c r="I107" i="10"/>
  <c r="H107" i="10"/>
  <c r="G107" i="10"/>
  <c r="Q106" i="10"/>
  <c r="O106" i="10"/>
  <c r="P106" i="10" s="1"/>
  <c r="K106" i="10"/>
  <c r="J106" i="10"/>
  <c r="I106" i="10"/>
  <c r="H106" i="10"/>
  <c r="G106" i="10"/>
  <c r="Q105" i="10"/>
  <c r="O105" i="10"/>
  <c r="P105" i="10" s="1"/>
  <c r="K105" i="10"/>
  <c r="J105" i="10"/>
  <c r="I105" i="10"/>
  <c r="H105" i="10"/>
  <c r="G105" i="10"/>
  <c r="Q104" i="10"/>
  <c r="O104" i="10"/>
  <c r="P104" i="10" s="1"/>
  <c r="K104" i="10"/>
  <c r="J104" i="10"/>
  <c r="I104" i="10"/>
  <c r="H104" i="10"/>
  <c r="G104" i="10"/>
  <c r="Q103" i="10"/>
  <c r="O103" i="10"/>
  <c r="P103" i="10" s="1"/>
  <c r="K103" i="10"/>
  <c r="J103" i="10"/>
  <c r="I103" i="10"/>
  <c r="H103" i="10"/>
  <c r="G103" i="10"/>
  <c r="Q102" i="10"/>
  <c r="O102" i="10"/>
  <c r="P102" i="10" s="1"/>
  <c r="K102" i="10"/>
  <c r="J102" i="10"/>
  <c r="I102" i="10"/>
  <c r="H102" i="10"/>
  <c r="G102" i="10"/>
  <c r="Q101" i="10"/>
  <c r="O101" i="10"/>
  <c r="P101" i="10" s="1"/>
  <c r="K101" i="10"/>
  <c r="J101" i="10"/>
  <c r="I101" i="10"/>
  <c r="H101" i="10"/>
  <c r="G101" i="10"/>
  <c r="Q100" i="10"/>
  <c r="O100" i="10"/>
  <c r="P100" i="10" s="1"/>
  <c r="K100" i="10"/>
  <c r="J100" i="10"/>
  <c r="I100" i="10"/>
  <c r="H100" i="10"/>
  <c r="G100" i="10"/>
  <c r="Q99" i="10"/>
  <c r="O99" i="10"/>
  <c r="P99" i="10" s="1"/>
  <c r="K99" i="10"/>
  <c r="J99" i="10"/>
  <c r="I99" i="10"/>
  <c r="H99" i="10"/>
  <c r="G99" i="10"/>
  <c r="Q98" i="10"/>
  <c r="O98" i="10"/>
  <c r="P98" i="10" s="1"/>
  <c r="K98" i="10"/>
  <c r="J98" i="10"/>
  <c r="I98" i="10"/>
  <c r="H98" i="10"/>
  <c r="G98" i="10"/>
  <c r="Q97" i="10"/>
  <c r="O97" i="10"/>
  <c r="P97" i="10" s="1"/>
  <c r="K97" i="10"/>
  <c r="J97" i="10"/>
  <c r="I97" i="10"/>
  <c r="H97" i="10"/>
  <c r="G97" i="10"/>
  <c r="Q96" i="10"/>
  <c r="O96" i="10"/>
  <c r="P96" i="10" s="1"/>
  <c r="K96" i="10"/>
  <c r="J96" i="10"/>
  <c r="I96" i="10"/>
  <c r="H96" i="10"/>
  <c r="G96" i="10"/>
  <c r="Q95" i="10"/>
  <c r="O95" i="10"/>
  <c r="P95" i="10" s="1"/>
  <c r="K95" i="10"/>
  <c r="J95" i="10"/>
  <c r="I95" i="10"/>
  <c r="H95" i="10"/>
  <c r="G95" i="10"/>
  <c r="Q94" i="10"/>
  <c r="O94" i="10"/>
  <c r="P94" i="10" s="1"/>
  <c r="K94" i="10"/>
  <c r="J94" i="10"/>
  <c r="I94" i="10"/>
  <c r="H94" i="10"/>
  <c r="G94" i="10"/>
  <c r="Q93" i="10"/>
  <c r="O93" i="10"/>
  <c r="P93" i="10" s="1"/>
  <c r="K93" i="10"/>
  <c r="J93" i="10"/>
  <c r="I93" i="10"/>
  <c r="H93" i="10"/>
  <c r="G93" i="10"/>
  <c r="Q92" i="10"/>
  <c r="O92" i="10"/>
  <c r="P92" i="10" s="1"/>
  <c r="K92" i="10"/>
  <c r="J92" i="10"/>
  <c r="I92" i="10"/>
  <c r="H92" i="10"/>
  <c r="G92" i="10"/>
  <c r="Q91" i="10"/>
  <c r="O91" i="10"/>
  <c r="P91" i="10" s="1"/>
  <c r="K91" i="10"/>
  <c r="J91" i="10"/>
  <c r="I91" i="10"/>
  <c r="H91" i="10"/>
  <c r="G91" i="10"/>
  <c r="Q90" i="10"/>
  <c r="O90" i="10"/>
  <c r="P90" i="10" s="1"/>
  <c r="K90" i="10"/>
  <c r="J90" i="10"/>
  <c r="I90" i="10"/>
  <c r="H90" i="10"/>
  <c r="G90" i="10"/>
  <c r="Q89" i="10"/>
  <c r="O89" i="10"/>
  <c r="P89" i="10" s="1"/>
  <c r="K89" i="10"/>
  <c r="J89" i="10"/>
  <c r="I89" i="10"/>
  <c r="H89" i="10"/>
  <c r="G89" i="10"/>
  <c r="Q88" i="10"/>
  <c r="O88" i="10"/>
  <c r="P88" i="10" s="1"/>
  <c r="K88" i="10"/>
  <c r="J88" i="10"/>
  <c r="I88" i="10"/>
  <c r="H88" i="10"/>
  <c r="G88" i="10"/>
  <c r="Q87" i="10"/>
  <c r="O87" i="10"/>
  <c r="P87" i="10" s="1"/>
  <c r="K87" i="10"/>
  <c r="J87" i="10"/>
  <c r="I87" i="10"/>
  <c r="H87" i="10"/>
  <c r="G87" i="10"/>
  <c r="Q86" i="10"/>
  <c r="O86" i="10"/>
  <c r="P86" i="10" s="1"/>
  <c r="K86" i="10"/>
  <c r="J86" i="10"/>
  <c r="I86" i="10"/>
  <c r="H86" i="10"/>
  <c r="G86" i="10"/>
  <c r="Q85" i="10"/>
  <c r="O85" i="10"/>
  <c r="P85" i="10" s="1"/>
  <c r="K85" i="10"/>
  <c r="J85" i="10"/>
  <c r="I85" i="10"/>
  <c r="H85" i="10"/>
  <c r="G85" i="10"/>
  <c r="Q84" i="10"/>
  <c r="O84" i="10"/>
  <c r="P84" i="10" s="1"/>
  <c r="K84" i="10"/>
  <c r="J84" i="10"/>
  <c r="I84" i="10"/>
  <c r="H84" i="10"/>
  <c r="G84" i="10"/>
  <c r="Q83" i="10"/>
  <c r="O83" i="10"/>
  <c r="P83" i="10" s="1"/>
  <c r="K83" i="10"/>
  <c r="J83" i="10"/>
  <c r="I83" i="10"/>
  <c r="H83" i="10"/>
  <c r="G83" i="10"/>
  <c r="Q82" i="10"/>
  <c r="O82" i="10"/>
  <c r="P82" i="10" s="1"/>
  <c r="K82" i="10"/>
  <c r="J82" i="10"/>
  <c r="I82" i="10"/>
  <c r="H82" i="10"/>
  <c r="G82" i="10"/>
  <c r="Q81" i="10"/>
  <c r="O81" i="10"/>
  <c r="P81" i="10" s="1"/>
  <c r="K81" i="10"/>
  <c r="J81" i="10"/>
  <c r="I81" i="10"/>
  <c r="H81" i="10"/>
  <c r="G81" i="10"/>
  <c r="Q80" i="10"/>
  <c r="O80" i="10"/>
  <c r="P80" i="10" s="1"/>
  <c r="K80" i="10"/>
  <c r="J80" i="10"/>
  <c r="I80" i="10"/>
  <c r="H80" i="10"/>
  <c r="G80" i="10"/>
  <c r="Q79" i="10"/>
  <c r="O79" i="10"/>
  <c r="P79" i="10" s="1"/>
  <c r="K79" i="10"/>
  <c r="J79" i="10"/>
  <c r="I79" i="10"/>
  <c r="H79" i="10"/>
  <c r="G79" i="10"/>
  <c r="Q78" i="10"/>
  <c r="O78" i="10"/>
  <c r="P78" i="10" s="1"/>
  <c r="K78" i="10"/>
  <c r="J78" i="10"/>
  <c r="I78" i="10"/>
  <c r="H78" i="10"/>
  <c r="G78" i="10"/>
  <c r="Q77" i="10"/>
  <c r="O77" i="10"/>
  <c r="P77" i="10" s="1"/>
  <c r="K77" i="10"/>
  <c r="J77" i="10"/>
  <c r="I77" i="10"/>
  <c r="H77" i="10"/>
  <c r="G77" i="10"/>
  <c r="Q76" i="10"/>
  <c r="O76" i="10"/>
  <c r="P76" i="10" s="1"/>
  <c r="K76" i="10"/>
  <c r="J76" i="10"/>
  <c r="I76" i="10"/>
  <c r="H76" i="10"/>
  <c r="G76" i="10"/>
  <c r="Q75" i="10"/>
  <c r="P75" i="10"/>
  <c r="O75" i="10"/>
  <c r="K75" i="10"/>
  <c r="J75" i="10"/>
  <c r="I75" i="10"/>
  <c r="H75" i="10"/>
  <c r="G75" i="10"/>
  <c r="Q74" i="10"/>
  <c r="O74" i="10"/>
  <c r="P74" i="10" s="1"/>
  <c r="K74" i="10"/>
  <c r="J74" i="10"/>
  <c r="I74" i="10"/>
  <c r="H74" i="10"/>
  <c r="G74" i="10"/>
  <c r="Q73" i="10"/>
  <c r="O73" i="10"/>
  <c r="P73" i="10" s="1"/>
  <c r="K73" i="10"/>
  <c r="J73" i="10"/>
  <c r="I73" i="10"/>
  <c r="H73" i="10"/>
  <c r="G73" i="10"/>
  <c r="Q72" i="10"/>
  <c r="O72" i="10"/>
  <c r="P72" i="10" s="1"/>
  <c r="K72" i="10"/>
  <c r="J72" i="10"/>
  <c r="I72" i="10"/>
  <c r="H72" i="10"/>
  <c r="G72" i="10"/>
  <c r="Q71" i="10"/>
  <c r="O71" i="10"/>
  <c r="P71" i="10" s="1"/>
  <c r="K71" i="10"/>
  <c r="J71" i="10"/>
  <c r="I71" i="10"/>
  <c r="H71" i="10"/>
  <c r="G71" i="10"/>
  <c r="Q70" i="10"/>
  <c r="O70" i="10"/>
  <c r="P70" i="10" s="1"/>
  <c r="K70" i="10"/>
  <c r="J70" i="10"/>
  <c r="I70" i="10"/>
  <c r="H70" i="10"/>
  <c r="G70" i="10"/>
  <c r="Q69" i="10"/>
  <c r="O69" i="10"/>
  <c r="P69" i="10" s="1"/>
  <c r="K69" i="10"/>
  <c r="J69" i="10"/>
  <c r="I69" i="10"/>
  <c r="H69" i="10"/>
  <c r="G69" i="10"/>
  <c r="Q68" i="10"/>
  <c r="O68" i="10"/>
  <c r="P68" i="10" s="1"/>
  <c r="K68" i="10"/>
  <c r="J68" i="10"/>
  <c r="I68" i="10"/>
  <c r="H68" i="10"/>
  <c r="G68" i="10"/>
  <c r="Q67" i="10"/>
  <c r="O67" i="10"/>
  <c r="P67" i="10" s="1"/>
  <c r="K67" i="10"/>
  <c r="J67" i="10"/>
  <c r="I67" i="10"/>
  <c r="H67" i="10"/>
  <c r="G67" i="10"/>
  <c r="Q66" i="10"/>
  <c r="O66" i="10"/>
  <c r="P66" i="10" s="1"/>
  <c r="K66" i="10"/>
  <c r="J66" i="10"/>
  <c r="I66" i="10"/>
  <c r="H66" i="10"/>
  <c r="G66" i="10"/>
  <c r="Q65" i="10"/>
  <c r="O65" i="10"/>
  <c r="P65" i="10" s="1"/>
  <c r="K65" i="10"/>
  <c r="J65" i="10"/>
  <c r="I65" i="10"/>
  <c r="H65" i="10"/>
  <c r="G65" i="10"/>
  <c r="Q64" i="10"/>
  <c r="O64" i="10"/>
  <c r="P64" i="10" s="1"/>
  <c r="K64" i="10"/>
  <c r="J64" i="10"/>
  <c r="I64" i="10"/>
  <c r="H64" i="10"/>
  <c r="G64" i="10"/>
  <c r="Q63" i="10"/>
  <c r="O63" i="10"/>
  <c r="P63" i="10" s="1"/>
  <c r="K63" i="10"/>
  <c r="J63" i="10"/>
  <c r="I63" i="10"/>
  <c r="H63" i="10"/>
  <c r="G63" i="10"/>
  <c r="Q62" i="10"/>
  <c r="O62" i="10"/>
  <c r="P62" i="10" s="1"/>
  <c r="K62" i="10"/>
  <c r="J62" i="10"/>
  <c r="I62" i="10"/>
  <c r="H62" i="10"/>
  <c r="G62" i="10"/>
  <c r="Q61" i="10"/>
  <c r="O61" i="10"/>
  <c r="P61" i="10" s="1"/>
  <c r="K61" i="10"/>
  <c r="J61" i="10"/>
  <c r="I61" i="10"/>
  <c r="H61" i="10"/>
  <c r="G61" i="10"/>
  <c r="Q60" i="10"/>
  <c r="O60" i="10"/>
  <c r="P60" i="10" s="1"/>
  <c r="K60" i="10"/>
  <c r="J60" i="10"/>
  <c r="I60" i="10"/>
  <c r="H60" i="10"/>
  <c r="G60" i="10"/>
  <c r="Q59" i="10"/>
  <c r="O59" i="10"/>
  <c r="P59" i="10" s="1"/>
  <c r="K59" i="10"/>
  <c r="J59" i="10"/>
  <c r="I59" i="10"/>
  <c r="H59" i="10"/>
  <c r="G59" i="10"/>
  <c r="Q58" i="10"/>
  <c r="O58" i="10"/>
  <c r="P58" i="10" s="1"/>
  <c r="K58" i="10"/>
  <c r="J58" i="10"/>
  <c r="I58" i="10"/>
  <c r="H58" i="10"/>
  <c r="G58" i="10"/>
  <c r="Q57" i="10"/>
  <c r="O57" i="10"/>
  <c r="P57" i="10" s="1"/>
  <c r="K57" i="10"/>
  <c r="J57" i="10"/>
  <c r="I57" i="10"/>
  <c r="H57" i="10"/>
  <c r="G57" i="10"/>
  <c r="Q56" i="10"/>
  <c r="O56" i="10"/>
  <c r="P56" i="10" s="1"/>
  <c r="K56" i="10"/>
  <c r="J56" i="10"/>
  <c r="I56" i="10"/>
  <c r="H56" i="10"/>
  <c r="G56" i="10"/>
  <c r="Q55" i="10"/>
  <c r="O55" i="10"/>
  <c r="P55" i="10" s="1"/>
  <c r="K55" i="10"/>
  <c r="J55" i="10"/>
  <c r="I55" i="10"/>
  <c r="H55" i="10"/>
  <c r="G55" i="10"/>
  <c r="Q54" i="10"/>
  <c r="O54" i="10"/>
  <c r="P54" i="10" s="1"/>
  <c r="K54" i="10"/>
  <c r="J54" i="10"/>
  <c r="I54" i="10"/>
  <c r="H54" i="10"/>
  <c r="G54" i="10"/>
  <c r="Q53" i="10"/>
  <c r="O53" i="10"/>
  <c r="P53" i="10" s="1"/>
  <c r="K53" i="10"/>
  <c r="J53" i="10"/>
  <c r="I53" i="10"/>
  <c r="H53" i="10"/>
  <c r="G53" i="10"/>
  <c r="Q52" i="10"/>
  <c r="O52" i="10"/>
  <c r="P52" i="10" s="1"/>
  <c r="K52" i="10"/>
  <c r="J52" i="10"/>
  <c r="I52" i="10"/>
  <c r="H52" i="10"/>
  <c r="G52" i="10"/>
  <c r="Q51" i="10"/>
  <c r="O51" i="10"/>
  <c r="P51" i="10" s="1"/>
  <c r="K51" i="10"/>
  <c r="J51" i="10"/>
  <c r="I51" i="10"/>
  <c r="H51" i="10"/>
  <c r="G51" i="10"/>
  <c r="Q50" i="10"/>
  <c r="O50" i="10"/>
  <c r="P50" i="10" s="1"/>
  <c r="K50" i="10"/>
  <c r="J50" i="10"/>
  <c r="I50" i="10"/>
  <c r="H50" i="10"/>
  <c r="G50" i="10"/>
  <c r="Q49" i="10"/>
  <c r="O49" i="10"/>
  <c r="P49" i="10" s="1"/>
  <c r="K49" i="10"/>
  <c r="J49" i="10"/>
  <c r="I49" i="10"/>
  <c r="H49" i="10"/>
  <c r="G49" i="10"/>
  <c r="Q48" i="10"/>
  <c r="O48" i="10"/>
  <c r="P48" i="10" s="1"/>
  <c r="K48" i="10"/>
  <c r="J48" i="10"/>
  <c r="I48" i="10"/>
  <c r="H48" i="10"/>
  <c r="G48" i="10"/>
  <c r="Q47" i="10"/>
  <c r="O47" i="10"/>
  <c r="P47" i="10" s="1"/>
  <c r="K47" i="10"/>
  <c r="J47" i="10"/>
  <c r="I47" i="10"/>
  <c r="H47" i="10"/>
  <c r="G47" i="10"/>
  <c r="Q46" i="10"/>
  <c r="O46" i="10"/>
  <c r="P46" i="10" s="1"/>
  <c r="K46" i="10"/>
  <c r="J46" i="10"/>
  <c r="I46" i="10"/>
  <c r="H46" i="10"/>
  <c r="G46" i="10"/>
  <c r="Q45" i="10"/>
  <c r="O45" i="10"/>
  <c r="P45" i="10" s="1"/>
  <c r="K45" i="10"/>
  <c r="J45" i="10"/>
  <c r="I45" i="10"/>
  <c r="H45" i="10"/>
  <c r="G45" i="10"/>
  <c r="Q44" i="10"/>
  <c r="O44" i="10"/>
  <c r="P44" i="10" s="1"/>
  <c r="K44" i="10"/>
  <c r="J44" i="10"/>
  <c r="I44" i="10"/>
  <c r="H44" i="10"/>
  <c r="G44" i="10"/>
  <c r="Q43" i="10"/>
  <c r="O43" i="10"/>
  <c r="P43" i="10" s="1"/>
  <c r="K43" i="10"/>
  <c r="J43" i="10"/>
  <c r="I43" i="10"/>
  <c r="H43" i="10"/>
  <c r="G43" i="10"/>
  <c r="Q42" i="10"/>
  <c r="O42" i="10"/>
  <c r="P42" i="10" s="1"/>
  <c r="K42" i="10"/>
  <c r="J42" i="10"/>
  <c r="I42" i="10"/>
  <c r="H42" i="10"/>
  <c r="G42" i="10"/>
  <c r="Q41" i="10"/>
  <c r="O41" i="10"/>
  <c r="P41" i="10" s="1"/>
  <c r="K41" i="10"/>
  <c r="J41" i="10"/>
  <c r="I41" i="10"/>
  <c r="H41" i="10"/>
  <c r="G41" i="10"/>
  <c r="Q40" i="10"/>
  <c r="O40" i="10"/>
  <c r="P40" i="10" s="1"/>
  <c r="K40" i="10"/>
  <c r="J40" i="10"/>
  <c r="I40" i="10"/>
  <c r="H40" i="10"/>
  <c r="G40" i="10"/>
  <c r="Q39" i="10"/>
  <c r="O39" i="10"/>
  <c r="P39" i="10" s="1"/>
  <c r="K39" i="10"/>
  <c r="J39" i="10"/>
  <c r="I39" i="10"/>
  <c r="H39" i="10"/>
  <c r="G39" i="10"/>
  <c r="Q38" i="10"/>
  <c r="O38" i="10"/>
  <c r="P38" i="10" s="1"/>
  <c r="K38" i="10"/>
  <c r="J38" i="10"/>
  <c r="I38" i="10"/>
  <c r="H38" i="10"/>
  <c r="G38" i="10"/>
  <c r="Q37" i="10"/>
  <c r="O37" i="10"/>
  <c r="P37" i="10" s="1"/>
  <c r="K37" i="10"/>
  <c r="J37" i="10"/>
  <c r="I37" i="10"/>
  <c r="H37" i="10"/>
  <c r="G37" i="10"/>
  <c r="Q36" i="10"/>
  <c r="O36" i="10"/>
  <c r="P36" i="10" s="1"/>
  <c r="K36" i="10"/>
  <c r="J36" i="10"/>
  <c r="I36" i="10"/>
  <c r="H36" i="10"/>
  <c r="G36" i="10"/>
  <c r="Q35" i="10"/>
  <c r="O35" i="10"/>
  <c r="P35" i="10" s="1"/>
  <c r="K35" i="10"/>
  <c r="J35" i="10"/>
  <c r="I35" i="10"/>
  <c r="H35" i="10"/>
  <c r="G35" i="10"/>
  <c r="Q34" i="10"/>
  <c r="O34" i="10"/>
  <c r="P34" i="10" s="1"/>
  <c r="K34" i="10"/>
  <c r="J34" i="10"/>
  <c r="I34" i="10"/>
  <c r="H34" i="10"/>
  <c r="G34" i="10"/>
  <c r="Q33" i="10"/>
  <c r="O33" i="10"/>
  <c r="P33" i="10" s="1"/>
  <c r="K33" i="10"/>
  <c r="J33" i="10"/>
  <c r="I33" i="10"/>
  <c r="H33" i="10"/>
  <c r="G33" i="10"/>
  <c r="Q32" i="10"/>
  <c r="O32" i="10"/>
  <c r="P32" i="10" s="1"/>
  <c r="K32" i="10"/>
  <c r="J32" i="10"/>
  <c r="I32" i="10"/>
  <c r="H32" i="10"/>
  <c r="G32" i="10"/>
  <c r="Q31" i="10"/>
  <c r="O31" i="10"/>
  <c r="P31" i="10" s="1"/>
  <c r="K31" i="10"/>
  <c r="J31" i="10"/>
  <c r="I31" i="10"/>
  <c r="H31" i="10"/>
  <c r="G31" i="10"/>
  <c r="Q30" i="10"/>
  <c r="O30" i="10"/>
  <c r="P30" i="10" s="1"/>
  <c r="K30" i="10"/>
  <c r="J30" i="10"/>
  <c r="I30" i="10"/>
  <c r="H30" i="10"/>
  <c r="G30" i="10"/>
  <c r="Q29" i="10"/>
  <c r="O29" i="10"/>
  <c r="P29" i="10" s="1"/>
  <c r="K29" i="10"/>
  <c r="J29" i="10"/>
  <c r="I29" i="10"/>
  <c r="H29" i="10"/>
  <c r="G29" i="10"/>
  <c r="Q28" i="10"/>
  <c r="O28" i="10"/>
  <c r="P28" i="10" s="1"/>
  <c r="K28" i="10"/>
  <c r="J28" i="10"/>
  <c r="I28" i="10"/>
  <c r="H28" i="10"/>
  <c r="G28" i="10"/>
  <c r="Q27" i="10"/>
  <c r="O27" i="10"/>
  <c r="P27" i="10" s="1"/>
  <c r="K27" i="10"/>
  <c r="J27" i="10"/>
  <c r="I27" i="10"/>
  <c r="H27" i="10"/>
  <c r="G27" i="10"/>
  <c r="Q26" i="10"/>
  <c r="O26" i="10"/>
  <c r="P26" i="10" s="1"/>
  <c r="K26" i="10"/>
  <c r="J26" i="10"/>
  <c r="I26" i="10"/>
  <c r="H26" i="10"/>
  <c r="G26" i="10"/>
  <c r="Q25" i="10"/>
  <c r="O25" i="10"/>
  <c r="P25" i="10" s="1"/>
  <c r="K25" i="10"/>
  <c r="J25" i="10"/>
  <c r="I25" i="10"/>
  <c r="H25" i="10"/>
  <c r="G25" i="10"/>
  <c r="Q24" i="10"/>
  <c r="O24" i="10"/>
  <c r="P24" i="10" s="1"/>
  <c r="K24" i="10"/>
  <c r="J24" i="10"/>
  <c r="I24" i="10"/>
  <c r="H24" i="10"/>
  <c r="G24" i="10"/>
  <c r="Q23" i="10"/>
  <c r="O23" i="10"/>
  <c r="P23" i="10" s="1"/>
  <c r="K23" i="10"/>
  <c r="J23" i="10"/>
  <c r="I23" i="10"/>
  <c r="H23" i="10"/>
  <c r="G23" i="10"/>
  <c r="Q22" i="10"/>
  <c r="O22" i="10"/>
  <c r="P22" i="10" s="1"/>
  <c r="K22" i="10"/>
  <c r="J22" i="10"/>
  <c r="I22" i="10"/>
  <c r="H22" i="10"/>
  <c r="G22" i="10"/>
  <c r="Q21" i="10"/>
  <c r="O21" i="10"/>
  <c r="P21" i="10" s="1"/>
  <c r="K21" i="10"/>
  <c r="J21" i="10"/>
  <c r="I21" i="10"/>
  <c r="H21" i="10"/>
  <c r="G21" i="10"/>
  <c r="Q20" i="10"/>
  <c r="O20" i="10"/>
  <c r="P20" i="10" s="1"/>
  <c r="K20" i="10"/>
  <c r="J20" i="10"/>
  <c r="I20" i="10"/>
  <c r="H20" i="10"/>
  <c r="G20" i="10"/>
  <c r="Q19" i="10"/>
  <c r="O19" i="10"/>
  <c r="P19" i="10" s="1"/>
  <c r="K19" i="10"/>
  <c r="J19" i="10"/>
  <c r="I19" i="10"/>
  <c r="H19" i="10"/>
  <c r="G19" i="10"/>
  <c r="Q18" i="10"/>
  <c r="O18" i="10"/>
  <c r="P18" i="10" s="1"/>
  <c r="K18" i="10"/>
  <c r="J18" i="10"/>
  <c r="I18" i="10"/>
  <c r="H18" i="10"/>
  <c r="G18" i="10"/>
  <c r="Q17" i="10"/>
  <c r="O17" i="10"/>
  <c r="P17" i="10" s="1"/>
  <c r="K17" i="10"/>
  <c r="J17" i="10"/>
  <c r="I17" i="10"/>
  <c r="H17" i="10"/>
  <c r="G17" i="10"/>
  <c r="Q16" i="10"/>
  <c r="O16" i="10"/>
  <c r="P16" i="10" s="1"/>
  <c r="K16" i="10"/>
  <c r="J16" i="10"/>
  <c r="I16" i="10"/>
  <c r="H16" i="10"/>
  <c r="G16" i="10"/>
  <c r="Q15" i="10"/>
  <c r="O15" i="10"/>
  <c r="P15" i="10" s="1"/>
  <c r="K15" i="10"/>
  <c r="J15" i="10"/>
  <c r="I15" i="10"/>
  <c r="H15" i="10"/>
  <c r="G15" i="10"/>
  <c r="Q14" i="10"/>
  <c r="O14" i="10"/>
  <c r="P14" i="10" s="1"/>
  <c r="K14" i="10"/>
  <c r="J14" i="10"/>
  <c r="I14" i="10"/>
  <c r="H14" i="10"/>
  <c r="G14" i="10"/>
  <c r="Q13" i="10"/>
  <c r="P13" i="10"/>
  <c r="O13" i="10"/>
  <c r="K13" i="10"/>
  <c r="J13" i="10"/>
  <c r="I13" i="10"/>
  <c r="H13" i="10"/>
  <c r="G13" i="10"/>
  <c r="Q12" i="10"/>
  <c r="O12" i="10"/>
  <c r="P12" i="10" s="1"/>
  <c r="K12" i="10"/>
  <c r="J12" i="10"/>
  <c r="I12" i="10"/>
  <c r="H12" i="10"/>
  <c r="G12" i="10"/>
  <c r="Q11" i="10"/>
  <c r="O11" i="10"/>
  <c r="P11" i="10" s="1"/>
  <c r="K11" i="10"/>
  <c r="J11" i="10"/>
  <c r="I11" i="10"/>
  <c r="H11" i="10"/>
  <c r="G11" i="10"/>
  <c r="Q10" i="10"/>
  <c r="O10" i="10"/>
  <c r="P10" i="10" s="1"/>
  <c r="K10" i="10"/>
  <c r="J10" i="10"/>
  <c r="I10" i="10"/>
  <c r="H10" i="10"/>
  <c r="G10" i="10"/>
  <c r="Q9" i="10"/>
  <c r="O9" i="10"/>
  <c r="P9" i="10" s="1"/>
  <c r="K9" i="10"/>
  <c r="J9" i="10"/>
  <c r="I9" i="10"/>
  <c r="H9" i="10"/>
  <c r="G9" i="10"/>
  <c r="Q8" i="10"/>
  <c r="O8" i="10"/>
  <c r="P8" i="10" s="1"/>
  <c r="K8" i="10"/>
  <c r="J8" i="10"/>
  <c r="I8" i="10"/>
  <c r="H8" i="10"/>
  <c r="G8" i="10"/>
  <c r="Q7" i="10"/>
  <c r="O7" i="10"/>
  <c r="P7" i="10" s="1"/>
  <c r="K7" i="10"/>
  <c r="J7" i="10"/>
  <c r="I7" i="10"/>
  <c r="H7" i="10"/>
  <c r="G7" i="10"/>
  <c r="Q6" i="10"/>
  <c r="O6" i="10"/>
  <c r="P6" i="10" s="1"/>
  <c r="K6" i="10"/>
  <c r="J6" i="10"/>
  <c r="I6" i="10"/>
  <c r="H6" i="10"/>
  <c r="G6" i="10"/>
  <c r="Q5" i="10"/>
  <c r="O5" i="10"/>
  <c r="P5" i="10" s="1"/>
  <c r="K5" i="10"/>
  <c r="J5" i="10"/>
  <c r="I5" i="10"/>
  <c r="H5" i="10"/>
  <c r="G5" i="10"/>
  <c r="X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X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X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X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X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X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X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X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X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X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X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X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X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X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X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X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X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X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X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X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X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X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X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X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X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X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X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X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X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X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X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X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X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X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X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X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X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X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X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X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X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X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X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X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X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X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X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X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X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A54" i="8"/>
  <c r="W53" i="9" s="1"/>
  <c r="N54" i="8"/>
  <c r="V53" i="9" s="1"/>
  <c r="AA53" i="8"/>
  <c r="W52" i="9" s="1"/>
  <c r="N53" i="8"/>
  <c r="V52" i="9" s="1"/>
  <c r="AA52" i="8"/>
  <c r="W51" i="9" s="1"/>
  <c r="N52" i="8"/>
  <c r="V51" i="9" s="1"/>
  <c r="AA51" i="8"/>
  <c r="W50" i="9" s="1"/>
  <c r="N51" i="8"/>
  <c r="V50" i="9" s="1"/>
  <c r="AA50" i="8"/>
  <c r="W49" i="9" s="1"/>
  <c r="N50" i="8"/>
  <c r="V49" i="9" s="1"/>
  <c r="AA49" i="8"/>
  <c r="W48" i="9" s="1"/>
  <c r="N49" i="8"/>
  <c r="V48" i="9" s="1"/>
  <c r="AA48" i="8"/>
  <c r="W47" i="9" s="1"/>
  <c r="N48" i="8"/>
  <c r="V47" i="9" s="1"/>
  <c r="AA47" i="8"/>
  <c r="W46" i="9" s="1"/>
  <c r="N47" i="8"/>
  <c r="V46" i="9" s="1"/>
  <c r="AA46" i="8"/>
  <c r="W45" i="9" s="1"/>
  <c r="N46" i="8"/>
  <c r="V45" i="9" s="1"/>
  <c r="AA45" i="8"/>
  <c r="W44" i="9" s="1"/>
  <c r="N45" i="8"/>
  <c r="V44" i="9" s="1"/>
  <c r="AA44" i="8"/>
  <c r="W43" i="9" s="1"/>
  <c r="N44" i="8"/>
  <c r="V43" i="9" s="1"/>
  <c r="AA43" i="8"/>
  <c r="W42" i="9" s="1"/>
  <c r="N43" i="8"/>
  <c r="V42" i="9" s="1"/>
  <c r="AA42" i="8"/>
  <c r="W41" i="9" s="1"/>
  <c r="N42" i="8"/>
  <c r="V41" i="9" s="1"/>
  <c r="AA41" i="8"/>
  <c r="W40" i="9" s="1"/>
  <c r="N41" i="8"/>
  <c r="V40" i="9" s="1"/>
  <c r="AA40" i="8"/>
  <c r="W39" i="9" s="1"/>
  <c r="N40" i="8"/>
  <c r="V39" i="9" s="1"/>
  <c r="AA39" i="8"/>
  <c r="W38" i="9" s="1"/>
  <c r="N39" i="8"/>
  <c r="V38" i="9" s="1"/>
  <c r="AA38" i="8"/>
  <c r="W37" i="9" s="1"/>
  <c r="N38" i="8"/>
  <c r="V37" i="9" s="1"/>
  <c r="AA37" i="8"/>
  <c r="W36" i="9" s="1"/>
  <c r="N37" i="8"/>
  <c r="V36" i="9" s="1"/>
  <c r="AA36" i="8"/>
  <c r="W35" i="9" s="1"/>
  <c r="N36" i="8"/>
  <c r="V35" i="9" s="1"/>
  <c r="AA35" i="8"/>
  <c r="W34" i="9" s="1"/>
  <c r="N35" i="8"/>
  <c r="V34" i="9" s="1"/>
  <c r="AA34" i="8"/>
  <c r="W33" i="9" s="1"/>
  <c r="N34" i="8"/>
  <c r="V33" i="9" s="1"/>
  <c r="AA33" i="8"/>
  <c r="W32" i="9" s="1"/>
  <c r="N33" i="8"/>
  <c r="V32" i="9" s="1"/>
  <c r="AA32" i="8"/>
  <c r="W31" i="9" s="1"/>
  <c r="N32" i="8"/>
  <c r="V31" i="9" s="1"/>
  <c r="AA31" i="8"/>
  <c r="W30" i="9" s="1"/>
  <c r="N31" i="8"/>
  <c r="V30" i="9" s="1"/>
  <c r="AA30" i="8"/>
  <c r="W29" i="9" s="1"/>
  <c r="N30" i="8"/>
  <c r="V29" i="9" s="1"/>
  <c r="AA29" i="8"/>
  <c r="W28" i="9" s="1"/>
  <c r="N29" i="8"/>
  <c r="V28" i="9" s="1"/>
  <c r="AA28" i="8"/>
  <c r="W27" i="9" s="1"/>
  <c r="N28" i="8"/>
  <c r="V27" i="9" s="1"/>
  <c r="AA27" i="8"/>
  <c r="W26" i="9" s="1"/>
  <c r="N27" i="8"/>
  <c r="V26" i="9" s="1"/>
  <c r="AA26" i="8"/>
  <c r="W25" i="9" s="1"/>
  <c r="N26" i="8"/>
  <c r="V25" i="9" s="1"/>
  <c r="AA25" i="8"/>
  <c r="W24" i="9" s="1"/>
  <c r="N25" i="8"/>
  <c r="V24" i="9" s="1"/>
  <c r="AA24" i="8"/>
  <c r="W23" i="9" s="1"/>
  <c r="N24" i="8"/>
  <c r="V23" i="9" s="1"/>
  <c r="AA23" i="8"/>
  <c r="W22" i="9" s="1"/>
  <c r="N23" i="8"/>
  <c r="V22" i="9" s="1"/>
  <c r="AA22" i="8"/>
  <c r="W21" i="9" s="1"/>
  <c r="N22" i="8"/>
  <c r="V21" i="9" s="1"/>
  <c r="AA21" i="8"/>
  <c r="W20" i="9" s="1"/>
  <c r="N21" i="8"/>
  <c r="V20" i="9" s="1"/>
  <c r="AA20" i="8"/>
  <c r="W19" i="9" s="1"/>
  <c r="N20" i="8"/>
  <c r="V19" i="9" s="1"/>
  <c r="AA19" i="8"/>
  <c r="W18" i="9" s="1"/>
  <c r="N19" i="8"/>
  <c r="V18" i="9" s="1"/>
  <c r="AA18" i="8"/>
  <c r="W17" i="9" s="1"/>
  <c r="N18" i="8"/>
  <c r="V17" i="9" s="1"/>
  <c r="AA17" i="8"/>
  <c r="W16" i="9" s="1"/>
  <c r="N17" i="8"/>
  <c r="V16" i="9" s="1"/>
  <c r="AA16" i="8"/>
  <c r="W15" i="9" s="1"/>
  <c r="N16" i="8"/>
  <c r="V15" i="9" s="1"/>
  <c r="AA15" i="8"/>
  <c r="W14" i="9" s="1"/>
  <c r="N15" i="8"/>
  <c r="V14" i="9" s="1"/>
  <c r="AA14" i="8"/>
  <c r="W13" i="9" s="1"/>
  <c r="N14" i="8"/>
  <c r="V13" i="9" s="1"/>
  <c r="AA13" i="8"/>
  <c r="W12" i="9" s="1"/>
  <c r="N13" i="8"/>
  <c r="V12" i="9" s="1"/>
  <c r="AA12" i="8"/>
  <c r="W11" i="9" s="1"/>
  <c r="N12" i="8"/>
  <c r="V11" i="9" s="1"/>
  <c r="AA11" i="8"/>
  <c r="W10" i="9" s="1"/>
  <c r="N11" i="8"/>
  <c r="V10" i="9" s="1"/>
  <c r="AA10" i="8"/>
  <c r="W9" i="9" s="1"/>
  <c r="N10" i="8"/>
  <c r="V9" i="9" s="1"/>
  <c r="AA9" i="8"/>
  <c r="W8" i="9" s="1"/>
  <c r="N9" i="8"/>
  <c r="V8" i="9" s="1"/>
  <c r="AA8" i="8"/>
  <c r="W7" i="9" s="1"/>
  <c r="N8" i="8"/>
  <c r="V7" i="9" s="1"/>
  <c r="AA7" i="8"/>
  <c r="W6" i="9" s="1"/>
  <c r="N7" i="8"/>
  <c r="V6" i="9" s="1"/>
  <c r="AA6" i="8"/>
  <c r="W5" i="9" s="1"/>
  <c r="N6" i="8"/>
  <c r="V5" i="9" s="1"/>
  <c r="B113" i="7"/>
  <c r="I111" i="7"/>
  <c r="R292" i="10" s="1"/>
  <c r="E111" i="7"/>
  <c r="D111" i="7"/>
  <c r="F111" i="7" s="1"/>
  <c r="G111" i="7" s="1"/>
  <c r="H111" i="7" s="1"/>
  <c r="I110" i="7"/>
  <c r="R291" i="10" s="1"/>
  <c r="E110" i="7"/>
  <c r="D110" i="7"/>
  <c r="F110" i="7" s="1"/>
  <c r="G110" i="7" s="1"/>
  <c r="H110" i="7" s="1"/>
  <c r="I109" i="7"/>
  <c r="R290" i="10" s="1"/>
  <c r="E109" i="7"/>
  <c r="D109" i="7"/>
  <c r="F109" i="7" s="1"/>
  <c r="G109" i="7" s="1"/>
  <c r="H109" i="7" s="1"/>
  <c r="I108" i="7"/>
  <c r="R289" i="10" s="1"/>
  <c r="E108" i="7"/>
  <c r="D108" i="7"/>
  <c r="F108" i="7" s="1"/>
  <c r="G108" i="7" s="1"/>
  <c r="H108" i="7" s="1"/>
  <c r="I107" i="7"/>
  <c r="R288" i="10" s="1"/>
  <c r="E107" i="7"/>
  <c r="D107" i="7"/>
  <c r="F107" i="7" s="1"/>
  <c r="G107" i="7" s="1"/>
  <c r="H107" i="7" s="1"/>
  <c r="I106" i="7"/>
  <c r="R287" i="10" s="1"/>
  <c r="E106" i="7"/>
  <c r="D106" i="7"/>
  <c r="F106" i="7" s="1"/>
  <c r="G106" i="7" s="1"/>
  <c r="H106" i="7" s="1"/>
  <c r="I105" i="7"/>
  <c r="R286" i="10" s="1"/>
  <c r="E105" i="7"/>
  <c r="D105" i="7"/>
  <c r="F105" i="7" s="1"/>
  <c r="G105" i="7" s="1"/>
  <c r="H105" i="7" s="1"/>
  <c r="I104" i="7"/>
  <c r="R285" i="10" s="1"/>
  <c r="E104" i="7"/>
  <c r="D104" i="7"/>
  <c r="F104" i="7" s="1"/>
  <c r="G104" i="7" s="1"/>
  <c r="H104" i="7" s="1"/>
  <c r="I103" i="7"/>
  <c r="R284" i="10" s="1"/>
  <c r="E103" i="7"/>
  <c r="D103" i="7"/>
  <c r="F103" i="7" s="1"/>
  <c r="G103" i="7" s="1"/>
  <c r="H103" i="7" s="1"/>
  <c r="I102" i="7"/>
  <c r="R283" i="10" s="1"/>
  <c r="E102" i="7"/>
  <c r="D102" i="7"/>
  <c r="F102" i="7" s="1"/>
  <c r="G102" i="7" s="1"/>
  <c r="H102" i="7" s="1"/>
  <c r="I101" i="7"/>
  <c r="R282" i="10" s="1"/>
  <c r="E101" i="7"/>
  <c r="D101" i="7"/>
  <c r="F101" i="7" s="1"/>
  <c r="G101" i="7" s="1"/>
  <c r="H101" i="7" s="1"/>
  <c r="I100" i="7"/>
  <c r="R281" i="10" s="1"/>
  <c r="E100" i="7"/>
  <c r="D100" i="7"/>
  <c r="F100" i="7" s="1"/>
  <c r="G100" i="7" s="1"/>
  <c r="H100" i="7" s="1"/>
  <c r="I99" i="7"/>
  <c r="R280" i="10" s="1"/>
  <c r="E99" i="7"/>
  <c r="D99" i="7"/>
  <c r="F99" i="7" s="1"/>
  <c r="G99" i="7" s="1"/>
  <c r="H99" i="7" s="1"/>
  <c r="I98" i="7"/>
  <c r="R279" i="10" s="1"/>
  <c r="E98" i="7"/>
  <c r="D98" i="7"/>
  <c r="F98" i="7" s="1"/>
  <c r="G98" i="7" s="1"/>
  <c r="H98" i="7" s="1"/>
  <c r="I97" i="7"/>
  <c r="R278" i="10" s="1"/>
  <c r="E97" i="7"/>
  <c r="D97" i="7"/>
  <c r="F97" i="7" s="1"/>
  <c r="G97" i="7" s="1"/>
  <c r="H97" i="7" s="1"/>
  <c r="I96" i="7"/>
  <c r="R277" i="10" s="1"/>
  <c r="E96" i="7"/>
  <c r="D96" i="7"/>
  <c r="F96" i="7" s="1"/>
  <c r="G96" i="7" s="1"/>
  <c r="H96" i="7" s="1"/>
  <c r="I95" i="7"/>
  <c r="R276" i="10" s="1"/>
  <c r="E95" i="7"/>
  <c r="D95" i="7"/>
  <c r="F95" i="7" s="1"/>
  <c r="G95" i="7" s="1"/>
  <c r="H95" i="7" s="1"/>
  <c r="I94" i="7"/>
  <c r="R275" i="10" s="1"/>
  <c r="E94" i="7"/>
  <c r="D94" i="7"/>
  <c r="I91" i="7"/>
  <c r="B84" i="7"/>
  <c r="I82" i="7"/>
  <c r="R274" i="10" s="1"/>
  <c r="E82" i="7"/>
  <c r="D82" i="7"/>
  <c r="F82" i="7" s="1"/>
  <c r="G82" i="7" s="1"/>
  <c r="H82" i="7" s="1"/>
  <c r="I81" i="7"/>
  <c r="R273" i="10" s="1"/>
  <c r="E81" i="7"/>
  <c r="D81" i="7"/>
  <c r="F81" i="7" s="1"/>
  <c r="G81" i="7" s="1"/>
  <c r="H81" i="7" s="1"/>
  <c r="I80" i="7"/>
  <c r="R272" i="10" s="1"/>
  <c r="E80" i="7"/>
  <c r="D80" i="7"/>
  <c r="F80" i="7" s="1"/>
  <c r="G80" i="7" s="1"/>
  <c r="H80" i="7" s="1"/>
  <c r="I79" i="7"/>
  <c r="R271" i="10" s="1"/>
  <c r="E79" i="7"/>
  <c r="D79" i="7"/>
  <c r="F79" i="7" s="1"/>
  <c r="G79" i="7" s="1"/>
  <c r="H79" i="7" s="1"/>
  <c r="I78" i="7"/>
  <c r="R270" i="10" s="1"/>
  <c r="E78" i="7"/>
  <c r="D78" i="7"/>
  <c r="F78" i="7" s="1"/>
  <c r="G78" i="7" s="1"/>
  <c r="H78" i="7" s="1"/>
  <c r="I77" i="7"/>
  <c r="R269" i="10" s="1"/>
  <c r="E77" i="7"/>
  <c r="D77" i="7"/>
  <c r="F77" i="7" s="1"/>
  <c r="G77" i="7" s="1"/>
  <c r="H77" i="7" s="1"/>
  <c r="I76" i="7"/>
  <c r="R268" i="10" s="1"/>
  <c r="E76" i="7"/>
  <c r="D76" i="7"/>
  <c r="F76" i="7" s="1"/>
  <c r="G76" i="7" s="1"/>
  <c r="H76" i="7" s="1"/>
  <c r="I75" i="7"/>
  <c r="R267" i="10" s="1"/>
  <c r="E75" i="7"/>
  <c r="D75" i="7"/>
  <c r="F75" i="7" s="1"/>
  <c r="G75" i="7" s="1"/>
  <c r="H75" i="7" s="1"/>
  <c r="I74" i="7"/>
  <c r="R266" i="10" s="1"/>
  <c r="E74" i="7"/>
  <c r="D74" i="7"/>
  <c r="F74" i="7" s="1"/>
  <c r="G74" i="7" s="1"/>
  <c r="H74" i="7" s="1"/>
  <c r="I73" i="7"/>
  <c r="R265" i="10" s="1"/>
  <c r="E73" i="7"/>
  <c r="D73" i="7"/>
  <c r="F73" i="7" s="1"/>
  <c r="G73" i="7" s="1"/>
  <c r="H73" i="7" s="1"/>
  <c r="I72" i="7"/>
  <c r="R264" i="10" s="1"/>
  <c r="E72" i="7"/>
  <c r="D72" i="7"/>
  <c r="F72" i="7" s="1"/>
  <c r="G72" i="7" s="1"/>
  <c r="H72" i="7" s="1"/>
  <c r="I71" i="7"/>
  <c r="R263" i="10" s="1"/>
  <c r="E71" i="7"/>
  <c r="D71" i="7"/>
  <c r="F71" i="7" s="1"/>
  <c r="G71" i="7" s="1"/>
  <c r="H71" i="7" s="1"/>
  <c r="I70" i="7"/>
  <c r="R262" i="10" s="1"/>
  <c r="E70" i="7"/>
  <c r="D70" i="7"/>
  <c r="F70" i="7" s="1"/>
  <c r="G70" i="7" s="1"/>
  <c r="H70" i="7" s="1"/>
  <c r="I69" i="7"/>
  <c r="R261" i="10" s="1"/>
  <c r="E69" i="7"/>
  <c r="D69" i="7"/>
  <c r="F69" i="7" s="1"/>
  <c r="G69" i="7" s="1"/>
  <c r="H69" i="7" s="1"/>
  <c r="I68" i="7"/>
  <c r="R260" i="10" s="1"/>
  <c r="E68" i="7"/>
  <c r="D68" i="7"/>
  <c r="F68" i="7" s="1"/>
  <c r="G68" i="7" s="1"/>
  <c r="H68" i="7" s="1"/>
  <c r="I67" i="7"/>
  <c r="R259" i="10" s="1"/>
  <c r="E67" i="7"/>
  <c r="D67" i="7"/>
  <c r="F67" i="7" s="1"/>
  <c r="G67" i="7" s="1"/>
  <c r="H67" i="7" s="1"/>
  <c r="I66" i="7"/>
  <c r="R258" i="10" s="1"/>
  <c r="E66" i="7"/>
  <c r="D66" i="7"/>
  <c r="F66" i="7" s="1"/>
  <c r="G66" i="7" s="1"/>
  <c r="H66" i="7" s="1"/>
  <c r="I65" i="7"/>
  <c r="R257" i="10" s="1"/>
  <c r="E65" i="7"/>
  <c r="D65" i="7"/>
  <c r="I62" i="7"/>
  <c r="B55" i="7"/>
  <c r="I53" i="7"/>
  <c r="R256" i="10" s="1"/>
  <c r="E53" i="7"/>
  <c r="D53" i="7"/>
  <c r="F53" i="7" s="1"/>
  <c r="G53" i="7" s="1"/>
  <c r="H53" i="7" s="1"/>
  <c r="I52" i="7"/>
  <c r="R255" i="10" s="1"/>
  <c r="E52" i="7"/>
  <c r="D52" i="7"/>
  <c r="F52" i="7" s="1"/>
  <c r="G52" i="7" s="1"/>
  <c r="H52" i="7" s="1"/>
  <c r="I51" i="7"/>
  <c r="R254" i="10" s="1"/>
  <c r="E51" i="7"/>
  <c r="D51" i="7"/>
  <c r="F51" i="7" s="1"/>
  <c r="G51" i="7" s="1"/>
  <c r="H51" i="7" s="1"/>
  <c r="I50" i="7"/>
  <c r="R253" i="10" s="1"/>
  <c r="E50" i="7"/>
  <c r="D50" i="7"/>
  <c r="F50" i="7" s="1"/>
  <c r="G50" i="7" s="1"/>
  <c r="H50" i="7" s="1"/>
  <c r="I49" i="7"/>
  <c r="R252" i="10" s="1"/>
  <c r="E49" i="7"/>
  <c r="D49" i="7"/>
  <c r="F49" i="7" s="1"/>
  <c r="G49" i="7" s="1"/>
  <c r="H49" i="7" s="1"/>
  <c r="I48" i="7"/>
  <c r="R251" i="10" s="1"/>
  <c r="E48" i="7"/>
  <c r="D48" i="7"/>
  <c r="F48" i="7" s="1"/>
  <c r="G48" i="7" s="1"/>
  <c r="H48" i="7" s="1"/>
  <c r="I47" i="7"/>
  <c r="R250" i="10" s="1"/>
  <c r="E47" i="7"/>
  <c r="D47" i="7"/>
  <c r="F47" i="7" s="1"/>
  <c r="G47" i="7" s="1"/>
  <c r="H47" i="7" s="1"/>
  <c r="I46" i="7"/>
  <c r="R249" i="10" s="1"/>
  <c r="E46" i="7"/>
  <c r="D46" i="7"/>
  <c r="F46" i="7" s="1"/>
  <c r="G46" i="7" s="1"/>
  <c r="H46" i="7" s="1"/>
  <c r="I45" i="7"/>
  <c r="R248" i="10" s="1"/>
  <c r="E45" i="7"/>
  <c r="D45" i="7"/>
  <c r="F45" i="7" s="1"/>
  <c r="G45" i="7" s="1"/>
  <c r="H45" i="7" s="1"/>
  <c r="I44" i="7"/>
  <c r="R247" i="10" s="1"/>
  <c r="E44" i="7"/>
  <c r="D44" i="7"/>
  <c r="F44" i="7" s="1"/>
  <c r="G44" i="7" s="1"/>
  <c r="H44" i="7" s="1"/>
  <c r="I43" i="7"/>
  <c r="R246" i="10" s="1"/>
  <c r="E43" i="7"/>
  <c r="D43" i="7"/>
  <c r="F43" i="7" s="1"/>
  <c r="G43" i="7" s="1"/>
  <c r="H43" i="7" s="1"/>
  <c r="I42" i="7"/>
  <c r="R245" i="10" s="1"/>
  <c r="E42" i="7"/>
  <c r="D42" i="7"/>
  <c r="F42" i="7" s="1"/>
  <c r="G42" i="7" s="1"/>
  <c r="H42" i="7" s="1"/>
  <c r="I41" i="7"/>
  <c r="R244" i="10" s="1"/>
  <c r="E41" i="7"/>
  <c r="D41" i="7"/>
  <c r="F41" i="7" s="1"/>
  <c r="G41" i="7" s="1"/>
  <c r="H41" i="7" s="1"/>
  <c r="I40" i="7"/>
  <c r="R243" i="10" s="1"/>
  <c r="E40" i="7"/>
  <c r="D40" i="7"/>
  <c r="F40" i="7" s="1"/>
  <c r="G40" i="7" s="1"/>
  <c r="H40" i="7" s="1"/>
  <c r="I39" i="7"/>
  <c r="R242" i="10" s="1"/>
  <c r="E39" i="7"/>
  <c r="D39" i="7"/>
  <c r="F39" i="7" s="1"/>
  <c r="G39" i="7" s="1"/>
  <c r="H39" i="7" s="1"/>
  <c r="I38" i="7"/>
  <c r="R241" i="10" s="1"/>
  <c r="E38" i="7"/>
  <c r="D38" i="7"/>
  <c r="F38" i="7" s="1"/>
  <c r="G38" i="7" s="1"/>
  <c r="H38" i="7" s="1"/>
  <c r="I37" i="7"/>
  <c r="R240" i="10" s="1"/>
  <c r="E37" i="7"/>
  <c r="D37" i="7"/>
  <c r="F37" i="7" s="1"/>
  <c r="G37" i="7" s="1"/>
  <c r="H37" i="7" s="1"/>
  <c r="I36" i="7"/>
  <c r="R239" i="10" s="1"/>
  <c r="E36" i="7"/>
  <c r="D36" i="7"/>
  <c r="I33" i="7"/>
  <c r="B26" i="7"/>
  <c r="I24" i="7"/>
  <c r="R238" i="10" s="1"/>
  <c r="E24" i="7"/>
  <c r="D24" i="7"/>
  <c r="F24" i="7" s="1"/>
  <c r="G24" i="7" s="1"/>
  <c r="H24" i="7" s="1"/>
  <c r="I23" i="7"/>
  <c r="R237" i="10" s="1"/>
  <c r="E23" i="7"/>
  <c r="D23" i="7"/>
  <c r="F23" i="7" s="1"/>
  <c r="G23" i="7" s="1"/>
  <c r="H23" i="7" s="1"/>
  <c r="I22" i="7"/>
  <c r="R236" i="10" s="1"/>
  <c r="E22" i="7"/>
  <c r="D22" i="7"/>
  <c r="F22" i="7" s="1"/>
  <c r="G22" i="7" s="1"/>
  <c r="H22" i="7" s="1"/>
  <c r="I21" i="7"/>
  <c r="R235" i="10" s="1"/>
  <c r="E21" i="7"/>
  <c r="D21" i="7"/>
  <c r="F21" i="7" s="1"/>
  <c r="G21" i="7" s="1"/>
  <c r="H21" i="7" s="1"/>
  <c r="I20" i="7"/>
  <c r="R234" i="10" s="1"/>
  <c r="E20" i="7"/>
  <c r="D20" i="7"/>
  <c r="F20" i="7" s="1"/>
  <c r="G20" i="7" s="1"/>
  <c r="H20" i="7" s="1"/>
  <c r="I19" i="7"/>
  <c r="R233" i="10" s="1"/>
  <c r="E19" i="7"/>
  <c r="D19" i="7"/>
  <c r="F19" i="7" s="1"/>
  <c r="G19" i="7" s="1"/>
  <c r="H19" i="7" s="1"/>
  <c r="I18" i="7"/>
  <c r="R232" i="10" s="1"/>
  <c r="E18" i="7"/>
  <c r="D18" i="7"/>
  <c r="F18" i="7" s="1"/>
  <c r="G18" i="7" s="1"/>
  <c r="H18" i="7" s="1"/>
  <c r="I17" i="7"/>
  <c r="R231" i="10" s="1"/>
  <c r="E17" i="7"/>
  <c r="D17" i="7"/>
  <c r="F17" i="7" s="1"/>
  <c r="G17" i="7" s="1"/>
  <c r="H17" i="7" s="1"/>
  <c r="I16" i="7"/>
  <c r="R230" i="10" s="1"/>
  <c r="E16" i="7"/>
  <c r="D16" i="7"/>
  <c r="F16" i="7" s="1"/>
  <c r="G16" i="7" s="1"/>
  <c r="H16" i="7" s="1"/>
  <c r="I15" i="7"/>
  <c r="R229" i="10" s="1"/>
  <c r="E15" i="7"/>
  <c r="D15" i="7"/>
  <c r="F15" i="7" s="1"/>
  <c r="G15" i="7" s="1"/>
  <c r="H15" i="7" s="1"/>
  <c r="I14" i="7"/>
  <c r="R228" i="10" s="1"/>
  <c r="E14" i="7"/>
  <c r="D14" i="7"/>
  <c r="F14" i="7" s="1"/>
  <c r="G14" i="7" s="1"/>
  <c r="H14" i="7" s="1"/>
  <c r="I13" i="7"/>
  <c r="R227" i="10" s="1"/>
  <c r="E13" i="7"/>
  <c r="D13" i="7"/>
  <c r="F13" i="7" s="1"/>
  <c r="G13" i="7" s="1"/>
  <c r="H13" i="7" s="1"/>
  <c r="I12" i="7"/>
  <c r="R226" i="10" s="1"/>
  <c r="E12" i="7"/>
  <c r="D12" i="7"/>
  <c r="F12" i="7" s="1"/>
  <c r="G12" i="7" s="1"/>
  <c r="H12" i="7" s="1"/>
  <c r="I11" i="7"/>
  <c r="R225" i="10" s="1"/>
  <c r="E11" i="7"/>
  <c r="D11" i="7"/>
  <c r="F11" i="7" s="1"/>
  <c r="G11" i="7" s="1"/>
  <c r="H11" i="7" s="1"/>
  <c r="I10" i="7"/>
  <c r="R224" i="10" s="1"/>
  <c r="E10" i="7"/>
  <c r="D10" i="7"/>
  <c r="F10" i="7" s="1"/>
  <c r="G10" i="7" s="1"/>
  <c r="H10" i="7" s="1"/>
  <c r="I9" i="7"/>
  <c r="R223" i="10" s="1"/>
  <c r="E9" i="7"/>
  <c r="D9" i="7"/>
  <c r="F9" i="7" s="1"/>
  <c r="G9" i="7" s="1"/>
  <c r="H9" i="7" s="1"/>
  <c r="I8" i="7"/>
  <c r="R222" i="10" s="1"/>
  <c r="E8" i="7"/>
  <c r="D8" i="7"/>
  <c r="F8" i="7" s="1"/>
  <c r="G8" i="7" s="1"/>
  <c r="H8" i="7" s="1"/>
  <c r="I7" i="7"/>
  <c r="R221" i="10" s="1"/>
  <c r="E7" i="7"/>
  <c r="D7" i="7"/>
  <c r="I4" i="7"/>
  <c r="B113" i="6"/>
  <c r="I111" i="6"/>
  <c r="R220" i="10" s="1"/>
  <c r="E111" i="6"/>
  <c r="D111" i="6"/>
  <c r="F111" i="6" s="1"/>
  <c r="G111" i="6" s="1"/>
  <c r="H111" i="6" s="1"/>
  <c r="I110" i="6"/>
  <c r="R219" i="10" s="1"/>
  <c r="E110" i="6"/>
  <c r="D110" i="6"/>
  <c r="F110" i="6" s="1"/>
  <c r="G110" i="6" s="1"/>
  <c r="H110" i="6" s="1"/>
  <c r="I109" i="6"/>
  <c r="R218" i="10" s="1"/>
  <c r="E109" i="6"/>
  <c r="D109" i="6"/>
  <c r="F109" i="6" s="1"/>
  <c r="G109" i="6" s="1"/>
  <c r="H109" i="6" s="1"/>
  <c r="I108" i="6"/>
  <c r="R217" i="10" s="1"/>
  <c r="E108" i="6"/>
  <c r="D108" i="6"/>
  <c r="F108" i="6" s="1"/>
  <c r="G108" i="6" s="1"/>
  <c r="H108" i="6" s="1"/>
  <c r="I107" i="6"/>
  <c r="R216" i="10" s="1"/>
  <c r="E107" i="6"/>
  <c r="D107" i="6"/>
  <c r="F107" i="6" s="1"/>
  <c r="G107" i="6" s="1"/>
  <c r="H107" i="6" s="1"/>
  <c r="I106" i="6"/>
  <c r="R215" i="10" s="1"/>
  <c r="E106" i="6"/>
  <c r="D106" i="6"/>
  <c r="I105" i="6"/>
  <c r="R214" i="10" s="1"/>
  <c r="E105" i="6"/>
  <c r="D105" i="6"/>
  <c r="I104" i="6"/>
  <c r="R213" i="10" s="1"/>
  <c r="E104" i="6"/>
  <c r="D104" i="6"/>
  <c r="I103" i="6"/>
  <c r="R212" i="10" s="1"/>
  <c r="E103" i="6"/>
  <c r="D103" i="6"/>
  <c r="I102" i="6"/>
  <c r="R211" i="10" s="1"/>
  <c r="E102" i="6"/>
  <c r="D102" i="6"/>
  <c r="I101" i="6"/>
  <c r="R210" i="10" s="1"/>
  <c r="E101" i="6"/>
  <c r="D101" i="6"/>
  <c r="I100" i="6"/>
  <c r="R209" i="10" s="1"/>
  <c r="E100" i="6"/>
  <c r="D100" i="6"/>
  <c r="I99" i="6"/>
  <c r="R208" i="10" s="1"/>
  <c r="E99" i="6"/>
  <c r="D99" i="6"/>
  <c r="I98" i="6"/>
  <c r="R207" i="10" s="1"/>
  <c r="E98" i="6"/>
  <c r="D98" i="6"/>
  <c r="I97" i="6"/>
  <c r="R206" i="10" s="1"/>
  <c r="E97" i="6"/>
  <c r="D97" i="6"/>
  <c r="I96" i="6"/>
  <c r="R205" i="10" s="1"/>
  <c r="E96" i="6"/>
  <c r="D96" i="6"/>
  <c r="I95" i="6"/>
  <c r="R204" i="10" s="1"/>
  <c r="E95" i="6"/>
  <c r="D95" i="6"/>
  <c r="I94" i="6"/>
  <c r="E94" i="6"/>
  <c r="D94" i="6"/>
  <c r="B84" i="6"/>
  <c r="I82" i="6"/>
  <c r="R202" i="10" s="1"/>
  <c r="E82" i="6"/>
  <c r="D82" i="6"/>
  <c r="F82" i="6" s="1"/>
  <c r="G82" i="6" s="1"/>
  <c r="H82" i="6" s="1"/>
  <c r="I81" i="6"/>
  <c r="R201" i="10" s="1"/>
  <c r="E81" i="6"/>
  <c r="D81" i="6"/>
  <c r="F81" i="6" s="1"/>
  <c r="G81" i="6" s="1"/>
  <c r="H81" i="6" s="1"/>
  <c r="I80" i="6"/>
  <c r="R200" i="10" s="1"/>
  <c r="E80" i="6"/>
  <c r="D80" i="6"/>
  <c r="F80" i="6" s="1"/>
  <c r="G80" i="6" s="1"/>
  <c r="H80" i="6" s="1"/>
  <c r="I79" i="6"/>
  <c r="R199" i="10" s="1"/>
  <c r="E79" i="6"/>
  <c r="D79" i="6"/>
  <c r="F79" i="6" s="1"/>
  <c r="G79" i="6" s="1"/>
  <c r="H79" i="6" s="1"/>
  <c r="I78" i="6"/>
  <c r="R198" i="10" s="1"/>
  <c r="E78" i="6"/>
  <c r="D78" i="6"/>
  <c r="F78" i="6" s="1"/>
  <c r="G78" i="6" s="1"/>
  <c r="H78" i="6" s="1"/>
  <c r="I77" i="6"/>
  <c r="R197" i="10" s="1"/>
  <c r="E77" i="6"/>
  <c r="D77" i="6"/>
  <c r="F77" i="6" s="1"/>
  <c r="G77" i="6" s="1"/>
  <c r="H77" i="6" s="1"/>
  <c r="I76" i="6"/>
  <c r="R196" i="10" s="1"/>
  <c r="E76" i="6"/>
  <c r="D76" i="6"/>
  <c r="I75" i="6"/>
  <c r="R195" i="10" s="1"/>
  <c r="E75" i="6"/>
  <c r="D75" i="6"/>
  <c r="I74" i="6"/>
  <c r="R194" i="10" s="1"/>
  <c r="E74" i="6"/>
  <c r="D74" i="6"/>
  <c r="I73" i="6"/>
  <c r="R193" i="10" s="1"/>
  <c r="E73" i="6"/>
  <c r="D73" i="6"/>
  <c r="I72" i="6"/>
  <c r="R192" i="10" s="1"/>
  <c r="E72" i="6"/>
  <c r="D72" i="6"/>
  <c r="I71" i="6"/>
  <c r="R191" i="10" s="1"/>
  <c r="E71" i="6"/>
  <c r="D71" i="6"/>
  <c r="I70" i="6"/>
  <c r="R190" i="10" s="1"/>
  <c r="E70" i="6"/>
  <c r="D70" i="6"/>
  <c r="I69" i="6"/>
  <c r="R189" i="10" s="1"/>
  <c r="E69" i="6"/>
  <c r="D69" i="6"/>
  <c r="I68" i="6"/>
  <c r="R188" i="10" s="1"/>
  <c r="E68" i="6"/>
  <c r="D68" i="6"/>
  <c r="I67" i="6"/>
  <c r="R187" i="10" s="1"/>
  <c r="E67" i="6"/>
  <c r="D67" i="6"/>
  <c r="I66" i="6"/>
  <c r="R186" i="10" s="1"/>
  <c r="E66" i="6"/>
  <c r="D66" i="6"/>
  <c r="I65" i="6"/>
  <c r="E65" i="6"/>
  <c r="D65" i="6"/>
  <c r="B55" i="6"/>
  <c r="I53" i="6"/>
  <c r="R184" i="10" s="1"/>
  <c r="E53" i="6"/>
  <c r="D53" i="6"/>
  <c r="F53" i="6" s="1"/>
  <c r="G53" i="6" s="1"/>
  <c r="H53" i="6" s="1"/>
  <c r="I52" i="6"/>
  <c r="R183" i="10" s="1"/>
  <c r="E52" i="6"/>
  <c r="D52" i="6"/>
  <c r="F52" i="6" s="1"/>
  <c r="G52" i="6" s="1"/>
  <c r="H52" i="6" s="1"/>
  <c r="I51" i="6"/>
  <c r="R182" i="10" s="1"/>
  <c r="E51" i="6"/>
  <c r="D51" i="6"/>
  <c r="F51" i="6" s="1"/>
  <c r="G51" i="6" s="1"/>
  <c r="H51" i="6" s="1"/>
  <c r="I50" i="6"/>
  <c r="R181" i="10" s="1"/>
  <c r="E50" i="6"/>
  <c r="D50" i="6"/>
  <c r="F50" i="6" s="1"/>
  <c r="G50" i="6" s="1"/>
  <c r="H50" i="6" s="1"/>
  <c r="I49" i="6"/>
  <c r="R180" i="10" s="1"/>
  <c r="E49" i="6"/>
  <c r="D49" i="6"/>
  <c r="F49" i="6" s="1"/>
  <c r="G49" i="6" s="1"/>
  <c r="H49" i="6" s="1"/>
  <c r="I48" i="6"/>
  <c r="R179" i="10" s="1"/>
  <c r="E48" i="6"/>
  <c r="D48" i="6"/>
  <c r="F48" i="6" s="1"/>
  <c r="G48" i="6" s="1"/>
  <c r="H48" i="6" s="1"/>
  <c r="I47" i="6"/>
  <c r="R178" i="10" s="1"/>
  <c r="E47" i="6"/>
  <c r="D47" i="6"/>
  <c r="F47" i="6" s="1"/>
  <c r="G47" i="6" s="1"/>
  <c r="H47" i="6" s="1"/>
  <c r="I46" i="6"/>
  <c r="R177" i="10" s="1"/>
  <c r="E46" i="6"/>
  <c r="D46" i="6"/>
  <c r="F46" i="6" s="1"/>
  <c r="G46" i="6" s="1"/>
  <c r="H46" i="6" s="1"/>
  <c r="I45" i="6"/>
  <c r="R176" i="10" s="1"/>
  <c r="E45" i="6"/>
  <c r="D45" i="6"/>
  <c r="I44" i="6"/>
  <c r="R175" i="10" s="1"/>
  <c r="E44" i="6"/>
  <c r="D44" i="6"/>
  <c r="I43" i="6"/>
  <c r="R174" i="10" s="1"/>
  <c r="E43" i="6"/>
  <c r="D43" i="6"/>
  <c r="I42" i="6"/>
  <c r="R173" i="10" s="1"/>
  <c r="E42" i="6"/>
  <c r="D42" i="6"/>
  <c r="I41" i="6"/>
  <c r="R172" i="10" s="1"/>
  <c r="E41" i="6"/>
  <c r="D41" i="6"/>
  <c r="I40" i="6"/>
  <c r="R171" i="10" s="1"/>
  <c r="E40" i="6"/>
  <c r="D40" i="6"/>
  <c r="I39" i="6"/>
  <c r="R170" i="10" s="1"/>
  <c r="E39" i="6"/>
  <c r="D39" i="6"/>
  <c r="I38" i="6"/>
  <c r="R169" i="10" s="1"/>
  <c r="E38" i="6"/>
  <c r="D38" i="6"/>
  <c r="I37" i="6"/>
  <c r="R168" i="10" s="1"/>
  <c r="E37" i="6"/>
  <c r="D37" i="6"/>
  <c r="I36" i="6"/>
  <c r="E36" i="6"/>
  <c r="D36" i="6"/>
  <c r="B26" i="6"/>
  <c r="I24" i="6"/>
  <c r="R166" i="10" s="1"/>
  <c r="E24" i="6"/>
  <c r="D24" i="6"/>
  <c r="F24" i="6" s="1"/>
  <c r="G24" i="6" s="1"/>
  <c r="H24" i="6" s="1"/>
  <c r="I23" i="6"/>
  <c r="R165" i="10" s="1"/>
  <c r="E23" i="6"/>
  <c r="D23" i="6"/>
  <c r="F23" i="6" s="1"/>
  <c r="G23" i="6" s="1"/>
  <c r="H23" i="6" s="1"/>
  <c r="I22" i="6"/>
  <c r="R164" i="10" s="1"/>
  <c r="E22" i="6"/>
  <c r="D22" i="6"/>
  <c r="F22" i="6" s="1"/>
  <c r="G22" i="6" s="1"/>
  <c r="H22" i="6" s="1"/>
  <c r="I21" i="6"/>
  <c r="R163" i="10" s="1"/>
  <c r="E21" i="6"/>
  <c r="D21" i="6"/>
  <c r="F21" i="6" s="1"/>
  <c r="G21" i="6" s="1"/>
  <c r="H21" i="6" s="1"/>
  <c r="I20" i="6"/>
  <c r="R162" i="10" s="1"/>
  <c r="E20" i="6"/>
  <c r="D20" i="6"/>
  <c r="F20" i="6" s="1"/>
  <c r="G20" i="6" s="1"/>
  <c r="H20" i="6" s="1"/>
  <c r="I19" i="6"/>
  <c r="R161" i="10" s="1"/>
  <c r="E19" i="6"/>
  <c r="D19" i="6"/>
  <c r="F19" i="6" s="1"/>
  <c r="G19" i="6" s="1"/>
  <c r="H19" i="6" s="1"/>
  <c r="I18" i="6"/>
  <c r="R160" i="10" s="1"/>
  <c r="E18" i="6"/>
  <c r="D18" i="6"/>
  <c r="F18" i="6" s="1"/>
  <c r="G18" i="6" s="1"/>
  <c r="H18" i="6" s="1"/>
  <c r="I17" i="6"/>
  <c r="R159" i="10" s="1"/>
  <c r="E17" i="6"/>
  <c r="D17" i="6"/>
  <c r="F17" i="6" s="1"/>
  <c r="G17" i="6" s="1"/>
  <c r="H17" i="6" s="1"/>
  <c r="I16" i="6"/>
  <c r="R158" i="10" s="1"/>
  <c r="E16" i="6"/>
  <c r="D16" i="6"/>
  <c r="F16" i="6" s="1"/>
  <c r="G16" i="6" s="1"/>
  <c r="H16" i="6" s="1"/>
  <c r="I15" i="6"/>
  <c r="R157" i="10" s="1"/>
  <c r="E15" i="6"/>
  <c r="D15" i="6"/>
  <c r="I14" i="6"/>
  <c r="R156" i="10" s="1"/>
  <c r="E14" i="6"/>
  <c r="D14" i="6"/>
  <c r="I13" i="6"/>
  <c r="R155" i="10" s="1"/>
  <c r="E13" i="6"/>
  <c r="D13" i="6"/>
  <c r="I12" i="6"/>
  <c r="R154" i="10" s="1"/>
  <c r="E12" i="6"/>
  <c r="D12" i="6"/>
  <c r="I11" i="6"/>
  <c r="R153" i="10" s="1"/>
  <c r="E11" i="6"/>
  <c r="D11" i="6"/>
  <c r="I10" i="6"/>
  <c r="R152" i="10" s="1"/>
  <c r="E10" i="6"/>
  <c r="D10" i="6"/>
  <c r="I9" i="6"/>
  <c r="R151" i="10" s="1"/>
  <c r="E9" i="6"/>
  <c r="D9" i="6"/>
  <c r="I8" i="6"/>
  <c r="R150" i="10" s="1"/>
  <c r="E8" i="6"/>
  <c r="D8" i="6"/>
  <c r="I7" i="6"/>
  <c r="E7" i="6"/>
  <c r="D7" i="6"/>
  <c r="B113" i="5"/>
  <c r="I111" i="5"/>
  <c r="R148" i="10" s="1"/>
  <c r="E111" i="5"/>
  <c r="D111" i="5"/>
  <c r="F111" i="5" s="1"/>
  <c r="G111" i="5" s="1"/>
  <c r="H111" i="5" s="1"/>
  <c r="I110" i="5"/>
  <c r="R147" i="10" s="1"/>
  <c r="E110" i="5"/>
  <c r="D110" i="5"/>
  <c r="F110" i="5" s="1"/>
  <c r="G110" i="5" s="1"/>
  <c r="H110" i="5" s="1"/>
  <c r="I109" i="5"/>
  <c r="R146" i="10" s="1"/>
  <c r="E109" i="5"/>
  <c r="D109" i="5"/>
  <c r="F109" i="5" s="1"/>
  <c r="G109" i="5" s="1"/>
  <c r="H109" i="5" s="1"/>
  <c r="I108" i="5"/>
  <c r="R145" i="10" s="1"/>
  <c r="E108" i="5"/>
  <c r="D108" i="5"/>
  <c r="F108" i="5" s="1"/>
  <c r="G108" i="5" s="1"/>
  <c r="H108" i="5" s="1"/>
  <c r="I107" i="5"/>
  <c r="R144" i="10" s="1"/>
  <c r="E107" i="5"/>
  <c r="D107" i="5"/>
  <c r="F107" i="5" s="1"/>
  <c r="G107" i="5" s="1"/>
  <c r="H107" i="5" s="1"/>
  <c r="I106" i="5"/>
  <c r="R143" i="10" s="1"/>
  <c r="E106" i="5"/>
  <c r="D106" i="5"/>
  <c r="F106" i="5" s="1"/>
  <c r="G106" i="5" s="1"/>
  <c r="H106" i="5" s="1"/>
  <c r="I105" i="5"/>
  <c r="R142" i="10" s="1"/>
  <c r="E105" i="5"/>
  <c r="D105" i="5"/>
  <c r="F105" i="5" s="1"/>
  <c r="G105" i="5" s="1"/>
  <c r="H105" i="5" s="1"/>
  <c r="I104" i="5"/>
  <c r="R141" i="10" s="1"/>
  <c r="E104" i="5"/>
  <c r="D104" i="5"/>
  <c r="F104" i="5" s="1"/>
  <c r="G104" i="5" s="1"/>
  <c r="H104" i="5" s="1"/>
  <c r="I103" i="5"/>
  <c r="R140" i="10" s="1"/>
  <c r="E103" i="5"/>
  <c r="D103" i="5"/>
  <c r="F103" i="5" s="1"/>
  <c r="G103" i="5" s="1"/>
  <c r="H103" i="5" s="1"/>
  <c r="I102" i="5"/>
  <c r="R139" i="10" s="1"/>
  <c r="E102" i="5"/>
  <c r="D102" i="5"/>
  <c r="F102" i="5" s="1"/>
  <c r="G102" i="5" s="1"/>
  <c r="H102" i="5" s="1"/>
  <c r="I101" i="5"/>
  <c r="R138" i="10" s="1"/>
  <c r="E101" i="5"/>
  <c r="D101" i="5"/>
  <c r="F101" i="5" s="1"/>
  <c r="G101" i="5" s="1"/>
  <c r="H101" i="5" s="1"/>
  <c r="I100" i="5"/>
  <c r="R137" i="10" s="1"/>
  <c r="E100" i="5"/>
  <c r="D100" i="5"/>
  <c r="I99" i="5"/>
  <c r="R136" i="10" s="1"/>
  <c r="E99" i="5"/>
  <c r="D99" i="5"/>
  <c r="I98" i="5"/>
  <c r="R135" i="10" s="1"/>
  <c r="E98" i="5"/>
  <c r="D98" i="5"/>
  <c r="I97" i="5"/>
  <c r="R134" i="10" s="1"/>
  <c r="E97" i="5"/>
  <c r="D97" i="5"/>
  <c r="I96" i="5"/>
  <c r="R133" i="10" s="1"/>
  <c r="E96" i="5"/>
  <c r="D96" i="5"/>
  <c r="I95" i="5"/>
  <c r="R132" i="10" s="1"/>
  <c r="E95" i="5"/>
  <c r="D95" i="5"/>
  <c r="I94" i="5"/>
  <c r="E94" i="5"/>
  <c r="D94" i="5"/>
  <c r="B84" i="5"/>
  <c r="I82" i="5"/>
  <c r="R130" i="10" s="1"/>
  <c r="E82" i="5"/>
  <c r="D82" i="5"/>
  <c r="F82" i="5" s="1"/>
  <c r="G82" i="5" s="1"/>
  <c r="H82" i="5" s="1"/>
  <c r="I81" i="5"/>
  <c r="R129" i="10" s="1"/>
  <c r="E81" i="5"/>
  <c r="D81" i="5"/>
  <c r="F81" i="5" s="1"/>
  <c r="G81" i="5" s="1"/>
  <c r="H81" i="5" s="1"/>
  <c r="I80" i="5"/>
  <c r="R128" i="10" s="1"/>
  <c r="E80" i="5"/>
  <c r="D80" i="5"/>
  <c r="F80" i="5" s="1"/>
  <c r="G80" i="5" s="1"/>
  <c r="H80" i="5" s="1"/>
  <c r="I79" i="5"/>
  <c r="R127" i="10" s="1"/>
  <c r="E79" i="5"/>
  <c r="D79" i="5"/>
  <c r="F79" i="5" s="1"/>
  <c r="G79" i="5" s="1"/>
  <c r="H79" i="5" s="1"/>
  <c r="I78" i="5"/>
  <c r="R126" i="10" s="1"/>
  <c r="E78" i="5"/>
  <c r="D78" i="5"/>
  <c r="F78" i="5" s="1"/>
  <c r="G78" i="5" s="1"/>
  <c r="H78" i="5" s="1"/>
  <c r="I77" i="5"/>
  <c r="R125" i="10" s="1"/>
  <c r="E77" i="5"/>
  <c r="D77" i="5"/>
  <c r="F77" i="5" s="1"/>
  <c r="G77" i="5" s="1"/>
  <c r="H77" i="5" s="1"/>
  <c r="I76" i="5"/>
  <c r="R124" i="10" s="1"/>
  <c r="E76" i="5"/>
  <c r="D76" i="5"/>
  <c r="F76" i="5" s="1"/>
  <c r="G76" i="5" s="1"/>
  <c r="H76" i="5" s="1"/>
  <c r="I75" i="5"/>
  <c r="R123" i="10" s="1"/>
  <c r="E75" i="5"/>
  <c r="D75" i="5"/>
  <c r="F75" i="5" s="1"/>
  <c r="G75" i="5" s="1"/>
  <c r="H75" i="5" s="1"/>
  <c r="I74" i="5"/>
  <c r="R122" i="10" s="1"/>
  <c r="E74" i="5"/>
  <c r="D74" i="5"/>
  <c r="F74" i="5" s="1"/>
  <c r="G74" i="5" s="1"/>
  <c r="H74" i="5" s="1"/>
  <c r="I73" i="5"/>
  <c r="R121" i="10" s="1"/>
  <c r="E73" i="5"/>
  <c r="D73" i="5"/>
  <c r="F73" i="5" s="1"/>
  <c r="G73" i="5" s="1"/>
  <c r="H73" i="5" s="1"/>
  <c r="I72" i="5"/>
  <c r="R120" i="10" s="1"/>
  <c r="E72" i="5"/>
  <c r="D72" i="5"/>
  <c r="F72" i="5" s="1"/>
  <c r="G72" i="5" s="1"/>
  <c r="H72" i="5" s="1"/>
  <c r="I71" i="5"/>
  <c r="R119" i="10" s="1"/>
  <c r="E71" i="5"/>
  <c r="D71" i="5"/>
  <c r="I70" i="5"/>
  <c r="R118" i="10" s="1"/>
  <c r="E70" i="5"/>
  <c r="D70" i="5"/>
  <c r="I69" i="5"/>
  <c r="R117" i="10" s="1"/>
  <c r="E69" i="5"/>
  <c r="D69" i="5"/>
  <c r="I68" i="5"/>
  <c r="R116" i="10" s="1"/>
  <c r="E68" i="5"/>
  <c r="D68" i="5"/>
  <c r="I67" i="5"/>
  <c r="R115" i="10" s="1"/>
  <c r="E67" i="5"/>
  <c r="D67" i="5"/>
  <c r="I66" i="5"/>
  <c r="R114" i="10" s="1"/>
  <c r="E66" i="5"/>
  <c r="D66" i="5"/>
  <c r="I65" i="5"/>
  <c r="E65" i="5"/>
  <c r="D65" i="5"/>
  <c r="B55" i="5"/>
  <c r="I53" i="5"/>
  <c r="R112" i="10" s="1"/>
  <c r="E53" i="5"/>
  <c r="D53" i="5"/>
  <c r="F53" i="5" s="1"/>
  <c r="G53" i="5" s="1"/>
  <c r="H53" i="5" s="1"/>
  <c r="I52" i="5"/>
  <c r="R111" i="10" s="1"/>
  <c r="E52" i="5"/>
  <c r="D52" i="5"/>
  <c r="F52" i="5" s="1"/>
  <c r="G52" i="5" s="1"/>
  <c r="H52" i="5" s="1"/>
  <c r="I51" i="5"/>
  <c r="R110" i="10" s="1"/>
  <c r="E51" i="5"/>
  <c r="D51" i="5"/>
  <c r="F51" i="5" s="1"/>
  <c r="G51" i="5" s="1"/>
  <c r="H51" i="5" s="1"/>
  <c r="I50" i="5"/>
  <c r="R109" i="10" s="1"/>
  <c r="E50" i="5"/>
  <c r="D50" i="5"/>
  <c r="F50" i="5" s="1"/>
  <c r="G50" i="5" s="1"/>
  <c r="H50" i="5" s="1"/>
  <c r="I49" i="5"/>
  <c r="R108" i="10" s="1"/>
  <c r="E49" i="5"/>
  <c r="D49" i="5"/>
  <c r="F49" i="5" s="1"/>
  <c r="G49" i="5" s="1"/>
  <c r="H49" i="5" s="1"/>
  <c r="I48" i="5"/>
  <c r="R107" i="10" s="1"/>
  <c r="E48" i="5"/>
  <c r="D48" i="5"/>
  <c r="F48" i="5" s="1"/>
  <c r="G48" i="5" s="1"/>
  <c r="H48" i="5" s="1"/>
  <c r="I47" i="5"/>
  <c r="R106" i="10" s="1"/>
  <c r="E47" i="5"/>
  <c r="D47" i="5"/>
  <c r="F47" i="5" s="1"/>
  <c r="G47" i="5" s="1"/>
  <c r="H47" i="5" s="1"/>
  <c r="I46" i="5"/>
  <c r="R105" i="10" s="1"/>
  <c r="E46" i="5"/>
  <c r="D46" i="5"/>
  <c r="F46" i="5" s="1"/>
  <c r="G46" i="5" s="1"/>
  <c r="H46" i="5" s="1"/>
  <c r="I45" i="5"/>
  <c r="R104" i="10" s="1"/>
  <c r="E45" i="5"/>
  <c r="D45" i="5"/>
  <c r="F45" i="5" s="1"/>
  <c r="G45" i="5" s="1"/>
  <c r="H45" i="5" s="1"/>
  <c r="I44" i="5"/>
  <c r="R103" i="10" s="1"/>
  <c r="E44" i="5"/>
  <c r="D44" i="5"/>
  <c r="F44" i="5" s="1"/>
  <c r="G44" i="5" s="1"/>
  <c r="H44" i="5" s="1"/>
  <c r="I43" i="5"/>
  <c r="R102" i="10" s="1"/>
  <c r="E43" i="5"/>
  <c r="D43" i="5"/>
  <c r="F43" i="5" s="1"/>
  <c r="G43" i="5" s="1"/>
  <c r="H43" i="5" s="1"/>
  <c r="I42" i="5"/>
  <c r="R101" i="10" s="1"/>
  <c r="E42" i="5"/>
  <c r="D42" i="5"/>
  <c r="F42" i="5" s="1"/>
  <c r="G42" i="5" s="1"/>
  <c r="H42" i="5" s="1"/>
  <c r="I41" i="5"/>
  <c r="R100" i="10" s="1"/>
  <c r="E41" i="5"/>
  <c r="D41" i="5"/>
  <c r="I40" i="5"/>
  <c r="R99" i="10" s="1"/>
  <c r="E40" i="5"/>
  <c r="D40" i="5"/>
  <c r="I39" i="5"/>
  <c r="R98" i="10" s="1"/>
  <c r="E39" i="5"/>
  <c r="D39" i="5"/>
  <c r="I38" i="5"/>
  <c r="R97" i="10" s="1"/>
  <c r="E38" i="5"/>
  <c r="D38" i="5"/>
  <c r="I37" i="5"/>
  <c r="R96" i="10" s="1"/>
  <c r="E37" i="5"/>
  <c r="D37" i="5"/>
  <c r="I36" i="5"/>
  <c r="E36" i="5"/>
  <c r="D36" i="5"/>
  <c r="B26" i="5"/>
  <c r="I24" i="5"/>
  <c r="R94" i="10" s="1"/>
  <c r="E24" i="5"/>
  <c r="D24" i="5"/>
  <c r="F24" i="5" s="1"/>
  <c r="G24" i="5" s="1"/>
  <c r="H24" i="5" s="1"/>
  <c r="I23" i="5"/>
  <c r="R93" i="10" s="1"/>
  <c r="E23" i="5"/>
  <c r="D23" i="5"/>
  <c r="F23" i="5" s="1"/>
  <c r="G23" i="5" s="1"/>
  <c r="H23" i="5" s="1"/>
  <c r="I22" i="5"/>
  <c r="R92" i="10" s="1"/>
  <c r="E22" i="5"/>
  <c r="D22" i="5"/>
  <c r="F22" i="5" s="1"/>
  <c r="G22" i="5" s="1"/>
  <c r="H22" i="5" s="1"/>
  <c r="I21" i="5"/>
  <c r="R91" i="10" s="1"/>
  <c r="E21" i="5"/>
  <c r="D21" i="5"/>
  <c r="F21" i="5" s="1"/>
  <c r="G21" i="5" s="1"/>
  <c r="H21" i="5" s="1"/>
  <c r="I20" i="5"/>
  <c r="R90" i="10" s="1"/>
  <c r="E20" i="5"/>
  <c r="D20" i="5"/>
  <c r="F20" i="5" s="1"/>
  <c r="G20" i="5" s="1"/>
  <c r="H20" i="5" s="1"/>
  <c r="I19" i="5"/>
  <c r="R89" i="10" s="1"/>
  <c r="E19" i="5"/>
  <c r="D19" i="5"/>
  <c r="F19" i="5" s="1"/>
  <c r="G19" i="5" s="1"/>
  <c r="H19" i="5" s="1"/>
  <c r="I18" i="5"/>
  <c r="R88" i="10" s="1"/>
  <c r="E18" i="5"/>
  <c r="D18" i="5"/>
  <c r="F18" i="5" s="1"/>
  <c r="G18" i="5" s="1"/>
  <c r="H18" i="5" s="1"/>
  <c r="I17" i="5"/>
  <c r="R87" i="10" s="1"/>
  <c r="E17" i="5"/>
  <c r="D17" i="5"/>
  <c r="F17" i="5" s="1"/>
  <c r="G17" i="5" s="1"/>
  <c r="H17" i="5" s="1"/>
  <c r="I16" i="5"/>
  <c r="R86" i="10" s="1"/>
  <c r="E16" i="5"/>
  <c r="D16" i="5"/>
  <c r="F16" i="5" s="1"/>
  <c r="G16" i="5" s="1"/>
  <c r="H16" i="5" s="1"/>
  <c r="I15" i="5"/>
  <c r="R85" i="10" s="1"/>
  <c r="E15" i="5"/>
  <c r="D15" i="5"/>
  <c r="F15" i="5" s="1"/>
  <c r="G15" i="5" s="1"/>
  <c r="H15" i="5" s="1"/>
  <c r="I14" i="5"/>
  <c r="R84" i="10" s="1"/>
  <c r="E14" i="5"/>
  <c r="D14" i="5"/>
  <c r="F14" i="5" s="1"/>
  <c r="G14" i="5" s="1"/>
  <c r="H14" i="5" s="1"/>
  <c r="I13" i="5"/>
  <c r="R83" i="10" s="1"/>
  <c r="E13" i="5"/>
  <c r="D13" i="5"/>
  <c r="F13" i="5" s="1"/>
  <c r="G13" i="5" s="1"/>
  <c r="H13" i="5" s="1"/>
  <c r="I12" i="5"/>
  <c r="R82" i="10" s="1"/>
  <c r="E12" i="5"/>
  <c r="D12" i="5"/>
  <c r="I11" i="5"/>
  <c r="R81" i="10" s="1"/>
  <c r="E11" i="5"/>
  <c r="D11" i="5"/>
  <c r="I10" i="5"/>
  <c r="R80" i="10" s="1"/>
  <c r="E10" i="5"/>
  <c r="D10" i="5"/>
  <c r="I9" i="5"/>
  <c r="R79" i="10" s="1"/>
  <c r="E9" i="5"/>
  <c r="D9" i="5"/>
  <c r="I8" i="5"/>
  <c r="R78" i="10" s="1"/>
  <c r="E8" i="5"/>
  <c r="D8" i="5"/>
  <c r="I7" i="5"/>
  <c r="E7" i="5"/>
  <c r="D7" i="5"/>
  <c r="B113" i="4"/>
  <c r="F12" i="2" s="1"/>
  <c r="I111" i="4"/>
  <c r="R76" i="10" s="1"/>
  <c r="E111" i="4"/>
  <c r="D111" i="4"/>
  <c r="F111" i="4" s="1"/>
  <c r="G111" i="4" s="1"/>
  <c r="H111" i="4" s="1"/>
  <c r="I110" i="4"/>
  <c r="R75" i="10" s="1"/>
  <c r="E110" i="4"/>
  <c r="D110" i="4"/>
  <c r="F110" i="4" s="1"/>
  <c r="G110" i="4" s="1"/>
  <c r="H110" i="4" s="1"/>
  <c r="I109" i="4"/>
  <c r="R74" i="10" s="1"/>
  <c r="E109" i="4"/>
  <c r="D109" i="4"/>
  <c r="F109" i="4" s="1"/>
  <c r="G109" i="4" s="1"/>
  <c r="H109" i="4" s="1"/>
  <c r="I108" i="4"/>
  <c r="R73" i="10" s="1"/>
  <c r="E108" i="4"/>
  <c r="D108" i="4"/>
  <c r="F108" i="4" s="1"/>
  <c r="G108" i="4" s="1"/>
  <c r="H108" i="4" s="1"/>
  <c r="I107" i="4"/>
  <c r="R72" i="10" s="1"/>
  <c r="E107" i="4"/>
  <c r="D107" i="4"/>
  <c r="F107" i="4" s="1"/>
  <c r="G107" i="4" s="1"/>
  <c r="H107" i="4" s="1"/>
  <c r="I106" i="4"/>
  <c r="R71" i="10" s="1"/>
  <c r="E106" i="4"/>
  <c r="D106" i="4"/>
  <c r="F106" i="4" s="1"/>
  <c r="G106" i="4" s="1"/>
  <c r="H106" i="4" s="1"/>
  <c r="I105" i="4"/>
  <c r="R70" i="10" s="1"/>
  <c r="E105" i="4"/>
  <c r="D105" i="4"/>
  <c r="F105" i="4" s="1"/>
  <c r="G105" i="4" s="1"/>
  <c r="H105" i="4" s="1"/>
  <c r="I104" i="4"/>
  <c r="R69" i="10" s="1"/>
  <c r="E104" i="4"/>
  <c r="D104" i="4"/>
  <c r="F104" i="4" s="1"/>
  <c r="G104" i="4" s="1"/>
  <c r="H104" i="4" s="1"/>
  <c r="I103" i="4"/>
  <c r="R68" i="10" s="1"/>
  <c r="E103" i="4"/>
  <c r="D103" i="4"/>
  <c r="F103" i="4" s="1"/>
  <c r="G103" i="4" s="1"/>
  <c r="H103" i="4" s="1"/>
  <c r="I102" i="4"/>
  <c r="R67" i="10" s="1"/>
  <c r="E102" i="4"/>
  <c r="D102" i="4"/>
  <c r="F102" i="4" s="1"/>
  <c r="G102" i="4" s="1"/>
  <c r="H102" i="4" s="1"/>
  <c r="I101" i="4"/>
  <c r="R66" i="10" s="1"/>
  <c r="E101" i="4"/>
  <c r="D101" i="4"/>
  <c r="F101" i="4" s="1"/>
  <c r="G101" i="4" s="1"/>
  <c r="H101" i="4" s="1"/>
  <c r="I100" i="4"/>
  <c r="R65" i="10" s="1"/>
  <c r="E100" i="4"/>
  <c r="D100" i="4"/>
  <c r="F100" i="4" s="1"/>
  <c r="G100" i="4" s="1"/>
  <c r="H100" i="4" s="1"/>
  <c r="I99" i="4"/>
  <c r="R64" i="10" s="1"/>
  <c r="E99" i="4"/>
  <c r="D99" i="4"/>
  <c r="F99" i="4" s="1"/>
  <c r="G99" i="4" s="1"/>
  <c r="H99" i="4" s="1"/>
  <c r="I98" i="4"/>
  <c r="R63" i="10" s="1"/>
  <c r="E98" i="4"/>
  <c r="D98" i="4"/>
  <c r="I97" i="4"/>
  <c r="R62" i="10" s="1"/>
  <c r="E97" i="4"/>
  <c r="D97" i="4"/>
  <c r="I96" i="4"/>
  <c r="R61" i="10" s="1"/>
  <c r="E96" i="4"/>
  <c r="D96" i="4"/>
  <c r="I95" i="4"/>
  <c r="R60" i="10" s="1"/>
  <c r="E95" i="4"/>
  <c r="D95" i="4"/>
  <c r="I94" i="4"/>
  <c r="E94" i="4"/>
  <c r="D94" i="4"/>
  <c r="B84" i="4"/>
  <c r="F11" i="2" s="1"/>
  <c r="I82" i="4"/>
  <c r="R58" i="10" s="1"/>
  <c r="E82" i="4"/>
  <c r="D82" i="4"/>
  <c r="F82" i="4" s="1"/>
  <c r="G82" i="4" s="1"/>
  <c r="H82" i="4" s="1"/>
  <c r="I81" i="4"/>
  <c r="R57" i="10" s="1"/>
  <c r="E81" i="4"/>
  <c r="D81" i="4"/>
  <c r="F81" i="4" s="1"/>
  <c r="G81" i="4" s="1"/>
  <c r="H81" i="4" s="1"/>
  <c r="I80" i="4"/>
  <c r="R56" i="10" s="1"/>
  <c r="E80" i="4"/>
  <c r="D80" i="4"/>
  <c r="F80" i="4" s="1"/>
  <c r="G80" i="4" s="1"/>
  <c r="H80" i="4" s="1"/>
  <c r="I79" i="4"/>
  <c r="R55" i="10" s="1"/>
  <c r="E79" i="4"/>
  <c r="D79" i="4"/>
  <c r="F79" i="4" s="1"/>
  <c r="G79" i="4" s="1"/>
  <c r="H79" i="4" s="1"/>
  <c r="I78" i="4"/>
  <c r="R54" i="10" s="1"/>
  <c r="E78" i="4"/>
  <c r="D78" i="4"/>
  <c r="F78" i="4" s="1"/>
  <c r="G78" i="4" s="1"/>
  <c r="H78" i="4" s="1"/>
  <c r="I77" i="4"/>
  <c r="R53" i="10" s="1"/>
  <c r="E77" i="4"/>
  <c r="D77" i="4"/>
  <c r="F77" i="4" s="1"/>
  <c r="G77" i="4" s="1"/>
  <c r="H77" i="4" s="1"/>
  <c r="I76" i="4"/>
  <c r="R52" i="10" s="1"/>
  <c r="E76" i="4"/>
  <c r="D76" i="4"/>
  <c r="F76" i="4" s="1"/>
  <c r="G76" i="4" s="1"/>
  <c r="H76" i="4" s="1"/>
  <c r="I75" i="4"/>
  <c r="R51" i="10" s="1"/>
  <c r="E75" i="4"/>
  <c r="D75" i="4"/>
  <c r="F75" i="4" s="1"/>
  <c r="G75" i="4" s="1"/>
  <c r="H75" i="4" s="1"/>
  <c r="I74" i="4"/>
  <c r="R50" i="10" s="1"/>
  <c r="E74" i="4"/>
  <c r="D74" i="4"/>
  <c r="F74" i="4" s="1"/>
  <c r="G74" i="4" s="1"/>
  <c r="H74" i="4" s="1"/>
  <c r="I73" i="4"/>
  <c r="R49" i="10" s="1"/>
  <c r="E73" i="4"/>
  <c r="D73" i="4"/>
  <c r="F73" i="4" s="1"/>
  <c r="G73" i="4" s="1"/>
  <c r="H73" i="4" s="1"/>
  <c r="I72" i="4"/>
  <c r="R48" i="10" s="1"/>
  <c r="E72" i="4"/>
  <c r="D72" i="4"/>
  <c r="F72" i="4" s="1"/>
  <c r="G72" i="4" s="1"/>
  <c r="H72" i="4" s="1"/>
  <c r="I71" i="4"/>
  <c r="R47" i="10" s="1"/>
  <c r="E71" i="4"/>
  <c r="D71" i="4"/>
  <c r="F71" i="4" s="1"/>
  <c r="G71" i="4" s="1"/>
  <c r="H71" i="4" s="1"/>
  <c r="I70" i="4"/>
  <c r="R46" i="10" s="1"/>
  <c r="E70" i="4"/>
  <c r="D70" i="4"/>
  <c r="I69" i="4"/>
  <c r="R45" i="10" s="1"/>
  <c r="E69" i="4"/>
  <c r="D69" i="4"/>
  <c r="F69" i="4" s="1"/>
  <c r="G69" i="4" s="1"/>
  <c r="H69" i="4" s="1"/>
  <c r="I68" i="4"/>
  <c r="R44" i="10" s="1"/>
  <c r="E68" i="4"/>
  <c r="D68" i="4"/>
  <c r="I67" i="4"/>
  <c r="R43" i="10" s="1"/>
  <c r="E67" i="4"/>
  <c r="D67" i="4"/>
  <c r="I66" i="4"/>
  <c r="R42" i="10" s="1"/>
  <c r="E66" i="4"/>
  <c r="D66" i="4"/>
  <c r="I65" i="4"/>
  <c r="E65" i="4"/>
  <c r="D65" i="4"/>
  <c r="B55" i="4"/>
  <c r="F10" i="2" s="1"/>
  <c r="I53" i="4"/>
  <c r="R40" i="10" s="1"/>
  <c r="E53" i="4"/>
  <c r="D53" i="4"/>
  <c r="F53" i="4" s="1"/>
  <c r="G53" i="4" s="1"/>
  <c r="H53" i="4" s="1"/>
  <c r="I52" i="4"/>
  <c r="R39" i="10" s="1"/>
  <c r="E52" i="4"/>
  <c r="D52" i="4"/>
  <c r="F52" i="4" s="1"/>
  <c r="G52" i="4" s="1"/>
  <c r="H52" i="4" s="1"/>
  <c r="I51" i="4"/>
  <c r="R38" i="10" s="1"/>
  <c r="E51" i="4"/>
  <c r="D51" i="4"/>
  <c r="F51" i="4" s="1"/>
  <c r="G51" i="4" s="1"/>
  <c r="H51" i="4" s="1"/>
  <c r="I50" i="4"/>
  <c r="R37" i="10" s="1"/>
  <c r="E50" i="4"/>
  <c r="D50" i="4"/>
  <c r="F50" i="4" s="1"/>
  <c r="G50" i="4" s="1"/>
  <c r="H50" i="4" s="1"/>
  <c r="I49" i="4"/>
  <c r="R36" i="10" s="1"/>
  <c r="E49" i="4"/>
  <c r="D49" i="4"/>
  <c r="F49" i="4" s="1"/>
  <c r="G49" i="4" s="1"/>
  <c r="H49" i="4" s="1"/>
  <c r="I48" i="4"/>
  <c r="R35" i="10" s="1"/>
  <c r="E48" i="4"/>
  <c r="D48" i="4"/>
  <c r="F48" i="4" s="1"/>
  <c r="G48" i="4" s="1"/>
  <c r="H48" i="4" s="1"/>
  <c r="I47" i="4"/>
  <c r="R34" i="10" s="1"/>
  <c r="E47" i="4"/>
  <c r="D47" i="4"/>
  <c r="F47" i="4" s="1"/>
  <c r="G47" i="4" s="1"/>
  <c r="H47" i="4" s="1"/>
  <c r="I46" i="4"/>
  <c r="R33" i="10" s="1"/>
  <c r="E46" i="4"/>
  <c r="D46" i="4"/>
  <c r="F46" i="4" s="1"/>
  <c r="G46" i="4" s="1"/>
  <c r="H46" i="4" s="1"/>
  <c r="I45" i="4"/>
  <c r="R32" i="10" s="1"/>
  <c r="E45" i="4"/>
  <c r="D45" i="4"/>
  <c r="F45" i="4" s="1"/>
  <c r="G45" i="4" s="1"/>
  <c r="H45" i="4" s="1"/>
  <c r="I44" i="4"/>
  <c r="R31" i="10" s="1"/>
  <c r="E44" i="4"/>
  <c r="D44" i="4"/>
  <c r="F44" i="4" s="1"/>
  <c r="G44" i="4" s="1"/>
  <c r="H44" i="4" s="1"/>
  <c r="I43" i="4"/>
  <c r="R30" i="10" s="1"/>
  <c r="E43" i="4"/>
  <c r="D43" i="4"/>
  <c r="F43" i="4" s="1"/>
  <c r="G43" i="4" s="1"/>
  <c r="H43" i="4" s="1"/>
  <c r="I42" i="4"/>
  <c r="R29" i="10" s="1"/>
  <c r="E42" i="4"/>
  <c r="D42" i="4"/>
  <c r="F42" i="4" s="1"/>
  <c r="G42" i="4" s="1"/>
  <c r="H42" i="4" s="1"/>
  <c r="I41" i="4"/>
  <c r="R28" i="10" s="1"/>
  <c r="E41" i="4"/>
  <c r="D41" i="4"/>
  <c r="F41" i="4" s="1"/>
  <c r="G41" i="4" s="1"/>
  <c r="H41" i="4" s="1"/>
  <c r="I40" i="4"/>
  <c r="R27" i="10" s="1"/>
  <c r="E40" i="4"/>
  <c r="D40" i="4"/>
  <c r="F40" i="4" s="1"/>
  <c r="G40" i="4" s="1"/>
  <c r="H40" i="4" s="1"/>
  <c r="I39" i="4"/>
  <c r="R26" i="10" s="1"/>
  <c r="E39" i="4"/>
  <c r="D39" i="4"/>
  <c r="F39" i="4" s="1"/>
  <c r="G39" i="4" s="1"/>
  <c r="H39" i="4" s="1"/>
  <c r="I38" i="4"/>
  <c r="R25" i="10" s="1"/>
  <c r="E38" i="4"/>
  <c r="D38" i="4"/>
  <c r="I37" i="4"/>
  <c r="R24" i="10" s="1"/>
  <c r="E37" i="4"/>
  <c r="D37" i="4"/>
  <c r="I36" i="4"/>
  <c r="E36" i="4"/>
  <c r="D36" i="4"/>
  <c r="B26" i="4"/>
  <c r="F9" i="2" s="1"/>
  <c r="I24" i="4"/>
  <c r="R22" i="10" s="1"/>
  <c r="E24" i="4"/>
  <c r="D24" i="4"/>
  <c r="F24" i="4" s="1"/>
  <c r="G24" i="4" s="1"/>
  <c r="H24" i="4" s="1"/>
  <c r="I23" i="4"/>
  <c r="R21" i="10" s="1"/>
  <c r="E23" i="4"/>
  <c r="D23" i="4"/>
  <c r="F23" i="4" s="1"/>
  <c r="G23" i="4" s="1"/>
  <c r="H23" i="4" s="1"/>
  <c r="I22" i="4"/>
  <c r="R20" i="10" s="1"/>
  <c r="E22" i="4"/>
  <c r="D22" i="4"/>
  <c r="F22" i="4" s="1"/>
  <c r="G22" i="4" s="1"/>
  <c r="H22" i="4" s="1"/>
  <c r="I21" i="4"/>
  <c r="R19" i="10" s="1"/>
  <c r="E21" i="4"/>
  <c r="D21" i="4"/>
  <c r="F21" i="4" s="1"/>
  <c r="G21" i="4" s="1"/>
  <c r="H21" i="4" s="1"/>
  <c r="I20" i="4"/>
  <c r="R18" i="10" s="1"/>
  <c r="E20" i="4"/>
  <c r="D20" i="4"/>
  <c r="F20" i="4" s="1"/>
  <c r="G20" i="4" s="1"/>
  <c r="H20" i="4" s="1"/>
  <c r="I19" i="4"/>
  <c r="R17" i="10" s="1"/>
  <c r="E19" i="4"/>
  <c r="D19" i="4"/>
  <c r="F19" i="4" s="1"/>
  <c r="G19" i="4" s="1"/>
  <c r="H19" i="4" s="1"/>
  <c r="I18" i="4"/>
  <c r="R16" i="10" s="1"/>
  <c r="E18" i="4"/>
  <c r="D18" i="4"/>
  <c r="F18" i="4" s="1"/>
  <c r="G18" i="4" s="1"/>
  <c r="H18" i="4" s="1"/>
  <c r="I17" i="4"/>
  <c r="R15" i="10" s="1"/>
  <c r="E17" i="4"/>
  <c r="D17" i="4"/>
  <c r="F17" i="4" s="1"/>
  <c r="G17" i="4" s="1"/>
  <c r="H17" i="4" s="1"/>
  <c r="I16" i="4"/>
  <c r="R14" i="10" s="1"/>
  <c r="E16" i="4"/>
  <c r="D16" i="4"/>
  <c r="F16" i="4" s="1"/>
  <c r="G16" i="4" s="1"/>
  <c r="H16" i="4" s="1"/>
  <c r="I15" i="4"/>
  <c r="R13" i="10" s="1"/>
  <c r="E15" i="4"/>
  <c r="D15" i="4"/>
  <c r="F15" i="4" s="1"/>
  <c r="G15" i="4" s="1"/>
  <c r="H15" i="4" s="1"/>
  <c r="I14" i="4"/>
  <c r="R12" i="10" s="1"/>
  <c r="E14" i="4"/>
  <c r="D14" i="4"/>
  <c r="F14" i="4" s="1"/>
  <c r="G14" i="4" s="1"/>
  <c r="H14" i="4" s="1"/>
  <c r="I13" i="4"/>
  <c r="R11" i="10" s="1"/>
  <c r="E13" i="4"/>
  <c r="D13" i="4"/>
  <c r="F13" i="4" s="1"/>
  <c r="G13" i="4" s="1"/>
  <c r="H13" i="4" s="1"/>
  <c r="I12" i="4"/>
  <c r="R10" i="10" s="1"/>
  <c r="E12" i="4"/>
  <c r="D12" i="4"/>
  <c r="I11" i="4"/>
  <c r="E11" i="4"/>
  <c r="D11" i="4"/>
  <c r="F11" i="4" s="1"/>
  <c r="G11" i="4" s="1"/>
  <c r="H11" i="4" s="1"/>
  <c r="I10" i="4"/>
  <c r="R8" i="10" s="1"/>
  <c r="E10" i="4"/>
  <c r="D10" i="4"/>
  <c r="F10" i="4" s="1"/>
  <c r="G10" i="4" s="1"/>
  <c r="H10" i="4" s="1"/>
  <c r="I9" i="4"/>
  <c r="R7" i="10" s="1"/>
  <c r="E9" i="4"/>
  <c r="D9" i="4"/>
  <c r="F9" i="4" s="1"/>
  <c r="G9" i="4" s="1"/>
  <c r="H9" i="4" s="1"/>
  <c r="I8" i="4"/>
  <c r="R6" i="10" s="1"/>
  <c r="E8" i="4"/>
  <c r="D8" i="4"/>
  <c r="I7" i="4"/>
  <c r="R5" i="10" s="1"/>
  <c r="E7" i="4"/>
  <c r="D7" i="4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N24" i="2"/>
  <c r="M24" i="2"/>
  <c r="H24" i="2"/>
  <c r="F24" i="2"/>
  <c r="E24" i="2"/>
  <c r="D24" i="2"/>
  <c r="N23" i="2"/>
  <c r="M23" i="2"/>
  <c r="H23" i="2"/>
  <c r="F23" i="2"/>
  <c r="E23" i="2"/>
  <c r="D23" i="2"/>
  <c r="N22" i="2"/>
  <c r="M22" i="2"/>
  <c r="H22" i="2"/>
  <c r="F22" i="2"/>
  <c r="E22" i="2"/>
  <c r="D22" i="2"/>
  <c r="N21" i="2"/>
  <c r="M21" i="2"/>
  <c r="H21" i="2"/>
  <c r="F21" i="2"/>
  <c r="B31" i="2" s="1"/>
  <c r="E21" i="2"/>
  <c r="D21" i="2"/>
  <c r="N20" i="2"/>
  <c r="M20" i="2"/>
  <c r="H20" i="2"/>
  <c r="F20" i="2"/>
  <c r="D20" i="2"/>
  <c r="N19" i="2"/>
  <c r="M19" i="2"/>
  <c r="H19" i="2"/>
  <c r="F19" i="2"/>
  <c r="D19" i="2"/>
  <c r="N18" i="2"/>
  <c r="M18" i="2"/>
  <c r="H18" i="2"/>
  <c r="F18" i="2"/>
  <c r="D18" i="2"/>
  <c r="N17" i="2"/>
  <c r="M17" i="2"/>
  <c r="H17" i="2"/>
  <c r="F17" i="2"/>
  <c r="B30" i="2" s="1"/>
  <c r="D17" i="2"/>
  <c r="N16" i="2"/>
  <c r="M16" i="2"/>
  <c r="H16" i="2"/>
  <c r="F16" i="2"/>
  <c r="D16" i="2"/>
  <c r="N15" i="2"/>
  <c r="M15" i="2"/>
  <c r="H15" i="2"/>
  <c r="F15" i="2"/>
  <c r="D15" i="2"/>
  <c r="N14" i="2"/>
  <c r="M14" i="2"/>
  <c r="H14" i="2"/>
  <c r="F14" i="2"/>
  <c r="D14" i="2"/>
  <c r="N13" i="2"/>
  <c r="M13" i="2"/>
  <c r="H13" i="2"/>
  <c r="F13" i="2"/>
  <c r="B29" i="2" s="1"/>
  <c r="D13" i="2"/>
  <c r="N12" i="2"/>
  <c r="M12" i="2"/>
  <c r="H12" i="2"/>
  <c r="D12" i="2"/>
  <c r="N11" i="2"/>
  <c r="M11" i="2"/>
  <c r="H11" i="2"/>
  <c r="D11" i="2"/>
  <c r="N10" i="2"/>
  <c r="M10" i="2"/>
  <c r="H10" i="2"/>
  <c r="D10" i="2"/>
  <c r="N9" i="2"/>
  <c r="M9" i="2"/>
  <c r="H9" i="2"/>
  <c r="D9" i="2"/>
  <c r="N4" i="2"/>
  <c r="F70" i="4" l="1"/>
  <c r="G70" i="4" s="1"/>
  <c r="H70" i="4" s="1"/>
  <c r="E4" i="2"/>
  <c r="B28" i="2"/>
  <c r="F72" i="6"/>
  <c r="G72" i="6" s="1"/>
  <c r="H72" i="6" s="1"/>
  <c r="F41" i="5"/>
  <c r="G41" i="5" s="1"/>
  <c r="H41" i="5" s="1"/>
  <c r="F39" i="5"/>
  <c r="G39" i="5" s="1"/>
  <c r="H39" i="5" s="1"/>
  <c r="F40" i="5"/>
  <c r="G40" i="5" s="1"/>
  <c r="H40" i="5" s="1"/>
  <c r="F69" i="6"/>
  <c r="G69" i="6" s="1"/>
  <c r="H69" i="6" s="1"/>
  <c r="F68" i="6"/>
  <c r="G68" i="6" s="1"/>
  <c r="H68" i="6" s="1"/>
  <c r="F70" i="6"/>
  <c r="G70" i="6" s="1"/>
  <c r="H70" i="6" s="1"/>
  <c r="F8" i="6"/>
  <c r="G8" i="6" s="1"/>
  <c r="H8" i="6" s="1"/>
  <c r="F37" i="5"/>
  <c r="G37" i="5" s="1"/>
  <c r="H37" i="5" s="1"/>
  <c r="F96" i="5"/>
  <c r="G96" i="5" s="1"/>
  <c r="H96" i="5" s="1"/>
  <c r="F96" i="4"/>
  <c r="G96" i="4" s="1"/>
  <c r="H96" i="4" s="1"/>
  <c r="F38" i="4"/>
  <c r="G38" i="4" s="1"/>
  <c r="H38" i="4" s="1"/>
  <c r="F71" i="6"/>
  <c r="G71" i="6" s="1"/>
  <c r="H71" i="6" s="1"/>
  <c r="F73" i="6"/>
  <c r="G73" i="6" s="1"/>
  <c r="H73" i="6" s="1"/>
  <c r="F37" i="4"/>
  <c r="G37" i="4" s="1"/>
  <c r="H37" i="4" s="1"/>
  <c r="F10" i="6"/>
  <c r="G10" i="6" s="1"/>
  <c r="H10" i="6" s="1"/>
  <c r="F38" i="5"/>
  <c r="G38" i="5" s="1"/>
  <c r="H38" i="5" s="1"/>
  <c r="F95" i="4"/>
  <c r="G95" i="4" s="1"/>
  <c r="H95" i="4" s="1"/>
  <c r="F97" i="4"/>
  <c r="G97" i="4" s="1"/>
  <c r="H97" i="4" s="1"/>
  <c r="F98" i="4"/>
  <c r="G98" i="4" s="1"/>
  <c r="H98" i="4" s="1"/>
  <c r="F97" i="6"/>
  <c r="G97" i="6" s="1"/>
  <c r="H97" i="6" s="1"/>
  <c r="F9" i="6"/>
  <c r="G9" i="6" s="1"/>
  <c r="H9" i="6" s="1"/>
  <c r="F95" i="5"/>
  <c r="G95" i="5" s="1"/>
  <c r="H95" i="5" s="1"/>
  <c r="F96" i="6"/>
  <c r="G96" i="6" s="1"/>
  <c r="H96" i="6" s="1"/>
  <c r="F44" i="6"/>
  <c r="G44" i="6" s="1"/>
  <c r="H44" i="6" s="1"/>
  <c r="F43" i="6"/>
  <c r="G43" i="6" s="1"/>
  <c r="H43" i="6" s="1"/>
  <c r="F13" i="6"/>
  <c r="G13" i="6" s="1"/>
  <c r="H13" i="6" s="1"/>
  <c r="F9" i="5"/>
  <c r="G9" i="5" s="1"/>
  <c r="H9" i="5" s="1"/>
  <c r="F67" i="4"/>
  <c r="G67" i="4" s="1"/>
  <c r="H67" i="4" s="1"/>
  <c r="F66" i="4"/>
  <c r="G66" i="4" s="1"/>
  <c r="H66" i="4" s="1"/>
  <c r="F7" i="4"/>
  <c r="F105" i="6"/>
  <c r="G105" i="6" s="1"/>
  <c r="H105" i="6" s="1"/>
  <c r="F104" i="6"/>
  <c r="G104" i="6" s="1"/>
  <c r="H104" i="6" s="1"/>
  <c r="F98" i="6"/>
  <c r="G98" i="6" s="1"/>
  <c r="H98" i="6" s="1"/>
  <c r="F69" i="5"/>
  <c r="G69" i="5" s="1"/>
  <c r="H69" i="5" s="1"/>
  <c r="F68" i="5"/>
  <c r="G68" i="5" s="1"/>
  <c r="H68" i="5" s="1"/>
  <c r="F100" i="6"/>
  <c r="G100" i="6" s="1"/>
  <c r="H100" i="6" s="1"/>
  <c r="F76" i="6"/>
  <c r="G76" i="6" s="1"/>
  <c r="H76" i="6" s="1"/>
  <c r="F74" i="6"/>
  <c r="G74" i="6" s="1"/>
  <c r="H74" i="6" s="1"/>
  <c r="F42" i="6"/>
  <c r="G42" i="6" s="1"/>
  <c r="H42" i="6" s="1"/>
  <c r="F98" i="5"/>
  <c r="G98" i="5" s="1"/>
  <c r="H98" i="5" s="1"/>
  <c r="F97" i="5"/>
  <c r="G97" i="5" s="1"/>
  <c r="H97" i="5" s="1"/>
  <c r="F71" i="5"/>
  <c r="G71" i="5" s="1"/>
  <c r="H71" i="5" s="1"/>
  <c r="F66" i="5"/>
  <c r="G66" i="5" s="1"/>
  <c r="H66" i="5" s="1"/>
  <c r="F8" i="5"/>
  <c r="G8" i="5" s="1"/>
  <c r="H8" i="5" s="1"/>
  <c r="F102" i="6"/>
  <c r="G102" i="6" s="1"/>
  <c r="H102" i="6" s="1"/>
  <c r="F101" i="6"/>
  <c r="G101" i="6" s="1"/>
  <c r="H101" i="6" s="1"/>
  <c r="F41" i="6"/>
  <c r="G41" i="6" s="1"/>
  <c r="H41" i="6" s="1"/>
  <c r="F37" i="6"/>
  <c r="G37" i="6" s="1"/>
  <c r="H37" i="6" s="1"/>
  <c r="F15" i="6"/>
  <c r="G15" i="6" s="1"/>
  <c r="H15" i="6" s="1"/>
  <c r="F14" i="6"/>
  <c r="G14" i="6" s="1"/>
  <c r="H14" i="6" s="1"/>
  <c r="F95" i="6"/>
  <c r="G95" i="6" s="1"/>
  <c r="H95" i="6" s="1"/>
  <c r="F75" i="6"/>
  <c r="G75" i="6" s="1"/>
  <c r="H75" i="6" s="1"/>
  <c r="F67" i="6"/>
  <c r="G67" i="6" s="1"/>
  <c r="H67" i="6" s="1"/>
  <c r="F40" i="6"/>
  <c r="G40" i="6" s="1"/>
  <c r="H40" i="6" s="1"/>
  <c r="F39" i="6"/>
  <c r="G39" i="6" s="1"/>
  <c r="H39" i="6" s="1"/>
  <c r="F8" i="4"/>
  <c r="G8" i="4" s="1"/>
  <c r="H8" i="4" s="1"/>
  <c r="F45" i="6"/>
  <c r="G45" i="6" s="1"/>
  <c r="H45" i="6" s="1"/>
  <c r="F38" i="6"/>
  <c r="G38" i="6" s="1"/>
  <c r="H38" i="6" s="1"/>
  <c r="F100" i="5"/>
  <c r="G100" i="5" s="1"/>
  <c r="H100" i="5" s="1"/>
  <c r="F67" i="5"/>
  <c r="G67" i="5" s="1"/>
  <c r="H67" i="5" s="1"/>
  <c r="F106" i="6"/>
  <c r="G106" i="6" s="1"/>
  <c r="H106" i="6" s="1"/>
  <c r="F103" i="6"/>
  <c r="G103" i="6" s="1"/>
  <c r="H103" i="6" s="1"/>
  <c r="F99" i="6"/>
  <c r="G99" i="6" s="1"/>
  <c r="H99" i="6" s="1"/>
  <c r="F66" i="6"/>
  <c r="G66" i="6" s="1"/>
  <c r="H66" i="6" s="1"/>
  <c r="F12" i="6"/>
  <c r="G12" i="6" s="1"/>
  <c r="H12" i="6" s="1"/>
  <c r="F11" i="6"/>
  <c r="G11" i="6" s="1"/>
  <c r="H11" i="6" s="1"/>
  <c r="F10" i="5"/>
  <c r="G10" i="5" s="1"/>
  <c r="H10" i="5" s="1"/>
  <c r="F70" i="5"/>
  <c r="G70" i="5" s="1"/>
  <c r="H70" i="5" s="1"/>
  <c r="F12" i="5"/>
  <c r="G12" i="5" s="1"/>
  <c r="H12" i="5" s="1"/>
  <c r="F11" i="5"/>
  <c r="G11" i="5" s="1"/>
  <c r="H11" i="5" s="1"/>
  <c r="F99" i="5"/>
  <c r="G99" i="5" s="1"/>
  <c r="H99" i="5" s="1"/>
  <c r="F68" i="4"/>
  <c r="G68" i="4" s="1"/>
  <c r="H68" i="4" s="1"/>
  <c r="R41" i="10"/>
  <c r="I62" i="4"/>
  <c r="F94" i="7"/>
  <c r="D113" i="7"/>
  <c r="G24" i="2" s="1"/>
  <c r="S291" i="10"/>
  <c r="S290" i="10"/>
  <c r="S289" i="10"/>
  <c r="S288" i="10"/>
  <c r="S287" i="10"/>
  <c r="S286" i="10"/>
  <c r="S285" i="10"/>
  <c r="S284" i="10"/>
  <c r="S283" i="10"/>
  <c r="S282" i="10"/>
  <c r="S281" i="10"/>
  <c r="S280" i="10"/>
  <c r="S279" i="10"/>
  <c r="S278" i="10"/>
  <c r="S277" i="10"/>
  <c r="S276" i="10"/>
  <c r="S275" i="10"/>
  <c r="S292" i="10"/>
  <c r="F65" i="7"/>
  <c r="D84" i="7"/>
  <c r="G23" i="2" s="1"/>
  <c r="S273" i="10"/>
  <c r="S272" i="10"/>
  <c r="S271" i="10"/>
  <c r="S270" i="10"/>
  <c r="S269" i="10"/>
  <c r="S268" i="10"/>
  <c r="S267" i="10"/>
  <c r="S266" i="10"/>
  <c r="S274" i="10"/>
  <c r="S264" i="10"/>
  <c r="S263" i="10"/>
  <c r="S262" i="10"/>
  <c r="S258" i="10"/>
  <c r="S259" i="10"/>
  <c r="S260" i="10"/>
  <c r="S261" i="10"/>
  <c r="S265" i="10"/>
  <c r="S257" i="10"/>
  <c r="D55" i="7"/>
  <c r="G22" i="2" s="1"/>
  <c r="F36" i="7"/>
  <c r="S251" i="10"/>
  <c r="S250" i="10"/>
  <c r="S249" i="10"/>
  <c r="S248" i="10"/>
  <c r="S247" i="10"/>
  <c r="S246" i="10"/>
  <c r="S239" i="10"/>
  <c r="S245" i="10"/>
  <c r="S256" i="10"/>
  <c r="S244" i="10"/>
  <c r="S255" i="10"/>
  <c r="S243" i="10"/>
  <c r="S254" i="10"/>
  <c r="S242" i="10"/>
  <c r="S253" i="10"/>
  <c r="S241" i="10"/>
  <c r="S252" i="10"/>
  <c r="S240" i="10"/>
  <c r="F7" i="7"/>
  <c r="D26" i="7"/>
  <c r="G21" i="2" s="1"/>
  <c r="S236" i="10"/>
  <c r="S235" i="10"/>
  <c r="S230" i="10"/>
  <c r="S223" i="10"/>
  <c r="S224" i="10"/>
  <c r="S233" i="10"/>
  <c r="S228" i="10"/>
  <c r="S227" i="10"/>
  <c r="S234" i="10"/>
  <c r="S232" i="10"/>
  <c r="S225" i="10"/>
  <c r="S226" i="10"/>
  <c r="S237" i="10"/>
  <c r="S238" i="10"/>
  <c r="S231" i="10"/>
  <c r="S221" i="10"/>
  <c r="S222" i="10"/>
  <c r="S229" i="10"/>
  <c r="R203" i="10"/>
  <c r="I91" i="6"/>
  <c r="D113" i="6"/>
  <c r="G20" i="2" s="1"/>
  <c r="F94" i="6"/>
  <c r="R185" i="10"/>
  <c r="I62" i="6"/>
  <c r="D84" i="6"/>
  <c r="G19" i="2" s="1"/>
  <c r="F65" i="6"/>
  <c r="R167" i="10"/>
  <c r="I33" i="6"/>
  <c r="F36" i="6"/>
  <c r="D55" i="6"/>
  <c r="G18" i="2" s="1"/>
  <c r="I4" i="6"/>
  <c r="R149" i="10"/>
  <c r="F7" i="6"/>
  <c r="D26" i="6"/>
  <c r="G17" i="2" s="1"/>
  <c r="R131" i="10"/>
  <c r="I91" i="5"/>
  <c r="F94" i="5"/>
  <c r="D113" i="5"/>
  <c r="G16" i="2" s="1"/>
  <c r="R113" i="10"/>
  <c r="I62" i="5"/>
  <c r="F65" i="5"/>
  <c r="D84" i="5"/>
  <c r="G15" i="2" s="1"/>
  <c r="R95" i="10"/>
  <c r="I33" i="5"/>
  <c r="F36" i="5"/>
  <c r="D55" i="5"/>
  <c r="G14" i="2" s="1"/>
  <c r="I4" i="5"/>
  <c r="R77" i="10"/>
  <c r="D26" i="5"/>
  <c r="G13" i="2" s="1"/>
  <c r="F7" i="5"/>
  <c r="R59" i="10"/>
  <c r="I91" i="4"/>
  <c r="D113" i="4"/>
  <c r="G12" i="2" s="1"/>
  <c r="F94" i="4"/>
  <c r="F65" i="4"/>
  <c r="D84" i="4"/>
  <c r="G11" i="2" s="1"/>
  <c r="I33" i="4"/>
  <c r="R23" i="10"/>
  <c r="D55" i="4"/>
  <c r="G10" i="2" s="1"/>
  <c r="F36" i="4"/>
  <c r="F12" i="4"/>
  <c r="G12" i="4" s="1"/>
  <c r="H12" i="4" s="1"/>
  <c r="D26" i="4"/>
  <c r="G9" i="2" s="1"/>
  <c r="R9" i="10"/>
  <c r="I4" i="4"/>
  <c r="S42" i="10" l="1"/>
  <c r="S53" i="10"/>
  <c r="S43" i="10"/>
  <c r="S52" i="10"/>
  <c r="S51" i="10"/>
  <c r="S50" i="10"/>
  <c r="S58" i="10"/>
  <c r="S49" i="10"/>
  <c r="S48" i="10"/>
  <c r="S47" i="10"/>
  <c r="S46" i="10"/>
  <c r="S45" i="10"/>
  <c r="S44" i="10"/>
  <c r="S54" i="10"/>
  <c r="S55" i="10"/>
  <c r="S56" i="10"/>
  <c r="S41" i="10"/>
  <c r="G7" i="4"/>
  <c r="F26" i="4"/>
  <c r="I9" i="2" s="1"/>
  <c r="E11" i="2"/>
  <c r="S57" i="10"/>
  <c r="G94" i="7"/>
  <c r="F113" i="7"/>
  <c r="I24" i="2" s="1"/>
  <c r="B50" i="2" s="1"/>
  <c r="L24" i="2"/>
  <c r="B69" i="2"/>
  <c r="G65" i="7"/>
  <c r="F84" i="7"/>
  <c r="I23" i="2" s="1"/>
  <c r="B49" i="2" s="1"/>
  <c r="L23" i="2"/>
  <c r="B68" i="2"/>
  <c r="L22" i="2"/>
  <c r="B67" i="2"/>
  <c r="F55" i="7"/>
  <c r="I22" i="2" s="1"/>
  <c r="B48" i="2" s="1"/>
  <c r="G36" i="7"/>
  <c r="G7" i="7"/>
  <c r="F26" i="7"/>
  <c r="I21" i="2" s="1"/>
  <c r="C31" i="2"/>
  <c r="B66" i="2"/>
  <c r="L21" i="2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E20" i="2"/>
  <c r="L20" i="2"/>
  <c r="B65" i="2"/>
  <c r="G94" i="6"/>
  <c r="F113" i="6"/>
  <c r="I20" i="2" s="1"/>
  <c r="B46" i="2" s="1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E19" i="2"/>
  <c r="B64" i="2"/>
  <c r="L19" i="2"/>
  <c r="F84" i="6"/>
  <c r="I19" i="2" s="1"/>
  <c r="B45" i="2" s="1"/>
  <c r="G65" i="6"/>
  <c r="S167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68" i="10"/>
  <c r="S169" i="10"/>
  <c r="S170" i="10"/>
  <c r="E18" i="2"/>
  <c r="G36" i="6"/>
  <c r="F55" i="6"/>
  <c r="I18" i="2" s="1"/>
  <c r="B44" i="2" s="1"/>
  <c r="L18" i="2"/>
  <c r="B63" i="2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E17" i="2"/>
  <c r="G7" i="6"/>
  <c r="F26" i="6"/>
  <c r="I17" i="2" s="1"/>
  <c r="L17" i="2"/>
  <c r="C30" i="2"/>
  <c r="B62" i="2"/>
  <c r="S141" i="10"/>
  <c r="S137" i="10"/>
  <c r="S131" i="10"/>
  <c r="S132" i="10"/>
  <c r="S133" i="10"/>
  <c r="S134" i="10"/>
  <c r="S135" i="10"/>
  <c r="S136" i="10"/>
  <c r="E16" i="2"/>
  <c r="S139" i="10"/>
  <c r="S140" i="10"/>
  <c r="S143" i="10"/>
  <c r="S144" i="10"/>
  <c r="S145" i="10"/>
  <c r="S146" i="10"/>
  <c r="S147" i="10"/>
  <c r="S148" i="10"/>
  <c r="S138" i="10"/>
  <c r="S142" i="10"/>
  <c r="G94" i="5"/>
  <c r="F113" i="5"/>
  <c r="I16" i="2" s="1"/>
  <c r="B42" i="2" s="1"/>
  <c r="L16" i="2"/>
  <c r="B61" i="2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E15" i="2"/>
  <c r="F84" i="5"/>
  <c r="I15" i="2" s="1"/>
  <c r="B41" i="2" s="1"/>
  <c r="G65" i="5"/>
  <c r="B60" i="2"/>
  <c r="L15" i="2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E14" i="2"/>
  <c r="G36" i="5"/>
  <c r="F55" i="5"/>
  <c r="I14" i="2" s="1"/>
  <c r="B40" i="2" s="1"/>
  <c r="L14" i="2"/>
  <c r="B59" i="2"/>
  <c r="E13" i="2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L13" i="2"/>
  <c r="C29" i="2"/>
  <c r="B58" i="2"/>
  <c r="G7" i="5"/>
  <c r="F26" i="5"/>
  <c r="I13" i="2" s="1"/>
  <c r="E12" i="2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6" i="10"/>
  <c r="S75" i="10"/>
  <c r="L12" i="2"/>
  <c r="B57" i="2"/>
  <c r="F113" i="4"/>
  <c r="I12" i="2" s="1"/>
  <c r="B38" i="2" s="1"/>
  <c r="G94" i="4"/>
  <c r="G65" i="4"/>
  <c r="F84" i="4"/>
  <c r="I11" i="2" s="1"/>
  <c r="B37" i="2" s="1"/>
  <c r="L11" i="2"/>
  <c r="B56" i="2"/>
  <c r="E10" i="2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B55" i="2"/>
  <c r="L10" i="2"/>
  <c r="F55" i="4"/>
  <c r="I10" i="2" s="1"/>
  <c r="B36" i="2" s="1"/>
  <c r="G36" i="4"/>
  <c r="L9" i="2"/>
  <c r="C28" i="2"/>
  <c r="B54" i="2"/>
  <c r="E9" i="2"/>
  <c r="S5" i="10"/>
  <c r="S6" i="10"/>
  <c r="S7" i="10"/>
  <c r="S8" i="10"/>
  <c r="S9" i="10"/>
  <c r="S10" i="10"/>
  <c r="S11" i="10"/>
  <c r="S12" i="10"/>
  <c r="S16" i="10"/>
  <c r="S17" i="10"/>
  <c r="S18" i="10"/>
  <c r="S19" i="10"/>
  <c r="S20" i="10"/>
  <c r="S21" i="10"/>
  <c r="S22" i="10"/>
  <c r="S13" i="10"/>
  <c r="S15" i="10"/>
  <c r="S14" i="10"/>
  <c r="H7" i="4" l="1"/>
  <c r="B27" i="4" s="1"/>
  <c r="K9" i="2" s="1"/>
  <c r="H26" i="4"/>
  <c r="J9" i="2" s="1"/>
  <c r="D28" i="2"/>
  <c r="B35" i="2"/>
  <c r="H113" i="7"/>
  <c r="J24" i="2" s="1"/>
  <c r="C50" i="2" s="1"/>
  <c r="H94" i="7"/>
  <c r="B114" i="7" s="1"/>
  <c r="K24" i="2" s="1"/>
  <c r="H84" i="7"/>
  <c r="J23" i="2" s="1"/>
  <c r="C49" i="2" s="1"/>
  <c r="H65" i="7"/>
  <c r="B85" i="7" s="1"/>
  <c r="K23" i="2" s="1"/>
  <c r="H36" i="7"/>
  <c r="B56" i="7" s="1"/>
  <c r="K22" i="2" s="1"/>
  <c r="H55" i="7"/>
  <c r="J22" i="2" s="1"/>
  <c r="C48" i="2" s="1"/>
  <c r="H7" i="7"/>
  <c r="B27" i="7" s="1"/>
  <c r="K21" i="2" s="1"/>
  <c r="H26" i="7"/>
  <c r="J21" i="2" s="1"/>
  <c r="D31" i="2"/>
  <c r="B47" i="2"/>
  <c r="H94" i="6"/>
  <c r="B114" i="6" s="1"/>
  <c r="K20" i="2" s="1"/>
  <c r="H113" i="6"/>
  <c r="J20" i="2" s="1"/>
  <c r="C46" i="2" s="1"/>
  <c r="H65" i="6"/>
  <c r="B85" i="6" s="1"/>
  <c r="K19" i="2" s="1"/>
  <c r="H84" i="6"/>
  <c r="J19" i="2" s="1"/>
  <c r="H36" i="6"/>
  <c r="B56" i="6" s="1"/>
  <c r="K18" i="2" s="1"/>
  <c r="H55" i="6"/>
  <c r="J18" i="2" s="1"/>
  <c r="C44" i="2" s="1"/>
  <c r="H7" i="6"/>
  <c r="B27" i="6" s="1"/>
  <c r="K17" i="2" s="1"/>
  <c r="H26" i="6"/>
  <c r="J17" i="2" s="1"/>
  <c r="D30" i="2"/>
  <c r="B43" i="2"/>
  <c r="H94" i="5"/>
  <c r="B114" i="5" s="1"/>
  <c r="K16" i="2" s="1"/>
  <c r="H113" i="5"/>
  <c r="J16" i="2" s="1"/>
  <c r="C42" i="2" s="1"/>
  <c r="H84" i="5"/>
  <c r="J15" i="2" s="1"/>
  <c r="C41" i="2" s="1"/>
  <c r="H65" i="5"/>
  <c r="B85" i="5" s="1"/>
  <c r="K15" i="2" s="1"/>
  <c r="H36" i="5"/>
  <c r="B56" i="5" s="1"/>
  <c r="K14" i="2" s="1"/>
  <c r="H55" i="5"/>
  <c r="J14" i="2" s="1"/>
  <c r="C40" i="2" s="1"/>
  <c r="H7" i="5"/>
  <c r="B27" i="5" s="1"/>
  <c r="K13" i="2" s="1"/>
  <c r="H26" i="5"/>
  <c r="J13" i="2" s="1"/>
  <c r="D29" i="2"/>
  <c r="B39" i="2"/>
  <c r="H113" i="4"/>
  <c r="J12" i="2" s="1"/>
  <c r="C38" i="2" s="1"/>
  <c r="H94" i="4"/>
  <c r="B114" i="4" s="1"/>
  <c r="K12" i="2" s="1"/>
  <c r="H65" i="4"/>
  <c r="B85" i="4" s="1"/>
  <c r="K11" i="2" s="1"/>
  <c r="H84" i="4"/>
  <c r="J11" i="2" s="1"/>
  <c r="C37" i="2" s="1"/>
  <c r="H36" i="4"/>
  <c r="B56" i="4" s="1"/>
  <c r="K10" i="2" s="1"/>
  <c r="H55" i="4"/>
  <c r="J10" i="2" s="1"/>
  <c r="C36" i="2" s="1"/>
  <c r="B18" i="3"/>
  <c r="B19" i="3" s="1"/>
  <c r="B4" i="2"/>
  <c r="F31" i="2" l="1"/>
  <c r="F29" i="2"/>
  <c r="E28" i="2"/>
  <c r="C35" i="2"/>
  <c r="E31" i="2"/>
  <c r="C47" i="2"/>
  <c r="E30" i="2"/>
  <c r="C43" i="2"/>
  <c r="E29" i="2"/>
  <c r="C39" i="2"/>
  <c r="F30" i="2"/>
  <c r="C45" i="2"/>
  <c r="H4" i="2"/>
  <c r="K4" i="2"/>
  <c r="F28" i="2"/>
</calcChain>
</file>

<file path=xl/sharedStrings.xml><?xml version="1.0" encoding="utf-8"?>
<sst xmlns="http://schemas.openxmlformats.org/spreadsheetml/2006/main" count="3285" uniqueCount="525">
  <si>
    <t>塔防模式｜16 波智能设计器</t>
  </si>
  <si>
    <t>敌人数值与掉落已改为全局固定配置；波次页只负责敌人组成、数量与息壤收益结算。第 13～16 波仍保留为空白。</t>
  </si>
  <si>
    <t>建议工作流</t>
  </si>
  <si>
    <t>1</t>
  </si>
  <si>
    <t>先到“敌人目录”编辑每种敌人的生命、攻击、防御、移速、Home 伤害、击杀息壤与 12 类独立掉落概率。</t>
  </si>
  <si>
    <t>2</t>
  </si>
  <si>
    <t>再到“全局设置”选择模拟玩家数、预计击杀率和每日息壤情景倍率。</t>
  </si>
  <si>
    <t>3</t>
  </si>
  <si>
    <t>在“第1日”至“第4日”逐波从下拉列表选择敌人并填写基础数量；同一种敌人同一波只填一行。</t>
  </si>
  <si>
    <t>4</t>
  </si>
  <si>
    <t>波次页会逐项显示息壤/击杀、最大收益与情景收益；到“总览”复核 16 波曲线和可回读状态。</t>
  </si>
  <si>
    <t>5</t>
  </si>
  <si>
    <t>设计完成后把工作簿交回 Codex；机器区会同时提供敌人固定配置与 16 波组成，再生成正式 Godot 资源。</t>
  </si>
  <si>
    <t>颜色与输入规则</t>
  </si>
  <si>
    <t>浅蓝</t>
  </si>
  <si>
    <t>波次选择、数量与敌人战斗数值：可编辑</t>
  </si>
  <si>
    <t>金黄</t>
  </si>
  <si>
    <t>每只敌人的固定息壤奖励：可编辑</t>
  </si>
  <si>
    <t>浅绿</t>
  </si>
  <si>
    <t>材料类掉落概率：可编辑，输入 0%～100%</t>
  </si>
  <si>
    <t>浅紫</t>
  </si>
  <si>
    <t>功能道具掉落概率：可编辑，输入 0%～100%</t>
  </si>
  <si>
    <t>浅灰</t>
  </si>
  <si>
    <t>自动公式与稳定标识：请勿手工覆盖</t>
  </si>
  <si>
    <t>浅红</t>
  </si>
  <si>
    <t>无法回读：缺少输入、重复敌人或数值越界</t>
  </si>
  <si>
    <t>计算口径（与当前游戏一致）</t>
  </si>
  <si>
    <t>多人数量</t>
  </si>
  <si>
    <t>每条敌人分别 ROUNDUP(基础数量 × [1 + (玩家数-1) × 25%], 0)。</t>
  </si>
  <si>
    <t>击杀息壤</t>
  </si>
  <si>
    <t>每位玩家各得整份，不在队伍内分摊；漏进 Home 的敌人不发击杀息壤。</t>
  </si>
  <si>
    <t>命运倍率</t>
  </si>
  <si>
    <t>作为每日情景倍率单独计算，不改写基础收益；默认均为 1，可选择 2。</t>
  </si>
  <si>
    <t>固定配置</t>
  </si>
  <si>
    <t>敌人的数值、息壤与掉落不随波次变化；修改一行会影响所有引用该敌人的波次与最终游戏配置。</t>
  </si>
  <si>
    <t>掉落</t>
  </si>
  <si>
    <t>12 类掉落均为逐敌人独立概率；同一次击杀可同时掉出多件，概率之和仅表示期望件数。</t>
  </si>
  <si>
    <t>刷怪时间</t>
  </si>
  <si>
    <t>按首批立即生成计算理论最短时间；存活上限或战斗堵塞会令实战更久。</t>
  </si>
  <si>
    <t>出场顺序</t>
  </si>
  <si>
    <t>游戏会将整波生成队列随机打乱；本表精确设计组成与节奏，但不承诺固定先后顺序。</t>
  </si>
  <si>
    <t>Boss</t>
  </si>
  <si>
    <t>铃兰保留为独立 Boss 流程，不会出现在普通波次敌人下拉列表。</t>
  </si>
  <si>
    <t>请勿直接编辑两个“导入数据（勿改）”工作表与“系统数据（勿改）”；它们是稳定 ID 和反向回读契约。</t>
  </si>
  <si>
    <t>塔防模式｜16 波息壤收益总览</t>
  </si>
  <si>
    <t>每波收益由“实际数量 × 敌人目录中的固定息壤”逐项汇总；第 13～16 波未填写时明确显示“待设计”。</t>
  </si>
  <si>
    <t>可回读波次</t>
  </si>
  <si>
    <t>基础敌人数</t>
  </si>
  <si>
    <t>情景息壤/玩家</t>
  </si>
  <si>
    <t>情景息壤/队伍</t>
  </si>
  <si>
    <t>敌人配置可回读</t>
  </si>
  <si>
    <t>波次</t>
  </si>
  <si>
    <t>日</t>
  </si>
  <si>
    <t>时段</t>
  </si>
  <si>
    <t>名称</t>
  </si>
  <si>
    <t>状态</t>
  </si>
  <si>
    <t>基础数量</t>
  </si>
  <si>
    <t>实际数量</t>
  </si>
  <si>
    <t>敌人种类</t>
  </si>
  <si>
    <t>最大息壤/玩家</t>
  </si>
  <si>
    <t>最短刷完(s)</t>
  </si>
  <si>
    <t>存活上限</t>
  </si>
  <si>
    <t>启用出生点</t>
  </si>
  <si>
    <t>第1波</t>
  </si>
  <si>
    <t>白昼</t>
  </si>
  <si>
    <t>第2波</t>
  </si>
  <si>
    <t>第3波</t>
  </si>
  <si>
    <t>夜晚</t>
  </si>
  <si>
    <t>第4波</t>
  </si>
  <si>
    <t>第5波</t>
  </si>
  <si>
    <t>第6波</t>
  </si>
  <si>
    <t>第7波</t>
  </si>
  <si>
    <t>第8波</t>
  </si>
  <si>
    <t>第9波</t>
  </si>
  <si>
    <t>第10波</t>
  </si>
  <si>
    <t>第11波</t>
  </si>
  <si>
    <t>第12波</t>
  </si>
  <si>
    <t>第13波</t>
  </si>
  <si>
    <t>第14波</t>
  </si>
  <si>
    <t>第15波</t>
  </si>
  <si>
    <t>第16波</t>
  </si>
  <si>
    <t>每日汇总</t>
  </si>
  <si>
    <t>基础敌人</t>
  </si>
  <si>
    <t>实际敌人</t>
  </si>
  <si>
    <t>第1日</t>
  </si>
  <si>
    <t>第2日</t>
  </si>
  <si>
    <t>第3日</t>
  </si>
  <si>
    <t>第4日</t>
  </si>
  <si>
    <t>实际敌人数</t>
  </si>
  <si>
    <t>全局设置与模拟情景</t>
  </si>
  <si>
    <t>蓝色项目会影响整本工作簿的自动计算；灰色项目来自当前游戏权威配置。</t>
  </si>
  <si>
    <t>模拟参数</t>
  </si>
  <si>
    <t>当前值</t>
  </si>
  <si>
    <t>玩家人数</t>
  </si>
  <si>
    <t>每名额外玩家敌人数增幅</t>
  </si>
  <si>
    <t>预计击杀率</t>
  </si>
  <si>
    <t>总日数</t>
  </si>
  <si>
    <t>每日日内波次</t>
  </si>
  <si>
    <t>每波可用敌人槽位</t>
  </si>
  <si>
    <t>Boss 接续于</t>
  </si>
  <si>
    <t>第16波之后</t>
  </si>
  <si>
    <t>每日息壤情景倍率（命运双倍日设为 2）</t>
  </si>
  <si>
    <t>倍率</t>
  </si>
  <si>
    <t>对应日</t>
  </si>
  <si>
    <t>设计完整度</t>
  </si>
  <si>
    <t>总体状态</t>
  </si>
  <si>
    <t>敌人目录签名</t>
  </si>
  <si>
    <t>b1fe8380d773e1597266e16f821f218f409f50807d0f37e8e2cf139bc0c16be8</t>
  </si>
  <si>
    <t>回读契约</t>
  </si>
  <si>
    <t>tower_defense_formal / schema v2</t>
  </si>
  <si>
    <t>注意：玩家人数、击杀率和每日倍率只用于平衡预览；正式回读会写入敌人固定数值、固定掉落与波次组成，不再产生波次级息壤覆盖。</t>
  </si>
  <si>
    <t>第 1 波｜第 1 日·1/4｜白昼｜当前正式配置</t>
  </si>
  <si>
    <t>波次名称</t>
  </si>
  <si>
    <t>第1波 林地试探</t>
  </si>
  <si>
    <t>出生间隔(s)</t>
  </si>
  <si>
    <t>每Tick</t>
  </si>
  <si>
    <t>出生点</t>
  </si>
  <si>
    <t>点1·开启</t>
  </si>
  <si>
    <t>点2·开启</t>
  </si>
  <si>
    <t>点3·开启</t>
  </si>
  <si>
    <t>点4·开启</t>
  </si>
  <si>
    <t>点5·开启</t>
  </si>
  <si>
    <t>点6·开启</t>
  </si>
  <si>
    <t>波次校验</t>
  </si>
  <si>
    <t>仅编辑蓝色列。敌人数值、固定息壤与掉落统一在“敌人目录”维护；本页按实际数量逐项精确结算息壤。</t>
  </si>
  <si>
    <t>槽位</t>
  </si>
  <si>
    <t>敌人（下拉选择）</t>
  </si>
  <si>
    <t>息壤/击杀</t>
  </si>
  <si>
    <t>本项最大息壤/玩家</t>
  </si>
  <si>
    <t>本项情景息壤/玩家</t>
  </si>
  <si>
    <t>本项情景息壤/队伍</t>
  </si>
  <si>
    <t>校验</t>
  </si>
  <si>
    <t>普通原石虫</t>
  </si>
  <si>
    <t>硬壳原石虫</t>
  </si>
  <si>
    <t>基础总数</t>
  </si>
  <si>
    <t>实际总数</t>
  </si>
  <si>
    <t>情景收益 = 最大息壤 × 全局击杀率 × 第1日倍率；队伍值再乘模拟玩家数。</t>
  </si>
  <si>
    <t>第 2 波｜第 1 日·2/4｜白昼｜当前正式配置</t>
  </si>
  <si>
    <t>第2波 迅影与硬壳</t>
  </si>
  <si>
    <t>迅捷原石虫</t>
  </si>
  <si>
    <t>第 3 波｜第 1 日·3/4｜夜晚｜当前正式配置</t>
  </si>
  <si>
    <t>第3波 火线初现</t>
  </si>
  <si>
    <t>自爆原石虫</t>
  </si>
  <si>
    <t>火焰弹原石虫</t>
  </si>
  <si>
    <t>第 4 波｜第 1 日·4/4｜夜晚｜当前正式配置</t>
  </si>
  <si>
    <t>第4波 林地合围</t>
  </si>
  <si>
    <t>第 5 波｜第 2 日·1/4｜白昼｜当前正式配置</t>
  </si>
  <si>
    <t>第5波 沼泽先遣</t>
  </si>
  <si>
    <t>守护者原石虫</t>
  </si>
  <si>
    <t>情景收益 = 最大息壤 × 全局击杀率 × 第2日倍率；队伍值再乘模拟玩家数。</t>
  </si>
  <si>
    <t>第 6 波｜第 2 日·2/4｜白昼｜当前正式配置</t>
  </si>
  <si>
    <t>第6波 守护阵列</t>
  </si>
  <si>
    <t>第 7 波｜第 2 日·3/4｜夜晚｜当前正式配置</t>
  </si>
  <si>
    <t>第7波 紫晶突袭</t>
  </si>
  <si>
    <t>紫晶自爆原石虫</t>
  </si>
  <si>
    <t>第 8 波｜第 2 日·4/4｜夜晚｜当前正式配置</t>
  </si>
  <si>
    <t>第8波 沼泽合围</t>
  </si>
  <si>
    <t>第 9 波｜第 3 日·1/4｜白昼｜当前正式配置</t>
  </si>
  <si>
    <t>第9波 城镇前锋</t>
  </si>
  <si>
    <t>翠壳原石虫</t>
  </si>
  <si>
    <t>骑士猫猫虫</t>
  </si>
  <si>
    <t>情景收益 = 最大息壤 × 全局击杀率 × 第3日倍率；队伍值再乘模拟玩家数。</t>
  </si>
  <si>
    <t>第 10 波｜第 3 日·2/4｜白昼｜当前正式配置</t>
  </si>
  <si>
    <t>第10波 火力交叉</t>
  </si>
  <si>
    <t>AK猫猫虫</t>
  </si>
  <si>
    <t>第 11 波｜第 3 日·3/4｜夜晚｜当前正式配置</t>
  </si>
  <si>
    <t>第11波 奥术重装</t>
  </si>
  <si>
    <t>法师 Capoo</t>
  </si>
  <si>
    <t>石头人</t>
  </si>
  <si>
    <t>第 12 波｜第 3 日·4/4｜夜晚｜当前正式配置</t>
  </si>
  <si>
    <t>第12波 城镇决战</t>
  </si>
  <si>
    <t>RPG猫猫虫</t>
  </si>
  <si>
    <t>第 13 波｜第 4 日·1/4｜白昼｜待设计</t>
  </si>
  <si>
    <t>第13波（待设计）</t>
  </si>
  <si>
    <t>情景收益 = 最大息壤 × 全局击杀率 × 第4日倍率；队伍值再乘模拟玩家数。</t>
  </si>
  <si>
    <t>第 14 波｜第 4 日·2/4｜白昼｜待设计</t>
  </si>
  <si>
    <t>第14波（待设计）</t>
  </si>
  <si>
    <t>第 15 波｜第 4 日·3/4｜夜晚｜待设计</t>
  </si>
  <si>
    <t>第15波（待设计）</t>
  </si>
  <si>
    <t>第 16 波｜第 4 日·4/4｜夜晚｜待设计</t>
  </si>
  <si>
    <t>第16波（待设计）</t>
  </si>
  <si>
    <t>敌人目录｜49 个普通波次敌人的全局固定配置</t>
  </si>
  <si>
    <t>蓝色、金色、绿色与紫色区域均可编辑。每种敌人的数值、息壤和掉落只在此处定义一次，并由所有波次共同引用；波次页不再提供覆盖值。</t>
  </si>
  <si>
    <t>身份与引用｜只读</t>
  </si>
  <si>
    <t>战斗数值｜可编辑</t>
  </si>
  <si>
    <t>击杀奖励｜可编辑</t>
  </si>
  <si>
    <t>自动计算</t>
  </si>
  <si>
    <t>材料掉落概率｜每次击杀独立判定</t>
  </si>
  <si>
    <t>功能道具掉落概率｜每次击杀独立判定</t>
  </si>
  <si>
    <t>校验与来源｜只读</t>
  </si>
  <si>
    <t>下拉名称</t>
  </si>
  <si>
    <t>稳定ID</t>
  </si>
  <si>
    <t>家族</t>
  </si>
  <si>
    <t>等级</t>
  </si>
  <si>
    <t>正式波次已使用</t>
  </si>
  <si>
    <t>生命</t>
  </si>
  <si>
    <t>攻击</t>
  </si>
  <si>
    <t>物理防御</t>
  </si>
  <si>
    <t>法术防御</t>
  </si>
  <si>
    <t>移速</t>
  </si>
  <si>
    <t>Home伤害</t>
  </si>
  <si>
    <t>掉落期望/击杀</t>
  </si>
  <si>
    <t>木头</t>
  </si>
  <si>
    <t>白色水晶</t>
  </si>
  <si>
    <t>树苗</t>
  </si>
  <si>
    <t>卡普蓝晶</t>
  </si>
  <si>
    <t>术士紫晶粉</t>
  </si>
  <si>
    <t>凝胶</t>
  </si>
  <si>
    <t>小石块</t>
  </si>
  <si>
    <t>移速道具</t>
  </si>
  <si>
    <t>射速道具</t>
  </si>
  <si>
    <t>天妇罗道具</t>
  </si>
  <si>
    <t>生命药瓶</t>
  </si>
  <si>
    <t>雪狼破军</t>
  </si>
  <si>
    <t>行校验</t>
  </si>
  <si>
    <t>类别标签</t>
  </si>
  <si>
    <t>配置路径</t>
  </si>
  <si>
    <t>场景路径</t>
  </si>
  <si>
    <t>yuanshi_insect_basic</t>
  </si>
  <si>
    <t>原石虫</t>
  </si>
  <si>
    <t>普通</t>
  </si>
  <si>
    <t>是</t>
  </si>
  <si>
    <t>yuanshi_insect</t>
  </si>
  <si>
    <t>res://resources/config/enemies/yuanshi_insect_basic.tres</t>
  </si>
  <si>
    <t>res://scene/enemy/yuanshi_insect/yuanshi_insect_basic.tscn</t>
  </si>
  <si>
    <t>yuanshi_insect_shell</t>
  </si>
  <si>
    <t>res://resources/config/enemies/yuanshi_insect_shell.tres</t>
  </si>
  <si>
    <t>res://scene/enemy/yuanshi_insect/yuanshi_insect_shell.tscn</t>
  </si>
  <si>
    <t>yuanshi_insect_fast</t>
  </si>
  <si>
    <t>res://resources/config/enemies/yuanshi_insect_fast.tres</t>
  </si>
  <si>
    <t>res://scene/enemy/yuanshi_insect/yuanshi_insect_fast.tscn</t>
  </si>
  <si>
    <t>yuanshi_insect_bomber</t>
  </si>
  <si>
    <t>res://resources/config/enemies/yuanshi_insect_bomber.tres</t>
  </si>
  <si>
    <t>res://scene/enemy/yuanshi_insect/yuanshi_insect_bomber.tscn</t>
  </si>
  <si>
    <t>yuanshi_insect_purple_bomber</t>
  </si>
  <si>
    <t>res://resources/config/enemies/yuanshi_insect_purple_bomber.tres</t>
  </si>
  <si>
    <t>res://scene/enemy/yuanshi_insect/yuanshi_insect_purple_bomber.tscn</t>
  </si>
  <si>
    <t>yuanshi_insect_green_shell</t>
  </si>
  <si>
    <t>res://resources/config/enemies/yuanshi_insect_green_shell.tres</t>
  </si>
  <si>
    <t>res://scene/enemy/yuanshi_insect/yuanshi_insect_green_shell.tscn</t>
  </si>
  <si>
    <t>yuanshi_insect_fire_ranged</t>
  </si>
  <si>
    <t>res://resources/config/enemies/yuanshi_insect_fire_ranged.tres</t>
  </si>
  <si>
    <t>res://scene/enemy/yuanshi_insect/yuanshi_insect_fire_ranged.tscn</t>
  </si>
  <si>
    <t>yuanshi_insect_guardian</t>
  </si>
  <si>
    <t>res://resources/config/enemies/yuanshi_insect_guardian.tres</t>
  </si>
  <si>
    <t>res://scene/enemy/yuanshi_insect/yuanshi_insect_guardian.tscn</t>
  </si>
  <si>
    <t>被石头侵蚀的普通原石虫</t>
  </si>
  <si>
    <t>stone_eroded_yuanshi_insect_basic</t>
  </si>
  <si>
    <t>否</t>
  </si>
  <si>
    <t>yuanshi_insect, stone_eroded</t>
  </si>
  <si>
    <t>res://resources/config/enemies/stone_eroded_yuanshi_insect_basic.tres</t>
  </si>
  <si>
    <t>res://scene/enemy/stone_eroded/stone_eroded_yuanshi_insect_basic.tscn</t>
  </si>
  <si>
    <t>被石头侵蚀的硬壳原石虫</t>
  </si>
  <si>
    <t>stone_eroded_yuanshi_insect_shell</t>
  </si>
  <si>
    <t>res://resources/config/enemies/stone_eroded_yuanshi_insect_shell.tres</t>
  </si>
  <si>
    <t>res://scene/enemy/stone_eroded/stone_eroded_yuanshi_insect_shell.tscn</t>
  </si>
  <si>
    <t>被石头侵蚀的迅捷原石虫</t>
  </si>
  <si>
    <t>stone_eroded_yuanshi_insect_fast</t>
  </si>
  <si>
    <t>res://resources/config/enemies/stone_eroded_yuanshi_insect_fast.tres</t>
  </si>
  <si>
    <t>res://scene/enemy/stone_eroded/stone_eroded_yuanshi_insect_fast.tscn</t>
  </si>
  <si>
    <t>被石头侵蚀的自爆原石虫</t>
  </si>
  <si>
    <t>stone_eroded_yuanshi_insect_bomber</t>
  </si>
  <si>
    <t>res://resources/config/enemies/stone_eroded_yuanshi_insect_bomber.tres</t>
  </si>
  <si>
    <t>res://scene/enemy/stone_eroded/stone_eroded_yuanshi_insect_bomber.tscn</t>
  </si>
  <si>
    <t>被石头侵蚀的紫晶自爆原石虫</t>
  </si>
  <si>
    <t>stone_eroded_yuanshi_insect_purple_bomber</t>
  </si>
  <si>
    <t>res://resources/config/enemies/stone_eroded_yuanshi_insect_purple_bomber.tres</t>
  </si>
  <si>
    <t>res://scene/enemy/stone_eroded/stone_eroded_yuanshi_insect_purple_bomber.tscn</t>
  </si>
  <si>
    <t>被石头侵蚀的翠壳原石虫</t>
  </si>
  <si>
    <t>stone_eroded_yuanshi_insect_green_shell</t>
  </si>
  <si>
    <t>res://resources/config/enemies/stone_eroded_yuanshi_insect_green_shell.tres</t>
  </si>
  <si>
    <t>res://scene/enemy/stone_eroded/stone_eroded_yuanshi_insect_green_shell.tscn</t>
  </si>
  <si>
    <t>被石头侵蚀的火焰弹原石虫</t>
  </si>
  <si>
    <t>stone_eroded_yuanshi_insect_fire_ranged</t>
  </si>
  <si>
    <t>res://resources/config/enemies/stone_eroded_yuanshi_insect_fire_ranged.tres</t>
  </si>
  <si>
    <t>res://scene/enemy/stone_eroded/stone_eroded_yuanshi_insect_fire_ranged.tscn</t>
  </si>
  <si>
    <t>被石头侵蚀的守护者原石虫</t>
  </si>
  <si>
    <t>stone_eroded_yuanshi_insect_guardian</t>
  </si>
  <si>
    <t>res://resources/config/enemies/stone_eroded_yuanshi_insect_guardian.tres</t>
  </si>
  <si>
    <t>res://scene/enemy/stone_eroded/stone_eroded_yuanshi_insect_guardian.tscn</t>
  </si>
  <si>
    <t>史莱姆</t>
  </si>
  <si>
    <t>slime_basic</t>
  </si>
  <si>
    <t>slime</t>
  </si>
  <si>
    <t>res://resources/config/enemies/slime.tres</t>
  </si>
  <si>
    <t>res://scene/enemy/slime/slime_basic.tscn</t>
  </si>
  <si>
    <t>火焰史莱姆</t>
  </si>
  <si>
    <t>slime_fire</t>
  </si>
  <si>
    <t>res://resources/config/enemies/slime_fire.tres</t>
  </si>
  <si>
    <t>res://scene/enemy/slime/slime_fire.tscn</t>
  </si>
  <si>
    <t>寒冰史莱姆</t>
  </si>
  <si>
    <t>slime_frost</t>
  </si>
  <si>
    <t>res://resources/config/enemies/slime_frost.tres</t>
  </si>
  <si>
    <t>res://scene/enemy/slime/slime_frost.tscn</t>
  </si>
  <si>
    <t>绿色史莱姆</t>
  </si>
  <si>
    <t>slime_green</t>
  </si>
  <si>
    <t>res://resources/config/enemies/slime_green.tres</t>
  </si>
  <si>
    <t>res://scene/enemy/slime/slime_green.tscn</t>
  </si>
  <si>
    <t>黄金史莱姆</t>
  </si>
  <si>
    <t>slime_golden</t>
  </si>
  <si>
    <t>res://resources/config/enemies/slime_golden.tres</t>
  </si>
  <si>
    <t>res://scene/enemy/slime/slime_golden.tscn</t>
  </si>
  <si>
    <t>被石头侵蚀的史莱姆</t>
  </si>
  <si>
    <t>stone_eroded_slime</t>
  </si>
  <si>
    <t>slime, stone_eroded</t>
  </si>
  <si>
    <t>res://resources/config/enemies/stone_eroded_slime.tres</t>
  </si>
  <si>
    <t>res://scene/enemy/stone_eroded/stone_eroded_slime.tscn</t>
  </si>
  <si>
    <t>被石头侵蚀的火焰史莱姆</t>
  </si>
  <si>
    <t>stone_eroded_slime_fire</t>
  </si>
  <si>
    <t>res://resources/config/enemies/stone_eroded_slime_fire.tres</t>
  </si>
  <si>
    <t>res://scene/enemy/stone_eroded/stone_eroded_slime_fire.tscn</t>
  </si>
  <si>
    <t>被石头侵蚀的寒冰史莱姆</t>
  </si>
  <si>
    <t>stone_eroded_slime_frost</t>
  </si>
  <si>
    <t>res://resources/config/enemies/stone_eroded_slime_frost.tres</t>
  </si>
  <si>
    <t>res://scene/enemy/stone_eroded/stone_eroded_slime_frost.tscn</t>
  </si>
  <si>
    <t>被石头侵蚀的绿色史莱姆</t>
  </si>
  <si>
    <t>stone_eroded_slime_green</t>
  </si>
  <si>
    <t>res://resources/config/enemies/stone_eroded_slime_green.tres</t>
  </si>
  <si>
    <t>res://scene/enemy/stone_eroded/stone_eroded_slime_green.tscn</t>
  </si>
  <si>
    <t>被石头侵蚀的黄金史莱姆</t>
  </si>
  <si>
    <t>stone_eroded_slime_golden</t>
  </si>
  <si>
    <t>res://resources/config/enemies/stone_eroded_slime_golden.tres</t>
  </si>
  <si>
    <t>res://scene/enemy/stone_eroded/stone_eroded_slime_golden.tscn</t>
  </si>
  <si>
    <t>capoo_knight</t>
  </si>
  <si>
    <t>猫猫虫</t>
  </si>
  <si>
    <t>capoo</t>
  </si>
  <si>
    <t>res://resources/config/enemies/capoo_knight.tres</t>
  </si>
  <si>
    <t>res://scene/enemy/capoo/capoo_knight.tscn</t>
  </si>
  <si>
    <t>精英骑士猫猫虫</t>
  </si>
  <si>
    <t>capoo_knight_elite</t>
  </si>
  <si>
    <t>精英</t>
  </si>
  <si>
    <t>res://resources/config/enemies/capoo_knight_elite.tres</t>
  </si>
  <si>
    <t>res://scene/enemy/capoo/capoo_knight_elite.tscn</t>
  </si>
  <si>
    <t>剑客猫猫虫</t>
  </si>
  <si>
    <t>capoo_swordsman</t>
  </si>
  <si>
    <t>res://resources/config/enemies/capoo_swordsman.tres</t>
  </si>
  <si>
    <t>res://scene/enemy/capoo/capoo_swordsman.tscn</t>
  </si>
  <si>
    <t>冲锋枪 Capoo</t>
  </si>
  <si>
    <t>capoo_smg</t>
  </si>
  <si>
    <t>res://resources/config/enemies/capoo_smg.tres</t>
  </si>
  <si>
    <t>res://scene/enemy/capoo/capoo_smg.tscn</t>
  </si>
  <si>
    <t>capoo_ak47</t>
  </si>
  <si>
    <t>res://resources/config/enemies/capoo_ak47.tres</t>
  </si>
  <si>
    <t>res://scene/enemy/capoo/capoo_ak47.tscn</t>
  </si>
  <si>
    <t>capoo_rpg</t>
  </si>
  <si>
    <t>res://resources/config/enemies/capoo_rpg.tres</t>
  </si>
  <si>
    <t>res://scene/enemy/capoo/capoo_rpg.tscn</t>
  </si>
  <si>
    <t>capoo_mage</t>
  </si>
  <si>
    <t>res://resources/config/enemies/capoo_mage.tres</t>
  </si>
  <si>
    <t>res://scene/enemy/capoo/capoo_mage.tscn</t>
  </si>
  <si>
    <t>狙击手 Capoo</t>
  </si>
  <si>
    <t>capoo_sniper</t>
  </si>
  <si>
    <t>res://resources/config/enemies/capoo_sniper.tres</t>
  </si>
  <si>
    <t>res://scene/enemy/capoo/capoo_sniper.tscn</t>
  </si>
  <si>
    <t>被石头侵蚀的骑士猫猫虫</t>
  </si>
  <si>
    <t>stone_eroded_capoo_knight</t>
  </si>
  <si>
    <t>capoo, stone_eroded</t>
  </si>
  <si>
    <t>res://resources/config/enemies/stone_eroded_capoo_knight.tres</t>
  </si>
  <si>
    <t>res://scene/enemy/stone_eroded/stone_eroded_capoo_knight.tscn</t>
  </si>
  <si>
    <t>被石头侵蚀的精英骑士猫猫虫</t>
  </si>
  <si>
    <t>stone_eroded_capoo_knight_elite</t>
  </si>
  <si>
    <t>res://resources/config/enemies/stone_eroded_capoo_knight_elite.tres</t>
  </si>
  <si>
    <t>res://scene/enemy/stone_eroded/stone_eroded_capoo_knight_elite.tscn</t>
  </si>
  <si>
    <t>被石头侵蚀的剑客猫猫虫</t>
  </si>
  <si>
    <t>stone_eroded_capoo_swordsman</t>
  </si>
  <si>
    <t>res://resources/config/enemies/stone_eroded_capoo_swordsman.tres</t>
  </si>
  <si>
    <t>res://scene/enemy/stone_eroded/stone_eroded_capoo_swordsman.tscn</t>
  </si>
  <si>
    <t>被石头侵蚀的冲锋枪 Capoo</t>
  </si>
  <si>
    <t>stone_eroded_capoo_smg</t>
  </si>
  <si>
    <t>res://resources/config/enemies/stone_eroded_capoo_smg.tres</t>
  </si>
  <si>
    <t>res://scene/enemy/stone_eroded/stone_eroded_capoo_smg.tscn</t>
  </si>
  <si>
    <t>被石头侵蚀的AK猫猫虫</t>
  </si>
  <si>
    <t>stone_eroded_capoo_ak47</t>
  </si>
  <si>
    <t>res://resources/config/enemies/stone_eroded_capoo_ak47.tres</t>
  </si>
  <si>
    <t>res://scene/enemy/stone_eroded/stone_eroded_capoo_ak47.tscn</t>
  </si>
  <si>
    <t>被石头侵蚀的RPG猫猫虫</t>
  </si>
  <si>
    <t>stone_eroded_capoo_rpg</t>
  </si>
  <si>
    <t>res://resources/config/enemies/stone_eroded_capoo_rpg.tres</t>
  </si>
  <si>
    <t>res://scene/enemy/stone_eroded/stone_eroded_capoo_rpg.tscn</t>
  </si>
  <si>
    <t>被石头侵蚀的法师 Capoo</t>
  </si>
  <si>
    <t>stone_eroded_capoo_mage</t>
  </si>
  <si>
    <t>res://resources/config/enemies/stone_eroded_capoo_mage.tres</t>
  </si>
  <si>
    <t>res://scene/enemy/stone_eroded/stone_eroded_capoo_mage.tscn</t>
  </si>
  <si>
    <t>被石头侵蚀的狙击手 Capoo</t>
  </si>
  <si>
    <t>stone_eroded_capoo_sniper</t>
  </si>
  <si>
    <t>res://resources/config/enemies/stone_eroded_capoo_sniper.tres</t>
  </si>
  <si>
    <t>res://scene/enemy/stone_eroded/stone_eroded_capoo_sniper.tscn</t>
  </si>
  <si>
    <t>火焰术士</t>
  </si>
  <si>
    <t>fire_sorcerer</t>
  </si>
  <si>
    <t>术士</t>
  </si>
  <si>
    <t>sorcerer</t>
  </si>
  <si>
    <t>res://resources/config/enemies/fire_sorcerer.tres</t>
  </si>
  <si>
    <t>res://scene/enemy/sorcerer/fire_sorcerer.tscn</t>
  </si>
  <si>
    <t>精英火焰术士</t>
  </si>
  <si>
    <t>fire_sorcerer_elite</t>
  </si>
  <si>
    <t>res://resources/config/enemies/fire_sorcerer_elite.tres</t>
  </si>
  <si>
    <t>res://scene/enemy/sorcerer/fire_sorcerer_elite.tscn</t>
  </si>
  <si>
    <t>寒冰术士</t>
  </si>
  <si>
    <t>frost_sorcerer</t>
  </si>
  <si>
    <t>res://resources/config/enemies/frost_sorcerer.tres</t>
  </si>
  <si>
    <t>res://scene/enemy/sorcerer/frost_sorcerer.tscn</t>
  </si>
  <si>
    <t>精英冰霜术士</t>
  </si>
  <si>
    <t>frost_sorcerer_elite</t>
  </si>
  <si>
    <t>res://resources/config/enemies/frost_sorcerer_elite.tres</t>
  </si>
  <si>
    <t>res://scene/enemy/sorcerer/frost_sorcerer_elite.tscn</t>
  </si>
  <si>
    <t>雷电术士</t>
  </si>
  <si>
    <t>lightning_sorcerer</t>
  </si>
  <si>
    <t>res://resources/config/enemies/lightning_sorcerer.tres</t>
  </si>
  <si>
    <t>res://scene/enemy/sorcerer/lightning_sorcerer.tscn</t>
  </si>
  <si>
    <t>stone_golem</t>
  </si>
  <si>
    <t>人工造物</t>
  </si>
  <si>
    <t>artificial_creation</t>
  </si>
  <si>
    <t>res://resources/config/enemies/stone_golem.tres</t>
  </si>
  <si>
    <t>res://scene/enemy/artificial_creation/stone_golem.tscn</t>
  </si>
  <si>
    <t>精英石头人</t>
  </si>
  <si>
    <t>stone_golem_elite</t>
  </si>
  <si>
    <t>res://resources/config/enemies/stone_golem_elite.tres</t>
  </si>
  <si>
    <t>res://scene/enemy/artificial_creation/stone_golem_elite.tscn</t>
  </si>
  <si>
    <t>敌人导入数据（机器读取区域，请勿编辑；每行是一种敌人的全局固定配置）</t>
  </si>
  <si>
    <t>schema_version</t>
  </si>
  <si>
    <t>workbook_id</t>
  </si>
  <si>
    <t>tower_defense_wave_designer_v2</t>
  </si>
  <si>
    <t>catalog_sha256</t>
  </si>
  <si>
    <t>enemy_count</t>
  </si>
  <si>
    <t>enemy_id</t>
  </si>
  <si>
    <t>max_health</t>
  </si>
  <si>
    <t>attack_damage</t>
  </si>
  <si>
    <t>physical_defense</t>
  </si>
  <si>
    <t>magic_defense</t>
  </si>
  <si>
    <t>move_speed</t>
  </si>
  <si>
    <t>home_damage</t>
  </si>
  <si>
    <t>xirang_kill_reward</t>
  </si>
  <si>
    <t>material_wood</t>
  </si>
  <si>
    <t>material_white_crystal</t>
  </si>
  <si>
    <t>material_sapling</t>
  </si>
  <si>
    <t>material_capoo_blue_crystal</t>
  </si>
  <si>
    <t>material_sorcerer_violet_powder</t>
  </si>
  <si>
    <t>material_gel</t>
  </si>
  <si>
    <t>material_small_stone</t>
  </si>
  <si>
    <t>pickup_speed</t>
  </si>
  <si>
    <t>pickup_rapid</t>
  </si>
  <si>
    <t>pickup_tenpura</t>
  </si>
  <si>
    <t>pickup_health</t>
  </si>
  <si>
    <t>pickup_spiral</t>
  </si>
  <si>
    <t>expected_drop_count_per_kill</t>
  </si>
  <si>
    <t>row_validation</t>
  </si>
  <si>
    <t>config_path</t>
  </si>
  <si>
    <t>波次导入数据（机器读取区域，请勿编辑；波次仅包含敌人稳定 ID 与数量）</t>
  </si>
  <si>
    <t>campaign_id</t>
  </si>
  <si>
    <t>tower_defense_formal</t>
  </si>
  <si>
    <t>目标</t>
  </si>
  <si>
    <t>16波 + 铃兰Boss</t>
  </si>
  <si>
    <t>wave_id</t>
  </si>
  <si>
    <t>wave_number</t>
  </si>
  <si>
    <t>day</t>
  </si>
  <si>
    <t>wave_in_day</t>
  </si>
  <si>
    <t>display_name</t>
  </si>
  <si>
    <t>spawn_point_mask</t>
  </si>
  <si>
    <t>spawn_interval</t>
  </si>
  <si>
    <t>spawn_count_per_tick</t>
  </si>
  <si>
    <t>max_alive_enemies</t>
  </si>
  <si>
    <t>music_path</t>
  </si>
  <si>
    <t>post_wave_music_path</t>
  </si>
  <si>
    <t>slot</t>
  </si>
  <si>
    <t>enemy_selection</t>
  </si>
  <si>
    <t>count</t>
  </si>
  <si>
    <t>wave_status</t>
  </si>
  <si>
    <t>wave_01</t>
  </si>
  <si>
    <t>res://resources/audio/shenmu_forest_combat.ogg</t>
  </si>
  <si>
    <t>res://resources/audio/shenmu_forest_intermission.ogg</t>
  </si>
  <si>
    <t>wave_02</t>
  </si>
  <si>
    <t>wave_03</t>
  </si>
  <si>
    <t>wave_04</t>
  </si>
  <si>
    <t>wave_05</t>
  </si>
  <si>
    <t>res://resources/audio/shenmu_swamp_combat.ogg</t>
  </si>
  <si>
    <t>res://resources/audio/shenmu_swamp_intermission.ogg</t>
  </si>
  <si>
    <t>wave_06</t>
  </si>
  <si>
    <t>wave_07</t>
  </si>
  <si>
    <t>wave_08</t>
  </si>
  <si>
    <t>wave_09</t>
  </si>
  <si>
    <t>res://resources/audio/shenmu_town_combat.ogg</t>
  </si>
  <si>
    <t>res://resources/audio/shenmu_town_intermission.ogg</t>
  </si>
  <si>
    <t>wave_10</t>
  </si>
  <si>
    <t>wave_11</t>
  </si>
  <si>
    <t>wave_12</t>
  </si>
  <si>
    <t>wave_13</t>
  </si>
  <si>
    <t>wave_14</t>
  </si>
  <si>
    <t>wave_15</t>
  </si>
  <si>
    <t>wave_16</t>
  </si>
  <si>
    <t>系统数据（稳定 ID、下拉列表、掉落物与回读元数据，请勿编辑）</t>
  </si>
  <si>
    <t>敌人下拉名称</t>
  </si>
  <si>
    <t>出生点开关</t>
  </si>
  <si>
    <t>玩家数</t>
  </si>
  <si>
    <t>息壤倍率</t>
  </si>
  <si>
    <t>元数据</t>
  </si>
  <si>
    <t>值</t>
  </si>
  <si>
    <t>正式音乐</t>
  </si>
  <si>
    <t>路径</t>
  </si>
  <si>
    <t>掉落稳定ID</t>
  </si>
  <si>
    <t>显示名</t>
  </si>
  <si>
    <t>资源路径</t>
  </si>
  <si>
    <t>开启</t>
  </si>
  <si>
    <t>shenmu_forest_combat</t>
  </si>
  <si>
    <t>res://resources/config/materials/material_wood.tres</t>
  </si>
  <si>
    <t>关闭</t>
  </si>
  <si>
    <t>shenmu_forest_intermission</t>
  </si>
  <si>
    <t>res://resources/config/materials/material_white_crystal.tres</t>
  </si>
  <si>
    <t>shenmu_swamp_combat</t>
  </si>
  <si>
    <t>res://resources/config/materials/material_sapling.tres</t>
  </si>
  <si>
    <t>shenmu_swamp_intermission</t>
  </si>
  <si>
    <t>res://resources/config/materials/material_capoo_blue_crystal.tres</t>
  </si>
  <si>
    <t>target_wave_count</t>
  </si>
  <si>
    <t>shenmu_town_combat</t>
  </si>
  <si>
    <t>res://resources/config/materials/material_sorcerer_violet_powder.tres</t>
  </si>
  <si>
    <t>boss_id</t>
  </si>
  <si>
    <t>linglan_boss</t>
  </si>
  <si>
    <t>shenmu_town_intermission</t>
  </si>
  <si>
    <t>res://resources/config/materials/material_gel.tres</t>
  </si>
  <si>
    <t>res://resources/config/materials/material_small_stone.tres</t>
  </si>
  <si>
    <t>res://resources/config/pickups/pickup_speed.tres</t>
  </si>
  <si>
    <t>res://resources/config/pickups/pickup_rapid.tres</t>
  </si>
  <si>
    <t>res://resources/config/pickups/pickup_tenpura.tres</t>
  </si>
  <si>
    <t>res://resources/config/pickups/pickup_health.tres</t>
  </si>
  <si>
    <t>res://resources/config/pickups/pickup_spiral.tres</t>
  </si>
  <si>
    <t>点5·关闭</t>
  </si>
  <si>
    <t>点6·关闭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</si>
</sst>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6">
    <font>
      <sz val="11"/>
      <name val="Carlito"/>
    </font>
    <font>
      <b/>
      <sz val="20"/>
      <color rgb="FFFFFFFF"/>
      <name val="Microsoft YaHei"/>
      <family val="2"/>
      <charset val="134"/>
    </font>
    <font>
      <b/>
      <sz val="11"/>
      <color rgb="FF8A5A00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sz val="11"/>
      <color rgb="FF172B35"/>
      <name val="Microsoft YaHei"/>
      <family val="2"/>
      <charset val="134"/>
    </font>
    <font>
      <b/>
      <sz val="11"/>
      <color rgb="FF187A78"/>
      <name val="Microsoft YaHei"/>
      <family val="2"/>
      <charset val="134"/>
    </font>
    <font>
      <b/>
      <sz val="11"/>
      <color rgb="FF352D55"/>
      <name val="Microsoft YaHei"/>
      <family val="2"/>
      <charset val="134"/>
    </font>
    <font>
      <b/>
      <sz val="11"/>
      <color rgb="FFA1242F"/>
      <name val="Microsoft YaHei"/>
      <family val="2"/>
      <charset val="134"/>
    </font>
    <font>
      <sz val="11"/>
      <color rgb="FF187A78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color rgb="FF8A5A00"/>
      <name val="Microsoft YaHei"/>
      <family val="2"/>
      <charset val="134"/>
    </font>
    <font>
      <sz val="11"/>
      <color rgb="FF60747E"/>
      <name val="Microsoft YaHei"/>
      <family val="2"/>
      <charset val="134"/>
    </font>
    <font>
      <sz val="11"/>
      <color rgb="FF352D55"/>
      <name val="Microsoft YaHei"/>
      <family val="2"/>
      <charset val="134"/>
    </font>
    <font>
      <b/>
      <sz val="16"/>
      <color rgb="FF102A35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22">
    <fill>
      <patternFill patternType="none"/>
    </fill>
    <fill>
      <patternFill patternType="gray125"/>
    </fill>
    <fill>
      <patternFill patternType="solid">
        <fgColor rgb="FF123247"/>
      </patternFill>
    </fill>
    <fill>
      <patternFill patternType="solid">
        <fgColor rgb="FFFFF4CE"/>
      </patternFill>
    </fill>
    <fill>
      <patternFill patternType="solid">
        <fgColor rgb="FF187A78"/>
      </patternFill>
    </fill>
    <fill>
      <patternFill patternType="solid">
        <fgColor rgb="FFFFFFFF"/>
      </patternFill>
    </fill>
    <fill>
      <patternFill patternType="solid">
        <fgColor rgb="FFDDF3F0"/>
      </patternFill>
    </fill>
    <fill>
      <patternFill patternType="solid">
        <fgColor rgb="FFDDF4FF"/>
      </patternFill>
    </fill>
    <fill>
      <patternFill patternType="solid">
        <fgColor rgb="FFE1F4EC"/>
      </patternFill>
    </fill>
    <fill>
      <patternFill patternType="solid">
        <fgColor rgb="FFEEE7F7"/>
      </patternFill>
    </fill>
    <fill>
      <patternFill patternType="solid">
        <fgColor rgb="FFEEF2F6"/>
      </patternFill>
    </fill>
    <fill>
      <patternFill patternType="solid">
        <fgColor rgb="FFFDE2E4"/>
      </patternFill>
    </fill>
    <fill>
      <patternFill patternType="solid">
        <fgColor rgb="FF352D55"/>
      </patternFill>
    </fill>
    <fill>
      <patternFill patternType="solid">
        <fgColor rgb="FFEEEAFB"/>
      </patternFill>
    </fill>
    <fill>
      <patternFill patternType="solid">
        <fgColor rgb="FF102A35"/>
      </patternFill>
    </fill>
    <fill>
      <patternFill patternType="solid">
        <fgColor rgb="FF1D6F9B"/>
      </patternFill>
    </fill>
    <fill>
      <patternFill patternType="solid">
        <fgColor rgb="FFC98519"/>
      </patternFill>
    </fill>
    <fill>
      <patternFill patternType="solid">
        <fgColor rgb="FF247D69"/>
      </patternFill>
    </fill>
    <fill>
      <patternFill patternType="solid">
        <fgColor rgb="FF65478D"/>
      </patternFill>
    </fill>
    <fill>
      <patternFill patternType="solid">
        <fgColor rgb="FFDCEFF8"/>
      </patternFill>
    </fill>
    <fill>
      <patternFill patternType="solid">
        <fgColor rgb="FFF8FAFC"/>
      </patternFill>
    </fill>
    <fill>
      <patternFill patternType="solid">
        <fgColor rgb="FFA1242F"/>
      </patternFill>
    </fill>
  </fills>
  <borders count="6">
    <border>
      <left/>
      <right/>
      <top/>
      <bottom/>
      <diagonal/>
    </border>
    <border>
      <left style="thin">
        <color rgb="FFC8D4DC"/>
      </left>
      <right style="thin">
        <color rgb="FFC8D4DC"/>
      </right>
      <top style="thin">
        <color rgb="FFC8D4DC"/>
      </top>
      <bottom style="thin">
        <color rgb="FFC8D4DC"/>
      </bottom>
      <diagonal/>
    </border>
    <border>
      <left style="thin">
        <color rgb="FF8ED8F8"/>
      </left>
      <right style="thin">
        <color rgb="FF8ED8F8"/>
      </right>
      <top style="thin">
        <color rgb="FF8ED8F8"/>
      </top>
      <bottom style="thin">
        <color rgb="FF8ED8F8"/>
      </bottom>
      <diagonal/>
    </border>
    <border>
      <left style="thin">
        <color rgb="FFE7B84B"/>
      </left>
      <right style="thin">
        <color rgb="FFE7B84B"/>
      </right>
      <top style="thin">
        <color rgb="FFE7B84B"/>
      </top>
      <bottom style="thin">
        <color rgb="FFE7B84B"/>
      </bottom>
      <diagonal/>
    </border>
    <border>
      <left style="thin">
        <color rgb="FF247D69"/>
      </left>
      <right style="thin">
        <color rgb="FF247D69"/>
      </right>
      <top style="thin">
        <color rgb="FF247D69"/>
      </top>
      <bottom style="thin">
        <color rgb="FF247D69"/>
      </bottom>
      <diagonal/>
    </border>
    <border>
      <left style="thin">
        <color rgb="FF65478D"/>
      </left>
      <right style="thin">
        <color rgb="FF65478D"/>
      </right>
      <top style="thin">
        <color rgb="FF65478D"/>
      </top>
      <bottom style="thin">
        <color rgb="FF65478D"/>
      </bottom>
      <diagonal/>
    </border>
  </borders>
  <cellStyleXfs count="2">
    <xf numFmtId="0" fontId="0" fillId="0" borderId="0"/>
    <xf numFmtId="0" fontId="14" fillId="0" borderId="0"/>
  </cellStyleXfs>
  <cellXfs count="56">
    <xf numFmtId="0" fontId="0" fillId="0" borderId="0" xfId="0"/>
    <xf numFmtId="0" fontId="3" fillId="4" borderId="0" xfId="1" applyFont="1" applyFill="1" applyAlignment="1">
      <alignment vertical="center"/>
    </xf>
    <xf numFmtId="0" fontId="4" fillId="5" borderId="1" xfId="1" applyFont="1" applyFill="1" applyBorder="1" applyAlignment="1">
      <alignment vertical="center"/>
    </xf>
    <xf numFmtId="0" fontId="5" fillId="6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vertical="center" wrapText="1"/>
    </xf>
    <xf numFmtId="0" fontId="4" fillId="7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4" fillId="8" borderId="1" xfId="1" applyFont="1" applyFill="1" applyBorder="1" applyAlignment="1">
      <alignment vertical="center"/>
    </xf>
    <xf numFmtId="0" fontId="4" fillId="9" borderId="1" xfId="1" applyFont="1" applyFill="1" applyBorder="1" applyAlignment="1">
      <alignment vertical="center"/>
    </xf>
    <xf numFmtId="0" fontId="4" fillId="10" borderId="1" xfId="1" applyFont="1" applyFill="1" applyBorder="1" applyAlignment="1">
      <alignment vertical="center"/>
    </xf>
    <xf numFmtId="0" fontId="4" fillId="11" borderId="1" xfId="1" applyFont="1" applyFill="1" applyBorder="1" applyAlignment="1">
      <alignment vertical="center"/>
    </xf>
    <xf numFmtId="0" fontId="6" fillId="13" borderId="1" xfId="1" applyFont="1" applyFill="1" applyBorder="1" applyAlignment="1">
      <alignment vertical="center"/>
    </xf>
    <xf numFmtId="0" fontId="0" fillId="0" borderId="0" xfId="1" applyFont="1" applyAlignment="1">
      <alignment vertical="center"/>
    </xf>
    <xf numFmtId="0" fontId="9" fillId="4" borderId="1" xfId="1" applyFont="1" applyFill="1" applyBorder="1" applyAlignment="1">
      <alignment horizontal="center" vertical="center" wrapText="1"/>
    </xf>
    <xf numFmtId="0" fontId="4" fillId="7" borderId="2" xfId="1" applyFont="1" applyFill="1" applyBorder="1" applyAlignment="1">
      <alignment vertical="center"/>
    </xf>
    <xf numFmtId="9" fontId="4" fillId="10" borderId="1" xfId="1" applyNumberFormat="1" applyFont="1" applyFill="1" applyBorder="1" applyAlignment="1">
      <alignment vertical="center"/>
    </xf>
    <xf numFmtId="9" fontId="4" fillId="7" borderId="2" xfId="1" applyNumberFormat="1" applyFont="1" applyFill="1" applyBorder="1" applyAlignment="1">
      <alignment vertical="center"/>
    </xf>
    <xf numFmtId="0" fontId="9" fillId="12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/>
    </xf>
    <xf numFmtId="0" fontId="3" fillId="16" borderId="0" xfId="1" applyFont="1" applyFill="1" applyAlignment="1">
      <alignment vertical="center"/>
    </xf>
    <xf numFmtId="0" fontId="9" fillId="14" borderId="1" xfId="1" applyFont="1" applyFill="1" applyBorder="1" applyAlignment="1">
      <alignment horizontal="center" vertical="center" wrapText="1"/>
    </xf>
    <xf numFmtId="0" fontId="9" fillId="15" borderId="1" xfId="1" applyFont="1" applyFill="1" applyBorder="1" applyAlignment="1">
      <alignment horizontal="center" vertical="center" wrapText="1"/>
    </xf>
    <xf numFmtId="0" fontId="9" fillId="16" borderId="1" xfId="1" applyFont="1" applyFill="1" applyBorder="1" applyAlignment="1">
      <alignment horizontal="center" vertical="center" wrapText="1"/>
    </xf>
    <xf numFmtId="0" fontId="9" fillId="17" borderId="1" xfId="1" applyFont="1" applyFill="1" applyBorder="1" applyAlignment="1">
      <alignment horizontal="center" vertical="center" wrapText="1"/>
    </xf>
    <xf numFmtId="0" fontId="9" fillId="18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4" fillId="19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2" fontId="4" fillId="19" borderId="2" xfId="1" applyNumberFormat="1" applyFont="1" applyFill="1" applyBorder="1" applyAlignment="1">
      <alignment vertical="center"/>
    </xf>
    <xf numFmtId="176" fontId="4" fillId="10" borderId="1" xfId="1" applyNumberFormat="1" applyFont="1" applyFill="1" applyBorder="1" applyAlignment="1">
      <alignment vertical="center"/>
    </xf>
    <xf numFmtId="10" fontId="4" fillId="8" borderId="4" xfId="1" applyNumberFormat="1" applyFont="1" applyFill="1" applyBorder="1" applyAlignment="1">
      <alignment vertical="center"/>
    </xf>
    <xf numFmtId="10" fontId="4" fillId="9" borderId="5" xfId="1" applyNumberFormat="1" applyFont="1" applyFill="1" applyBorder="1" applyAlignment="1">
      <alignment vertical="center"/>
    </xf>
    <xf numFmtId="0" fontId="4" fillId="10" borderId="1" xfId="1" applyFont="1" applyFill="1" applyBorder="1" applyAlignment="1">
      <alignment horizontal="center" vertical="center"/>
    </xf>
    <xf numFmtId="2" fontId="4" fillId="10" borderId="1" xfId="1" applyNumberFormat="1" applyFont="1" applyFill="1" applyBorder="1" applyAlignment="1">
      <alignment vertical="center"/>
    </xf>
    <xf numFmtId="0" fontId="9" fillId="21" borderId="1" xfId="1" applyFont="1" applyFill="1" applyBorder="1" applyAlignment="1">
      <alignment horizontal="center" vertical="center" wrapText="1"/>
    </xf>
    <xf numFmtId="10" fontId="4" fillId="10" borderId="1" xfId="1" applyNumberFormat="1" applyFont="1" applyFill="1" applyBorder="1" applyAlignment="1">
      <alignment vertic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center"/>
    </xf>
    <xf numFmtId="0" fontId="3" fillId="12" borderId="0" xfId="1" applyFont="1" applyFill="1" applyAlignment="1">
      <alignment vertical="center"/>
    </xf>
    <xf numFmtId="0" fontId="7" fillId="11" borderId="0" xfId="1" applyFont="1" applyFill="1" applyAlignment="1">
      <alignment vertical="center" wrapText="1"/>
    </xf>
    <xf numFmtId="0" fontId="8" fillId="6" borderId="0" xfId="1" applyFont="1" applyFill="1" applyAlignment="1">
      <alignment vertical="center" wrapText="1"/>
    </xf>
    <xf numFmtId="0" fontId="13" fillId="10" borderId="1" xfId="1" applyFont="1" applyFill="1" applyBorder="1" applyAlignment="1">
      <alignment horizontal="center" vertical="center"/>
    </xf>
    <xf numFmtId="0" fontId="10" fillId="3" borderId="0" xfId="1" applyFont="1" applyFill="1" applyAlignment="1">
      <alignment vertical="center" wrapText="1"/>
    </xf>
    <xf numFmtId="0" fontId="1" fillId="4" borderId="0" xfId="1" applyFont="1" applyFill="1" applyAlignment="1">
      <alignment vertical="center"/>
    </xf>
    <xf numFmtId="0" fontId="4" fillId="7" borderId="2" xfId="1" applyFont="1" applyFill="1" applyBorder="1" applyAlignment="1">
      <alignment vertical="center"/>
    </xf>
    <xf numFmtId="0" fontId="11" fillId="20" borderId="0" xfId="1" applyFont="1" applyFill="1" applyAlignment="1">
      <alignment vertical="center" wrapText="1"/>
    </xf>
    <xf numFmtId="0" fontId="1" fillId="12" borderId="0" xfId="1" applyFont="1" applyFill="1" applyAlignment="1">
      <alignment vertical="center"/>
    </xf>
    <xf numFmtId="0" fontId="12" fillId="13" borderId="0" xfId="1" applyFont="1" applyFill="1" applyAlignment="1">
      <alignment vertical="center" wrapText="1"/>
    </xf>
    <xf numFmtId="0" fontId="3" fillId="14" borderId="0" xfId="1" applyFont="1" applyFill="1" applyAlignment="1">
      <alignment vertical="center"/>
    </xf>
    <xf numFmtId="0" fontId="3" fillId="15" borderId="0" xfId="1" applyFont="1" applyFill="1" applyAlignment="1">
      <alignment vertical="center"/>
    </xf>
    <xf numFmtId="0" fontId="3" fillId="17" borderId="0" xfId="1" applyFont="1" applyFill="1" applyAlignment="1">
      <alignment vertical="center"/>
    </xf>
    <xf numFmtId="0" fontId="3" fillId="18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1" fillId="21" borderId="0" xfId="1" applyFont="1" applyFill="1" applyAlignment="1">
      <alignment vertical="center"/>
    </xf>
    <xf numFmtId="0" fontId="1" fillId="14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93">
    <dxf>
      <font>
        <color rgb="FFA1242F"/>
      </font>
      <fill>
        <patternFill patternType="solid">
          <bgColor rgb="FFFDE2E4"/>
        </patternFill>
      </fill>
    </dxf>
    <dxf>
      <font>
        <color rgb="FF8A5A00"/>
      </font>
      <fill>
        <patternFill patternType="solid">
          <bgColor rgb="FFFFF0C2"/>
        </patternFill>
      </fill>
    </dxf>
    <dxf>
      <font>
        <color rgb="FF17643C"/>
      </font>
      <fill>
        <patternFill patternType="solid">
          <bgColor rgb="FFD9F2E5"/>
        </patternFill>
      </fill>
    </dxf>
    <dxf>
      <font>
        <color rgb="FFA1242F"/>
      </font>
      <fill>
        <patternFill patternType="solid">
          <bgColor rgb="FFFDE2E4"/>
        </patternFill>
      </fill>
    </dxf>
    <dxf>
      <font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color rgb="FF60747E"/>
      </font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  <dxf>
      <font>
        <b/>
        <color rgb="FFA1242F"/>
      </font>
      <fill>
        <patternFill patternType="solid">
          <bgColor rgb="FFFDE2E4"/>
        </patternFill>
      </fill>
    </dxf>
    <dxf>
      <font>
        <b/>
        <color rgb="FF8A5A00"/>
      </font>
      <fill>
        <patternFill patternType="solid">
          <bgColor rgb="FFFFF0C2"/>
        </patternFill>
      </fill>
    </dxf>
    <dxf>
      <font>
        <b/>
        <color rgb="FF17643C"/>
      </font>
      <fill>
        <patternFill patternType="solid">
          <bgColor rgb="FFD9F2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sz="900"/>
              <a:t>每波息壤收益曲线（每位玩家）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最大息壤/玩家</c:v>
          </c:tx>
          <c:marker>
            <c:symbol val="none"/>
          </c:marker>
          <c:cat>
            <c:strRef>
              <c:f>总览!$A$35:$A$50</c:f>
              <c:strCache>
                <c:ptCount val="16"/>
                <c:pt idx="0">
                  <c:v>第1波</c:v>
                </c:pt>
                <c:pt idx="1">
                  <c:v>第2波</c:v>
                </c:pt>
                <c:pt idx="2">
                  <c:v>第3波</c:v>
                </c:pt>
                <c:pt idx="3">
                  <c:v>第4波</c:v>
                </c:pt>
                <c:pt idx="4">
                  <c:v>第5波</c:v>
                </c:pt>
                <c:pt idx="5">
                  <c:v>第6波</c:v>
                </c:pt>
                <c:pt idx="6">
                  <c:v>第7波</c:v>
                </c:pt>
                <c:pt idx="7">
                  <c:v>第8波</c:v>
                </c:pt>
                <c:pt idx="8">
                  <c:v>第9波</c:v>
                </c:pt>
                <c:pt idx="9">
                  <c:v>第10波</c:v>
                </c:pt>
                <c:pt idx="10">
                  <c:v>第11波</c:v>
                </c:pt>
                <c:pt idx="11">
                  <c:v>第12波</c:v>
                </c:pt>
                <c:pt idx="12">
                  <c:v>第13波</c:v>
                </c:pt>
                <c:pt idx="13">
                  <c:v>第14波</c:v>
                </c:pt>
                <c:pt idx="14">
                  <c:v>第15波</c:v>
                </c:pt>
                <c:pt idx="15">
                  <c:v>第16波</c:v>
                </c:pt>
              </c:strCache>
            </c:strRef>
          </c:cat>
          <c:val>
            <c:numRef>
              <c:f>总览!$B$35:$B$50</c:f>
              <c:numCache>
                <c:formatCode>General</c:formatCode>
                <c:ptCount val="16"/>
                <c:pt idx="0">
                  <c:v>2500</c:v>
                </c:pt>
                <c:pt idx="1">
                  <c:v>4050</c:v>
                </c:pt>
                <c:pt idx="2">
                  <c:v>5000</c:v>
                </c:pt>
                <c:pt idx="3">
                  <c:v>0</c:v>
                </c:pt>
                <c:pt idx="4">
                  <c:v>96</c:v>
                </c:pt>
                <c:pt idx="5">
                  <c:v>116</c:v>
                </c:pt>
                <c:pt idx="6">
                  <c:v>144</c:v>
                </c:pt>
                <c:pt idx="7">
                  <c:v>172</c:v>
                </c:pt>
                <c:pt idx="8">
                  <c:v>210</c:v>
                </c:pt>
                <c:pt idx="9">
                  <c:v>246</c:v>
                </c:pt>
                <c:pt idx="10">
                  <c:v>306</c:v>
                </c:pt>
                <c:pt idx="11">
                  <c:v>342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79-47AC-8208-B323E7FEDBAC}"/>
            </c:ext>
          </c:extLst>
        </c:ser>
        <c:ser>
          <c:idx val="1"/>
          <c:order val="1"/>
          <c:tx>
            <c:v>情景息壤/玩家</c:v>
          </c:tx>
          <c:marker>
            <c:symbol val="none"/>
          </c:marker>
          <c:cat>
            <c:strRef>
              <c:f>总览!$A$35:$A$50</c:f>
              <c:strCache>
                <c:ptCount val="16"/>
                <c:pt idx="0">
                  <c:v>第1波</c:v>
                </c:pt>
                <c:pt idx="1">
                  <c:v>第2波</c:v>
                </c:pt>
                <c:pt idx="2">
                  <c:v>第3波</c:v>
                </c:pt>
                <c:pt idx="3">
                  <c:v>第4波</c:v>
                </c:pt>
                <c:pt idx="4">
                  <c:v>第5波</c:v>
                </c:pt>
                <c:pt idx="5">
                  <c:v>第6波</c:v>
                </c:pt>
                <c:pt idx="6">
                  <c:v>第7波</c:v>
                </c:pt>
                <c:pt idx="7">
                  <c:v>第8波</c:v>
                </c:pt>
                <c:pt idx="8">
                  <c:v>第9波</c:v>
                </c:pt>
                <c:pt idx="9">
                  <c:v>第10波</c:v>
                </c:pt>
                <c:pt idx="10">
                  <c:v>第11波</c:v>
                </c:pt>
                <c:pt idx="11">
                  <c:v>第12波</c:v>
                </c:pt>
                <c:pt idx="12">
                  <c:v>第13波</c:v>
                </c:pt>
                <c:pt idx="13">
                  <c:v>第14波</c:v>
                </c:pt>
                <c:pt idx="14">
                  <c:v>第15波</c:v>
                </c:pt>
                <c:pt idx="15">
                  <c:v>第16波</c:v>
                </c:pt>
              </c:strCache>
            </c:strRef>
          </c:cat>
          <c:val>
            <c:numRef>
              <c:f>总览!$C$35:$C$50</c:f>
              <c:numCache>
                <c:formatCode>General</c:formatCode>
                <c:ptCount val="16"/>
                <c:pt idx="0">
                  <c:v>2500</c:v>
                </c:pt>
                <c:pt idx="1">
                  <c:v>4050</c:v>
                </c:pt>
                <c:pt idx="2">
                  <c:v>5000</c:v>
                </c:pt>
                <c:pt idx="3">
                  <c:v>0</c:v>
                </c:pt>
                <c:pt idx="4">
                  <c:v>96</c:v>
                </c:pt>
                <c:pt idx="5">
                  <c:v>116</c:v>
                </c:pt>
                <c:pt idx="6">
                  <c:v>144</c:v>
                </c:pt>
                <c:pt idx="7">
                  <c:v>172</c:v>
                </c:pt>
                <c:pt idx="8">
                  <c:v>210</c:v>
                </c:pt>
                <c:pt idx="9">
                  <c:v>246</c:v>
                </c:pt>
                <c:pt idx="10">
                  <c:v>306</c:v>
                </c:pt>
                <c:pt idx="11">
                  <c:v>342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79-47AC-8208-B323E7FED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sz="900"/>
              <a:t>每波实际敌人数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实际敌人数</c:v>
          </c:tx>
          <c:invertIfNegative val="1"/>
          <c:cat>
            <c:strRef>
              <c:f>总览!$A$54:$A$69</c:f>
              <c:strCache>
                <c:ptCount val="16"/>
                <c:pt idx="0">
                  <c:v>第1波</c:v>
                </c:pt>
                <c:pt idx="1">
                  <c:v>第2波</c:v>
                </c:pt>
                <c:pt idx="2">
                  <c:v>第3波</c:v>
                </c:pt>
                <c:pt idx="3">
                  <c:v>第4波</c:v>
                </c:pt>
                <c:pt idx="4">
                  <c:v>第5波</c:v>
                </c:pt>
                <c:pt idx="5">
                  <c:v>第6波</c:v>
                </c:pt>
                <c:pt idx="6">
                  <c:v>第7波</c:v>
                </c:pt>
                <c:pt idx="7">
                  <c:v>第8波</c:v>
                </c:pt>
                <c:pt idx="8">
                  <c:v>第9波</c:v>
                </c:pt>
                <c:pt idx="9">
                  <c:v>第10波</c:v>
                </c:pt>
                <c:pt idx="10">
                  <c:v>第11波</c:v>
                </c:pt>
                <c:pt idx="11">
                  <c:v>第12波</c:v>
                </c:pt>
                <c:pt idx="12">
                  <c:v>第13波</c:v>
                </c:pt>
                <c:pt idx="13">
                  <c:v>第14波</c:v>
                </c:pt>
                <c:pt idx="14">
                  <c:v>第15波</c:v>
                </c:pt>
                <c:pt idx="15">
                  <c:v>第16波</c:v>
                </c:pt>
              </c:strCache>
            </c:strRef>
          </c:cat>
          <c:val>
            <c:numRef>
              <c:f>总览!$B$54:$B$69</c:f>
              <c:numCache>
                <c:formatCode>General</c:formatCode>
                <c:ptCount val="16"/>
                <c:pt idx="0">
                  <c:v>2500</c:v>
                </c:pt>
                <c:pt idx="1">
                  <c:v>3850</c:v>
                </c:pt>
                <c:pt idx="2">
                  <c:v>3950</c:v>
                </c:pt>
                <c:pt idx="3">
                  <c:v>0</c:v>
                </c:pt>
                <c:pt idx="4">
                  <c:v>80</c:v>
                </c:pt>
                <c:pt idx="5">
                  <c:v>96</c:v>
                </c:pt>
                <c:pt idx="6">
                  <c:v>112</c:v>
                </c:pt>
                <c:pt idx="7">
                  <c:v>128</c:v>
                </c:pt>
                <c:pt idx="8">
                  <c:v>144</c:v>
                </c:pt>
                <c:pt idx="9">
                  <c:v>160</c:v>
                </c:pt>
                <c:pt idx="10">
                  <c:v>176</c:v>
                </c:pt>
                <c:pt idx="11">
                  <c:v>200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4-4B93-8D6E-85F924298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33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52</xdr:row>
      <xdr:rowOff>0</xdr:rowOff>
    </xdr:from>
    <xdr:to>
      <xdr:col>14</xdr:col>
      <xdr:colOff>0</xdr:colOff>
      <xdr:row>69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workbookViewId="0">
      <selection sqref="A1:H1"/>
    </sheetView>
  </sheetViews>
  <sheetFormatPr defaultRowHeight="14.25"/>
  <cols>
    <col min="1" max="1" width="13" customWidth="1"/>
    <col min="2" max="2" width="92" customWidth="1"/>
    <col min="3" max="8" width="12" customWidth="1"/>
  </cols>
  <sheetData>
    <row r="1" spans="1:8" ht="38.1" customHeight="1">
      <c r="A1" s="36" t="s">
        <v>0</v>
      </c>
      <c r="B1" s="36" t="s">
        <v>0</v>
      </c>
      <c r="C1" s="36" t="s">
        <v>0</v>
      </c>
      <c r="D1" s="36" t="s">
        <v>0</v>
      </c>
      <c r="E1" s="36" t="s">
        <v>0</v>
      </c>
      <c r="F1" s="36" t="s">
        <v>0</v>
      </c>
      <c r="G1" s="36" t="s">
        <v>0</v>
      </c>
      <c r="H1" s="36" t="s">
        <v>0</v>
      </c>
    </row>
    <row r="2" spans="1:8" ht="39.950000000000003" customHeight="1">
      <c r="A2" s="37" t="s">
        <v>1</v>
      </c>
      <c r="B2" s="37" t="s">
        <v>1</v>
      </c>
      <c r="C2" s="37" t="s">
        <v>1</v>
      </c>
      <c r="D2" s="37" t="s">
        <v>1</v>
      </c>
      <c r="E2" s="37" t="s">
        <v>1</v>
      </c>
      <c r="F2" s="37" t="s">
        <v>1</v>
      </c>
      <c r="G2" s="37" t="s">
        <v>1</v>
      </c>
      <c r="H2" s="37" t="s">
        <v>1</v>
      </c>
    </row>
    <row r="3" spans="1:8">
      <c r="A3" s="12"/>
      <c r="B3" s="12"/>
      <c r="C3" s="12"/>
      <c r="D3" s="12"/>
      <c r="E3" s="12"/>
      <c r="F3" s="12"/>
      <c r="G3" s="12"/>
      <c r="H3" s="12"/>
    </row>
    <row r="4" spans="1:8" ht="18">
      <c r="A4" s="38" t="s">
        <v>2</v>
      </c>
      <c r="B4" s="38" t="s">
        <v>2</v>
      </c>
      <c r="C4" s="38" t="s">
        <v>2</v>
      </c>
      <c r="D4" s="38" t="s">
        <v>2</v>
      </c>
      <c r="E4" s="38" t="s">
        <v>2</v>
      </c>
      <c r="F4" s="38" t="s">
        <v>2</v>
      </c>
      <c r="G4" s="38" t="s">
        <v>2</v>
      </c>
      <c r="H4" s="38" t="s">
        <v>2</v>
      </c>
    </row>
    <row r="5" spans="1:8" ht="38.1" customHeight="1">
      <c r="A5" s="3" t="s">
        <v>3</v>
      </c>
      <c r="B5" s="4" t="s">
        <v>4</v>
      </c>
      <c r="C5" s="12"/>
      <c r="D5" s="12"/>
      <c r="E5" s="12"/>
      <c r="F5" s="12"/>
      <c r="G5" s="12"/>
      <c r="H5" s="12"/>
    </row>
    <row r="6" spans="1:8" ht="38.1" customHeight="1">
      <c r="A6" s="3" t="s">
        <v>5</v>
      </c>
      <c r="B6" s="4" t="s">
        <v>6</v>
      </c>
      <c r="C6" s="12"/>
      <c r="D6" s="12"/>
      <c r="E6" s="12"/>
      <c r="F6" s="12"/>
      <c r="G6" s="12"/>
      <c r="H6" s="12"/>
    </row>
    <row r="7" spans="1:8" ht="38.1" customHeight="1">
      <c r="A7" s="3" t="s">
        <v>7</v>
      </c>
      <c r="B7" s="4" t="s">
        <v>8</v>
      </c>
      <c r="C7" s="12"/>
      <c r="D7" s="12"/>
      <c r="E7" s="12"/>
      <c r="F7" s="12"/>
      <c r="G7" s="12"/>
      <c r="H7" s="12"/>
    </row>
    <row r="8" spans="1:8" ht="38.1" customHeight="1">
      <c r="A8" s="3" t="s">
        <v>9</v>
      </c>
      <c r="B8" s="4" t="s">
        <v>10</v>
      </c>
      <c r="C8" s="12"/>
      <c r="D8" s="12"/>
      <c r="E8" s="12"/>
      <c r="F8" s="12"/>
      <c r="G8" s="12"/>
      <c r="H8" s="12"/>
    </row>
    <row r="9" spans="1:8" ht="38.1" customHeight="1">
      <c r="A9" s="3" t="s">
        <v>11</v>
      </c>
      <c r="B9" s="4" t="s">
        <v>12</v>
      </c>
      <c r="C9" s="12"/>
      <c r="D9" s="12"/>
      <c r="E9" s="12"/>
      <c r="F9" s="12"/>
      <c r="G9" s="12"/>
      <c r="H9" s="12"/>
    </row>
    <row r="10" spans="1:8">
      <c r="A10" s="12"/>
      <c r="B10" s="12"/>
      <c r="C10" s="12"/>
      <c r="D10" s="12"/>
      <c r="E10" s="12"/>
      <c r="F10" s="12"/>
      <c r="G10" s="12"/>
      <c r="H10" s="12"/>
    </row>
    <row r="11" spans="1:8" ht="18">
      <c r="A11" s="38" t="s">
        <v>13</v>
      </c>
      <c r="B11" s="38" t="s">
        <v>13</v>
      </c>
      <c r="C11" s="38" t="s">
        <v>13</v>
      </c>
      <c r="D11" s="38" t="s">
        <v>13</v>
      </c>
      <c r="E11" s="38" t="s">
        <v>13</v>
      </c>
      <c r="F11" s="38" t="s">
        <v>13</v>
      </c>
      <c r="G11" s="38" t="s">
        <v>13</v>
      </c>
      <c r="H11" s="38" t="s">
        <v>13</v>
      </c>
    </row>
    <row r="12" spans="1:8" ht="27.95" customHeight="1">
      <c r="A12" s="5" t="s">
        <v>14</v>
      </c>
      <c r="B12" s="2" t="s">
        <v>15</v>
      </c>
      <c r="C12" s="12"/>
      <c r="D12" s="12"/>
      <c r="E12" s="12"/>
      <c r="F12" s="12"/>
      <c r="G12" s="12"/>
      <c r="H12" s="12"/>
    </row>
    <row r="13" spans="1:8" ht="27.95" customHeight="1">
      <c r="A13" s="6" t="s">
        <v>16</v>
      </c>
      <c r="B13" s="2" t="s">
        <v>17</v>
      </c>
      <c r="C13" s="12"/>
      <c r="D13" s="12"/>
      <c r="E13" s="12"/>
      <c r="F13" s="12"/>
      <c r="G13" s="12"/>
      <c r="H13" s="12"/>
    </row>
    <row r="14" spans="1:8" ht="27.95" customHeight="1">
      <c r="A14" s="7" t="s">
        <v>18</v>
      </c>
      <c r="B14" s="2" t="s">
        <v>19</v>
      </c>
      <c r="C14" s="12"/>
      <c r="D14" s="12"/>
      <c r="E14" s="12"/>
      <c r="F14" s="12"/>
      <c r="G14" s="12"/>
      <c r="H14" s="12"/>
    </row>
    <row r="15" spans="1:8" ht="27.95" customHeight="1">
      <c r="A15" s="8" t="s">
        <v>20</v>
      </c>
      <c r="B15" s="2" t="s">
        <v>21</v>
      </c>
      <c r="C15" s="12"/>
      <c r="D15" s="12"/>
      <c r="E15" s="12"/>
      <c r="F15" s="12"/>
      <c r="G15" s="12"/>
      <c r="H15" s="12"/>
    </row>
    <row r="16" spans="1:8" ht="27.95" customHeight="1">
      <c r="A16" s="9" t="s">
        <v>22</v>
      </c>
      <c r="B16" s="2" t="s">
        <v>23</v>
      </c>
      <c r="C16" s="12"/>
      <c r="D16" s="12"/>
      <c r="E16" s="12"/>
      <c r="F16" s="12"/>
      <c r="G16" s="12"/>
      <c r="H16" s="12"/>
    </row>
    <row r="17" spans="1:8" ht="27.95" customHeight="1">
      <c r="A17" s="10" t="s">
        <v>24</v>
      </c>
      <c r="B17" s="2" t="s">
        <v>25</v>
      </c>
      <c r="C17" s="12"/>
      <c r="D17" s="12"/>
      <c r="E17" s="12"/>
      <c r="F17" s="12"/>
      <c r="G17" s="12"/>
      <c r="H17" s="12"/>
    </row>
    <row r="18" spans="1:8">
      <c r="A18" s="12"/>
      <c r="B18" s="12"/>
      <c r="C18" s="12"/>
      <c r="D18" s="12"/>
      <c r="E18" s="12"/>
      <c r="F18" s="12"/>
      <c r="G18" s="12"/>
      <c r="H18" s="12"/>
    </row>
    <row r="19" spans="1:8" ht="18">
      <c r="A19" s="39" t="s">
        <v>26</v>
      </c>
      <c r="B19" s="39" t="s">
        <v>26</v>
      </c>
      <c r="C19" s="39" t="s">
        <v>26</v>
      </c>
      <c r="D19" s="39" t="s">
        <v>26</v>
      </c>
      <c r="E19" s="39" t="s">
        <v>26</v>
      </c>
      <c r="F19" s="39" t="s">
        <v>26</v>
      </c>
      <c r="G19" s="39" t="s">
        <v>26</v>
      </c>
      <c r="H19" s="39" t="s">
        <v>26</v>
      </c>
    </row>
    <row r="20" spans="1:8" ht="36" customHeight="1">
      <c r="A20" s="11" t="s">
        <v>27</v>
      </c>
      <c r="B20" s="4" t="s">
        <v>28</v>
      </c>
      <c r="C20" s="12"/>
      <c r="D20" s="12"/>
      <c r="E20" s="12"/>
      <c r="F20" s="12"/>
      <c r="G20" s="12"/>
      <c r="H20" s="12"/>
    </row>
    <row r="21" spans="1:8" ht="36" customHeight="1">
      <c r="A21" s="11" t="s">
        <v>29</v>
      </c>
      <c r="B21" s="4" t="s">
        <v>30</v>
      </c>
      <c r="C21" s="12"/>
      <c r="D21" s="12"/>
      <c r="E21" s="12"/>
      <c r="F21" s="12"/>
      <c r="G21" s="12"/>
      <c r="H21" s="12"/>
    </row>
    <row r="22" spans="1:8" ht="36" customHeight="1">
      <c r="A22" s="11" t="s">
        <v>31</v>
      </c>
      <c r="B22" s="4" t="s">
        <v>32</v>
      </c>
      <c r="C22" s="12"/>
      <c r="D22" s="12"/>
      <c r="E22" s="12"/>
      <c r="F22" s="12"/>
      <c r="G22" s="12"/>
      <c r="H22" s="12"/>
    </row>
    <row r="23" spans="1:8" ht="36" customHeight="1">
      <c r="A23" s="11" t="s">
        <v>33</v>
      </c>
      <c r="B23" s="4" t="s">
        <v>34</v>
      </c>
      <c r="C23" s="12"/>
      <c r="D23" s="12"/>
      <c r="E23" s="12"/>
      <c r="F23" s="12"/>
      <c r="G23" s="12"/>
      <c r="H23" s="12"/>
    </row>
    <row r="24" spans="1:8" ht="36" customHeight="1">
      <c r="A24" s="11" t="s">
        <v>35</v>
      </c>
      <c r="B24" s="4" t="s">
        <v>36</v>
      </c>
      <c r="C24" s="12"/>
      <c r="D24" s="12"/>
      <c r="E24" s="12"/>
      <c r="F24" s="12"/>
      <c r="G24" s="12"/>
      <c r="H24" s="12"/>
    </row>
    <row r="25" spans="1:8" ht="36" customHeight="1">
      <c r="A25" s="11" t="s">
        <v>37</v>
      </c>
      <c r="B25" s="4" t="s">
        <v>38</v>
      </c>
      <c r="C25" s="12"/>
      <c r="D25" s="12"/>
      <c r="E25" s="12"/>
      <c r="F25" s="12"/>
      <c r="G25" s="12"/>
      <c r="H25" s="12"/>
    </row>
    <row r="26" spans="1:8" ht="36" customHeight="1">
      <c r="A26" s="11" t="s">
        <v>39</v>
      </c>
      <c r="B26" s="4" t="s">
        <v>40</v>
      </c>
      <c r="C26" s="12"/>
      <c r="D26" s="12"/>
      <c r="E26" s="12"/>
      <c r="F26" s="12"/>
      <c r="G26" s="12"/>
      <c r="H26" s="12"/>
    </row>
    <row r="27" spans="1:8" ht="36" customHeight="1">
      <c r="A27" s="11" t="s">
        <v>41</v>
      </c>
      <c r="B27" s="4" t="s">
        <v>42</v>
      </c>
      <c r="C27" s="12"/>
      <c r="D27" s="12"/>
      <c r="E27" s="12"/>
      <c r="F27" s="12"/>
      <c r="G27" s="12"/>
      <c r="H27" s="12"/>
    </row>
    <row r="28" spans="1:8">
      <c r="A28" s="12"/>
      <c r="B28" s="12"/>
      <c r="C28" s="12"/>
      <c r="D28" s="12"/>
      <c r="E28" s="12"/>
      <c r="F28" s="12"/>
      <c r="G28" s="12"/>
      <c r="H28" s="12"/>
    </row>
    <row r="29" spans="1:8" ht="38.1" customHeight="1">
      <c r="A29" s="40" t="s">
        <v>43</v>
      </c>
      <c r="B29" s="40" t="s">
        <v>43</v>
      </c>
      <c r="C29" s="40" t="s">
        <v>43</v>
      </c>
      <c r="D29" s="40" t="s">
        <v>43</v>
      </c>
      <c r="E29" s="40" t="s">
        <v>43</v>
      </c>
      <c r="F29" s="40" t="s">
        <v>43</v>
      </c>
      <c r="G29" s="40" t="s">
        <v>43</v>
      </c>
      <c r="H29" s="40" t="s">
        <v>43</v>
      </c>
    </row>
  </sheetData>
  <mergeCells count="6">
    <mergeCell ref="A29:H29"/>
    <mergeCell ref="A1:H1"/>
    <mergeCell ref="A2:H2"/>
    <mergeCell ref="A4:H4"/>
    <mergeCell ref="A11:H11"/>
    <mergeCell ref="A19:H19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"/>
  <sheetViews>
    <sheetView showGridLines="0" workbookViewId="0">
      <selection sqref="A1:N1"/>
    </sheetView>
  </sheetViews>
  <sheetFormatPr defaultRowHeight="14.25"/>
  <cols>
    <col min="1" max="1" width="12" customWidth="1"/>
    <col min="2" max="2" width="8" customWidth="1"/>
    <col min="3" max="3" width="10" customWidth="1"/>
    <col min="4" max="4" width="30" customWidth="1"/>
    <col min="5" max="7" width="12" customWidth="1"/>
    <col min="8" max="8" width="11" customWidth="1"/>
    <col min="9" max="9" width="17" customWidth="1"/>
    <col min="10" max="11" width="18" customWidth="1"/>
    <col min="12" max="12" width="15" customWidth="1"/>
    <col min="13" max="13" width="12" customWidth="1"/>
    <col min="14" max="14" width="13" customWidth="1"/>
  </cols>
  <sheetData>
    <row r="1" spans="1:14" ht="38.1" customHeight="1">
      <c r="A1" s="36" t="s">
        <v>44</v>
      </c>
      <c r="B1" s="36" t="s">
        <v>44</v>
      </c>
      <c r="C1" s="36" t="s">
        <v>44</v>
      </c>
      <c r="D1" s="36" t="s">
        <v>44</v>
      </c>
      <c r="E1" s="36" t="s">
        <v>44</v>
      </c>
      <c r="F1" s="36" t="s">
        <v>44</v>
      </c>
      <c r="G1" s="36" t="s">
        <v>44</v>
      </c>
      <c r="H1" s="36" t="s">
        <v>44</v>
      </c>
      <c r="I1" s="36" t="s">
        <v>44</v>
      </c>
      <c r="J1" s="36" t="s">
        <v>44</v>
      </c>
      <c r="K1" s="36" t="s">
        <v>44</v>
      </c>
      <c r="L1" s="36" t="s">
        <v>44</v>
      </c>
      <c r="M1" s="36" t="s">
        <v>44</v>
      </c>
      <c r="N1" s="36" t="s">
        <v>44</v>
      </c>
    </row>
    <row r="2" spans="1:14" ht="36" customHeight="1">
      <c r="A2" s="41" t="s">
        <v>45</v>
      </c>
      <c r="B2" s="41" t="s">
        <v>45</v>
      </c>
      <c r="C2" s="41" t="s">
        <v>45</v>
      </c>
      <c r="D2" s="41" t="s">
        <v>45</v>
      </c>
      <c r="E2" s="41" t="s">
        <v>45</v>
      </c>
      <c r="F2" s="41" t="s">
        <v>45</v>
      </c>
      <c r="G2" s="41" t="s">
        <v>45</v>
      </c>
      <c r="H2" s="41" t="s">
        <v>45</v>
      </c>
      <c r="I2" s="41" t="s">
        <v>45</v>
      </c>
      <c r="J2" s="41" t="s">
        <v>45</v>
      </c>
      <c r="K2" s="41" t="s">
        <v>45</v>
      </c>
      <c r="L2" s="41" t="s">
        <v>45</v>
      </c>
      <c r="M2" s="41" t="s">
        <v>45</v>
      </c>
      <c r="N2" s="41" t="s">
        <v>45</v>
      </c>
    </row>
    <row r="3" spans="1:14" ht="24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30" customHeight="1">
      <c r="A4" s="13" t="s">
        <v>46</v>
      </c>
      <c r="B4" s="42" t="str">
        <f>COUNTIF(E9:E24,"可回读")&amp;" / 16"</f>
        <v>11 / 16</v>
      </c>
      <c r="C4" s="42"/>
      <c r="D4" s="22" t="s">
        <v>47</v>
      </c>
      <c r="E4" s="42">
        <f>SUM(F9:F24)</f>
        <v>11396</v>
      </c>
      <c r="F4" s="42"/>
      <c r="G4" s="22" t="s">
        <v>48</v>
      </c>
      <c r="H4" s="42">
        <f>SUM(J9:J24)</f>
        <v>13182</v>
      </c>
      <c r="I4" s="42"/>
      <c r="J4" s="22" t="s">
        <v>49</v>
      </c>
      <c r="K4" s="42">
        <f>SUM(K9:K24)</f>
        <v>13182</v>
      </c>
      <c r="L4" s="42"/>
      <c r="M4" s="23" t="s">
        <v>50</v>
      </c>
      <c r="N4" s="42" t="str">
        <f>COUNTIF(敌人目录!AA6:AA54,"可回读")&amp;" / 49"</f>
        <v>49 / 49</v>
      </c>
    </row>
    <row r="5" spans="1:14" ht="30" customHeight="1">
      <c r="A5" s="12"/>
      <c r="B5" s="42"/>
      <c r="C5" s="42"/>
      <c r="D5" s="12"/>
      <c r="E5" s="42"/>
      <c r="F5" s="42"/>
      <c r="G5" s="12"/>
      <c r="H5" s="42"/>
      <c r="I5" s="42"/>
      <c r="J5" s="12"/>
      <c r="K5" s="42"/>
      <c r="L5" s="42"/>
      <c r="M5" s="12"/>
      <c r="N5" s="42"/>
    </row>
    <row r="6" spans="1:14" ht="24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24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ht="39.950000000000003" customHeight="1">
      <c r="A8" s="20" t="s">
        <v>51</v>
      </c>
      <c r="B8" s="20" t="s">
        <v>52</v>
      </c>
      <c r="C8" s="20" t="s">
        <v>53</v>
      </c>
      <c r="D8" s="20" t="s">
        <v>54</v>
      </c>
      <c r="E8" s="20" t="s">
        <v>55</v>
      </c>
      <c r="F8" s="20" t="s">
        <v>56</v>
      </c>
      <c r="G8" s="20" t="s">
        <v>57</v>
      </c>
      <c r="H8" s="20" t="s">
        <v>58</v>
      </c>
      <c r="I8" s="22" t="s">
        <v>59</v>
      </c>
      <c r="J8" s="22" t="s">
        <v>48</v>
      </c>
      <c r="K8" s="22" t="s">
        <v>49</v>
      </c>
      <c r="L8" s="20" t="s">
        <v>60</v>
      </c>
      <c r="M8" s="20" t="s">
        <v>61</v>
      </c>
      <c r="N8" s="20" t="s">
        <v>62</v>
      </c>
    </row>
    <row r="9" spans="1:14" ht="24" customHeight="1">
      <c r="A9" s="2" t="s">
        <v>63</v>
      </c>
      <c r="B9" s="2">
        <v>1</v>
      </c>
      <c r="C9" s="2" t="s">
        <v>64</v>
      </c>
      <c r="D9" s="9" t="str">
        <f>第1日!$B$3</f>
        <v>第1波 林地试探</v>
      </c>
      <c r="E9" s="9" t="str">
        <f>第1日!$I$4</f>
        <v>可回读</v>
      </c>
      <c r="F9" s="9">
        <f>第1日!$B$26</f>
        <v>2500</v>
      </c>
      <c r="G9" s="9">
        <f>第1日!$D$26</f>
        <v>2500</v>
      </c>
      <c r="H9" s="9">
        <f>COUNTA(第1日!$B$7:$B$24)</f>
        <v>4</v>
      </c>
      <c r="I9" s="6">
        <f>第1日!$F$26</f>
        <v>2500</v>
      </c>
      <c r="J9" s="6">
        <f>第1日!$H$26</f>
        <v>2500</v>
      </c>
      <c r="K9" s="6">
        <f>第1日!$B$27</f>
        <v>2500</v>
      </c>
      <c r="L9" s="33">
        <f>IF(G9=0,0,MAX(0,(ROUNDUP(G9/第1日!$G$3,0)-1)*第1日!$E$3))</f>
        <v>499.8</v>
      </c>
      <c r="M9" s="9">
        <f>第1日!$I$3</f>
        <v>300</v>
      </c>
      <c r="N9" s="9">
        <f>IF(第1日!$B$4="点1·开启",1,0)+IF(第1日!$C$4="点2·开启",1,0)+IF(第1日!$D$4="点3·开启",1,0)+IF(第1日!$E$4="点4·开启",1,0)+IF(第1日!$F$4="点5·开启",1,0)+IF(第1日!$G$4="点6·开启",1,0)</f>
        <v>4</v>
      </c>
    </row>
    <row r="10" spans="1:14" ht="24" customHeight="1">
      <c r="A10" s="2" t="s">
        <v>65</v>
      </c>
      <c r="B10" s="2">
        <v>1</v>
      </c>
      <c r="C10" s="2" t="s">
        <v>64</v>
      </c>
      <c r="D10" s="9" t="str">
        <f>第1日!$B$32</f>
        <v>第2波 迅影与硬壳</v>
      </c>
      <c r="E10" s="9" t="str">
        <f>第1日!$I$33</f>
        <v>可回读</v>
      </c>
      <c r="F10" s="9">
        <f>第1日!$B$55</f>
        <v>3850</v>
      </c>
      <c r="G10" s="9">
        <f>第1日!$D$55</f>
        <v>3850</v>
      </c>
      <c r="H10" s="9">
        <f>COUNTA(第1日!$B$36:$B$53)</f>
        <v>7</v>
      </c>
      <c r="I10" s="6">
        <f>第1日!$F$55</f>
        <v>4050</v>
      </c>
      <c r="J10" s="6">
        <f>第1日!$H$55</f>
        <v>4050</v>
      </c>
      <c r="K10" s="6">
        <f>第1日!$B$56</f>
        <v>4050</v>
      </c>
      <c r="L10" s="33">
        <f>IF(G10=0,0,MAX(0,(ROUNDUP(G10/第1日!$G$32,0)-1)*第1日!$E$32))</f>
        <v>384.90000000000003</v>
      </c>
      <c r="M10" s="9">
        <f>第1日!$I$32</f>
        <v>300</v>
      </c>
      <c r="N10" s="9">
        <f>IF(第1日!$B$33="点1·开启",1,0)+IF(第1日!$C$33="点2·开启",1,0)+IF(第1日!$D$33="点3·开启",1,0)+IF(第1日!$E$33="点4·开启",1,0)+IF(第1日!$F$33="点5·开启",1,0)+IF(第1日!$G$33="点6·开启",1,0)</f>
        <v>4</v>
      </c>
    </row>
    <row r="11" spans="1:14" ht="24" customHeight="1">
      <c r="A11" s="2" t="s">
        <v>66</v>
      </c>
      <c r="B11" s="2">
        <v>1</v>
      </c>
      <c r="C11" s="2" t="s">
        <v>67</v>
      </c>
      <c r="D11" s="9" t="str">
        <f>第1日!$B$61</f>
        <v>第3波 火线初现</v>
      </c>
      <c r="E11" s="9" t="str">
        <f>第1日!$I$62</f>
        <v>可回读</v>
      </c>
      <c r="F11" s="9">
        <f>第1日!$B$84</f>
        <v>3950</v>
      </c>
      <c r="G11" s="9">
        <f>第1日!$D$84</f>
        <v>3950</v>
      </c>
      <c r="H11" s="9">
        <f>COUNTA(第1日!$B$65:$B$82)</f>
        <v>8</v>
      </c>
      <c r="I11" s="6">
        <f>第1日!$F$84</f>
        <v>5000</v>
      </c>
      <c r="J11" s="6">
        <f>第1日!$H$84</f>
        <v>5000</v>
      </c>
      <c r="K11" s="6">
        <f>第1日!$B$85</f>
        <v>5000</v>
      </c>
      <c r="L11" s="33">
        <f>IF(G11=0,0,MAX(0,(ROUNDUP(G11/第1日!$G$61,0)-1)*第1日!$E$61))</f>
        <v>394.90000000000003</v>
      </c>
      <c r="M11" s="9">
        <f>第1日!$I$61</f>
        <v>300</v>
      </c>
      <c r="N11" s="9">
        <f>IF(第1日!$B$62="点1·开启",1,0)+IF(第1日!$C$62="点2·开启",1,0)+IF(第1日!$D$62="点3·开启",1,0)+IF(第1日!$E$62="点4·开启",1,0)+IF(第1日!$F$62="点5·开启",1,0)+IF(第1日!$G$62="点6·开启",1,0)</f>
        <v>6</v>
      </c>
    </row>
    <row r="12" spans="1:14" ht="24" customHeight="1">
      <c r="A12" s="2" t="s">
        <v>68</v>
      </c>
      <c r="B12" s="2">
        <v>1</v>
      </c>
      <c r="C12" s="2" t="s">
        <v>67</v>
      </c>
      <c r="D12" s="9" t="str">
        <f>第1日!$B$90</f>
        <v>第4波 林地合围</v>
      </c>
      <c r="E12" s="9" t="str">
        <f>第1日!$I$91</f>
        <v>待设计</v>
      </c>
      <c r="F12" s="9">
        <f>第1日!$B$113</f>
        <v>0</v>
      </c>
      <c r="G12" s="9">
        <f>第1日!$D$113</f>
        <v>0</v>
      </c>
      <c r="H12" s="9">
        <f>COUNTA(第1日!$B$94:$B$111)</f>
        <v>0</v>
      </c>
      <c r="I12" s="6">
        <f>第1日!$F$113</f>
        <v>0</v>
      </c>
      <c r="J12" s="6">
        <f>第1日!$H$113</f>
        <v>0</v>
      </c>
      <c r="K12" s="6">
        <f>第1日!$B$114</f>
        <v>0</v>
      </c>
      <c r="L12" s="33">
        <f>IF(G12=0,0,MAX(0,(ROUNDUP(G12/第1日!$G$90,0)-1)*第1日!$E$90))</f>
        <v>0</v>
      </c>
      <c r="M12" s="9">
        <f>第1日!$I$90</f>
        <v>300</v>
      </c>
      <c r="N12" s="9">
        <f>IF(第1日!$B$91="点1·开启",1,0)+IF(第1日!$C$91="点2·开启",1,0)+IF(第1日!$D$91="点3·开启",1,0)+IF(第1日!$E$91="点4·开启",1,0)+IF(第1日!$F$91="点5·开启",1,0)+IF(第1日!$G$91="点6·开启",1,0)</f>
        <v>6</v>
      </c>
    </row>
    <row r="13" spans="1:14" ht="24" customHeight="1">
      <c r="A13" s="2" t="s">
        <v>69</v>
      </c>
      <c r="B13" s="2">
        <v>2</v>
      </c>
      <c r="C13" s="2" t="s">
        <v>64</v>
      </c>
      <c r="D13" s="9" t="str">
        <f>第2日!$B$3</f>
        <v>第5波 沼泽先遣</v>
      </c>
      <c r="E13" s="9" t="str">
        <f>第2日!$I$4</f>
        <v>可回读</v>
      </c>
      <c r="F13" s="9">
        <f>第2日!$B$26</f>
        <v>80</v>
      </c>
      <c r="G13" s="9">
        <f>第2日!$D$26</f>
        <v>80</v>
      </c>
      <c r="H13" s="9">
        <f>COUNTA(第2日!$B$7:$B$24)</f>
        <v>6</v>
      </c>
      <c r="I13" s="6">
        <f>第2日!$F$26</f>
        <v>96</v>
      </c>
      <c r="J13" s="6">
        <f>第2日!$H$26</f>
        <v>96</v>
      </c>
      <c r="K13" s="6">
        <f>第2日!$B$27</f>
        <v>96</v>
      </c>
      <c r="L13" s="33">
        <f>IF(G13=0,0,MAX(0,(ROUNDUP(G13/第2日!$G$3,0)-1)*第2日!$E$3))</f>
        <v>35.550000000000004</v>
      </c>
      <c r="M13" s="9">
        <f>第2日!$I$3</f>
        <v>300</v>
      </c>
      <c r="N13" s="9">
        <f>IF(第2日!$B$4="点1·开启",1,0)+IF(第2日!$C$4="点2·开启",1,0)+IF(第2日!$D$4="点3·开启",1,0)+IF(第2日!$E$4="点4·开启",1,0)+IF(第2日!$F$4="点5·开启",1,0)+IF(第2日!$G$4="点6·开启",1,0)</f>
        <v>6</v>
      </c>
    </row>
    <row r="14" spans="1:14" ht="24" customHeight="1">
      <c r="A14" s="2" t="s">
        <v>70</v>
      </c>
      <c r="B14" s="2">
        <v>2</v>
      </c>
      <c r="C14" s="2" t="s">
        <v>64</v>
      </c>
      <c r="D14" s="9" t="str">
        <f>第2日!$B$32</f>
        <v>第6波 守护阵列</v>
      </c>
      <c r="E14" s="9" t="str">
        <f>第2日!$I$33</f>
        <v>可回读</v>
      </c>
      <c r="F14" s="9">
        <f>第2日!$B$55</f>
        <v>96</v>
      </c>
      <c r="G14" s="9">
        <f>第2日!$D$55</f>
        <v>96</v>
      </c>
      <c r="H14" s="9">
        <f>COUNTA(第2日!$B$36:$B$53)</f>
        <v>6</v>
      </c>
      <c r="I14" s="6">
        <f>第2日!$F$55</f>
        <v>116</v>
      </c>
      <c r="J14" s="6">
        <f>第2日!$H$55</f>
        <v>116</v>
      </c>
      <c r="K14" s="6">
        <f>第2日!$B$56</f>
        <v>116</v>
      </c>
      <c r="L14" s="33">
        <f>IF(G14=0,0,MAX(0,(ROUNDUP(G14/第2日!$G$32,0)-1)*第2日!$E$32))</f>
        <v>38</v>
      </c>
      <c r="M14" s="9">
        <f>第2日!$I$32</f>
        <v>300</v>
      </c>
      <c r="N14" s="9">
        <f>IF(第2日!$B$33="点1·开启",1,0)+IF(第2日!$C$33="点2·开启",1,0)+IF(第2日!$D$33="点3·开启",1,0)+IF(第2日!$E$33="点4·开启",1,0)+IF(第2日!$F$33="点5·开启",1,0)+IF(第2日!$G$33="点6·开启",1,0)</f>
        <v>6</v>
      </c>
    </row>
    <row r="15" spans="1:14" ht="24" customHeight="1">
      <c r="A15" s="2" t="s">
        <v>71</v>
      </c>
      <c r="B15" s="2">
        <v>2</v>
      </c>
      <c r="C15" s="2" t="s">
        <v>67</v>
      </c>
      <c r="D15" s="9" t="str">
        <f>第2日!$B$61</f>
        <v>第7波 紫晶突袭</v>
      </c>
      <c r="E15" s="9" t="str">
        <f>第2日!$I$62</f>
        <v>可回读</v>
      </c>
      <c r="F15" s="9">
        <f>第2日!$B$84</f>
        <v>112</v>
      </c>
      <c r="G15" s="9">
        <f>第2日!$D$84</f>
        <v>112</v>
      </c>
      <c r="H15" s="9">
        <f>COUNTA(第2日!$B$65:$B$82)</f>
        <v>7</v>
      </c>
      <c r="I15" s="6">
        <f>第2日!$F$84</f>
        <v>144</v>
      </c>
      <c r="J15" s="6">
        <f>第2日!$H$84</f>
        <v>144</v>
      </c>
      <c r="K15" s="6">
        <f>第2日!$B$85</f>
        <v>144</v>
      </c>
      <c r="L15" s="33">
        <f>IF(G15=0,0,MAX(0,(ROUNDUP(G15/第2日!$G$61,0)-1)*第2日!$E$61))</f>
        <v>38.849999999999994</v>
      </c>
      <c r="M15" s="9">
        <f>第2日!$I$61</f>
        <v>300</v>
      </c>
      <c r="N15" s="9">
        <f>IF(第2日!$B$62="点1·开启",1,0)+IF(第2日!$C$62="点2·开启",1,0)+IF(第2日!$D$62="点3·开启",1,0)+IF(第2日!$E$62="点4·开启",1,0)+IF(第2日!$F$62="点5·开启",1,0)+IF(第2日!$G$62="点6·开启",1,0)</f>
        <v>6</v>
      </c>
    </row>
    <row r="16" spans="1:14" ht="24" customHeight="1">
      <c r="A16" s="2" t="s">
        <v>72</v>
      </c>
      <c r="B16" s="2">
        <v>2</v>
      </c>
      <c r="C16" s="2" t="s">
        <v>67</v>
      </c>
      <c r="D16" s="9" t="str">
        <f>第2日!$B$90</f>
        <v>第8波 沼泽合围</v>
      </c>
      <c r="E16" s="9" t="str">
        <f>第2日!$I$91</f>
        <v>可回读</v>
      </c>
      <c r="F16" s="9">
        <f>第2日!$B$113</f>
        <v>128</v>
      </c>
      <c r="G16" s="9">
        <f>第2日!$D$113</f>
        <v>128</v>
      </c>
      <c r="H16" s="9">
        <f>COUNTA(第2日!$B$94:$B$111)</f>
        <v>7</v>
      </c>
      <c r="I16" s="6">
        <f>第2日!$F$113</f>
        <v>172</v>
      </c>
      <c r="J16" s="6">
        <f>第2日!$H$113</f>
        <v>172</v>
      </c>
      <c r="K16" s="6">
        <f>第2日!$B$114</f>
        <v>172</v>
      </c>
      <c r="L16" s="33">
        <f>IF(G16=0,0,MAX(0,(ROUNDUP(G16/第2日!$G$90,0)-1)*第2日!$E$90))</f>
        <v>38.1</v>
      </c>
      <c r="M16" s="9">
        <f>第2日!$I$90</f>
        <v>300</v>
      </c>
      <c r="N16" s="9">
        <f>IF(第2日!$B$91="点1·开启",1,0)+IF(第2日!$C$91="点2·开启",1,0)+IF(第2日!$D$91="点3·开启",1,0)+IF(第2日!$E$91="点4·开启",1,0)+IF(第2日!$F$91="点5·开启",1,0)+IF(第2日!$G$91="点6·开启",1,0)</f>
        <v>6</v>
      </c>
    </row>
    <row r="17" spans="1:14" ht="24" customHeight="1">
      <c r="A17" s="2" t="s">
        <v>73</v>
      </c>
      <c r="B17" s="2">
        <v>3</v>
      </c>
      <c r="C17" s="2" t="s">
        <v>64</v>
      </c>
      <c r="D17" s="9" t="str">
        <f>第3日!$B$3</f>
        <v>第9波 城镇前锋</v>
      </c>
      <c r="E17" s="9" t="str">
        <f>第3日!$I$4</f>
        <v>可回读</v>
      </c>
      <c r="F17" s="9">
        <f>第3日!$B$26</f>
        <v>144</v>
      </c>
      <c r="G17" s="9">
        <f>第3日!$D$26</f>
        <v>144</v>
      </c>
      <c r="H17" s="9">
        <f>COUNTA(第3日!$B$7:$B$24)</f>
        <v>9</v>
      </c>
      <c r="I17" s="6">
        <f>第3日!$F$26</f>
        <v>210</v>
      </c>
      <c r="J17" s="6">
        <f>第3日!$H$26</f>
        <v>210</v>
      </c>
      <c r="K17" s="6">
        <f>第3日!$B$27</f>
        <v>210</v>
      </c>
      <c r="L17" s="33">
        <f>IF(G17=0,0,MAX(0,(ROUNDUP(G17/第3日!$G$3,0)-1)*第3日!$E$3))</f>
        <v>40.040000000000006</v>
      </c>
      <c r="M17" s="9">
        <f>第3日!$I$3</f>
        <v>300</v>
      </c>
      <c r="N17" s="9">
        <f>IF(第3日!$B$4="点1·开启",1,0)+IF(第3日!$C$4="点2·开启",1,0)+IF(第3日!$D$4="点3·开启",1,0)+IF(第3日!$E$4="点4·开启",1,0)+IF(第3日!$F$4="点5·开启",1,0)+IF(第3日!$G$4="点6·开启",1,0)</f>
        <v>6</v>
      </c>
    </row>
    <row r="18" spans="1:14" ht="24" customHeight="1">
      <c r="A18" s="2" t="s">
        <v>74</v>
      </c>
      <c r="B18" s="2">
        <v>3</v>
      </c>
      <c r="C18" s="2" t="s">
        <v>64</v>
      </c>
      <c r="D18" s="9" t="str">
        <f>第3日!$B$32</f>
        <v>第10波 火力交叉</v>
      </c>
      <c r="E18" s="9" t="str">
        <f>第3日!$I$33</f>
        <v>可回读</v>
      </c>
      <c r="F18" s="9">
        <f>第3日!$B$55</f>
        <v>160</v>
      </c>
      <c r="G18" s="9">
        <f>第3日!$D$55</f>
        <v>160</v>
      </c>
      <c r="H18" s="9">
        <f>COUNTA(第3日!$B$36:$B$53)</f>
        <v>10</v>
      </c>
      <c r="I18" s="6">
        <f>第3日!$F$55</f>
        <v>246</v>
      </c>
      <c r="J18" s="6">
        <f>第3日!$H$55</f>
        <v>246</v>
      </c>
      <c r="K18" s="6">
        <f>第3日!$B$56</f>
        <v>246</v>
      </c>
      <c r="L18" s="33">
        <f>IF(G18=0,0,MAX(0,(ROUNDUP(G18/第3日!$G$32,0)-1)*第3日!$E$32))</f>
        <v>41.34</v>
      </c>
      <c r="M18" s="9">
        <f>第3日!$I$32</f>
        <v>300</v>
      </c>
      <c r="N18" s="9">
        <f>IF(第3日!$B$33="点1·开启",1,0)+IF(第3日!$C$33="点2·开启",1,0)+IF(第3日!$D$33="点3·开启",1,0)+IF(第3日!$E$33="点4·开启",1,0)+IF(第3日!$F$33="点5·开启",1,0)+IF(第3日!$G$33="点6·开启",1,0)</f>
        <v>6</v>
      </c>
    </row>
    <row r="19" spans="1:14" ht="24" customHeight="1">
      <c r="A19" s="2" t="s">
        <v>75</v>
      </c>
      <c r="B19" s="2">
        <v>3</v>
      </c>
      <c r="C19" s="2" t="s">
        <v>67</v>
      </c>
      <c r="D19" s="9" t="str">
        <f>第3日!$B$61</f>
        <v>第11波 奥术重装</v>
      </c>
      <c r="E19" s="9" t="str">
        <f>第3日!$I$62</f>
        <v>可回读</v>
      </c>
      <c r="F19" s="9">
        <f>第3日!$B$84</f>
        <v>176</v>
      </c>
      <c r="G19" s="9">
        <f>第3日!$D$84</f>
        <v>176</v>
      </c>
      <c r="H19" s="9">
        <f>COUNTA(第3日!$B$65:$B$82)</f>
        <v>12</v>
      </c>
      <c r="I19" s="6">
        <f>第3日!$F$84</f>
        <v>306</v>
      </c>
      <c r="J19" s="6">
        <f>第3日!$H$84</f>
        <v>306</v>
      </c>
      <c r="K19" s="6">
        <f>第3日!$B$85</f>
        <v>306</v>
      </c>
      <c r="L19" s="33">
        <f>IF(G19=0,0,MAX(0,(ROUNDUP(G19/第3日!$G$61,0)-1)*第3日!$E$61))</f>
        <v>42</v>
      </c>
      <c r="M19" s="9">
        <f>第3日!$I$61</f>
        <v>300</v>
      </c>
      <c r="N19" s="9">
        <f>IF(第3日!$B$62="点1·开启",1,0)+IF(第3日!$C$62="点2·开启",1,0)+IF(第3日!$D$62="点3·开启",1,0)+IF(第3日!$E$62="点4·开启",1,0)+IF(第3日!$F$62="点5·开启",1,0)+IF(第3日!$G$62="点6·开启",1,0)</f>
        <v>6</v>
      </c>
    </row>
    <row r="20" spans="1:14" ht="24" customHeight="1">
      <c r="A20" s="2" t="s">
        <v>76</v>
      </c>
      <c r="B20" s="2">
        <v>3</v>
      </c>
      <c r="C20" s="2" t="s">
        <v>67</v>
      </c>
      <c r="D20" s="9" t="str">
        <f>第3日!$B$90</f>
        <v>第12波 城镇决战</v>
      </c>
      <c r="E20" s="9" t="str">
        <f>第3日!$I$91</f>
        <v>可回读</v>
      </c>
      <c r="F20" s="9">
        <f>第3日!$B$113</f>
        <v>200</v>
      </c>
      <c r="G20" s="9">
        <f>第3日!$D$113</f>
        <v>200</v>
      </c>
      <c r="H20" s="9">
        <f>COUNTA(第3日!$B$94:$B$111)</f>
        <v>13</v>
      </c>
      <c r="I20" s="6">
        <f>第3日!$F$113</f>
        <v>342</v>
      </c>
      <c r="J20" s="6">
        <f>第3日!$H$113</f>
        <v>342</v>
      </c>
      <c r="K20" s="6">
        <f>第3日!$B$114</f>
        <v>342</v>
      </c>
      <c r="L20" s="33">
        <f>IF(G20=0,0,MAX(0,(ROUNDUP(G20/第3日!$G$90,0)-1)*第3日!$E$90))</f>
        <v>43.78</v>
      </c>
      <c r="M20" s="9">
        <f>第3日!$I$90</f>
        <v>300</v>
      </c>
      <c r="N20" s="9">
        <f>IF(第3日!$B$91="点1·开启",1,0)+IF(第3日!$C$91="点2·开启",1,0)+IF(第3日!$D$91="点3·开启",1,0)+IF(第3日!$E$91="点4·开启",1,0)+IF(第3日!$F$91="点5·开启",1,0)+IF(第3日!$G$91="点6·开启",1,0)</f>
        <v>6</v>
      </c>
    </row>
    <row r="21" spans="1:14" ht="24" customHeight="1">
      <c r="A21" s="2" t="s">
        <v>77</v>
      </c>
      <c r="B21" s="2">
        <v>4</v>
      </c>
      <c r="C21" s="2" t="s">
        <v>64</v>
      </c>
      <c r="D21" s="9" t="str">
        <f>第4日!$B$3</f>
        <v>第13波（待设计）</v>
      </c>
      <c r="E21" s="9" t="str">
        <f>第4日!$I$4</f>
        <v>待设计</v>
      </c>
      <c r="F21" s="9">
        <f>第4日!$B$26</f>
        <v>0</v>
      </c>
      <c r="G21" s="9">
        <f>第4日!$D$26</f>
        <v>0</v>
      </c>
      <c r="H21" s="9">
        <f>COUNTA(第4日!$B$7:$B$24)</f>
        <v>0</v>
      </c>
      <c r="I21" s="6">
        <f>第4日!$F$26</f>
        <v>0</v>
      </c>
      <c r="J21" s="6">
        <f>第4日!$H$26</f>
        <v>0</v>
      </c>
      <c r="K21" s="6">
        <f>第4日!$B$27</f>
        <v>0</v>
      </c>
      <c r="L21" s="33">
        <f>IF(G21=0,0,MAX(0,(ROUNDUP(G21/第4日!$G$3,0)-1)*第4日!$E$3))</f>
        <v>0</v>
      </c>
      <c r="M21" s="9">
        <f>第4日!$I$3</f>
        <v>300</v>
      </c>
      <c r="N21" s="9">
        <f>IF(第4日!$B$4="点1·开启",1,0)+IF(第4日!$C$4="点2·开启",1,0)+IF(第4日!$D$4="点3·开启",1,0)+IF(第4日!$E$4="点4·开启",1,0)+IF(第4日!$F$4="点5·开启",1,0)+IF(第4日!$G$4="点6·开启",1,0)</f>
        <v>6</v>
      </c>
    </row>
    <row r="22" spans="1:14" ht="24" customHeight="1">
      <c r="A22" s="2" t="s">
        <v>78</v>
      </c>
      <c r="B22" s="2">
        <v>4</v>
      </c>
      <c r="C22" s="2" t="s">
        <v>64</v>
      </c>
      <c r="D22" s="9" t="str">
        <f>第4日!$B$32</f>
        <v>第14波（待设计）</v>
      </c>
      <c r="E22" s="9" t="str">
        <f>第4日!$I$33</f>
        <v>待设计</v>
      </c>
      <c r="F22" s="9">
        <f>第4日!$B$55</f>
        <v>0</v>
      </c>
      <c r="G22" s="9">
        <f>第4日!$D$55</f>
        <v>0</v>
      </c>
      <c r="H22" s="9">
        <f>COUNTA(第4日!$B$36:$B$53)</f>
        <v>0</v>
      </c>
      <c r="I22" s="6">
        <f>第4日!$F$55</f>
        <v>0</v>
      </c>
      <c r="J22" s="6">
        <f>第4日!$H$55</f>
        <v>0</v>
      </c>
      <c r="K22" s="6">
        <f>第4日!$B$56</f>
        <v>0</v>
      </c>
      <c r="L22" s="33">
        <f>IF(G22=0,0,MAX(0,(ROUNDUP(G22/第4日!$G$32,0)-1)*第4日!$E$32))</f>
        <v>0</v>
      </c>
      <c r="M22" s="9">
        <f>第4日!$I$32</f>
        <v>300</v>
      </c>
      <c r="N22" s="9">
        <f>IF(第4日!$B$33="点1·开启",1,0)+IF(第4日!$C$33="点2·开启",1,0)+IF(第4日!$D$33="点3·开启",1,0)+IF(第4日!$E$33="点4·开启",1,0)+IF(第4日!$F$33="点5·开启",1,0)+IF(第4日!$G$33="点6·开启",1,0)</f>
        <v>6</v>
      </c>
    </row>
    <row r="23" spans="1:14" ht="24" customHeight="1">
      <c r="A23" s="2" t="s">
        <v>79</v>
      </c>
      <c r="B23" s="2">
        <v>4</v>
      </c>
      <c r="C23" s="2" t="s">
        <v>67</v>
      </c>
      <c r="D23" s="9" t="str">
        <f>第4日!$B$61</f>
        <v>第15波（待设计）</v>
      </c>
      <c r="E23" s="9" t="str">
        <f>第4日!$I$62</f>
        <v>待设计</v>
      </c>
      <c r="F23" s="9">
        <f>第4日!$B$84</f>
        <v>0</v>
      </c>
      <c r="G23" s="9">
        <f>第4日!$D$84</f>
        <v>0</v>
      </c>
      <c r="H23" s="9">
        <f>COUNTA(第4日!$B$65:$B$82)</f>
        <v>0</v>
      </c>
      <c r="I23" s="6">
        <f>第4日!$F$84</f>
        <v>0</v>
      </c>
      <c r="J23" s="6">
        <f>第4日!$H$84</f>
        <v>0</v>
      </c>
      <c r="K23" s="6">
        <f>第4日!$B$85</f>
        <v>0</v>
      </c>
      <c r="L23" s="33">
        <f>IF(G23=0,0,MAX(0,(ROUNDUP(G23/第4日!$G$61,0)-1)*第4日!$E$61))</f>
        <v>0</v>
      </c>
      <c r="M23" s="9">
        <f>第4日!$I$61</f>
        <v>300</v>
      </c>
      <c r="N23" s="9">
        <f>IF(第4日!$B$62="点1·开启",1,0)+IF(第4日!$C$62="点2·开启",1,0)+IF(第4日!$D$62="点3·开启",1,0)+IF(第4日!$E$62="点4·开启",1,0)+IF(第4日!$F$62="点5·开启",1,0)+IF(第4日!$G$62="点6·开启",1,0)</f>
        <v>6</v>
      </c>
    </row>
    <row r="24" spans="1:14" ht="24" customHeight="1">
      <c r="A24" s="2" t="s">
        <v>80</v>
      </c>
      <c r="B24" s="2">
        <v>4</v>
      </c>
      <c r="C24" s="2" t="s">
        <v>67</v>
      </c>
      <c r="D24" s="9" t="str">
        <f>第4日!$B$90</f>
        <v>第16波（待设计）</v>
      </c>
      <c r="E24" s="9" t="str">
        <f>第4日!$I$91</f>
        <v>待设计</v>
      </c>
      <c r="F24" s="9">
        <f>第4日!$B$113</f>
        <v>0</v>
      </c>
      <c r="G24" s="9">
        <f>第4日!$D$113</f>
        <v>0</v>
      </c>
      <c r="H24" s="9">
        <f>COUNTA(第4日!$B$94:$B$111)</f>
        <v>0</v>
      </c>
      <c r="I24" s="6">
        <f>第4日!$F$113</f>
        <v>0</v>
      </c>
      <c r="J24" s="6">
        <f>第4日!$H$113</f>
        <v>0</v>
      </c>
      <c r="K24" s="6">
        <f>第4日!$B$114</f>
        <v>0</v>
      </c>
      <c r="L24" s="33">
        <f>IF(G24=0,0,MAX(0,(ROUNDUP(G24/第4日!$G$90,0)-1)*第4日!$E$90))</f>
        <v>0</v>
      </c>
      <c r="M24" s="9">
        <f>第4日!$I$90</f>
        <v>300</v>
      </c>
      <c r="N24" s="9">
        <f>IF(第4日!$B$91="点1·开启",1,0)+IF(第4日!$C$91="点2·开启",1,0)+IF(第4日!$D$91="点3·开启",1,0)+IF(第4日!$E$91="点4·开启",1,0)+IF(第4日!$F$91="点5·开启",1,0)+IF(第4日!$G$91="点6·开启",1,0)</f>
        <v>6</v>
      </c>
    </row>
    <row r="25" spans="1:14" ht="24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ht="24" customHeight="1">
      <c r="A26" s="39" t="s">
        <v>81</v>
      </c>
      <c r="B26" s="39" t="s">
        <v>81</v>
      </c>
      <c r="C26" s="39" t="s">
        <v>81</v>
      </c>
      <c r="D26" s="39" t="s">
        <v>81</v>
      </c>
      <c r="E26" s="39" t="s">
        <v>81</v>
      </c>
      <c r="F26" s="39" t="s">
        <v>81</v>
      </c>
      <c r="G26" s="39" t="s">
        <v>81</v>
      </c>
      <c r="H26" s="39" t="s">
        <v>81</v>
      </c>
      <c r="I26" s="39" t="s">
        <v>81</v>
      </c>
      <c r="J26" s="39" t="s">
        <v>81</v>
      </c>
      <c r="K26" s="39" t="s">
        <v>81</v>
      </c>
      <c r="L26" s="39" t="s">
        <v>81</v>
      </c>
      <c r="M26" s="39" t="s">
        <v>81</v>
      </c>
      <c r="N26" s="39" t="s">
        <v>81</v>
      </c>
    </row>
    <row r="27" spans="1:14" ht="36" customHeight="1">
      <c r="A27" s="17" t="s">
        <v>52</v>
      </c>
      <c r="B27" s="17" t="s">
        <v>82</v>
      </c>
      <c r="C27" s="17" t="s">
        <v>83</v>
      </c>
      <c r="D27" s="17" t="s">
        <v>59</v>
      </c>
      <c r="E27" s="17" t="s">
        <v>48</v>
      </c>
      <c r="F27" s="17" t="s">
        <v>49</v>
      </c>
      <c r="G27" s="12"/>
      <c r="H27" s="12"/>
      <c r="I27" s="12"/>
      <c r="J27" s="12"/>
      <c r="K27" s="12"/>
      <c r="L27" s="12"/>
      <c r="M27" s="12"/>
      <c r="N27" s="12"/>
    </row>
    <row r="28" spans="1:14" ht="24" customHeight="1">
      <c r="A28" s="2" t="s">
        <v>84</v>
      </c>
      <c r="B28" s="9">
        <f>SUM(F9:F12)</f>
        <v>10300</v>
      </c>
      <c r="C28" s="9">
        <f>SUM(G9:G12)</f>
        <v>10300</v>
      </c>
      <c r="D28" s="6">
        <f>SUM(I9:I12)</f>
        <v>11550</v>
      </c>
      <c r="E28" s="6">
        <f>SUM(J9:J12)</f>
        <v>11550</v>
      </c>
      <c r="F28" s="6">
        <f>SUM(K9:K12)</f>
        <v>11550</v>
      </c>
      <c r="G28" s="12"/>
      <c r="H28" s="12"/>
      <c r="I28" s="12"/>
      <c r="J28" s="12"/>
      <c r="K28" s="12"/>
      <c r="L28" s="12"/>
      <c r="M28" s="12"/>
      <c r="N28" s="12"/>
    </row>
    <row r="29" spans="1:14" ht="24" customHeight="1">
      <c r="A29" s="2" t="s">
        <v>85</v>
      </c>
      <c r="B29" s="9">
        <f>SUM(F13:F16)</f>
        <v>416</v>
      </c>
      <c r="C29" s="9">
        <f>SUM(G13:G16)</f>
        <v>416</v>
      </c>
      <c r="D29" s="6">
        <f>SUM(I13:I16)</f>
        <v>528</v>
      </c>
      <c r="E29" s="6">
        <f>SUM(J13:J16)</f>
        <v>528</v>
      </c>
      <c r="F29" s="6">
        <f>SUM(K13:K16)</f>
        <v>528</v>
      </c>
      <c r="G29" s="12"/>
      <c r="H29" s="12"/>
      <c r="I29" s="12"/>
      <c r="J29" s="12"/>
      <c r="K29" s="12"/>
      <c r="L29" s="12"/>
      <c r="M29" s="12"/>
      <c r="N29" s="12"/>
    </row>
    <row r="30" spans="1:14" ht="24" customHeight="1">
      <c r="A30" s="2" t="s">
        <v>86</v>
      </c>
      <c r="B30" s="9">
        <f>SUM(F17:F20)</f>
        <v>680</v>
      </c>
      <c r="C30" s="9">
        <f>SUM(G17:G20)</f>
        <v>680</v>
      </c>
      <c r="D30" s="6">
        <f>SUM(I17:I20)</f>
        <v>1104</v>
      </c>
      <c r="E30" s="6">
        <f>SUM(J17:J20)</f>
        <v>1104</v>
      </c>
      <c r="F30" s="6">
        <f>SUM(K17:K20)</f>
        <v>1104</v>
      </c>
      <c r="G30" s="12"/>
      <c r="H30" s="12"/>
      <c r="I30" s="12"/>
      <c r="J30" s="12"/>
      <c r="K30" s="12"/>
      <c r="L30" s="12"/>
      <c r="M30" s="12"/>
      <c r="N30" s="12"/>
    </row>
    <row r="31" spans="1:14" ht="24" customHeight="1">
      <c r="A31" s="2" t="s">
        <v>87</v>
      </c>
      <c r="B31" s="9">
        <f>SUM(F21:F24)</f>
        <v>0</v>
      </c>
      <c r="C31" s="9">
        <f>SUM(G21:G24)</f>
        <v>0</v>
      </c>
      <c r="D31" s="6">
        <f>SUM(I21:I24)</f>
        <v>0</v>
      </c>
      <c r="E31" s="6">
        <f>SUM(J21:J24)</f>
        <v>0</v>
      </c>
      <c r="F31" s="6">
        <f>SUM(K21:K24)</f>
        <v>0</v>
      </c>
      <c r="G31" s="12"/>
      <c r="H31" s="12"/>
      <c r="I31" s="12"/>
      <c r="J31" s="12"/>
      <c r="K31" s="12"/>
      <c r="L31" s="12"/>
      <c r="M31" s="12"/>
      <c r="N31" s="12"/>
    </row>
    <row r="32" spans="1:14" ht="24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ht="24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ht="24" customHeight="1">
      <c r="A34" s="22" t="s">
        <v>51</v>
      </c>
      <c r="B34" s="22" t="s">
        <v>59</v>
      </c>
      <c r="C34" s="22" t="s">
        <v>48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ht="24" customHeight="1">
      <c r="A35" s="9" t="str">
        <f t="shared" ref="A35:A50" si="0">A9</f>
        <v>第1波</v>
      </c>
      <c r="B35" s="9">
        <f t="shared" ref="B35:B50" si="1">I9</f>
        <v>2500</v>
      </c>
      <c r="C35" s="9">
        <f t="shared" ref="C35:C50" si="2">J9</f>
        <v>2500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ht="24" customHeight="1">
      <c r="A36" s="9" t="str">
        <f t="shared" si="0"/>
        <v>第2波</v>
      </c>
      <c r="B36" s="9">
        <f t="shared" si="1"/>
        <v>4050</v>
      </c>
      <c r="C36" s="9">
        <f t="shared" si="2"/>
        <v>4050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ht="24" customHeight="1">
      <c r="A37" s="9" t="str">
        <f t="shared" si="0"/>
        <v>第3波</v>
      </c>
      <c r="B37" s="9">
        <f t="shared" si="1"/>
        <v>5000</v>
      </c>
      <c r="C37" s="9">
        <f t="shared" si="2"/>
        <v>5000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24" customHeight="1">
      <c r="A38" s="9" t="str">
        <f t="shared" si="0"/>
        <v>第4波</v>
      </c>
      <c r="B38" s="9">
        <f t="shared" si="1"/>
        <v>0</v>
      </c>
      <c r="C38" s="9">
        <f t="shared" si="2"/>
        <v>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ht="24" customHeight="1">
      <c r="A39" s="9" t="str">
        <f t="shared" si="0"/>
        <v>第5波</v>
      </c>
      <c r="B39" s="9">
        <f t="shared" si="1"/>
        <v>96</v>
      </c>
      <c r="C39" s="9">
        <f t="shared" si="2"/>
        <v>96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ht="24" customHeight="1">
      <c r="A40" s="9" t="str">
        <f t="shared" si="0"/>
        <v>第6波</v>
      </c>
      <c r="B40" s="9">
        <f t="shared" si="1"/>
        <v>116</v>
      </c>
      <c r="C40" s="9">
        <f t="shared" si="2"/>
        <v>116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ht="24" customHeight="1">
      <c r="A41" s="9" t="str">
        <f t="shared" si="0"/>
        <v>第7波</v>
      </c>
      <c r="B41" s="9">
        <f t="shared" si="1"/>
        <v>144</v>
      </c>
      <c r="C41" s="9">
        <f t="shared" si="2"/>
        <v>144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ht="24" customHeight="1">
      <c r="A42" s="9" t="str">
        <f t="shared" si="0"/>
        <v>第8波</v>
      </c>
      <c r="B42" s="9">
        <f t="shared" si="1"/>
        <v>172</v>
      </c>
      <c r="C42" s="9">
        <f t="shared" si="2"/>
        <v>172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ht="24" customHeight="1">
      <c r="A43" s="9" t="str">
        <f t="shared" si="0"/>
        <v>第9波</v>
      </c>
      <c r="B43" s="9">
        <f t="shared" si="1"/>
        <v>210</v>
      </c>
      <c r="C43" s="9">
        <f t="shared" si="2"/>
        <v>210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ht="24" customHeight="1">
      <c r="A44" s="9" t="str">
        <f t="shared" si="0"/>
        <v>第10波</v>
      </c>
      <c r="B44" s="9">
        <f t="shared" si="1"/>
        <v>246</v>
      </c>
      <c r="C44" s="9">
        <f t="shared" si="2"/>
        <v>246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ht="24" customHeight="1">
      <c r="A45" s="9" t="str">
        <f t="shared" si="0"/>
        <v>第11波</v>
      </c>
      <c r="B45" s="9">
        <f t="shared" si="1"/>
        <v>306</v>
      </c>
      <c r="C45" s="9">
        <f t="shared" si="2"/>
        <v>306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ht="24" customHeight="1">
      <c r="A46" s="9" t="str">
        <f t="shared" si="0"/>
        <v>第12波</v>
      </c>
      <c r="B46" s="9">
        <f t="shared" si="1"/>
        <v>342</v>
      </c>
      <c r="C46" s="9">
        <f t="shared" si="2"/>
        <v>342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ht="24" customHeight="1">
      <c r="A47" s="9" t="str">
        <f t="shared" si="0"/>
        <v>第13波</v>
      </c>
      <c r="B47" s="9">
        <f t="shared" si="1"/>
        <v>0</v>
      </c>
      <c r="C47" s="9">
        <f t="shared" si="2"/>
        <v>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ht="24" customHeight="1">
      <c r="A48" s="9" t="str">
        <f t="shared" si="0"/>
        <v>第14波</v>
      </c>
      <c r="B48" s="9">
        <f t="shared" si="1"/>
        <v>0</v>
      </c>
      <c r="C48" s="9">
        <f t="shared" si="2"/>
        <v>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ht="24" customHeight="1">
      <c r="A49" s="9" t="str">
        <f t="shared" si="0"/>
        <v>第15波</v>
      </c>
      <c r="B49" s="9">
        <f t="shared" si="1"/>
        <v>0</v>
      </c>
      <c r="C49" s="9">
        <f t="shared" si="2"/>
        <v>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 ht="24" customHeight="1">
      <c r="A50" s="9" t="str">
        <f t="shared" si="0"/>
        <v>第16波</v>
      </c>
      <c r="B50" s="9">
        <f t="shared" si="1"/>
        <v>0</v>
      </c>
      <c r="C50" s="9">
        <f t="shared" si="2"/>
        <v>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ht="24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ht="24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ht="24" customHeight="1">
      <c r="A53" s="13" t="s">
        <v>51</v>
      </c>
      <c r="B53" s="13" t="s">
        <v>88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ht="24" customHeight="1">
      <c r="A54" s="9" t="str">
        <f t="shared" ref="A54:A69" si="3">A9</f>
        <v>第1波</v>
      </c>
      <c r="B54" s="9">
        <f t="shared" ref="B54:B69" si="4">G9</f>
        <v>2500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ht="24" customHeight="1">
      <c r="A55" s="9" t="str">
        <f t="shared" si="3"/>
        <v>第2波</v>
      </c>
      <c r="B55" s="9">
        <f t="shared" si="4"/>
        <v>3850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 ht="24" customHeight="1">
      <c r="A56" s="9" t="str">
        <f t="shared" si="3"/>
        <v>第3波</v>
      </c>
      <c r="B56" s="9">
        <f t="shared" si="4"/>
        <v>3950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ht="24" customHeight="1">
      <c r="A57" s="9" t="str">
        <f t="shared" si="3"/>
        <v>第4波</v>
      </c>
      <c r="B57" s="9">
        <f t="shared" si="4"/>
        <v>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 ht="24" customHeight="1">
      <c r="A58" s="9" t="str">
        <f t="shared" si="3"/>
        <v>第5波</v>
      </c>
      <c r="B58" s="9">
        <f t="shared" si="4"/>
        <v>80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 ht="24" customHeight="1">
      <c r="A59" s="9" t="str">
        <f t="shared" si="3"/>
        <v>第6波</v>
      </c>
      <c r="B59" s="9">
        <f t="shared" si="4"/>
        <v>96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1:14" ht="24" customHeight="1">
      <c r="A60" s="9" t="str">
        <f t="shared" si="3"/>
        <v>第7波</v>
      </c>
      <c r="B60" s="9">
        <f t="shared" si="4"/>
        <v>112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1:14" ht="24" customHeight="1">
      <c r="A61" s="9" t="str">
        <f t="shared" si="3"/>
        <v>第8波</v>
      </c>
      <c r="B61" s="9">
        <f t="shared" si="4"/>
        <v>128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1:14" ht="24" customHeight="1">
      <c r="A62" s="9" t="str">
        <f t="shared" si="3"/>
        <v>第9波</v>
      </c>
      <c r="B62" s="9">
        <f t="shared" si="4"/>
        <v>144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1:14" ht="24" customHeight="1">
      <c r="A63" s="9" t="str">
        <f t="shared" si="3"/>
        <v>第10波</v>
      </c>
      <c r="B63" s="9">
        <f t="shared" si="4"/>
        <v>160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spans="1:14" ht="24" customHeight="1">
      <c r="A64" s="9" t="str">
        <f t="shared" si="3"/>
        <v>第11波</v>
      </c>
      <c r="B64" s="9">
        <f t="shared" si="4"/>
        <v>176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1:14" ht="24" customHeight="1">
      <c r="A65" s="9" t="str">
        <f t="shared" si="3"/>
        <v>第12波</v>
      </c>
      <c r="B65" s="9">
        <f t="shared" si="4"/>
        <v>200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1:14" ht="24" customHeight="1">
      <c r="A66" s="9" t="str">
        <f t="shared" si="3"/>
        <v>第13波</v>
      </c>
      <c r="B66" s="9">
        <f t="shared" si="4"/>
        <v>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spans="1:14" ht="24" customHeight="1">
      <c r="A67" s="9" t="str">
        <f t="shared" si="3"/>
        <v>第14波</v>
      </c>
      <c r="B67" s="9">
        <f t="shared" si="4"/>
        <v>0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1:14" ht="24" customHeight="1">
      <c r="A68" s="9" t="str">
        <f t="shared" si="3"/>
        <v>第15波</v>
      </c>
      <c r="B68" s="9">
        <f t="shared" si="4"/>
        <v>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 ht="24" customHeight="1">
      <c r="A69" s="9" t="str">
        <f t="shared" si="3"/>
        <v>第16波</v>
      </c>
      <c r="B69" s="9">
        <f t="shared" si="4"/>
        <v>0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</sheetData>
  <mergeCells count="8">
    <mergeCell ref="A26:N26"/>
    <mergeCell ref="A1:N1"/>
    <mergeCell ref="A2:N2"/>
    <mergeCell ref="B4:C5"/>
    <mergeCell ref="E4:F5"/>
    <mergeCell ref="H4:I5"/>
    <mergeCell ref="K4:L5"/>
    <mergeCell ref="N4:N5"/>
  </mergeCells>
  <phoneticPr fontId="15" type="noConversion"/>
  <conditionalFormatting sqref="E9:E24">
    <cfRule type="containsText" dxfId="92" priority="1" operator="containsText" text="可回读"/>
    <cfRule type="containsText" dxfId="91" priority="2" operator="containsText" text="待设计"/>
    <cfRule type="containsText" dxfId="90" priority="3" operator="containsText" text="需修正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showGridLines="0" workbookViewId="0">
      <selection sqref="A1:F1"/>
    </sheetView>
  </sheetViews>
  <sheetFormatPr defaultRowHeight="14.25"/>
  <cols>
    <col min="1" max="1" width="34" customWidth="1"/>
    <col min="2" max="2" width="72" customWidth="1"/>
    <col min="3" max="6" width="15" customWidth="1"/>
  </cols>
  <sheetData>
    <row r="1" spans="1:6" ht="38.1" customHeight="1">
      <c r="A1" s="36" t="s">
        <v>89</v>
      </c>
      <c r="B1" s="36" t="s">
        <v>89</v>
      </c>
      <c r="C1" s="36" t="s">
        <v>89</v>
      </c>
      <c r="D1" s="36" t="s">
        <v>89</v>
      </c>
      <c r="E1" s="36" t="s">
        <v>89</v>
      </c>
      <c r="F1" s="36" t="s">
        <v>89</v>
      </c>
    </row>
    <row r="2" spans="1:6" ht="33.950000000000003" customHeight="1">
      <c r="A2" s="41" t="s">
        <v>90</v>
      </c>
      <c r="B2" s="41" t="s">
        <v>90</v>
      </c>
      <c r="C2" s="41" t="s">
        <v>90</v>
      </c>
      <c r="D2" s="41" t="s">
        <v>90</v>
      </c>
      <c r="E2" s="41" t="s">
        <v>90</v>
      </c>
      <c r="F2" s="41" t="s">
        <v>90</v>
      </c>
    </row>
    <row r="3" spans="1:6">
      <c r="A3" s="12"/>
      <c r="B3" s="12"/>
      <c r="C3" s="12"/>
      <c r="D3" s="12"/>
      <c r="E3" s="12"/>
      <c r="F3" s="12"/>
    </row>
    <row r="4" spans="1:6" ht="30" customHeight="1">
      <c r="A4" s="13" t="s">
        <v>91</v>
      </c>
      <c r="B4" s="13" t="s">
        <v>92</v>
      </c>
      <c r="C4" s="12"/>
      <c r="D4" s="12"/>
      <c r="E4" s="12"/>
      <c r="F4" s="12"/>
    </row>
    <row r="5" spans="1:6" ht="16.5">
      <c r="A5" s="2" t="s">
        <v>93</v>
      </c>
      <c r="B5" s="14">
        <v>1</v>
      </c>
      <c r="C5" s="12"/>
      <c r="D5" s="12"/>
      <c r="E5" s="12"/>
      <c r="F5" s="12"/>
    </row>
    <row r="6" spans="1:6" ht="16.5">
      <c r="A6" s="2" t="s">
        <v>94</v>
      </c>
      <c r="B6" s="15">
        <v>0.25</v>
      </c>
      <c r="C6" s="12"/>
      <c r="D6" s="12"/>
      <c r="E6" s="12"/>
      <c r="F6" s="12"/>
    </row>
    <row r="7" spans="1:6" ht="16.5">
      <c r="A7" s="2" t="s">
        <v>95</v>
      </c>
      <c r="B7" s="16">
        <v>1</v>
      </c>
      <c r="C7" s="12"/>
      <c r="D7" s="12"/>
      <c r="E7" s="12"/>
      <c r="F7" s="12"/>
    </row>
    <row r="8" spans="1:6" ht="16.5">
      <c r="A8" s="2" t="s">
        <v>96</v>
      </c>
      <c r="B8" s="9">
        <v>4</v>
      </c>
      <c r="C8" s="12"/>
      <c r="D8" s="12"/>
      <c r="E8" s="12"/>
      <c r="F8" s="12"/>
    </row>
    <row r="9" spans="1:6" ht="16.5">
      <c r="A9" s="2" t="s">
        <v>97</v>
      </c>
      <c r="B9" s="9">
        <v>4</v>
      </c>
      <c r="C9" s="12"/>
      <c r="D9" s="12"/>
      <c r="E9" s="12"/>
      <c r="F9" s="12"/>
    </row>
    <row r="10" spans="1:6" ht="16.5">
      <c r="A10" s="2" t="s">
        <v>98</v>
      </c>
      <c r="B10" s="9">
        <v>18</v>
      </c>
      <c r="C10" s="12"/>
      <c r="D10" s="12"/>
      <c r="E10" s="12"/>
      <c r="F10" s="12"/>
    </row>
    <row r="11" spans="1:6" ht="16.5">
      <c r="A11" s="2" t="s">
        <v>99</v>
      </c>
      <c r="B11" s="9" t="s">
        <v>100</v>
      </c>
      <c r="C11" s="12"/>
      <c r="D11" s="12"/>
      <c r="E11" s="12"/>
      <c r="F11" s="12"/>
    </row>
    <row r="12" spans="1:6">
      <c r="A12" s="12"/>
      <c r="B12" s="12"/>
      <c r="C12" s="12"/>
      <c r="D12" s="12"/>
      <c r="E12" s="12"/>
      <c r="F12" s="12"/>
    </row>
    <row r="13" spans="1:6" ht="18">
      <c r="A13" s="39" t="s">
        <v>101</v>
      </c>
      <c r="B13" s="39" t="s">
        <v>101</v>
      </c>
      <c r="C13" s="39" t="s">
        <v>101</v>
      </c>
      <c r="D13" s="39" t="s">
        <v>101</v>
      </c>
      <c r="E13" s="39" t="s">
        <v>101</v>
      </c>
      <c r="F13" s="39" t="s">
        <v>101</v>
      </c>
    </row>
    <row r="14" spans="1:6" ht="30" customHeight="1">
      <c r="A14" s="12"/>
      <c r="B14" s="17" t="s">
        <v>102</v>
      </c>
      <c r="C14" s="14">
        <v>1</v>
      </c>
      <c r="D14" s="14">
        <v>1</v>
      </c>
      <c r="E14" s="14">
        <v>1</v>
      </c>
      <c r="F14" s="14">
        <v>1</v>
      </c>
    </row>
    <row r="15" spans="1:6" ht="30" customHeight="1">
      <c r="A15" s="12"/>
      <c r="B15" s="17" t="s">
        <v>103</v>
      </c>
      <c r="C15" s="18" t="s">
        <v>84</v>
      </c>
      <c r="D15" s="18" t="s">
        <v>85</v>
      </c>
      <c r="E15" s="18" t="s">
        <v>86</v>
      </c>
      <c r="F15" s="18" t="s">
        <v>87</v>
      </c>
    </row>
    <row r="16" spans="1:6">
      <c r="A16" s="12"/>
      <c r="B16" s="12"/>
      <c r="C16" s="12"/>
      <c r="D16" s="12"/>
      <c r="E16" s="12"/>
      <c r="F16" s="12"/>
    </row>
    <row r="17" spans="1:6" ht="18">
      <c r="A17" s="38" t="s">
        <v>104</v>
      </c>
      <c r="B17" s="38" t="s">
        <v>104</v>
      </c>
      <c r="C17" s="38" t="s">
        <v>104</v>
      </c>
      <c r="D17" s="38" t="s">
        <v>104</v>
      </c>
      <c r="E17" s="38" t="s">
        <v>104</v>
      </c>
      <c r="F17" s="38" t="s">
        <v>104</v>
      </c>
    </row>
    <row r="18" spans="1:6" ht="16.5">
      <c r="A18" s="2" t="s">
        <v>46</v>
      </c>
      <c r="B18" s="9">
        <f>COUNTIF(总览!$E$9:$E$24,"可回读")</f>
        <v>11</v>
      </c>
      <c r="C18" s="12"/>
      <c r="D18" s="12"/>
      <c r="E18" s="12"/>
      <c r="F18" s="12"/>
    </row>
    <row r="19" spans="1:6" ht="16.5">
      <c r="A19" s="2" t="s">
        <v>105</v>
      </c>
      <c r="B19" s="9" t="str">
        <f>IF(AND(B18=16,COUNTIF(敌人目录!AA6:AA54,"可回读")=49),"全部配置已就绪","仍有待设计或错误")</f>
        <v>仍有待设计或错误</v>
      </c>
      <c r="C19" s="12"/>
      <c r="D19" s="12"/>
      <c r="E19" s="12"/>
      <c r="F19" s="12"/>
    </row>
    <row r="20" spans="1:6" ht="16.5">
      <c r="A20" s="2" t="s">
        <v>106</v>
      </c>
      <c r="B20" s="9" t="s">
        <v>107</v>
      </c>
      <c r="C20" s="12"/>
      <c r="D20" s="12"/>
      <c r="E20" s="12"/>
      <c r="F20" s="12"/>
    </row>
    <row r="21" spans="1:6" ht="16.5">
      <c r="A21" s="2" t="s">
        <v>108</v>
      </c>
      <c r="B21" s="9" t="s">
        <v>109</v>
      </c>
      <c r="C21" s="12"/>
      <c r="D21" s="12"/>
      <c r="E21" s="12"/>
      <c r="F21" s="12"/>
    </row>
    <row r="22" spans="1:6">
      <c r="A22" s="12"/>
      <c r="B22" s="12"/>
      <c r="C22" s="12"/>
      <c r="D22" s="12"/>
      <c r="E22" s="12"/>
      <c r="F22" s="12"/>
    </row>
    <row r="23" spans="1:6" ht="38.1" customHeight="1">
      <c r="A23" s="43" t="s">
        <v>110</v>
      </c>
      <c r="B23" s="43" t="s">
        <v>110</v>
      </c>
      <c r="C23" s="43" t="s">
        <v>110</v>
      </c>
      <c r="D23" s="43" t="s">
        <v>110</v>
      </c>
      <c r="E23" s="43" t="s">
        <v>110</v>
      </c>
      <c r="F23" s="43" t="s">
        <v>110</v>
      </c>
    </row>
  </sheetData>
  <mergeCells count="5">
    <mergeCell ref="A1:F1"/>
    <mergeCell ref="A2:F2"/>
    <mergeCell ref="A13:F13"/>
    <mergeCell ref="A17:F17"/>
    <mergeCell ref="A23:F23"/>
  </mergeCells>
  <phoneticPr fontId="15" type="noConversion"/>
  <conditionalFormatting sqref="B19">
    <cfRule type="containsText" dxfId="89" priority="1" operator="containsText" text="已就绪"/>
    <cfRule type="containsText" dxfId="88" priority="2" operator="containsText" text="仍有"/>
  </conditionalFormatting>
  <dataValidations count="3">
    <dataValidation type="whole" sqref="B5" xr:uid="{00000000-0002-0000-0200-000000000000}">
      <formula1>1</formula1>
      <formula2>4</formula2>
    </dataValidation>
    <dataValidation type="decimal" sqref="B7" xr:uid="{00000000-0002-0000-0200-000001000000}">
      <formula1>0</formula1>
      <formula2>1</formula2>
    </dataValidation>
    <dataValidation type="list" sqref="C14:F14" xr:uid="{00000000-0002-0000-0200-000002000000}">
      <formula1>"1,2"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8"/>
  <sheetViews>
    <sheetView showGridLines="0" tabSelected="1" topLeftCell="A58" workbookViewId="0">
      <selection activeCell="H75" sqref="H75"/>
    </sheetView>
  </sheetViews>
  <sheetFormatPr defaultRowHeight="14.25"/>
  <cols>
    <col min="1" max="1" width="7" customWidth="1"/>
    <col min="2" max="2" width="38" customWidth="1"/>
    <col min="3" max="4" width="12" customWidth="1"/>
    <col min="5" max="5" width="14" customWidth="1"/>
    <col min="6" max="8" width="20" customWidth="1"/>
    <col min="9" max="9" width="15" customWidth="1"/>
  </cols>
  <sheetData>
    <row r="1" spans="1:9" ht="24" customHeight="1">
      <c r="A1" s="12"/>
      <c r="B1" s="12"/>
      <c r="C1" s="12"/>
      <c r="D1" s="12"/>
      <c r="E1" s="12"/>
      <c r="F1" s="12"/>
      <c r="G1" s="12"/>
      <c r="H1" s="12"/>
      <c r="I1" s="12"/>
    </row>
    <row r="2" spans="1:9" ht="38.1" customHeight="1">
      <c r="A2" s="44" t="s">
        <v>111</v>
      </c>
      <c r="B2" s="44" t="s">
        <v>111</v>
      </c>
      <c r="C2" s="44" t="s">
        <v>111</v>
      </c>
      <c r="D2" s="44" t="s">
        <v>111</v>
      </c>
      <c r="E2" s="44" t="s">
        <v>111</v>
      </c>
      <c r="F2" s="44" t="s">
        <v>111</v>
      </c>
      <c r="G2" s="44" t="s">
        <v>111</v>
      </c>
      <c r="H2" s="44" t="s">
        <v>111</v>
      </c>
      <c r="I2" s="44" t="s">
        <v>111</v>
      </c>
    </row>
    <row r="3" spans="1:9" ht="24" customHeight="1">
      <c r="A3" s="13" t="s">
        <v>112</v>
      </c>
      <c r="B3" s="45" t="s">
        <v>113</v>
      </c>
      <c r="C3" s="45" t="s">
        <v>113</v>
      </c>
      <c r="D3" s="13" t="s">
        <v>114</v>
      </c>
      <c r="E3" s="14">
        <v>0.2</v>
      </c>
      <c r="F3" s="13" t="s">
        <v>115</v>
      </c>
      <c r="G3" s="14">
        <v>1</v>
      </c>
      <c r="H3" s="13" t="s">
        <v>61</v>
      </c>
      <c r="I3" s="14">
        <v>300</v>
      </c>
    </row>
    <row r="4" spans="1:9" ht="24" customHeight="1">
      <c r="A4" s="13" t="s">
        <v>116</v>
      </c>
      <c r="B4" s="14" t="s">
        <v>117</v>
      </c>
      <c r="C4" s="14" t="s">
        <v>118</v>
      </c>
      <c r="D4" s="14" t="s">
        <v>119</v>
      </c>
      <c r="E4" s="14" t="s">
        <v>120</v>
      </c>
      <c r="F4" s="14" t="s">
        <v>523</v>
      </c>
      <c r="G4" s="14" t="s">
        <v>524</v>
      </c>
      <c r="H4" s="13" t="s">
        <v>123</v>
      </c>
      <c r="I4" s="9" t="str">
        <f>IF(COUNTA(B7:B24)=0,"待设计",IF(COUNTIF(I7:I24,"可回读")=COUNTA(B7:B24),"可回读","需修正"))</f>
        <v>可回读</v>
      </c>
    </row>
    <row r="5" spans="1:9" ht="33.950000000000003" customHeight="1">
      <c r="A5" s="41" t="s">
        <v>124</v>
      </c>
      <c r="B5" s="41" t="s">
        <v>124</v>
      </c>
      <c r="C5" s="41" t="s">
        <v>124</v>
      </c>
      <c r="D5" s="41" t="s">
        <v>124</v>
      </c>
      <c r="E5" s="41" t="s">
        <v>124</v>
      </c>
      <c r="F5" s="41" t="s">
        <v>124</v>
      </c>
      <c r="G5" s="41" t="s">
        <v>124</v>
      </c>
      <c r="H5" s="41" t="s">
        <v>124</v>
      </c>
      <c r="I5" s="41" t="s">
        <v>124</v>
      </c>
    </row>
    <row r="6" spans="1:9" ht="42" customHeight="1">
      <c r="A6" s="20" t="s">
        <v>125</v>
      </c>
      <c r="B6" s="20" t="s">
        <v>126</v>
      </c>
      <c r="C6" s="20" t="s">
        <v>56</v>
      </c>
      <c r="D6" s="20" t="s">
        <v>57</v>
      </c>
      <c r="E6" s="22" t="s">
        <v>127</v>
      </c>
      <c r="F6" s="22" t="s">
        <v>128</v>
      </c>
      <c r="G6" s="22" t="s">
        <v>129</v>
      </c>
      <c r="H6" s="22" t="s">
        <v>130</v>
      </c>
      <c r="I6" s="20" t="s">
        <v>131</v>
      </c>
    </row>
    <row r="7" spans="1:9" ht="24" customHeight="1">
      <c r="A7" s="32">
        <v>1</v>
      </c>
      <c r="B7" s="14" t="s">
        <v>280</v>
      </c>
      <c r="C7" s="14">
        <v>1300</v>
      </c>
      <c r="D7" s="9">
        <f>IF(OR(B7="",C7=""),"",ROUNDUP(C7*(1+(全局设置!$B$5-1)*全局设置!$B$6),0))</f>
        <v>1300</v>
      </c>
      <c r="E7" s="6">
        <f>IFERROR(VLOOKUP(B7,敌人目录!$A$6:$AD$54,13,FALSE),"")</f>
        <v>1</v>
      </c>
      <c r="F7" s="6">
        <f t="shared" ref="F7:F24" si="0">IF(D7="","",D7*E7)</f>
        <v>1300</v>
      </c>
      <c r="G7" s="6">
        <f>IF(F7="","",F7*全局设置!$B$7*全局设置!$C$14)</f>
        <v>1300</v>
      </c>
      <c r="H7" s="6">
        <f>IF(G7="","",G7*全局设置!$B$5)</f>
        <v>1300</v>
      </c>
      <c r="I7" s="9" t="str">
        <f>IF(AND(B7="",C7=""),"",IF(B7="","缺少敌人",IF(C7="","缺少数量",IF(OR(C7&lt;1,C7&gt;9999,C7&lt;&gt;INT(C7)),"数量无效",IF(COUNTIF($B$7:$B$24,B7)&gt;1,"重复敌人",IFERROR(IF(VLOOKUP(B7,敌人目录!$A$6:$AD$54,27,FALSE)="可回读","可回读","敌人参数错误"),"敌人不存在"))))))</f>
        <v>可回读</v>
      </c>
    </row>
    <row r="8" spans="1:9" ht="24" customHeight="1">
      <c r="A8" s="32">
        <v>2</v>
      </c>
      <c r="B8" s="14" t="s">
        <v>285</v>
      </c>
      <c r="C8" s="14">
        <v>400</v>
      </c>
      <c r="D8" s="9">
        <f>IF(OR(B8="",C8=""),"",ROUNDUP(C8*(1+(全局设置!$B$5-1)*全局设置!$B$6),0))</f>
        <v>400</v>
      </c>
      <c r="E8" s="6">
        <f>IFERROR(VLOOKUP(B8,敌人目录!$A$6:$AD$54,13,FALSE),"")</f>
        <v>1</v>
      </c>
      <c r="F8" s="6">
        <f t="shared" si="0"/>
        <v>400</v>
      </c>
      <c r="G8" s="6">
        <f>IF(F8="","",F8*全局设置!$B$7*全局设置!$C$14)</f>
        <v>400</v>
      </c>
      <c r="H8" s="6">
        <f>IF(G8="","",G8*全局设置!$B$5)</f>
        <v>400</v>
      </c>
      <c r="I8" s="9" t="str">
        <f>IF(AND(B8="",C8=""),"",IF(B8="","缺少敌人",IF(C8="","缺少数量",IF(OR(C8&lt;1,C8&gt;9999,C8&lt;&gt;INT(C8)),"数量无效",IF(COUNTIF($B$7:$B$24,B8)&gt;1,"重复敌人",IFERROR(IF(VLOOKUP(B8,敌人目录!$A$6:$AD$54,27,FALSE)="可回读","可回读","敌人参数错误"),"敌人不存在"))))))</f>
        <v>可回读</v>
      </c>
    </row>
    <row r="9" spans="1:9" ht="24" customHeight="1">
      <c r="A9" s="32">
        <v>3</v>
      </c>
      <c r="B9" s="14" t="s">
        <v>132</v>
      </c>
      <c r="C9" s="14">
        <v>500</v>
      </c>
      <c r="D9" s="9">
        <f>IF(OR(B9="",C9=""),"",ROUNDUP(C9*(1+(全局设置!$B$5-1)*全局设置!$B$6),0))</f>
        <v>500</v>
      </c>
      <c r="E9" s="6">
        <f>IFERROR(VLOOKUP(B9,敌人目录!$A$6:$AD$54,13,FALSE),"")</f>
        <v>1</v>
      </c>
      <c r="F9" s="6">
        <f t="shared" si="0"/>
        <v>500</v>
      </c>
      <c r="G9" s="6">
        <f>IF(F9="","",F9*全局设置!$B$7*全局设置!$C$14)</f>
        <v>500</v>
      </c>
      <c r="H9" s="6">
        <f>IF(G9="","",G9*全局设置!$B$5)</f>
        <v>500</v>
      </c>
      <c r="I9" s="9" t="str">
        <f>IF(AND(B9="",C9=""),"",IF(B9="","缺少敌人",IF(C9="","缺少数量",IF(OR(C9&lt;1,C9&gt;9999,C9&lt;&gt;INT(C9)),"数量无效",IF(COUNTIF($B$7:$B$24,B9)&gt;1,"重复敌人",IFERROR(IF(VLOOKUP(B9,敌人目录!$A$6:$AD$54,27,FALSE)="可回读","可回读","敌人参数错误"),"敌人不存在"))))))</f>
        <v>可回读</v>
      </c>
    </row>
    <row r="10" spans="1:9" ht="24" customHeight="1">
      <c r="A10" s="32">
        <v>4</v>
      </c>
      <c r="B10" s="14" t="s">
        <v>139</v>
      </c>
      <c r="C10" s="14">
        <v>300</v>
      </c>
      <c r="D10" s="9">
        <f>IF(OR(B10="",C10=""),"",ROUNDUP(C10*(1+(全局设置!$B$5-1)*全局设置!$B$6),0))</f>
        <v>300</v>
      </c>
      <c r="E10" s="6">
        <f>IFERROR(VLOOKUP(B10,敌人目录!$A$6:$AD$54,13,FALSE),"")</f>
        <v>1</v>
      </c>
      <c r="F10" s="6">
        <f t="shared" si="0"/>
        <v>300</v>
      </c>
      <c r="G10" s="6">
        <f>IF(F10="","",F10*全局设置!$B$7*全局设置!$C$14)</f>
        <v>300</v>
      </c>
      <c r="H10" s="6">
        <f>IF(G10="","",G10*全局设置!$B$5)</f>
        <v>300</v>
      </c>
      <c r="I10" s="9" t="str">
        <f>IF(AND(B10="",C10=""),"",IF(B10="","缺少敌人",IF(C10="","缺少数量",IF(OR(C10&lt;1,C10&gt;9999,C10&lt;&gt;INT(C10)),"数量无效",IF(COUNTIF($B$7:$B$24,B10)&gt;1,"重复敌人",IFERROR(IF(VLOOKUP(B10,敌人目录!$A$6:$AD$54,27,FALSE)="可回读","可回读","敌人参数错误"),"敌人不存在"))))))</f>
        <v>可回读</v>
      </c>
    </row>
    <row r="11" spans="1:9" ht="24" customHeight="1">
      <c r="A11" s="32">
        <v>5</v>
      </c>
      <c r="B11" s="14"/>
      <c r="C11" s="14"/>
      <c r="D11" s="9" t="str">
        <f>IF(OR(B11="",C11=""),"",ROUNDUP(C11*(1+(全局设置!$B$5-1)*全局设置!$B$6),0))</f>
        <v/>
      </c>
      <c r="E11" s="6" t="str">
        <f>IFERROR(VLOOKUP(B11,敌人目录!$A$6:$AD$54,13,FALSE),"")</f>
        <v/>
      </c>
      <c r="F11" s="6" t="str">
        <f t="shared" si="0"/>
        <v/>
      </c>
      <c r="G11" s="6" t="str">
        <f>IF(F11="","",F11*全局设置!$B$7*全局设置!$C$14)</f>
        <v/>
      </c>
      <c r="H11" s="6" t="str">
        <f>IF(G11="","",G11*全局设置!$B$5)</f>
        <v/>
      </c>
      <c r="I11" s="9" t="str">
        <f>IF(AND(B11="",C11=""),"",IF(B11="","缺少敌人",IF(C11="","缺少数量",IF(OR(C11&lt;1,C11&gt;9999,C11&lt;&gt;INT(C11)),"数量无效",IF(COUNTIF($B$7:$B$24,B11)&gt;1,"重复敌人",IFERROR(IF(VLOOKUP(B11,敌人目录!$A$6:$AD$54,27,FALSE)="可回读","可回读","敌人参数错误"),"敌人不存在"))))))</f>
        <v/>
      </c>
    </row>
    <row r="12" spans="1:9" ht="24" customHeight="1">
      <c r="A12" s="32">
        <v>6</v>
      </c>
      <c r="B12" s="14"/>
      <c r="C12" s="14"/>
      <c r="D12" s="9" t="str">
        <f>IF(OR(B12="",C12=""),"",ROUNDUP(C12*(1+(全局设置!$B$5-1)*全局设置!$B$6),0))</f>
        <v/>
      </c>
      <c r="E12" s="6" t="str">
        <f>IFERROR(VLOOKUP(B12,敌人目录!$A$6:$AD$54,13,FALSE),"")</f>
        <v/>
      </c>
      <c r="F12" s="6" t="str">
        <f t="shared" si="0"/>
        <v/>
      </c>
      <c r="G12" s="6" t="str">
        <f>IF(F12="","",F12*全局设置!$B$7*全局设置!$C$14)</f>
        <v/>
      </c>
      <c r="H12" s="6" t="str">
        <f>IF(G12="","",G12*全局设置!$B$5)</f>
        <v/>
      </c>
      <c r="I12" s="9" t="str">
        <f>IF(AND(B12="",C12=""),"",IF(B12="","缺少敌人",IF(C12="","缺少数量",IF(OR(C12&lt;1,C12&gt;9999,C12&lt;&gt;INT(C12)),"数量无效",IF(COUNTIF($B$7:$B$24,B12)&gt;1,"重复敌人",IFERROR(IF(VLOOKUP(B12,敌人目录!$A$6:$AD$54,27,FALSE)="可回读","可回读","敌人参数错误"),"敌人不存在"))))))</f>
        <v/>
      </c>
    </row>
    <row r="13" spans="1:9" ht="24" customHeight="1">
      <c r="A13" s="32">
        <v>7</v>
      </c>
      <c r="B13" s="14"/>
      <c r="C13" s="14"/>
      <c r="D13" s="9" t="str">
        <f>IF(OR(B13="",C13=""),"",ROUNDUP(C13*(1+(全局设置!$B$5-1)*全局设置!$B$6),0))</f>
        <v/>
      </c>
      <c r="E13" s="6" t="str">
        <f>IFERROR(VLOOKUP(B13,敌人目录!$A$6:$AD$54,13,FALSE),"")</f>
        <v/>
      </c>
      <c r="F13" s="6" t="str">
        <f t="shared" si="0"/>
        <v/>
      </c>
      <c r="G13" s="6" t="str">
        <f>IF(F13="","",F13*全局设置!$B$7*全局设置!$C$14)</f>
        <v/>
      </c>
      <c r="H13" s="6" t="str">
        <f>IF(G13="","",G13*全局设置!$B$5)</f>
        <v/>
      </c>
      <c r="I13" s="9" t="str">
        <f>IF(AND(B13="",C13=""),"",IF(B13="","缺少敌人",IF(C13="","缺少数量",IF(OR(C13&lt;1,C13&gt;9999,C13&lt;&gt;INT(C13)),"数量无效",IF(COUNTIF($B$7:$B$24,B13)&gt;1,"重复敌人",IFERROR(IF(VLOOKUP(B13,敌人目录!$A$6:$AD$54,27,FALSE)="可回读","可回读","敌人参数错误"),"敌人不存在"))))))</f>
        <v/>
      </c>
    </row>
    <row r="14" spans="1:9" ht="24" customHeight="1">
      <c r="A14" s="32">
        <v>8</v>
      </c>
      <c r="B14" s="14"/>
      <c r="C14" s="14"/>
      <c r="D14" s="9" t="str">
        <f>IF(OR(B14="",C14=""),"",ROUNDUP(C14*(1+(全局设置!$B$5-1)*全局设置!$B$6),0))</f>
        <v/>
      </c>
      <c r="E14" s="6" t="str">
        <f>IFERROR(VLOOKUP(B14,敌人目录!$A$6:$AD$54,13,FALSE),"")</f>
        <v/>
      </c>
      <c r="F14" s="6" t="str">
        <f t="shared" si="0"/>
        <v/>
      </c>
      <c r="G14" s="6" t="str">
        <f>IF(F14="","",F14*全局设置!$B$7*全局设置!$C$14)</f>
        <v/>
      </c>
      <c r="H14" s="6" t="str">
        <f>IF(G14="","",G14*全局设置!$B$5)</f>
        <v/>
      </c>
      <c r="I14" s="9" t="str">
        <f>IF(AND(B14="",C14=""),"",IF(B14="","缺少敌人",IF(C14="","缺少数量",IF(OR(C14&lt;1,C14&gt;9999,C14&lt;&gt;INT(C14)),"数量无效",IF(COUNTIF($B$7:$B$24,B14)&gt;1,"重复敌人",IFERROR(IF(VLOOKUP(B14,敌人目录!$A$6:$AD$54,27,FALSE)="可回读","可回读","敌人参数错误"),"敌人不存在"))))))</f>
        <v/>
      </c>
    </row>
    <row r="15" spans="1:9" ht="24" customHeight="1">
      <c r="A15" s="32">
        <v>9</v>
      </c>
      <c r="B15" s="14"/>
      <c r="C15" s="14"/>
      <c r="D15" s="9" t="str">
        <f>IF(OR(B15="",C15=""),"",ROUNDUP(C15*(1+(全局设置!$B$5-1)*全局设置!$B$6),0))</f>
        <v/>
      </c>
      <c r="E15" s="6" t="str">
        <f>IFERROR(VLOOKUP(B15,敌人目录!$A$6:$AD$54,13,FALSE),"")</f>
        <v/>
      </c>
      <c r="F15" s="6" t="str">
        <f t="shared" si="0"/>
        <v/>
      </c>
      <c r="G15" s="6" t="str">
        <f>IF(F15="","",F15*全局设置!$B$7*全局设置!$C$14)</f>
        <v/>
      </c>
      <c r="H15" s="6" t="str">
        <f>IF(G15="","",G15*全局设置!$B$5)</f>
        <v/>
      </c>
      <c r="I15" s="9" t="str">
        <f>IF(AND(B15="",C15=""),"",IF(B15="","缺少敌人",IF(C15="","缺少数量",IF(OR(C15&lt;1,C15&gt;9999,C15&lt;&gt;INT(C15)),"数量无效",IF(COUNTIF($B$7:$B$24,B15)&gt;1,"重复敌人",IFERROR(IF(VLOOKUP(B15,敌人目录!$A$6:$AD$54,27,FALSE)="可回读","可回读","敌人参数错误"),"敌人不存在"))))))</f>
        <v/>
      </c>
    </row>
    <row r="16" spans="1:9" ht="24" customHeight="1">
      <c r="A16" s="32">
        <v>10</v>
      </c>
      <c r="B16" s="14"/>
      <c r="C16" s="14"/>
      <c r="D16" s="9" t="str">
        <f>IF(OR(B16="",C16=""),"",ROUNDUP(C16*(1+(全局设置!$B$5-1)*全局设置!$B$6),0))</f>
        <v/>
      </c>
      <c r="E16" s="6" t="str">
        <f>IFERROR(VLOOKUP(B16,敌人目录!$A$6:$AD$54,13,FALSE),"")</f>
        <v/>
      </c>
      <c r="F16" s="6" t="str">
        <f t="shared" si="0"/>
        <v/>
      </c>
      <c r="G16" s="6" t="str">
        <f>IF(F16="","",F16*全局设置!$B$7*全局设置!$C$14)</f>
        <v/>
      </c>
      <c r="H16" s="6" t="str">
        <f>IF(G16="","",G16*全局设置!$B$5)</f>
        <v/>
      </c>
      <c r="I16" s="9" t="str">
        <f>IF(AND(B16="",C16=""),"",IF(B16="","缺少敌人",IF(C16="","缺少数量",IF(OR(C16&lt;1,C16&gt;9999,C16&lt;&gt;INT(C16)),"数量无效",IF(COUNTIF($B$7:$B$24,B16)&gt;1,"重复敌人",IFERROR(IF(VLOOKUP(B16,敌人目录!$A$6:$AD$54,27,FALSE)="可回读","可回读","敌人参数错误"),"敌人不存在"))))))</f>
        <v/>
      </c>
    </row>
    <row r="17" spans="1:9" ht="24" customHeight="1">
      <c r="A17" s="32">
        <v>11</v>
      </c>
      <c r="B17" s="14"/>
      <c r="C17" s="14"/>
      <c r="D17" s="9" t="str">
        <f>IF(OR(B17="",C17=""),"",ROUNDUP(C17*(1+(全局设置!$B$5-1)*全局设置!$B$6),0))</f>
        <v/>
      </c>
      <c r="E17" s="6" t="str">
        <f>IFERROR(VLOOKUP(B17,敌人目录!$A$6:$AD$54,13,FALSE),"")</f>
        <v/>
      </c>
      <c r="F17" s="6" t="str">
        <f t="shared" si="0"/>
        <v/>
      </c>
      <c r="G17" s="6" t="str">
        <f>IF(F17="","",F17*全局设置!$B$7*全局设置!$C$14)</f>
        <v/>
      </c>
      <c r="H17" s="6" t="str">
        <f>IF(G17="","",G17*全局设置!$B$5)</f>
        <v/>
      </c>
      <c r="I17" s="9" t="str">
        <f>IF(AND(B17="",C17=""),"",IF(B17="","缺少敌人",IF(C17="","缺少数量",IF(OR(C17&lt;1,C17&gt;9999,C17&lt;&gt;INT(C17)),"数量无效",IF(COUNTIF($B$7:$B$24,B17)&gt;1,"重复敌人",IFERROR(IF(VLOOKUP(B17,敌人目录!$A$6:$AD$54,27,FALSE)="可回读","可回读","敌人参数错误"),"敌人不存在"))))))</f>
        <v/>
      </c>
    </row>
    <row r="18" spans="1:9" ht="24" customHeight="1">
      <c r="A18" s="32">
        <v>12</v>
      </c>
      <c r="B18" s="14"/>
      <c r="C18" s="14"/>
      <c r="D18" s="9" t="str">
        <f>IF(OR(B18="",C18=""),"",ROUNDUP(C18*(1+(全局设置!$B$5-1)*全局设置!$B$6),0))</f>
        <v/>
      </c>
      <c r="E18" s="6" t="str">
        <f>IFERROR(VLOOKUP(B18,敌人目录!$A$6:$AD$54,13,FALSE),"")</f>
        <v/>
      </c>
      <c r="F18" s="6" t="str">
        <f t="shared" si="0"/>
        <v/>
      </c>
      <c r="G18" s="6" t="str">
        <f>IF(F18="","",F18*全局设置!$B$7*全局设置!$C$14)</f>
        <v/>
      </c>
      <c r="H18" s="6" t="str">
        <f>IF(G18="","",G18*全局设置!$B$5)</f>
        <v/>
      </c>
      <c r="I18" s="9" t="str">
        <f>IF(AND(B18="",C18=""),"",IF(B18="","缺少敌人",IF(C18="","缺少数量",IF(OR(C18&lt;1,C18&gt;9999,C18&lt;&gt;INT(C18)),"数量无效",IF(COUNTIF($B$7:$B$24,B18)&gt;1,"重复敌人",IFERROR(IF(VLOOKUP(B18,敌人目录!$A$6:$AD$54,27,FALSE)="可回读","可回读","敌人参数错误"),"敌人不存在"))))))</f>
        <v/>
      </c>
    </row>
    <row r="19" spans="1:9" ht="24" customHeight="1">
      <c r="A19" s="32">
        <v>13</v>
      </c>
      <c r="B19" s="14"/>
      <c r="C19" s="14"/>
      <c r="D19" s="9" t="str">
        <f>IF(OR(B19="",C19=""),"",ROUNDUP(C19*(1+(全局设置!$B$5-1)*全局设置!$B$6),0))</f>
        <v/>
      </c>
      <c r="E19" s="6" t="str">
        <f>IFERROR(VLOOKUP(B19,敌人目录!$A$6:$AD$54,13,FALSE),"")</f>
        <v/>
      </c>
      <c r="F19" s="6" t="str">
        <f t="shared" si="0"/>
        <v/>
      </c>
      <c r="G19" s="6" t="str">
        <f>IF(F19="","",F19*全局设置!$B$7*全局设置!$C$14)</f>
        <v/>
      </c>
      <c r="H19" s="6" t="str">
        <f>IF(G19="","",G19*全局设置!$B$5)</f>
        <v/>
      </c>
      <c r="I19" s="9" t="str">
        <f>IF(AND(B19="",C19=""),"",IF(B19="","缺少敌人",IF(C19="","缺少数量",IF(OR(C19&lt;1,C19&gt;9999,C19&lt;&gt;INT(C19)),"数量无效",IF(COUNTIF($B$7:$B$24,B19)&gt;1,"重复敌人",IFERROR(IF(VLOOKUP(B19,敌人目录!$A$6:$AD$54,27,FALSE)="可回读","可回读","敌人参数错误"),"敌人不存在"))))))</f>
        <v/>
      </c>
    </row>
    <row r="20" spans="1:9" ht="24" customHeight="1">
      <c r="A20" s="32">
        <v>14</v>
      </c>
      <c r="B20" s="14"/>
      <c r="C20" s="14"/>
      <c r="D20" s="9" t="str">
        <f>IF(OR(B20="",C20=""),"",ROUNDUP(C20*(1+(全局设置!$B$5-1)*全局设置!$B$6),0))</f>
        <v/>
      </c>
      <c r="E20" s="6" t="str">
        <f>IFERROR(VLOOKUP(B20,敌人目录!$A$6:$AD$54,13,FALSE),"")</f>
        <v/>
      </c>
      <c r="F20" s="6" t="str">
        <f t="shared" si="0"/>
        <v/>
      </c>
      <c r="G20" s="6" t="str">
        <f>IF(F20="","",F20*全局设置!$B$7*全局设置!$C$14)</f>
        <v/>
      </c>
      <c r="H20" s="6" t="str">
        <f>IF(G20="","",G20*全局设置!$B$5)</f>
        <v/>
      </c>
      <c r="I20" s="9" t="str">
        <f>IF(AND(B20="",C20=""),"",IF(B20="","缺少敌人",IF(C20="","缺少数量",IF(OR(C20&lt;1,C20&gt;9999,C20&lt;&gt;INT(C20)),"数量无效",IF(COUNTIF($B$7:$B$24,B20)&gt;1,"重复敌人",IFERROR(IF(VLOOKUP(B20,敌人目录!$A$6:$AD$54,27,FALSE)="可回读","可回读","敌人参数错误"),"敌人不存在"))))))</f>
        <v/>
      </c>
    </row>
    <row r="21" spans="1:9" ht="24" customHeight="1">
      <c r="A21" s="32">
        <v>15</v>
      </c>
      <c r="B21" s="14"/>
      <c r="C21" s="14"/>
      <c r="D21" s="9" t="str">
        <f>IF(OR(B21="",C21=""),"",ROUNDUP(C21*(1+(全局设置!$B$5-1)*全局设置!$B$6),0))</f>
        <v/>
      </c>
      <c r="E21" s="6" t="str">
        <f>IFERROR(VLOOKUP(B21,敌人目录!$A$6:$AD$54,13,FALSE),"")</f>
        <v/>
      </c>
      <c r="F21" s="6" t="str">
        <f t="shared" si="0"/>
        <v/>
      </c>
      <c r="G21" s="6" t="str">
        <f>IF(F21="","",F21*全局设置!$B$7*全局设置!$C$14)</f>
        <v/>
      </c>
      <c r="H21" s="6" t="str">
        <f>IF(G21="","",G21*全局设置!$B$5)</f>
        <v/>
      </c>
      <c r="I21" s="9" t="str">
        <f>IF(AND(B21="",C21=""),"",IF(B21="","缺少敌人",IF(C21="","缺少数量",IF(OR(C21&lt;1,C21&gt;9999,C21&lt;&gt;INT(C21)),"数量无效",IF(COUNTIF($B$7:$B$24,B21)&gt;1,"重复敌人",IFERROR(IF(VLOOKUP(B21,敌人目录!$A$6:$AD$54,27,FALSE)="可回读","可回读","敌人参数错误"),"敌人不存在"))))))</f>
        <v/>
      </c>
    </row>
    <row r="22" spans="1:9" ht="24" customHeight="1">
      <c r="A22" s="32">
        <v>16</v>
      </c>
      <c r="B22" s="14"/>
      <c r="C22" s="14"/>
      <c r="D22" s="9" t="str">
        <f>IF(OR(B22="",C22=""),"",ROUNDUP(C22*(1+(全局设置!$B$5-1)*全局设置!$B$6),0))</f>
        <v/>
      </c>
      <c r="E22" s="6" t="str">
        <f>IFERROR(VLOOKUP(B22,敌人目录!$A$6:$AD$54,13,FALSE),"")</f>
        <v/>
      </c>
      <c r="F22" s="6" t="str">
        <f t="shared" si="0"/>
        <v/>
      </c>
      <c r="G22" s="6" t="str">
        <f>IF(F22="","",F22*全局设置!$B$7*全局设置!$C$14)</f>
        <v/>
      </c>
      <c r="H22" s="6" t="str">
        <f>IF(G22="","",G22*全局设置!$B$5)</f>
        <v/>
      </c>
      <c r="I22" s="9" t="str">
        <f>IF(AND(B22="",C22=""),"",IF(B22="","缺少敌人",IF(C22="","缺少数量",IF(OR(C22&lt;1,C22&gt;9999,C22&lt;&gt;INT(C22)),"数量无效",IF(COUNTIF($B$7:$B$24,B22)&gt;1,"重复敌人",IFERROR(IF(VLOOKUP(B22,敌人目录!$A$6:$AD$54,27,FALSE)="可回读","可回读","敌人参数错误"),"敌人不存在"))))))</f>
        <v/>
      </c>
    </row>
    <row r="23" spans="1:9" ht="24" customHeight="1">
      <c r="A23" s="32">
        <v>17</v>
      </c>
      <c r="B23" s="14"/>
      <c r="C23" s="14"/>
      <c r="D23" s="9" t="str">
        <f>IF(OR(B23="",C23=""),"",ROUNDUP(C23*(1+(全局设置!$B$5-1)*全局设置!$B$6),0))</f>
        <v/>
      </c>
      <c r="E23" s="6" t="str">
        <f>IFERROR(VLOOKUP(B23,敌人目录!$A$6:$AD$54,13,FALSE),"")</f>
        <v/>
      </c>
      <c r="F23" s="6" t="str">
        <f t="shared" si="0"/>
        <v/>
      </c>
      <c r="G23" s="6" t="str">
        <f>IF(F23="","",F23*全局设置!$B$7*全局设置!$C$14)</f>
        <v/>
      </c>
      <c r="H23" s="6" t="str">
        <f>IF(G23="","",G23*全局设置!$B$5)</f>
        <v/>
      </c>
      <c r="I23" s="9" t="str">
        <f>IF(AND(B23="",C23=""),"",IF(B23="","缺少敌人",IF(C23="","缺少数量",IF(OR(C23&lt;1,C23&gt;9999,C23&lt;&gt;INT(C23)),"数量无效",IF(COUNTIF($B$7:$B$24,B23)&gt;1,"重复敌人",IFERROR(IF(VLOOKUP(B23,敌人目录!$A$6:$AD$54,27,FALSE)="可回读","可回读","敌人参数错误"),"敌人不存在"))))))</f>
        <v/>
      </c>
    </row>
    <row r="24" spans="1:9" ht="24" customHeight="1">
      <c r="A24" s="32">
        <v>18</v>
      </c>
      <c r="B24" s="14"/>
      <c r="C24" s="14"/>
      <c r="D24" s="9" t="str">
        <f>IF(OR(B24="",C24=""),"",ROUNDUP(C24*(1+(全局设置!$B$5-1)*全局设置!$B$6),0))</f>
        <v/>
      </c>
      <c r="E24" s="6" t="str">
        <f>IFERROR(VLOOKUP(B24,敌人目录!$A$6:$AD$54,13,FALSE),"")</f>
        <v/>
      </c>
      <c r="F24" s="6" t="str">
        <f t="shared" si="0"/>
        <v/>
      </c>
      <c r="G24" s="6" t="str">
        <f>IF(F24="","",F24*全局设置!$B$7*全局设置!$C$14)</f>
        <v/>
      </c>
      <c r="H24" s="6" t="str">
        <f>IF(G24="","",G24*全局设置!$B$5)</f>
        <v/>
      </c>
      <c r="I24" s="9" t="str">
        <f>IF(AND(B24="",C24=""),"",IF(B24="","缺少敌人",IF(C24="","缺少数量",IF(OR(C24&lt;1,C24&gt;9999,C24&lt;&gt;INT(C24)),"数量无效",IF(COUNTIF($B$7:$B$24,B24)&gt;1,"重复敌人",IFERROR(IF(VLOOKUP(B24,敌人目录!$A$6:$AD$54,27,FALSE)="可回读","可回读","敌人参数错误"),"敌人不存在"))))))</f>
        <v/>
      </c>
    </row>
    <row r="25" spans="1:9" ht="24" customHeight="1">
      <c r="A25" s="12"/>
      <c r="B25" s="12"/>
      <c r="C25" s="12"/>
      <c r="D25" s="12"/>
      <c r="E25" s="12"/>
      <c r="F25" s="12"/>
      <c r="G25" s="12"/>
      <c r="H25" s="12"/>
      <c r="I25" s="12"/>
    </row>
    <row r="26" spans="1:9" ht="32.1" customHeight="1">
      <c r="A26" s="13" t="s">
        <v>134</v>
      </c>
      <c r="B26" s="9">
        <f>SUM(C7:C24)</f>
        <v>2500</v>
      </c>
      <c r="C26" s="13" t="s">
        <v>135</v>
      </c>
      <c r="D26" s="9">
        <f>SUM(D7:D24)</f>
        <v>2500</v>
      </c>
      <c r="E26" s="13" t="s">
        <v>59</v>
      </c>
      <c r="F26" s="9">
        <f>SUM(F7:F24)</f>
        <v>2500</v>
      </c>
      <c r="G26" s="13" t="s">
        <v>48</v>
      </c>
      <c r="H26" s="9">
        <f>SUM(G7:G24)</f>
        <v>2500</v>
      </c>
      <c r="I26" s="12"/>
    </row>
    <row r="27" spans="1:9" ht="32.1" customHeight="1">
      <c r="A27" s="22" t="s">
        <v>49</v>
      </c>
      <c r="B27" s="9">
        <f>SUM(H7:H24)</f>
        <v>2500</v>
      </c>
      <c r="C27" s="46" t="s">
        <v>136</v>
      </c>
      <c r="D27" s="46" t="s">
        <v>136</v>
      </c>
      <c r="E27" s="46" t="s">
        <v>136</v>
      </c>
      <c r="F27" s="46" t="s">
        <v>136</v>
      </c>
      <c r="G27" s="46" t="s">
        <v>136</v>
      </c>
      <c r="H27" s="46" t="s">
        <v>136</v>
      </c>
      <c r="I27" s="46" t="s">
        <v>136</v>
      </c>
    </row>
    <row r="28" spans="1:9" ht="24" customHeight="1">
      <c r="A28" s="12"/>
      <c r="B28" s="12"/>
      <c r="C28" s="12"/>
      <c r="D28" s="12"/>
      <c r="E28" s="12"/>
      <c r="F28" s="12"/>
      <c r="G28" s="12"/>
      <c r="H28" s="12"/>
      <c r="I28" s="12"/>
    </row>
    <row r="29" spans="1:9" ht="24" customHeight="1">
      <c r="A29" s="12"/>
      <c r="B29" s="12"/>
      <c r="C29" s="12"/>
      <c r="D29" s="12"/>
      <c r="E29" s="12"/>
      <c r="F29" s="12"/>
      <c r="G29" s="12"/>
      <c r="H29" s="12"/>
      <c r="I29" s="12"/>
    </row>
    <row r="30" spans="1:9" ht="24" customHeight="1">
      <c r="A30" s="12"/>
      <c r="B30" s="12"/>
      <c r="C30" s="12"/>
      <c r="D30" s="12"/>
      <c r="E30" s="12"/>
      <c r="F30" s="12"/>
      <c r="G30" s="12"/>
      <c r="H30" s="12"/>
      <c r="I30" s="12"/>
    </row>
    <row r="31" spans="1:9" ht="38.1" customHeight="1">
      <c r="A31" s="44" t="s">
        <v>137</v>
      </c>
      <c r="B31" s="44" t="s">
        <v>137</v>
      </c>
      <c r="C31" s="44" t="s">
        <v>137</v>
      </c>
      <c r="D31" s="44" t="s">
        <v>137</v>
      </c>
      <c r="E31" s="44" t="s">
        <v>137</v>
      </c>
      <c r="F31" s="44" t="s">
        <v>137</v>
      </c>
      <c r="G31" s="44" t="s">
        <v>137</v>
      </c>
      <c r="H31" s="44" t="s">
        <v>137</v>
      </c>
      <c r="I31" s="44" t="s">
        <v>137</v>
      </c>
    </row>
    <row r="32" spans="1:9" ht="24" customHeight="1">
      <c r="A32" s="13" t="s">
        <v>112</v>
      </c>
      <c r="B32" s="45" t="s">
        <v>138</v>
      </c>
      <c r="C32" s="45" t="s">
        <v>138</v>
      </c>
      <c r="D32" s="13" t="s">
        <v>114</v>
      </c>
      <c r="E32" s="14">
        <v>0.1</v>
      </c>
      <c r="F32" s="13" t="s">
        <v>115</v>
      </c>
      <c r="G32" s="14">
        <v>1</v>
      </c>
      <c r="H32" s="13" t="s">
        <v>61</v>
      </c>
      <c r="I32" s="14">
        <v>300</v>
      </c>
    </row>
    <row r="33" spans="1:9" ht="24" customHeight="1">
      <c r="A33" s="13" t="s">
        <v>116</v>
      </c>
      <c r="B33" s="14" t="s">
        <v>117</v>
      </c>
      <c r="C33" s="14" t="s">
        <v>118</v>
      </c>
      <c r="D33" s="14" t="s">
        <v>119</v>
      </c>
      <c r="E33" s="14" t="s">
        <v>120</v>
      </c>
      <c r="F33" s="14" t="s">
        <v>523</v>
      </c>
      <c r="G33" s="14" t="s">
        <v>524</v>
      </c>
      <c r="H33" s="13" t="s">
        <v>123</v>
      </c>
      <c r="I33" s="9" t="str">
        <f>IF(COUNTA(B36:B53)=0,"待设计",IF(COUNTIF(I36:I53,"可回读")=COUNTA(B36:B53),"可回读","需修正"))</f>
        <v>可回读</v>
      </c>
    </row>
    <row r="34" spans="1:9" ht="33.950000000000003" customHeight="1">
      <c r="A34" s="41" t="s">
        <v>124</v>
      </c>
      <c r="B34" s="41" t="s">
        <v>124</v>
      </c>
      <c r="C34" s="41" t="s">
        <v>124</v>
      </c>
      <c r="D34" s="41" t="s">
        <v>124</v>
      </c>
      <c r="E34" s="41" t="s">
        <v>124</v>
      </c>
      <c r="F34" s="41" t="s">
        <v>124</v>
      </c>
      <c r="G34" s="41" t="s">
        <v>124</v>
      </c>
      <c r="H34" s="41" t="s">
        <v>124</v>
      </c>
      <c r="I34" s="41" t="s">
        <v>124</v>
      </c>
    </row>
    <row r="35" spans="1:9" ht="42" customHeight="1">
      <c r="A35" s="20" t="s">
        <v>125</v>
      </c>
      <c r="B35" s="20" t="s">
        <v>126</v>
      </c>
      <c r="C35" s="20" t="s">
        <v>56</v>
      </c>
      <c r="D35" s="20" t="s">
        <v>57</v>
      </c>
      <c r="E35" s="22" t="s">
        <v>127</v>
      </c>
      <c r="F35" s="22" t="s">
        <v>128</v>
      </c>
      <c r="G35" s="22" t="s">
        <v>129</v>
      </c>
      <c r="H35" s="22" t="s">
        <v>130</v>
      </c>
      <c r="I35" s="20" t="s">
        <v>131</v>
      </c>
    </row>
    <row r="36" spans="1:9" ht="24" customHeight="1">
      <c r="A36" s="32">
        <v>1</v>
      </c>
      <c r="B36" s="14" t="s">
        <v>280</v>
      </c>
      <c r="C36" s="14">
        <v>2000</v>
      </c>
      <c r="D36" s="9">
        <f>IF(OR(B36="",C36=""),"",ROUNDUP(C36*(1+(全局设置!$B$5-1)*全局设置!$B$6),0))</f>
        <v>2000</v>
      </c>
      <c r="E36" s="6">
        <f>IFERROR(VLOOKUP(B36,敌人目录!$A$6:$AD$54,13,FALSE),"")</f>
        <v>1</v>
      </c>
      <c r="F36" s="6">
        <f t="shared" ref="F36:F53" si="1">IF(D36="","",D36*E36)</f>
        <v>2000</v>
      </c>
      <c r="G36" s="6">
        <f>IF(F36="","",F36*全局设置!$B$7*全局设置!$C$14)</f>
        <v>2000</v>
      </c>
      <c r="H36" s="6">
        <f>IF(G36="","",G36*全局设置!$B$5)</f>
        <v>2000</v>
      </c>
      <c r="I36" s="9" t="str">
        <f>IF(AND(B36="",C36=""),"",IF(B36="","缺少敌人",IF(C36="","缺少数量",IF(OR(C36&lt;1,C36&gt;9999,C36&lt;&gt;INT(C36)),"数量无效",IF(COUNTIF($B$36:$B$53,B36)&gt;1,"重复敌人",IFERROR(IF(VLOOKUP(B36,敌人目录!$A$6:$AD$54,27,FALSE)="可回读","可回读","敌人参数错误"),"敌人不存在"))))))</f>
        <v>可回读</v>
      </c>
    </row>
    <row r="37" spans="1:9" ht="24" customHeight="1">
      <c r="A37" s="32">
        <v>2</v>
      </c>
      <c r="B37" s="14" t="s">
        <v>285</v>
      </c>
      <c r="C37" s="14">
        <v>400</v>
      </c>
      <c r="D37" s="9">
        <f>IF(OR(B37="",C37=""),"",ROUNDUP(C37*(1+(全局设置!$B$5-1)*全局设置!$B$6),0))</f>
        <v>400</v>
      </c>
      <c r="E37" s="6">
        <f>IFERROR(VLOOKUP(B37,敌人目录!$A$6:$AD$54,13,FALSE),"")</f>
        <v>1</v>
      </c>
      <c r="F37" s="6">
        <f t="shared" si="1"/>
        <v>400</v>
      </c>
      <c r="G37" s="6">
        <f>IF(F37="","",F37*全局设置!$B$7*全局设置!$C$14)</f>
        <v>400</v>
      </c>
      <c r="H37" s="6">
        <f>IF(G37="","",G37*全局设置!$B$5)</f>
        <v>400</v>
      </c>
      <c r="I37" s="9" t="str">
        <f>IF(AND(B37="",C37=""),"",IF(B37="","缺少敌人",IF(C37="","缺少数量",IF(OR(C37&lt;1,C37&gt;9999,C37&lt;&gt;INT(C37)),"数量无效",IF(COUNTIF($B$36:$B$53,B37)&gt;1,"重复敌人",IFERROR(IF(VLOOKUP(B37,敌人目录!$A$6:$AD$54,27,FALSE)="可回读","可回读","敌人参数错误"),"敌人不存在"))))))</f>
        <v>可回读</v>
      </c>
    </row>
    <row r="38" spans="1:9" ht="24" customHeight="1">
      <c r="A38" s="32">
        <v>3</v>
      </c>
      <c r="B38" s="14" t="s">
        <v>132</v>
      </c>
      <c r="C38" s="14">
        <v>500</v>
      </c>
      <c r="D38" s="9">
        <f>IF(OR(B38="",C38=""),"",ROUNDUP(C38*(1+(全局设置!$B$5-1)*全局设置!$B$6),0))</f>
        <v>500</v>
      </c>
      <c r="E38" s="6">
        <f>IFERROR(VLOOKUP(B38,敌人目录!$A$6:$AD$54,13,FALSE),"")</f>
        <v>1</v>
      </c>
      <c r="F38" s="6">
        <f t="shared" si="1"/>
        <v>500</v>
      </c>
      <c r="G38" s="6">
        <f>IF(F38="","",F38*全局设置!$B$7*全局设置!$C$14)</f>
        <v>500</v>
      </c>
      <c r="H38" s="6">
        <f>IF(G38="","",G38*全局设置!$B$5)</f>
        <v>500</v>
      </c>
      <c r="I38" s="9" t="str">
        <f>IF(AND(B38="",C38=""),"",IF(B38="","缺少敌人",IF(C38="","缺少数量",IF(OR(C38&lt;1,C38&gt;9999,C38&lt;&gt;INT(C38)),"数量无效",IF(COUNTIF($B$36:$B$53,B38)&gt;1,"重复敌人",IFERROR(IF(VLOOKUP(B38,敌人目录!$A$6:$AD$54,27,FALSE)="可回读","可回读","敌人参数错误"),"敌人不存在"))))))</f>
        <v>可回读</v>
      </c>
    </row>
    <row r="39" spans="1:9" ht="24" customHeight="1">
      <c r="A39" s="32">
        <v>4</v>
      </c>
      <c r="B39" s="14" t="s">
        <v>139</v>
      </c>
      <c r="C39" s="14">
        <v>300</v>
      </c>
      <c r="D39" s="9">
        <f>IF(OR(B39="",C39=""),"",ROUNDUP(C39*(1+(全局设置!$B$5-1)*全局设置!$B$6),0))</f>
        <v>300</v>
      </c>
      <c r="E39" s="6">
        <f>IFERROR(VLOOKUP(B39,敌人目录!$A$6:$AD$54,13,FALSE),"")</f>
        <v>1</v>
      </c>
      <c r="F39" s="6">
        <f t="shared" si="1"/>
        <v>300</v>
      </c>
      <c r="G39" s="6">
        <f>IF(F39="","",F39*全局设置!$B$7*全局设置!$C$14)</f>
        <v>300</v>
      </c>
      <c r="H39" s="6">
        <f>IF(G39="","",G39*全局设置!$B$5)</f>
        <v>300</v>
      </c>
      <c r="I39" s="9" t="str">
        <f>IF(AND(B39="",C39=""),"",IF(B39="","缺少敌人",IF(C39="","缺少数量",IF(OR(C39&lt;1,C39&gt;9999,C39&lt;&gt;INT(C39)),"数量无效",IF(COUNTIF($B$36:$B$53,B39)&gt;1,"重复敌人",IFERROR(IF(VLOOKUP(B39,敌人目录!$A$6:$AD$54,27,FALSE)="可回读","可回读","敌人参数错误"),"敌人不存在"))))))</f>
        <v>可回读</v>
      </c>
    </row>
    <row r="40" spans="1:9" ht="24" customHeight="1">
      <c r="A40" s="32">
        <v>5</v>
      </c>
      <c r="B40" s="14" t="s">
        <v>133</v>
      </c>
      <c r="C40" s="14">
        <v>200</v>
      </c>
      <c r="D40" s="9">
        <f>IF(OR(B40="",C40=""),"",ROUNDUP(C40*(1+(全局设置!$B$5-1)*全局设置!$B$6),0))</f>
        <v>200</v>
      </c>
      <c r="E40" s="6">
        <f>IFERROR(VLOOKUP(B40,敌人目录!$A$6:$AD$54,13,FALSE),"")</f>
        <v>2</v>
      </c>
      <c r="F40" s="6">
        <f t="shared" si="1"/>
        <v>400</v>
      </c>
      <c r="G40" s="6">
        <f>IF(F40="","",F40*全局设置!$B$7*全局设置!$C$14)</f>
        <v>400</v>
      </c>
      <c r="H40" s="6">
        <f>IF(G40="","",G40*全局设置!$B$5)</f>
        <v>400</v>
      </c>
      <c r="I40" s="9" t="str">
        <f>IF(AND(B40="",C40=""),"",IF(B40="","缺少敌人",IF(C40="","缺少数量",IF(OR(C40&lt;1,C40&gt;9999,C40&lt;&gt;INT(C40)),"数量无效",IF(COUNTIF($B$36:$B$53,B40)&gt;1,"重复敌人",IFERROR(IF(VLOOKUP(B40,敌人目录!$A$6:$AD$54,27,FALSE)="可回读","可回读","敌人参数错误"),"敌人不存在"))))))</f>
        <v>可回读</v>
      </c>
    </row>
    <row r="41" spans="1:9" ht="24" customHeight="1">
      <c r="A41" s="32">
        <v>6</v>
      </c>
      <c r="B41" s="14" t="s">
        <v>143</v>
      </c>
      <c r="C41" s="14">
        <v>50</v>
      </c>
      <c r="D41" s="9">
        <f>IF(OR(B41="",C41=""),"",ROUNDUP(C41*(1+(全局设置!$B$5-1)*全局设置!$B$6),0))</f>
        <v>50</v>
      </c>
      <c r="E41" s="6">
        <f>IFERROR(VLOOKUP(B41,敌人目录!$A$6:$AD$54,13,FALSE),"")</f>
        <v>1</v>
      </c>
      <c r="F41" s="6">
        <f t="shared" si="1"/>
        <v>50</v>
      </c>
      <c r="G41" s="6">
        <f>IF(F41="","",F41*全局设置!$B$7*全局设置!$C$14)</f>
        <v>50</v>
      </c>
      <c r="H41" s="6">
        <f>IF(G41="","",G41*全局设置!$B$5)</f>
        <v>50</v>
      </c>
      <c r="I41" s="9" t="str">
        <f>IF(AND(B41="",C41=""),"",IF(B41="","缺少敌人",IF(C41="","缺少数量",IF(OR(C41&lt;1,C41&gt;9999,C41&lt;&gt;INT(C41)),"数量无效",IF(COUNTIF($B$36:$B$53,B41)&gt;1,"重复敌人",IFERROR(IF(VLOOKUP(B41,敌人目录!$A$6:$AD$54,27,FALSE)="可回读","可回读","敌人参数错误"),"敌人不存在"))))))</f>
        <v>可回读</v>
      </c>
    </row>
    <row r="42" spans="1:9" ht="24" customHeight="1">
      <c r="A42" s="32">
        <v>7</v>
      </c>
      <c r="B42" s="14" t="s">
        <v>289</v>
      </c>
      <c r="C42" s="14">
        <v>400</v>
      </c>
      <c r="D42" s="9">
        <f>IF(OR(B42="",C42=""),"",ROUNDUP(C42*(1+(全局设置!$B$5-1)*全局设置!$B$6),0))</f>
        <v>400</v>
      </c>
      <c r="E42" s="6">
        <f>IFERROR(VLOOKUP(B42,敌人目录!$A$6:$AD$54,13,FALSE),"")</f>
        <v>1</v>
      </c>
      <c r="F42" s="6">
        <f t="shared" si="1"/>
        <v>400</v>
      </c>
      <c r="G42" s="6">
        <f>IF(F42="","",F42*全局设置!$B$7*全局设置!$C$14)</f>
        <v>400</v>
      </c>
      <c r="H42" s="6">
        <f>IF(G42="","",G42*全局设置!$B$5)</f>
        <v>400</v>
      </c>
      <c r="I42" s="9" t="str">
        <f>IF(AND(B42="",C42=""),"",IF(B42="","缺少敌人",IF(C42="","缺少数量",IF(OR(C42&lt;1,C42&gt;9999,C42&lt;&gt;INT(C42)),"数量无效",IF(COUNTIF($B$36:$B$53,B42)&gt;1,"重复敌人",IFERROR(IF(VLOOKUP(B42,敌人目录!$A$6:$AD$54,27,FALSE)="可回读","可回读","敌人参数错误"),"敌人不存在"))))))</f>
        <v>可回读</v>
      </c>
    </row>
    <row r="43" spans="1:9" ht="24" customHeight="1">
      <c r="A43" s="32">
        <v>8</v>
      </c>
      <c r="B43" s="14"/>
      <c r="C43" s="14"/>
      <c r="D43" s="9" t="str">
        <f>IF(OR(B43="",C43=""),"",ROUNDUP(C43*(1+(全局设置!$B$5-1)*全局设置!$B$6),0))</f>
        <v/>
      </c>
      <c r="E43" s="6" t="str">
        <f>IFERROR(VLOOKUP(B43,敌人目录!$A$6:$AD$54,13,FALSE),"")</f>
        <v/>
      </c>
      <c r="F43" s="6" t="str">
        <f t="shared" si="1"/>
        <v/>
      </c>
      <c r="G43" s="6" t="str">
        <f>IF(F43="","",F43*全局设置!$B$7*全局设置!$C$14)</f>
        <v/>
      </c>
      <c r="H43" s="6" t="str">
        <f>IF(G43="","",G43*全局设置!$B$5)</f>
        <v/>
      </c>
      <c r="I43" s="9" t="str">
        <f>IF(AND(B43="",C43=""),"",IF(B43="","缺少敌人",IF(C43="","缺少数量",IF(OR(C43&lt;1,C43&gt;9999,C43&lt;&gt;INT(C43)),"数量无效",IF(COUNTIF($B$36:$B$53,B43)&gt;1,"重复敌人",IFERROR(IF(VLOOKUP(B43,敌人目录!$A$6:$AD$54,27,FALSE)="可回读","可回读","敌人参数错误"),"敌人不存在"))))))</f>
        <v/>
      </c>
    </row>
    <row r="44" spans="1:9" ht="24" customHeight="1">
      <c r="A44" s="32">
        <v>9</v>
      </c>
      <c r="B44" s="14"/>
      <c r="C44" s="14"/>
      <c r="D44" s="9" t="str">
        <f>IF(OR(B44="",C44=""),"",ROUNDUP(C44*(1+(全局设置!$B$5-1)*全局设置!$B$6),0))</f>
        <v/>
      </c>
      <c r="E44" s="6" t="str">
        <f>IFERROR(VLOOKUP(B44,敌人目录!$A$6:$AD$54,13,FALSE),"")</f>
        <v/>
      </c>
      <c r="F44" s="6" t="str">
        <f t="shared" si="1"/>
        <v/>
      </c>
      <c r="G44" s="6" t="str">
        <f>IF(F44="","",F44*全局设置!$B$7*全局设置!$C$14)</f>
        <v/>
      </c>
      <c r="H44" s="6" t="str">
        <f>IF(G44="","",G44*全局设置!$B$5)</f>
        <v/>
      </c>
      <c r="I44" s="9" t="str">
        <f>IF(AND(B44="",C44=""),"",IF(B44="","缺少敌人",IF(C44="","缺少数量",IF(OR(C44&lt;1,C44&gt;9999,C44&lt;&gt;INT(C44)),"数量无效",IF(COUNTIF($B$36:$B$53,B44)&gt;1,"重复敌人",IFERROR(IF(VLOOKUP(B44,敌人目录!$A$6:$AD$54,27,FALSE)="可回读","可回读","敌人参数错误"),"敌人不存在"))))))</f>
        <v/>
      </c>
    </row>
    <row r="45" spans="1:9" ht="24" customHeight="1">
      <c r="A45" s="32">
        <v>10</v>
      </c>
      <c r="B45" s="14"/>
      <c r="C45" s="14"/>
      <c r="D45" s="9" t="str">
        <f>IF(OR(B45="",C45=""),"",ROUNDUP(C45*(1+(全局设置!$B$5-1)*全局设置!$B$6),0))</f>
        <v/>
      </c>
      <c r="E45" s="6" t="str">
        <f>IFERROR(VLOOKUP(B45,敌人目录!$A$6:$AD$54,13,FALSE),"")</f>
        <v/>
      </c>
      <c r="F45" s="6" t="str">
        <f t="shared" si="1"/>
        <v/>
      </c>
      <c r="G45" s="6" t="str">
        <f>IF(F45="","",F45*全局设置!$B$7*全局设置!$C$14)</f>
        <v/>
      </c>
      <c r="H45" s="6" t="str">
        <f>IF(G45="","",G45*全局设置!$B$5)</f>
        <v/>
      </c>
      <c r="I45" s="9" t="str">
        <f>IF(AND(B45="",C45=""),"",IF(B45="","缺少敌人",IF(C45="","缺少数量",IF(OR(C45&lt;1,C45&gt;9999,C45&lt;&gt;INT(C45)),"数量无效",IF(COUNTIF($B$36:$B$53,B45)&gt;1,"重复敌人",IFERROR(IF(VLOOKUP(B45,敌人目录!$A$6:$AD$54,27,FALSE)="可回读","可回读","敌人参数错误"),"敌人不存在"))))))</f>
        <v/>
      </c>
    </row>
    <row r="46" spans="1:9" ht="24" customHeight="1">
      <c r="A46" s="32">
        <v>11</v>
      </c>
      <c r="B46" s="14"/>
      <c r="C46" s="14"/>
      <c r="D46" s="9" t="str">
        <f>IF(OR(B46="",C46=""),"",ROUNDUP(C46*(1+(全局设置!$B$5-1)*全局设置!$B$6),0))</f>
        <v/>
      </c>
      <c r="E46" s="6" t="str">
        <f>IFERROR(VLOOKUP(B46,敌人目录!$A$6:$AD$54,13,FALSE),"")</f>
        <v/>
      </c>
      <c r="F46" s="6" t="str">
        <f t="shared" si="1"/>
        <v/>
      </c>
      <c r="G46" s="6" t="str">
        <f>IF(F46="","",F46*全局设置!$B$7*全局设置!$C$14)</f>
        <v/>
      </c>
      <c r="H46" s="6" t="str">
        <f>IF(G46="","",G46*全局设置!$B$5)</f>
        <v/>
      </c>
      <c r="I46" s="9" t="str">
        <f>IF(AND(B46="",C46=""),"",IF(B46="","缺少敌人",IF(C46="","缺少数量",IF(OR(C46&lt;1,C46&gt;9999,C46&lt;&gt;INT(C46)),"数量无效",IF(COUNTIF($B$36:$B$53,B46)&gt;1,"重复敌人",IFERROR(IF(VLOOKUP(B46,敌人目录!$A$6:$AD$54,27,FALSE)="可回读","可回读","敌人参数错误"),"敌人不存在"))))))</f>
        <v/>
      </c>
    </row>
    <row r="47" spans="1:9" ht="24" customHeight="1">
      <c r="A47" s="32">
        <v>12</v>
      </c>
      <c r="B47" s="14"/>
      <c r="C47" s="14"/>
      <c r="D47" s="9" t="str">
        <f>IF(OR(B47="",C47=""),"",ROUNDUP(C47*(1+(全局设置!$B$5-1)*全局设置!$B$6),0))</f>
        <v/>
      </c>
      <c r="E47" s="6" t="str">
        <f>IFERROR(VLOOKUP(B47,敌人目录!$A$6:$AD$54,13,FALSE),"")</f>
        <v/>
      </c>
      <c r="F47" s="6" t="str">
        <f t="shared" si="1"/>
        <v/>
      </c>
      <c r="G47" s="6" t="str">
        <f>IF(F47="","",F47*全局设置!$B$7*全局设置!$C$14)</f>
        <v/>
      </c>
      <c r="H47" s="6" t="str">
        <f>IF(G47="","",G47*全局设置!$B$5)</f>
        <v/>
      </c>
      <c r="I47" s="9" t="str">
        <f>IF(AND(B47="",C47=""),"",IF(B47="","缺少敌人",IF(C47="","缺少数量",IF(OR(C47&lt;1,C47&gt;9999,C47&lt;&gt;INT(C47)),"数量无效",IF(COUNTIF($B$36:$B$53,B47)&gt;1,"重复敌人",IFERROR(IF(VLOOKUP(B47,敌人目录!$A$6:$AD$54,27,FALSE)="可回读","可回读","敌人参数错误"),"敌人不存在"))))))</f>
        <v/>
      </c>
    </row>
    <row r="48" spans="1:9" ht="24" customHeight="1">
      <c r="A48" s="32">
        <v>13</v>
      </c>
      <c r="B48" s="14"/>
      <c r="C48" s="14"/>
      <c r="D48" s="9" t="str">
        <f>IF(OR(B48="",C48=""),"",ROUNDUP(C48*(1+(全局设置!$B$5-1)*全局设置!$B$6),0))</f>
        <v/>
      </c>
      <c r="E48" s="6" t="str">
        <f>IFERROR(VLOOKUP(B48,敌人目录!$A$6:$AD$54,13,FALSE),"")</f>
        <v/>
      </c>
      <c r="F48" s="6" t="str">
        <f t="shared" si="1"/>
        <v/>
      </c>
      <c r="G48" s="6" t="str">
        <f>IF(F48="","",F48*全局设置!$B$7*全局设置!$C$14)</f>
        <v/>
      </c>
      <c r="H48" s="6" t="str">
        <f>IF(G48="","",G48*全局设置!$B$5)</f>
        <v/>
      </c>
      <c r="I48" s="9" t="str">
        <f>IF(AND(B48="",C48=""),"",IF(B48="","缺少敌人",IF(C48="","缺少数量",IF(OR(C48&lt;1,C48&gt;9999,C48&lt;&gt;INT(C48)),"数量无效",IF(COUNTIF($B$36:$B$53,B48)&gt;1,"重复敌人",IFERROR(IF(VLOOKUP(B48,敌人目录!$A$6:$AD$54,27,FALSE)="可回读","可回读","敌人参数错误"),"敌人不存在"))))))</f>
        <v/>
      </c>
    </row>
    <row r="49" spans="1:9" ht="24" customHeight="1">
      <c r="A49" s="32">
        <v>14</v>
      </c>
      <c r="B49" s="14"/>
      <c r="C49" s="14"/>
      <c r="D49" s="9" t="str">
        <f>IF(OR(B49="",C49=""),"",ROUNDUP(C49*(1+(全局设置!$B$5-1)*全局设置!$B$6),0))</f>
        <v/>
      </c>
      <c r="E49" s="6" t="str">
        <f>IFERROR(VLOOKUP(B49,敌人目录!$A$6:$AD$54,13,FALSE),"")</f>
        <v/>
      </c>
      <c r="F49" s="6" t="str">
        <f t="shared" si="1"/>
        <v/>
      </c>
      <c r="G49" s="6" t="str">
        <f>IF(F49="","",F49*全局设置!$B$7*全局设置!$C$14)</f>
        <v/>
      </c>
      <c r="H49" s="6" t="str">
        <f>IF(G49="","",G49*全局设置!$B$5)</f>
        <v/>
      </c>
      <c r="I49" s="9" t="str">
        <f>IF(AND(B49="",C49=""),"",IF(B49="","缺少敌人",IF(C49="","缺少数量",IF(OR(C49&lt;1,C49&gt;9999,C49&lt;&gt;INT(C49)),"数量无效",IF(COUNTIF($B$36:$B$53,B49)&gt;1,"重复敌人",IFERROR(IF(VLOOKUP(B49,敌人目录!$A$6:$AD$54,27,FALSE)="可回读","可回读","敌人参数错误"),"敌人不存在"))))))</f>
        <v/>
      </c>
    </row>
    <row r="50" spans="1:9" ht="24" customHeight="1">
      <c r="A50" s="32">
        <v>15</v>
      </c>
      <c r="B50" s="14"/>
      <c r="C50" s="14"/>
      <c r="D50" s="9" t="str">
        <f>IF(OR(B50="",C50=""),"",ROUNDUP(C50*(1+(全局设置!$B$5-1)*全局设置!$B$6),0))</f>
        <v/>
      </c>
      <c r="E50" s="6" t="str">
        <f>IFERROR(VLOOKUP(B50,敌人目录!$A$6:$AD$54,13,FALSE),"")</f>
        <v/>
      </c>
      <c r="F50" s="6" t="str">
        <f t="shared" si="1"/>
        <v/>
      </c>
      <c r="G50" s="6" t="str">
        <f>IF(F50="","",F50*全局设置!$B$7*全局设置!$C$14)</f>
        <v/>
      </c>
      <c r="H50" s="6" t="str">
        <f>IF(G50="","",G50*全局设置!$B$5)</f>
        <v/>
      </c>
      <c r="I50" s="9" t="str">
        <f>IF(AND(B50="",C50=""),"",IF(B50="","缺少敌人",IF(C50="","缺少数量",IF(OR(C50&lt;1,C50&gt;9999,C50&lt;&gt;INT(C50)),"数量无效",IF(COUNTIF($B$36:$B$53,B50)&gt;1,"重复敌人",IFERROR(IF(VLOOKUP(B50,敌人目录!$A$6:$AD$54,27,FALSE)="可回读","可回读","敌人参数错误"),"敌人不存在"))))))</f>
        <v/>
      </c>
    </row>
    <row r="51" spans="1:9" ht="24" customHeight="1">
      <c r="A51" s="32">
        <v>16</v>
      </c>
      <c r="B51" s="14"/>
      <c r="C51" s="14"/>
      <c r="D51" s="9" t="str">
        <f>IF(OR(B51="",C51=""),"",ROUNDUP(C51*(1+(全局设置!$B$5-1)*全局设置!$B$6),0))</f>
        <v/>
      </c>
      <c r="E51" s="6" t="str">
        <f>IFERROR(VLOOKUP(B51,敌人目录!$A$6:$AD$54,13,FALSE),"")</f>
        <v/>
      </c>
      <c r="F51" s="6" t="str">
        <f t="shared" si="1"/>
        <v/>
      </c>
      <c r="G51" s="6" t="str">
        <f>IF(F51="","",F51*全局设置!$B$7*全局设置!$C$14)</f>
        <v/>
      </c>
      <c r="H51" s="6" t="str">
        <f>IF(G51="","",G51*全局设置!$B$5)</f>
        <v/>
      </c>
      <c r="I51" s="9" t="str">
        <f>IF(AND(B51="",C51=""),"",IF(B51="","缺少敌人",IF(C51="","缺少数量",IF(OR(C51&lt;1,C51&gt;9999,C51&lt;&gt;INT(C51)),"数量无效",IF(COUNTIF($B$36:$B$53,B51)&gt;1,"重复敌人",IFERROR(IF(VLOOKUP(B51,敌人目录!$A$6:$AD$54,27,FALSE)="可回读","可回读","敌人参数错误"),"敌人不存在"))))))</f>
        <v/>
      </c>
    </row>
    <row r="52" spans="1:9" ht="24" customHeight="1">
      <c r="A52" s="32">
        <v>17</v>
      </c>
      <c r="B52" s="14"/>
      <c r="C52" s="14"/>
      <c r="D52" s="9" t="str">
        <f>IF(OR(B52="",C52=""),"",ROUNDUP(C52*(1+(全局设置!$B$5-1)*全局设置!$B$6),0))</f>
        <v/>
      </c>
      <c r="E52" s="6" t="str">
        <f>IFERROR(VLOOKUP(B52,敌人目录!$A$6:$AD$54,13,FALSE),"")</f>
        <v/>
      </c>
      <c r="F52" s="6" t="str">
        <f t="shared" si="1"/>
        <v/>
      </c>
      <c r="G52" s="6" t="str">
        <f>IF(F52="","",F52*全局设置!$B$7*全局设置!$C$14)</f>
        <v/>
      </c>
      <c r="H52" s="6" t="str">
        <f>IF(G52="","",G52*全局设置!$B$5)</f>
        <v/>
      </c>
      <c r="I52" s="9" t="str">
        <f>IF(AND(B52="",C52=""),"",IF(B52="","缺少敌人",IF(C52="","缺少数量",IF(OR(C52&lt;1,C52&gt;9999,C52&lt;&gt;INT(C52)),"数量无效",IF(COUNTIF($B$36:$B$53,B52)&gt;1,"重复敌人",IFERROR(IF(VLOOKUP(B52,敌人目录!$A$6:$AD$54,27,FALSE)="可回读","可回读","敌人参数错误"),"敌人不存在"))))))</f>
        <v/>
      </c>
    </row>
    <row r="53" spans="1:9" ht="24" customHeight="1">
      <c r="A53" s="32">
        <v>18</v>
      </c>
      <c r="B53" s="14"/>
      <c r="C53" s="14"/>
      <c r="D53" s="9" t="str">
        <f>IF(OR(B53="",C53=""),"",ROUNDUP(C53*(1+(全局设置!$B$5-1)*全局设置!$B$6),0))</f>
        <v/>
      </c>
      <c r="E53" s="6" t="str">
        <f>IFERROR(VLOOKUP(B53,敌人目录!$A$6:$AD$54,13,FALSE),"")</f>
        <v/>
      </c>
      <c r="F53" s="6" t="str">
        <f t="shared" si="1"/>
        <v/>
      </c>
      <c r="G53" s="6" t="str">
        <f>IF(F53="","",F53*全局设置!$B$7*全局设置!$C$14)</f>
        <v/>
      </c>
      <c r="H53" s="6" t="str">
        <f>IF(G53="","",G53*全局设置!$B$5)</f>
        <v/>
      </c>
      <c r="I53" s="9" t="str">
        <f>IF(AND(B53="",C53=""),"",IF(B53="","缺少敌人",IF(C53="","缺少数量",IF(OR(C53&lt;1,C53&gt;9999,C53&lt;&gt;INT(C53)),"数量无效",IF(COUNTIF($B$36:$B$53,B53)&gt;1,"重复敌人",IFERROR(IF(VLOOKUP(B53,敌人目录!$A$6:$AD$54,27,FALSE)="可回读","可回读","敌人参数错误"),"敌人不存在"))))))</f>
        <v/>
      </c>
    </row>
    <row r="54" spans="1:9" ht="24" customHeight="1">
      <c r="A54" s="12"/>
      <c r="B54" s="12"/>
      <c r="C54" s="12"/>
      <c r="D54" s="12"/>
      <c r="E54" s="12"/>
      <c r="F54" s="12"/>
      <c r="G54" s="12"/>
      <c r="H54" s="12"/>
      <c r="I54" s="12"/>
    </row>
    <row r="55" spans="1:9" ht="32.1" customHeight="1">
      <c r="A55" s="13" t="s">
        <v>134</v>
      </c>
      <c r="B55" s="9">
        <f>SUM(C36:C53)</f>
        <v>3850</v>
      </c>
      <c r="C55" s="13" t="s">
        <v>135</v>
      </c>
      <c r="D55" s="9">
        <f>SUM(D36:D53)</f>
        <v>3850</v>
      </c>
      <c r="E55" s="13" t="s">
        <v>59</v>
      </c>
      <c r="F55" s="9">
        <f>SUM(F36:F53)</f>
        <v>4050</v>
      </c>
      <c r="G55" s="13" t="s">
        <v>48</v>
      </c>
      <c r="H55" s="9">
        <f>SUM(G36:G53)</f>
        <v>4050</v>
      </c>
      <c r="I55" s="12"/>
    </row>
    <row r="56" spans="1:9" ht="32.1" customHeight="1">
      <c r="A56" s="22" t="s">
        <v>49</v>
      </c>
      <c r="B56" s="9">
        <f>SUM(H36:H53)</f>
        <v>4050</v>
      </c>
      <c r="C56" s="46" t="s">
        <v>136</v>
      </c>
      <c r="D56" s="46" t="s">
        <v>136</v>
      </c>
      <c r="E56" s="46" t="s">
        <v>136</v>
      </c>
      <c r="F56" s="46" t="s">
        <v>136</v>
      </c>
      <c r="G56" s="46" t="s">
        <v>136</v>
      </c>
      <c r="H56" s="46" t="s">
        <v>136</v>
      </c>
      <c r="I56" s="46" t="s">
        <v>136</v>
      </c>
    </row>
    <row r="57" spans="1:9" ht="24" customHeight="1">
      <c r="A57" s="12"/>
      <c r="B57" s="12"/>
      <c r="C57" s="12"/>
      <c r="D57" s="12"/>
      <c r="E57" s="12"/>
      <c r="F57" s="12"/>
      <c r="G57" s="12"/>
      <c r="H57" s="12"/>
      <c r="I57" s="12"/>
    </row>
    <row r="58" spans="1:9" ht="24" customHeight="1">
      <c r="A58" s="12"/>
      <c r="B58" s="12"/>
      <c r="C58" s="12"/>
      <c r="D58" s="12"/>
      <c r="E58" s="12"/>
      <c r="F58" s="12"/>
      <c r="G58" s="12"/>
      <c r="H58" s="12"/>
      <c r="I58" s="12"/>
    </row>
    <row r="59" spans="1:9" ht="24" customHeight="1">
      <c r="A59" s="12"/>
      <c r="B59" s="12"/>
      <c r="C59" s="12"/>
      <c r="D59" s="12"/>
      <c r="E59" s="12"/>
      <c r="F59" s="12"/>
      <c r="G59" s="12"/>
      <c r="H59" s="12"/>
      <c r="I59" s="12"/>
    </row>
    <row r="60" spans="1:9" ht="38.1" customHeight="1">
      <c r="A60" s="47" t="s">
        <v>140</v>
      </c>
      <c r="B60" s="47" t="s">
        <v>140</v>
      </c>
      <c r="C60" s="47" t="s">
        <v>140</v>
      </c>
      <c r="D60" s="47" t="s">
        <v>140</v>
      </c>
      <c r="E60" s="47" t="s">
        <v>140</v>
      </c>
      <c r="F60" s="47" t="s">
        <v>140</v>
      </c>
      <c r="G60" s="47" t="s">
        <v>140</v>
      </c>
      <c r="H60" s="47" t="s">
        <v>140</v>
      </c>
      <c r="I60" s="47" t="s">
        <v>140</v>
      </c>
    </row>
    <row r="61" spans="1:9" ht="24" customHeight="1">
      <c r="A61" s="17" t="s">
        <v>112</v>
      </c>
      <c r="B61" s="45" t="s">
        <v>141</v>
      </c>
      <c r="C61" s="45" t="s">
        <v>141</v>
      </c>
      <c r="D61" s="17" t="s">
        <v>114</v>
      </c>
      <c r="E61" s="14">
        <v>0.1</v>
      </c>
      <c r="F61" s="17" t="s">
        <v>115</v>
      </c>
      <c r="G61" s="14">
        <v>1</v>
      </c>
      <c r="H61" s="17" t="s">
        <v>61</v>
      </c>
      <c r="I61" s="14">
        <v>300</v>
      </c>
    </row>
    <row r="62" spans="1:9" ht="24" customHeight="1">
      <c r="A62" s="17" t="s">
        <v>116</v>
      </c>
      <c r="B62" s="14" t="s">
        <v>117</v>
      </c>
      <c r="C62" s="14" t="s">
        <v>118</v>
      </c>
      <c r="D62" s="14" t="s">
        <v>119</v>
      </c>
      <c r="E62" s="14" t="s">
        <v>120</v>
      </c>
      <c r="F62" s="14" t="s">
        <v>121</v>
      </c>
      <c r="G62" s="14" t="s">
        <v>122</v>
      </c>
      <c r="H62" s="17" t="s">
        <v>123</v>
      </c>
      <c r="I62" s="9" t="str">
        <f>IF(COUNTA(B65:B82)=0,"待设计",IF(COUNTIF(I65:I82,"可回读")=COUNTA(B65:B82),"可回读","需修正"))</f>
        <v>可回读</v>
      </c>
    </row>
    <row r="63" spans="1:9" ht="33.950000000000003" customHeight="1">
      <c r="A63" s="48" t="s">
        <v>124</v>
      </c>
      <c r="B63" s="48" t="s">
        <v>124</v>
      </c>
      <c r="C63" s="48" t="s">
        <v>124</v>
      </c>
      <c r="D63" s="48" t="s">
        <v>124</v>
      </c>
      <c r="E63" s="48" t="s">
        <v>124</v>
      </c>
      <c r="F63" s="48" t="s">
        <v>124</v>
      </c>
      <c r="G63" s="48" t="s">
        <v>124</v>
      </c>
      <c r="H63" s="48" t="s">
        <v>124</v>
      </c>
      <c r="I63" s="48" t="s">
        <v>124</v>
      </c>
    </row>
    <row r="64" spans="1:9" ht="42" customHeight="1">
      <c r="A64" s="17" t="s">
        <v>125</v>
      </c>
      <c r="B64" s="17" t="s">
        <v>126</v>
      </c>
      <c r="C64" s="17" t="s">
        <v>56</v>
      </c>
      <c r="D64" s="17" t="s">
        <v>57</v>
      </c>
      <c r="E64" s="22" t="s">
        <v>127</v>
      </c>
      <c r="F64" s="22" t="s">
        <v>128</v>
      </c>
      <c r="G64" s="22" t="s">
        <v>129</v>
      </c>
      <c r="H64" s="22" t="s">
        <v>130</v>
      </c>
      <c r="I64" s="17" t="s">
        <v>131</v>
      </c>
    </row>
    <row r="65" spans="1:9" ht="24" customHeight="1">
      <c r="A65" s="32">
        <v>1</v>
      </c>
      <c r="B65" s="14" t="s">
        <v>148</v>
      </c>
      <c r="C65" s="14">
        <v>50</v>
      </c>
      <c r="D65" s="9">
        <f>IF(OR(B65="",C65=""),"",ROUNDUP(C65*(1+(全局设置!$B$5-1)*全局设置!$B$6),0))</f>
        <v>50</v>
      </c>
      <c r="E65" s="6">
        <f>IFERROR(VLOOKUP(B65,敌人目录!$A$6:$AD$54,13,FALSE),"")</f>
        <v>2</v>
      </c>
      <c r="F65" s="6">
        <f t="shared" ref="F65:F82" si="2">IF(D65="","",D65*E65)</f>
        <v>100</v>
      </c>
      <c r="G65" s="6">
        <f>IF(F65="","",F65*全局设置!$B$7*全局设置!$C$14)</f>
        <v>100</v>
      </c>
      <c r="H65" s="6">
        <f>IF(G65="","",G65*全局设置!$B$5)</f>
        <v>100</v>
      </c>
      <c r="I65" s="9" t="str">
        <f>IF(AND(B65="",C65=""),"",IF(B65="","缺少敌人",IF(C65="","缺少数量",IF(OR(C65&lt;1,C65&gt;9999,C65&lt;&gt;INT(C65)),"数量无效",IF(COUNTIF($B$65:$B$82,B65)&gt;1,"重复敌人",IFERROR(IF(VLOOKUP(B65,敌人目录!$A$6:$AD$54,27,FALSE)="可回读","可回读","敌人参数错误"),"敌人不存在"))))))</f>
        <v>可回读</v>
      </c>
    </row>
    <row r="66" spans="1:9" ht="24" customHeight="1">
      <c r="A66" s="32">
        <v>2</v>
      </c>
      <c r="B66" s="14" t="s">
        <v>132</v>
      </c>
      <c r="C66" s="14">
        <v>500</v>
      </c>
      <c r="D66" s="9">
        <f>IF(OR(B66="",C66=""),"",ROUNDUP(C66*(1+(全局设置!$B$5-1)*全局设置!$B$6),0))</f>
        <v>500</v>
      </c>
      <c r="E66" s="6">
        <f>IFERROR(VLOOKUP(B66,敌人目录!$A$6:$AD$54,13,FALSE),"")</f>
        <v>1</v>
      </c>
      <c r="F66" s="6">
        <f t="shared" si="2"/>
        <v>500</v>
      </c>
      <c r="G66" s="6">
        <f>IF(F66="","",F66*全局设置!$B$7*全局设置!$C$14)</f>
        <v>500</v>
      </c>
      <c r="H66" s="6">
        <f>IF(G66="","",G66*全局设置!$B$5)</f>
        <v>500</v>
      </c>
      <c r="I66" s="9" t="str">
        <f>IF(AND(B66="",C66=""),"",IF(B66="","缺少敌人",IF(C66="","缺少数量",IF(OR(C66&lt;1,C66&gt;9999,C66&lt;&gt;INT(C66)),"数量无效",IF(COUNTIF($B$65:$B$82,B66)&gt;1,"重复敌人",IFERROR(IF(VLOOKUP(B66,敌人目录!$A$6:$AD$54,27,FALSE)="可回读","可回读","敌人参数错误"),"敌人不存在"))))))</f>
        <v>可回读</v>
      </c>
    </row>
    <row r="67" spans="1:9" ht="24" customHeight="1">
      <c r="A67" s="32">
        <v>3</v>
      </c>
      <c r="B67" s="14" t="s">
        <v>133</v>
      </c>
      <c r="C67" s="14">
        <v>1000</v>
      </c>
      <c r="D67" s="9">
        <f>IF(OR(B67="",C67=""),"",ROUNDUP(C67*(1+(全局设置!$B$5-1)*全局设置!$B$6),0))</f>
        <v>1000</v>
      </c>
      <c r="E67" s="6">
        <f>IFERROR(VLOOKUP(B67,敌人目录!$A$6:$AD$54,13,FALSE),"")</f>
        <v>2</v>
      </c>
      <c r="F67" s="6">
        <f t="shared" si="2"/>
        <v>2000</v>
      </c>
      <c r="G67" s="6">
        <f>IF(F67="","",F67*全局设置!$B$7*全局设置!$C$14)</f>
        <v>2000</v>
      </c>
      <c r="H67" s="6">
        <f>IF(G67="","",G67*全局设置!$B$5)</f>
        <v>2000</v>
      </c>
      <c r="I67" s="9" t="str">
        <f>IF(AND(B67="",C67=""),"",IF(B67="","缺少敌人",IF(C67="","缺少数量",IF(OR(C67&lt;1,C67&gt;9999,C67&lt;&gt;INT(C67)),"数量无效",IF(COUNTIF($B$65:$B$82,B67)&gt;1,"重复敌人",IFERROR(IF(VLOOKUP(B67,敌人目录!$A$6:$AD$54,27,FALSE)="可回读","可回读","敌人参数错误"),"敌人不存在"))))))</f>
        <v>可回读</v>
      </c>
    </row>
    <row r="68" spans="1:9" ht="24" customHeight="1">
      <c r="A68" s="32">
        <v>4</v>
      </c>
      <c r="B68" s="14" t="s">
        <v>142</v>
      </c>
      <c r="C68" s="14">
        <v>400</v>
      </c>
      <c r="D68" s="9">
        <f>IF(OR(B68="",C68=""),"",ROUNDUP(C68*(1+(全局设置!$B$5-1)*全局设置!$B$6),0))</f>
        <v>400</v>
      </c>
      <c r="E68" s="6">
        <f>IFERROR(VLOOKUP(B68,敌人目录!$A$6:$AD$54,13,FALSE),"")</f>
        <v>1</v>
      </c>
      <c r="F68" s="6">
        <f t="shared" si="2"/>
        <v>400</v>
      </c>
      <c r="G68" s="6">
        <f>IF(F68="","",F68*全局设置!$B$7*全局设置!$C$14)</f>
        <v>400</v>
      </c>
      <c r="H68" s="6">
        <f>IF(G68="","",G68*全局设置!$B$5)</f>
        <v>400</v>
      </c>
      <c r="I68" s="9" t="str">
        <f>IF(AND(B68="",C68=""),"",IF(B68="","缺少敌人",IF(C68="","缺少数量",IF(OR(C68&lt;1,C68&gt;9999,C68&lt;&gt;INT(C68)),"数量无效",IF(COUNTIF($B$65:$B$82,B68)&gt;1,"重复敌人",IFERROR(IF(VLOOKUP(B68,敌人目录!$A$6:$AD$54,27,FALSE)="可回读","可回读","敌人参数错误"),"敌人不存在"))))))</f>
        <v>可回读</v>
      </c>
    </row>
    <row r="69" spans="1:9" ht="24" customHeight="1">
      <c r="A69" s="32">
        <v>5</v>
      </c>
      <c r="B69" s="14" t="s">
        <v>293</v>
      </c>
      <c r="C69" s="14">
        <v>100</v>
      </c>
      <c r="D69" s="9">
        <f>IF(OR(B69="",C69=""),"",ROUNDUP(C69*(1+(全局设置!$B$5-1)*全局设置!$B$6),0))</f>
        <v>100</v>
      </c>
      <c r="E69" s="6">
        <f>IFERROR(VLOOKUP(B69,敌人目录!$A$6:$AD$54,13,FALSE),"")</f>
        <v>1</v>
      </c>
      <c r="F69" s="6">
        <f t="shared" si="2"/>
        <v>100</v>
      </c>
      <c r="G69" s="6">
        <f>IF(F69="","",F69*全局设置!$B$7*全局设置!$C$14)</f>
        <v>100</v>
      </c>
      <c r="H69" s="6">
        <f>IF(G69="","",G69*全局设置!$B$5)</f>
        <v>100</v>
      </c>
      <c r="I69" s="9" t="str">
        <f>IF(AND(B69="",C69=""),"",IF(B69="","缺少敌人",IF(C69="","缺少数量",IF(OR(C69&lt;1,C69&gt;9999,C69&lt;&gt;INT(C69)),"数量无效",IF(COUNTIF($B$65:$B$82,B69)&gt;1,"重复敌人",IFERROR(IF(VLOOKUP(B69,敌人目录!$A$6:$AD$54,27,FALSE)="可回读","可回读","敌人参数错误"),"敌人不存在"))))))</f>
        <v>可回读</v>
      </c>
    </row>
    <row r="70" spans="1:9" ht="24" customHeight="1">
      <c r="A70" s="32">
        <v>6</v>
      </c>
      <c r="B70" s="14" t="s">
        <v>289</v>
      </c>
      <c r="C70" s="14">
        <v>400</v>
      </c>
      <c r="D70" s="9">
        <f>IF(OR(B70="",C70=""),"",ROUNDUP(C70*(1+(全局设置!$B$5-1)*全局设置!$B$6),0))</f>
        <v>400</v>
      </c>
      <c r="E70" s="6">
        <f>IFERROR(VLOOKUP(B70,敌人目录!$A$6:$AD$54,13,FALSE),"")</f>
        <v>1</v>
      </c>
      <c r="F70" s="6">
        <f t="shared" si="2"/>
        <v>400</v>
      </c>
      <c r="G70" s="6">
        <f>IF(F70="","",F70*全局设置!$B$7*全局设置!$C$14)</f>
        <v>400</v>
      </c>
      <c r="H70" s="6">
        <f>IF(G70="","",G70*全局设置!$B$5)</f>
        <v>400</v>
      </c>
      <c r="I70" s="9" t="str">
        <f>IF(AND(B70="",C70=""),"",IF(B70="","缺少敌人",IF(C70="","缺少数量",IF(OR(C70&lt;1,C70&gt;9999,C70&lt;&gt;INT(C70)),"数量无效",IF(COUNTIF($B$65:$B$82,B70)&gt;1,"重复敌人",IFERROR(IF(VLOOKUP(B70,敌人目录!$A$6:$AD$54,27,FALSE)="可回读","可回读","敌人参数错误"),"敌人不存在"))))))</f>
        <v>可回读</v>
      </c>
    </row>
    <row r="71" spans="1:9" ht="24" customHeight="1">
      <c r="A71" s="32">
        <v>7</v>
      </c>
      <c r="B71" s="14" t="s">
        <v>143</v>
      </c>
      <c r="C71" s="14">
        <v>500</v>
      </c>
      <c r="D71" s="9">
        <f>IF(OR(B71="",C71=""),"",ROUNDUP(C71*(1+(全局设置!$B$5-1)*全局设置!$B$6),0))</f>
        <v>500</v>
      </c>
      <c r="E71" s="6">
        <f>IFERROR(VLOOKUP(B71,敌人目录!$A$6:$AD$54,13,FALSE),"")</f>
        <v>1</v>
      </c>
      <c r="F71" s="6">
        <f t="shared" si="2"/>
        <v>500</v>
      </c>
      <c r="G71" s="6">
        <f>IF(F71="","",F71*全局设置!$B$7*全局设置!$C$14)</f>
        <v>500</v>
      </c>
      <c r="H71" s="6">
        <f>IF(G71="","",G71*全局设置!$B$5)</f>
        <v>500</v>
      </c>
      <c r="I71" s="9" t="str">
        <f>IF(AND(B71="",C71=""),"",IF(B71="","缺少敌人",IF(C71="","缺少数量",IF(OR(C71&lt;1,C71&gt;9999,C71&lt;&gt;INT(C71)),"数量无效",IF(COUNTIF($B$65:$B$82,B71)&gt;1,"重复敌人",IFERROR(IF(VLOOKUP(B71,敌人目录!$A$6:$AD$54,27,FALSE)="可回读","可回读","敌人参数错误"),"敌人不存在"))))))</f>
        <v>可回读</v>
      </c>
    </row>
    <row r="72" spans="1:9" ht="24" customHeight="1">
      <c r="A72" s="32">
        <v>8</v>
      </c>
      <c r="B72" s="14" t="s">
        <v>280</v>
      </c>
      <c r="C72" s="14">
        <v>1000</v>
      </c>
      <c r="D72" s="9">
        <f>IF(OR(B72="",C72=""),"",ROUNDUP(C72*(1+(全局设置!$B$5-1)*全局设置!$B$6),0))</f>
        <v>1000</v>
      </c>
      <c r="E72" s="6">
        <f>IFERROR(VLOOKUP(B72,敌人目录!$A$6:$AD$54,13,FALSE),"")</f>
        <v>1</v>
      </c>
      <c r="F72" s="6">
        <f t="shared" si="2"/>
        <v>1000</v>
      </c>
      <c r="G72" s="6">
        <f>IF(F72="","",F72*全局设置!$B$7*全局设置!$C$14)</f>
        <v>1000</v>
      </c>
      <c r="H72" s="6">
        <f>IF(G72="","",G72*全局设置!$B$5)</f>
        <v>1000</v>
      </c>
      <c r="I72" s="9" t="str">
        <f>IF(AND(B72="",C72=""),"",IF(B72="","缺少敌人",IF(C72="","缺少数量",IF(OR(C72&lt;1,C72&gt;9999,C72&lt;&gt;INT(C72)),"数量无效",IF(COUNTIF($B$65:$B$82,B72)&gt;1,"重复敌人",IFERROR(IF(VLOOKUP(B72,敌人目录!$A$6:$AD$54,27,FALSE)="可回读","可回读","敌人参数错误"),"敌人不存在"))))))</f>
        <v>可回读</v>
      </c>
    </row>
    <row r="73" spans="1:9" ht="24" customHeight="1">
      <c r="A73" s="32">
        <v>9</v>
      </c>
      <c r="B73" s="14"/>
      <c r="C73" s="14"/>
      <c r="D73" s="9" t="str">
        <f>IF(OR(B73="",C73=""),"",ROUNDUP(C73*(1+(全局设置!$B$5-1)*全局设置!$B$6),0))</f>
        <v/>
      </c>
      <c r="E73" s="6" t="str">
        <f>IFERROR(VLOOKUP(B73,敌人目录!$A$6:$AD$54,13,FALSE),"")</f>
        <v/>
      </c>
      <c r="F73" s="6" t="str">
        <f t="shared" si="2"/>
        <v/>
      </c>
      <c r="G73" s="6" t="str">
        <f>IF(F73="","",F73*全局设置!$B$7*全局设置!$C$14)</f>
        <v/>
      </c>
      <c r="H73" s="6" t="str">
        <f>IF(G73="","",G73*全局设置!$B$5)</f>
        <v/>
      </c>
      <c r="I73" s="9" t="str">
        <f>IF(AND(B73="",C73=""),"",IF(B73="","缺少敌人",IF(C73="","缺少数量",IF(OR(C73&lt;1,C73&gt;9999,C73&lt;&gt;INT(C73)),"数量无效",IF(COUNTIF($B$65:$B$82,B73)&gt;1,"重复敌人",IFERROR(IF(VLOOKUP(B73,敌人目录!$A$6:$AD$54,27,FALSE)="可回读","可回读","敌人参数错误"),"敌人不存在"))))))</f>
        <v/>
      </c>
    </row>
    <row r="74" spans="1:9" ht="24" customHeight="1">
      <c r="A74" s="32">
        <v>10</v>
      </c>
      <c r="B74" s="14"/>
      <c r="C74" s="14"/>
      <c r="D74" s="9" t="str">
        <f>IF(OR(B74="",C74=""),"",ROUNDUP(C74*(1+(全局设置!$B$5-1)*全局设置!$B$6),0))</f>
        <v/>
      </c>
      <c r="E74" s="6" t="str">
        <f>IFERROR(VLOOKUP(B74,敌人目录!$A$6:$AD$54,13,FALSE),"")</f>
        <v/>
      </c>
      <c r="F74" s="6" t="str">
        <f t="shared" si="2"/>
        <v/>
      </c>
      <c r="G74" s="6" t="str">
        <f>IF(F74="","",F74*全局设置!$B$7*全局设置!$C$14)</f>
        <v/>
      </c>
      <c r="H74" s="6" t="str">
        <f>IF(G74="","",G74*全局设置!$B$5)</f>
        <v/>
      </c>
      <c r="I74" s="9" t="str">
        <f>IF(AND(B74="",C74=""),"",IF(B74="","缺少敌人",IF(C74="","缺少数量",IF(OR(C74&lt;1,C74&gt;9999,C74&lt;&gt;INT(C74)),"数量无效",IF(COUNTIF($B$65:$B$82,B74)&gt;1,"重复敌人",IFERROR(IF(VLOOKUP(B74,敌人目录!$A$6:$AD$54,27,FALSE)="可回读","可回读","敌人参数错误"),"敌人不存在"))))))</f>
        <v/>
      </c>
    </row>
    <row r="75" spans="1:9" ht="24" customHeight="1">
      <c r="A75" s="32">
        <v>11</v>
      </c>
      <c r="B75" s="14"/>
      <c r="C75" s="14"/>
      <c r="D75" s="9" t="str">
        <f>IF(OR(B75="",C75=""),"",ROUNDUP(C75*(1+(全局设置!$B$5-1)*全局设置!$B$6),0))</f>
        <v/>
      </c>
      <c r="E75" s="6" t="str">
        <f>IFERROR(VLOOKUP(B75,敌人目录!$A$6:$AD$54,13,FALSE),"")</f>
        <v/>
      </c>
      <c r="F75" s="6" t="str">
        <f t="shared" si="2"/>
        <v/>
      </c>
      <c r="G75" s="6" t="str">
        <f>IF(F75="","",F75*全局设置!$B$7*全局设置!$C$14)</f>
        <v/>
      </c>
      <c r="H75" s="6" t="str">
        <f>IF(G75="","",G75*全局设置!$B$5)</f>
        <v/>
      </c>
      <c r="I75" s="9" t="str">
        <f>IF(AND(B75="",C75=""),"",IF(B75="","缺少敌人",IF(C75="","缺少数量",IF(OR(C75&lt;1,C75&gt;9999,C75&lt;&gt;INT(C75)),"数量无效",IF(COUNTIF($B$65:$B$82,B75)&gt;1,"重复敌人",IFERROR(IF(VLOOKUP(B75,敌人目录!$A$6:$AD$54,27,FALSE)="可回读","可回读","敌人参数错误"),"敌人不存在"))))))</f>
        <v/>
      </c>
    </row>
    <row r="76" spans="1:9" ht="24" customHeight="1">
      <c r="A76" s="32">
        <v>12</v>
      </c>
      <c r="B76" s="14"/>
      <c r="C76" s="14"/>
      <c r="D76" s="9" t="str">
        <f>IF(OR(B76="",C76=""),"",ROUNDUP(C76*(1+(全局设置!$B$5-1)*全局设置!$B$6),0))</f>
        <v/>
      </c>
      <c r="E76" s="6" t="str">
        <f>IFERROR(VLOOKUP(B76,敌人目录!$A$6:$AD$54,13,FALSE),"")</f>
        <v/>
      </c>
      <c r="F76" s="6" t="str">
        <f t="shared" si="2"/>
        <v/>
      </c>
      <c r="G76" s="6" t="str">
        <f>IF(F76="","",F76*全局设置!$B$7*全局设置!$C$14)</f>
        <v/>
      </c>
      <c r="H76" s="6" t="str">
        <f>IF(G76="","",G76*全局设置!$B$5)</f>
        <v/>
      </c>
      <c r="I76" s="9" t="str">
        <f>IF(AND(B76="",C76=""),"",IF(B76="","缺少敌人",IF(C76="","缺少数量",IF(OR(C76&lt;1,C76&gt;9999,C76&lt;&gt;INT(C76)),"数量无效",IF(COUNTIF($B$65:$B$82,B76)&gt;1,"重复敌人",IFERROR(IF(VLOOKUP(B76,敌人目录!$A$6:$AD$54,27,FALSE)="可回读","可回读","敌人参数错误"),"敌人不存在"))))))</f>
        <v/>
      </c>
    </row>
    <row r="77" spans="1:9" ht="24" customHeight="1">
      <c r="A77" s="32">
        <v>13</v>
      </c>
      <c r="B77" s="14"/>
      <c r="C77" s="14"/>
      <c r="D77" s="9" t="str">
        <f>IF(OR(B77="",C77=""),"",ROUNDUP(C77*(1+(全局设置!$B$5-1)*全局设置!$B$6),0))</f>
        <v/>
      </c>
      <c r="E77" s="6" t="str">
        <f>IFERROR(VLOOKUP(B77,敌人目录!$A$6:$AD$54,13,FALSE),"")</f>
        <v/>
      </c>
      <c r="F77" s="6" t="str">
        <f t="shared" si="2"/>
        <v/>
      </c>
      <c r="G77" s="6" t="str">
        <f>IF(F77="","",F77*全局设置!$B$7*全局设置!$C$14)</f>
        <v/>
      </c>
      <c r="H77" s="6" t="str">
        <f>IF(G77="","",G77*全局设置!$B$5)</f>
        <v/>
      </c>
      <c r="I77" s="9" t="str">
        <f>IF(AND(B77="",C77=""),"",IF(B77="","缺少敌人",IF(C77="","缺少数量",IF(OR(C77&lt;1,C77&gt;9999,C77&lt;&gt;INT(C77)),"数量无效",IF(COUNTIF($B$65:$B$82,B77)&gt;1,"重复敌人",IFERROR(IF(VLOOKUP(B77,敌人目录!$A$6:$AD$54,27,FALSE)="可回读","可回读","敌人参数错误"),"敌人不存在"))))))</f>
        <v/>
      </c>
    </row>
    <row r="78" spans="1:9" ht="24" customHeight="1">
      <c r="A78" s="32">
        <v>14</v>
      </c>
      <c r="B78" s="14"/>
      <c r="C78" s="14"/>
      <c r="D78" s="9" t="str">
        <f>IF(OR(B78="",C78=""),"",ROUNDUP(C78*(1+(全局设置!$B$5-1)*全局设置!$B$6),0))</f>
        <v/>
      </c>
      <c r="E78" s="6" t="str">
        <f>IFERROR(VLOOKUP(B78,敌人目录!$A$6:$AD$54,13,FALSE),"")</f>
        <v/>
      </c>
      <c r="F78" s="6" t="str">
        <f t="shared" si="2"/>
        <v/>
      </c>
      <c r="G78" s="6" t="str">
        <f>IF(F78="","",F78*全局设置!$B$7*全局设置!$C$14)</f>
        <v/>
      </c>
      <c r="H78" s="6" t="str">
        <f>IF(G78="","",G78*全局设置!$B$5)</f>
        <v/>
      </c>
      <c r="I78" s="9" t="str">
        <f>IF(AND(B78="",C78=""),"",IF(B78="","缺少敌人",IF(C78="","缺少数量",IF(OR(C78&lt;1,C78&gt;9999,C78&lt;&gt;INT(C78)),"数量无效",IF(COUNTIF($B$65:$B$82,B78)&gt;1,"重复敌人",IFERROR(IF(VLOOKUP(B78,敌人目录!$A$6:$AD$54,27,FALSE)="可回读","可回读","敌人参数错误"),"敌人不存在"))))))</f>
        <v/>
      </c>
    </row>
    <row r="79" spans="1:9" ht="24" customHeight="1">
      <c r="A79" s="32">
        <v>15</v>
      </c>
      <c r="B79" s="14"/>
      <c r="C79" s="14"/>
      <c r="D79" s="9" t="str">
        <f>IF(OR(B79="",C79=""),"",ROUNDUP(C79*(1+(全局设置!$B$5-1)*全局设置!$B$6),0))</f>
        <v/>
      </c>
      <c r="E79" s="6" t="str">
        <f>IFERROR(VLOOKUP(B79,敌人目录!$A$6:$AD$54,13,FALSE),"")</f>
        <v/>
      </c>
      <c r="F79" s="6" t="str">
        <f t="shared" si="2"/>
        <v/>
      </c>
      <c r="G79" s="6" t="str">
        <f>IF(F79="","",F79*全局设置!$B$7*全局设置!$C$14)</f>
        <v/>
      </c>
      <c r="H79" s="6" t="str">
        <f>IF(G79="","",G79*全局设置!$B$5)</f>
        <v/>
      </c>
      <c r="I79" s="9" t="str">
        <f>IF(AND(B79="",C79=""),"",IF(B79="","缺少敌人",IF(C79="","缺少数量",IF(OR(C79&lt;1,C79&gt;9999,C79&lt;&gt;INT(C79)),"数量无效",IF(COUNTIF($B$65:$B$82,B79)&gt;1,"重复敌人",IFERROR(IF(VLOOKUP(B79,敌人目录!$A$6:$AD$54,27,FALSE)="可回读","可回读","敌人参数错误"),"敌人不存在"))))))</f>
        <v/>
      </c>
    </row>
    <row r="80" spans="1:9" ht="24" customHeight="1">
      <c r="A80" s="32">
        <v>16</v>
      </c>
      <c r="B80" s="14"/>
      <c r="C80" s="14"/>
      <c r="D80" s="9" t="str">
        <f>IF(OR(B80="",C80=""),"",ROUNDUP(C80*(1+(全局设置!$B$5-1)*全局设置!$B$6),0))</f>
        <v/>
      </c>
      <c r="E80" s="6" t="str">
        <f>IFERROR(VLOOKUP(B80,敌人目录!$A$6:$AD$54,13,FALSE),"")</f>
        <v/>
      </c>
      <c r="F80" s="6" t="str">
        <f t="shared" si="2"/>
        <v/>
      </c>
      <c r="G80" s="6" t="str">
        <f>IF(F80="","",F80*全局设置!$B$7*全局设置!$C$14)</f>
        <v/>
      </c>
      <c r="H80" s="6" t="str">
        <f>IF(G80="","",G80*全局设置!$B$5)</f>
        <v/>
      </c>
      <c r="I80" s="9" t="str">
        <f>IF(AND(B80="",C80=""),"",IF(B80="","缺少敌人",IF(C80="","缺少数量",IF(OR(C80&lt;1,C80&gt;9999,C80&lt;&gt;INT(C80)),"数量无效",IF(COUNTIF($B$65:$B$82,B80)&gt;1,"重复敌人",IFERROR(IF(VLOOKUP(B80,敌人目录!$A$6:$AD$54,27,FALSE)="可回读","可回读","敌人参数错误"),"敌人不存在"))))))</f>
        <v/>
      </c>
    </row>
    <row r="81" spans="1:9" ht="24" customHeight="1">
      <c r="A81" s="32">
        <v>17</v>
      </c>
      <c r="B81" s="14"/>
      <c r="C81" s="14"/>
      <c r="D81" s="9" t="str">
        <f>IF(OR(B81="",C81=""),"",ROUNDUP(C81*(1+(全局设置!$B$5-1)*全局设置!$B$6),0))</f>
        <v/>
      </c>
      <c r="E81" s="6" t="str">
        <f>IFERROR(VLOOKUP(B81,敌人目录!$A$6:$AD$54,13,FALSE),"")</f>
        <v/>
      </c>
      <c r="F81" s="6" t="str">
        <f t="shared" si="2"/>
        <v/>
      </c>
      <c r="G81" s="6" t="str">
        <f>IF(F81="","",F81*全局设置!$B$7*全局设置!$C$14)</f>
        <v/>
      </c>
      <c r="H81" s="6" t="str">
        <f>IF(G81="","",G81*全局设置!$B$5)</f>
        <v/>
      </c>
      <c r="I81" s="9" t="str">
        <f>IF(AND(B81="",C81=""),"",IF(B81="","缺少敌人",IF(C81="","缺少数量",IF(OR(C81&lt;1,C81&gt;9999,C81&lt;&gt;INT(C81)),"数量无效",IF(COUNTIF($B$65:$B$82,B81)&gt;1,"重复敌人",IFERROR(IF(VLOOKUP(B81,敌人目录!$A$6:$AD$54,27,FALSE)="可回读","可回读","敌人参数错误"),"敌人不存在"))))))</f>
        <v/>
      </c>
    </row>
    <row r="82" spans="1:9" ht="24" customHeight="1">
      <c r="A82" s="32">
        <v>18</v>
      </c>
      <c r="B82" s="14"/>
      <c r="C82" s="14"/>
      <c r="D82" s="9" t="str">
        <f>IF(OR(B82="",C82=""),"",ROUNDUP(C82*(1+(全局设置!$B$5-1)*全局设置!$B$6),0))</f>
        <v/>
      </c>
      <c r="E82" s="6" t="str">
        <f>IFERROR(VLOOKUP(B82,敌人目录!$A$6:$AD$54,13,FALSE),"")</f>
        <v/>
      </c>
      <c r="F82" s="6" t="str">
        <f t="shared" si="2"/>
        <v/>
      </c>
      <c r="G82" s="6" t="str">
        <f>IF(F82="","",F82*全局设置!$B$7*全局设置!$C$14)</f>
        <v/>
      </c>
      <c r="H82" s="6" t="str">
        <f>IF(G82="","",G82*全局设置!$B$5)</f>
        <v/>
      </c>
      <c r="I82" s="9" t="str">
        <f>IF(AND(B82="",C82=""),"",IF(B82="","缺少敌人",IF(C82="","缺少数量",IF(OR(C82&lt;1,C82&gt;9999,C82&lt;&gt;INT(C82)),"数量无效",IF(COUNTIF($B$65:$B$82,B82)&gt;1,"重复敌人",IFERROR(IF(VLOOKUP(B82,敌人目录!$A$6:$AD$54,27,FALSE)="可回读","可回读","敌人参数错误"),"敌人不存在"))))))</f>
        <v/>
      </c>
    </row>
    <row r="83" spans="1:9" ht="24" customHeight="1">
      <c r="A83" s="12"/>
      <c r="B83" s="12"/>
      <c r="C83" s="12"/>
      <c r="D83" s="12"/>
      <c r="E83" s="12"/>
      <c r="F83" s="12"/>
      <c r="G83" s="12"/>
      <c r="H83" s="12"/>
      <c r="I83" s="12"/>
    </row>
    <row r="84" spans="1:9" ht="32.1" customHeight="1">
      <c r="A84" s="17" t="s">
        <v>134</v>
      </c>
      <c r="B84" s="9">
        <f>SUM(C65:C82)</f>
        <v>3950</v>
      </c>
      <c r="C84" s="17" t="s">
        <v>135</v>
      </c>
      <c r="D84" s="9">
        <f>SUM(D65:D82)</f>
        <v>3950</v>
      </c>
      <c r="E84" s="17" t="s">
        <v>59</v>
      </c>
      <c r="F84" s="9">
        <f>SUM(F65:F82)</f>
        <v>5000</v>
      </c>
      <c r="G84" s="17" t="s">
        <v>48</v>
      </c>
      <c r="H84" s="9">
        <f>SUM(G65:G82)</f>
        <v>5000</v>
      </c>
      <c r="I84" s="12"/>
    </row>
    <row r="85" spans="1:9" ht="32.1" customHeight="1">
      <c r="A85" s="17" t="s">
        <v>49</v>
      </c>
      <c r="B85" s="9">
        <f>SUM(H65:H82)</f>
        <v>5000</v>
      </c>
      <c r="C85" s="46" t="s">
        <v>136</v>
      </c>
      <c r="D85" s="46" t="s">
        <v>136</v>
      </c>
      <c r="E85" s="46" t="s">
        <v>136</v>
      </c>
      <c r="F85" s="46" t="s">
        <v>136</v>
      </c>
      <c r="G85" s="46" t="s">
        <v>136</v>
      </c>
      <c r="H85" s="46" t="s">
        <v>136</v>
      </c>
      <c r="I85" s="46" t="s">
        <v>136</v>
      </c>
    </row>
    <row r="86" spans="1:9" ht="24" customHeight="1">
      <c r="A86" s="12"/>
      <c r="B86" s="12"/>
      <c r="C86" s="12"/>
      <c r="D86" s="12"/>
      <c r="E86" s="12"/>
      <c r="F86" s="12"/>
      <c r="G86" s="12"/>
      <c r="H86" s="12"/>
      <c r="I86" s="12"/>
    </row>
    <row r="87" spans="1:9" ht="24" customHeight="1">
      <c r="A87" s="12"/>
      <c r="B87" s="12"/>
      <c r="C87" s="12"/>
      <c r="D87" s="12"/>
      <c r="E87" s="12"/>
      <c r="F87" s="12"/>
      <c r="G87" s="12"/>
      <c r="H87" s="12"/>
      <c r="I87" s="12"/>
    </row>
    <row r="88" spans="1:9" ht="24" customHeight="1">
      <c r="A88" s="12"/>
      <c r="B88" s="12"/>
      <c r="C88" s="12"/>
      <c r="D88" s="12"/>
      <c r="E88" s="12"/>
      <c r="F88" s="12"/>
      <c r="G88" s="12"/>
      <c r="H88" s="12"/>
      <c r="I88" s="12"/>
    </row>
    <row r="89" spans="1:9" ht="38.1" customHeight="1">
      <c r="A89" s="47" t="s">
        <v>144</v>
      </c>
      <c r="B89" s="47" t="s">
        <v>144</v>
      </c>
      <c r="C89" s="47" t="s">
        <v>144</v>
      </c>
      <c r="D89" s="47" t="s">
        <v>144</v>
      </c>
      <c r="E89" s="47" t="s">
        <v>144</v>
      </c>
      <c r="F89" s="47" t="s">
        <v>144</v>
      </c>
      <c r="G89" s="47" t="s">
        <v>144</v>
      </c>
      <c r="H89" s="47" t="s">
        <v>144</v>
      </c>
      <c r="I89" s="47" t="s">
        <v>144</v>
      </c>
    </row>
    <row r="90" spans="1:9" ht="24" customHeight="1">
      <c r="A90" s="17" t="s">
        <v>112</v>
      </c>
      <c r="B90" s="45" t="s">
        <v>145</v>
      </c>
      <c r="C90" s="45" t="s">
        <v>145</v>
      </c>
      <c r="D90" s="17" t="s">
        <v>114</v>
      </c>
      <c r="E90" s="14">
        <v>0.1</v>
      </c>
      <c r="F90" s="17" t="s">
        <v>115</v>
      </c>
      <c r="G90" s="14">
        <v>1</v>
      </c>
      <c r="H90" s="17" t="s">
        <v>61</v>
      </c>
      <c r="I90" s="14">
        <v>300</v>
      </c>
    </row>
    <row r="91" spans="1:9" ht="24" customHeight="1">
      <c r="A91" s="17" t="s">
        <v>116</v>
      </c>
      <c r="B91" s="14" t="s">
        <v>117</v>
      </c>
      <c r="C91" s="14" t="s">
        <v>118</v>
      </c>
      <c r="D91" s="14" t="s">
        <v>119</v>
      </c>
      <c r="E91" s="14" t="s">
        <v>120</v>
      </c>
      <c r="F91" s="14" t="s">
        <v>121</v>
      </c>
      <c r="G91" s="14" t="s">
        <v>122</v>
      </c>
      <c r="H91" s="17" t="s">
        <v>123</v>
      </c>
      <c r="I91" s="9" t="str">
        <f>IF(COUNTA(B94:B111)=0,"待设计",IF(COUNTIF(I94:I111,"可回读")=COUNTA(B94:B111),"可回读","需修正"))</f>
        <v>待设计</v>
      </c>
    </row>
    <row r="92" spans="1:9" ht="33.950000000000003" customHeight="1">
      <c r="A92" s="48" t="s">
        <v>124</v>
      </c>
      <c r="B92" s="48" t="s">
        <v>124</v>
      </c>
      <c r="C92" s="48" t="s">
        <v>124</v>
      </c>
      <c r="D92" s="48" t="s">
        <v>124</v>
      </c>
      <c r="E92" s="48" t="s">
        <v>124</v>
      </c>
      <c r="F92" s="48" t="s">
        <v>124</v>
      </c>
      <c r="G92" s="48" t="s">
        <v>124</v>
      </c>
      <c r="H92" s="48" t="s">
        <v>124</v>
      </c>
      <c r="I92" s="48" t="s">
        <v>124</v>
      </c>
    </row>
    <row r="93" spans="1:9" ht="42" customHeight="1">
      <c r="A93" s="17" t="s">
        <v>125</v>
      </c>
      <c r="B93" s="17" t="s">
        <v>126</v>
      </c>
      <c r="C93" s="17" t="s">
        <v>56</v>
      </c>
      <c r="D93" s="17" t="s">
        <v>57</v>
      </c>
      <c r="E93" s="22" t="s">
        <v>127</v>
      </c>
      <c r="F93" s="22" t="s">
        <v>128</v>
      </c>
      <c r="G93" s="22" t="s">
        <v>129</v>
      </c>
      <c r="H93" s="22" t="s">
        <v>130</v>
      </c>
      <c r="I93" s="17" t="s">
        <v>131</v>
      </c>
    </row>
    <row r="94" spans="1:9" ht="24" customHeight="1">
      <c r="A94" s="32">
        <v>1</v>
      </c>
      <c r="B94" s="14"/>
      <c r="C94" s="14"/>
      <c r="D94" s="9" t="str">
        <f>IF(OR(B94="",C94=""),"",ROUNDUP(C94*(1+(全局设置!$B$5-1)*全局设置!$B$6),0))</f>
        <v/>
      </c>
      <c r="E94" s="6" t="str">
        <f>IFERROR(VLOOKUP(B94,敌人目录!$A$6:$AD$54,13,FALSE),"")</f>
        <v/>
      </c>
      <c r="F94" s="6" t="str">
        <f t="shared" ref="F94:F111" si="3">IF(D94="","",D94*E94)</f>
        <v/>
      </c>
      <c r="G94" s="6" t="str">
        <f>IF(F94="","",F94*全局设置!$B$7*全局设置!$C$14)</f>
        <v/>
      </c>
      <c r="H94" s="6" t="str">
        <f>IF(G94="","",G94*全局设置!$B$5)</f>
        <v/>
      </c>
      <c r="I94" s="9" t="str">
        <f>IF(AND(B94="",C94=""),"",IF(B94="","缺少敌人",IF(C94="","缺少数量",IF(OR(C94&lt;1,C94&gt;9999,C94&lt;&gt;INT(C94)),"数量无效",IF(COUNTIF($B$94:$B$111,B94)&gt;1,"重复敌人",IFERROR(IF(VLOOKUP(B94,敌人目录!$A$6:$AD$54,27,FALSE)="可回读","可回读","敌人参数错误"),"敌人不存在"))))))</f>
        <v/>
      </c>
    </row>
    <row r="95" spans="1:9" ht="24" customHeight="1">
      <c r="A95" s="32">
        <v>2</v>
      </c>
      <c r="B95" s="14"/>
      <c r="C95" s="14"/>
      <c r="D95" s="9" t="str">
        <f>IF(OR(B95="",C95=""),"",ROUNDUP(C95*(1+(全局设置!$B$5-1)*全局设置!$B$6),0))</f>
        <v/>
      </c>
      <c r="E95" s="6" t="str">
        <f>IFERROR(VLOOKUP(B95,敌人目录!$A$6:$AD$54,13,FALSE),"")</f>
        <v/>
      </c>
      <c r="F95" s="6" t="str">
        <f t="shared" si="3"/>
        <v/>
      </c>
      <c r="G95" s="6" t="str">
        <f>IF(F95="","",F95*全局设置!$B$7*全局设置!$C$14)</f>
        <v/>
      </c>
      <c r="H95" s="6" t="str">
        <f>IF(G95="","",G95*全局设置!$B$5)</f>
        <v/>
      </c>
      <c r="I95" s="9" t="str">
        <f>IF(AND(B95="",C95=""),"",IF(B95="","缺少敌人",IF(C95="","缺少数量",IF(OR(C95&lt;1,C95&gt;9999,C95&lt;&gt;INT(C95)),"数量无效",IF(COUNTIF($B$94:$B$111,B95)&gt;1,"重复敌人",IFERROR(IF(VLOOKUP(B95,敌人目录!$A$6:$AD$54,27,FALSE)="可回读","可回读","敌人参数错误"),"敌人不存在"))))))</f>
        <v/>
      </c>
    </row>
    <row r="96" spans="1:9" ht="24" customHeight="1">
      <c r="A96" s="32">
        <v>3</v>
      </c>
      <c r="B96" s="14"/>
      <c r="C96" s="14"/>
      <c r="D96" s="9" t="str">
        <f>IF(OR(B96="",C96=""),"",ROUNDUP(C96*(1+(全局设置!$B$5-1)*全局设置!$B$6),0))</f>
        <v/>
      </c>
      <c r="E96" s="6" t="str">
        <f>IFERROR(VLOOKUP(B96,敌人目录!$A$6:$AD$54,13,FALSE),"")</f>
        <v/>
      </c>
      <c r="F96" s="6" t="str">
        <f t="shared" si="3"/>
        <v/>
      </c>
      <c r="G96" s="6" t="str">
        <f>IF(F96="","",F96*全局设置!$B$7*全局设置!$C$14)</f>
        <v/>
      </c>
      <c r="H96" s="6" t="str">
        <f>IF(G96="","",G96*全局设置!$B$5)</f>
        <v/>
      </c>
      <c r="I96" s="9" t="str">
        <f>IF(AND(B96="",C96=""),"",IF(B96="","缺少敌人",IF(C96="","缺少数量",IF(OR(C96&lt;1,C96&gt;9999,C96&lt;&gt;INT(C96)),"数量无效",IF(COUNTIF($B$94:$B$111,B96)&gt;1,"重复敌人",IFERROR(IF(VLOOKUP(B96,敌人目录!$A$6:$AD$54,27,FALSE)="可回读","可回读","敌人参数错误"),"敌人不存在"))))))</f>
        <v/>
      </c>
    </row>
    <row r="97" spans="1:9" ht="24" customHeight="1">
      <c r="A97" s="32">
        <v>4</v>
      </c>
      <c r="B97" s="14"/>
      <c r="C97" s="14"/>
      <c r="D97" s="9" t="str">
        <f>IF(OR(B97="",C97=""),"",ROUNDUP(C97*(1+(全局设置!$B$5-1)*全局设置!$B$6),0))</f>
        <v/>
      </c>
      <c r="E97" s="6" t="str">
        <f>IFERROR(VLOOKUP(B97,敌人目录!$A$6:$AD$54,13,FALSE),"")</f>
        <v/>
      </c>
      <c r="F97" s="6" t="str">
        <f t="shared" si="3"/>
        <v/>
      </c>
      <c r="G97" s="6" t="str">
        <f>IF(F97="","",F97*全局设置!$B$7*全局设置!$C$14)</f>
        <v/>
      </c>
      <c r="H97" s="6" t="str">
        <f>IF(G97="","",G97*全局设置!$B$5)</f>
        <v/>
      </c>
      <c r="I97" s="9" t="str">
        <f>IF(AND(B97="",C97=""),"",IF(B97="","缺少敌人",IF(C97="","缺少数量",IF(OR(C97&lt;1,C97&gt;9999,C97&lt;&gt;INT(C97)),"数量无效",IF(COUNTIF($B$94:$B$111,B97)&gt;1,"重复敌人",IFERROR(IF(VLOOKUP(B97,敌人目录!$A$6:$AD$54,27,FALSE)="可回读","可回读","敌人参数错误"),"敌人不存在"))))))</f>
        <v/>
      </c>
    </row>
    <row r="98" spans="1:9" ht="24" customHeight="1">
      <c r="A98" s="32">
        <v>5</v>
      </c>
      <c r="B98" s="14"/>
      <c r="C98" s="14"/>
      <c r="D98" s="9" t="str">
        <f>IF(OR(B98="",C98=""),"",ROUNDUP(C98*(1+(全局设置!$B$5-1)*全局设置!$B$6),0))</f>
        <v/>
      </c>
      <c r="E98" s="6" t="str">
        <f>IFERROR(VLOOKUP(B98,敌人目录!$A$6:$AD$54,13,FALSE),"")</f>
        <v/>
      </c>
      <c r="F98" s="6" t="str">
        <f t="shared" si="3"/>
        <v/>
      </c>
      <c r="G98" s="6" t="str">
        <f>IF(F98="","",F98*全局设置!$B$7*全局设置!$C$14)</f>
        <v/>
      </c>
      <c r="H98" s="6" t="str">
        <f>IF(G98="","",G98*全局设置!$B$5)</f>
        <v/>
      </c>
      <c r="I98" s="9" t="str">
        <f>IF(AND(B98="",C98=""),"",IF(B98="","缺少敌人",IF(C98="","缺少数量",IF(OR(C98&lt;1,C98&gt;9999,C98&lt;&gt;INT(C98)),"数量无效",IF(COUNTIF($B$94:$B$111,B98)&gt;1,"重复敌人",IFERROR(IF(VLOOKUP(B98,敌人目录!$A$6:$AD$54,27,FALSE)="可回读","可回读","敌人参数错误"),"敌人不存在"))))))</f>
        <v/>
      </c>
    </row>
    <row r="99" spans="1:9" ht="24" customHeight="1">
      <c r="A99" s="32">
        <v>6</v>
      </c>
      <c r="B99" s="14"/>
      <c r="C99" s="14"/>
      <c r="D99" s="9" t="str">
        <f>IF(OR(B99="",C99=""),"",ROUNDUP(C99*(1+(全局设置!$B$5-1)*全局设置!$B$6),0))</f>
        <v/>
      </c>
      <c r="E99" s="6" t="str">
        <f>IFERROR(VLOOKUP(B99,敌人目录!$A$6:$AD$54,13,FALSE),"")</f>
        <v/>
      </c>
      <c r="F99" s="6" t="str">
        <f t="shared" si="3"/>
        <v/>
      </c>
      <c r="G99" s="6" t="str">
        <f>IF(F99="","",F99*全局设置!$B$7*全局设置!$C$14)</f>
        <v/>
      </c>
      <c r="H99" s="6" t="str">
        <f>IF(G99="","",G99*全局设置!$B$5)</f>
        <v/>
      </c>
      <c r="I99" s="9" t="str">
        <f>IF(AND(B99="",C99=""),"",IF(B99="","缺少敌人",IF(C99="","缺少数量",IF(OR(C99&lt;1,C99&gt;9999,C99&lt;&gt;INT(C99)),"数量无效",IF(COUNTIF($B$94:$B$111,B99)&gt;1,"重复敌人",IFERROR(IF(VLOOKUP(B99,敌人目录!$A$6:$AD$54,27,FALSE)="可回读","可回读","敌人参数错误"),"敌人不存在"))))))</f>
        <v/>
      </c>
    </row>
    <row r="100" spans="1:9" ht="24" customHeight="1">
      <c r="A100" s="32">
        <v>7</v>
      </c>
      <c r="B100" s="14"/>
      <c r="C100" s="14"/>
      <c r="D100" s="9" t="str">
        <f>IF(OR(B100="",C100=""),"",ROUNDUP(C100*(1+(全局设置!$B$5-1)*全局设置!$B$6),0))</f>
        <v/>
      </c>
      <c r="E100" s="6" t="str">
        <f>IFERROR(VLOOKUP(B100,敌人目录!$A$6:$AD$54,13,FALSE),"")</f>
        <v/>
      </c>
      <c r="F100" s="6" t="str">
        <f t="shared" si="3"/>
        <v/>
      </c>
      <c r="G100" s="6" t="str">
        <f>IF(F100="","",F100*全局设置!$B$7*全局设置!$C$14)</f>
        <v/>
      </c>
      <c r="H100" s="6" t="str">
        <f>IF(G100="","",G100*全局设置!$B$5)</f>
        <v/>
      </c>
      <c r="I100" s="9" t="str">
        <f>IF(AND(B100="",C100=""),"",IF(B100="","缺少敌人",IF(C100="","缺少数量",IF(OR(C100&lt;1,C100&gt;9999,C100&lt;&gt;INT(C100)),"数量无效",IF(COUNTIF($B$94:$B$111,B100)&gt;1,"重复敌人",IFERROR(IF(VLOOKUP(B100,敌人目录!$A$6:$AD$54,27,FALSE)="可回读","可回读","敌人参数错误"),"敌人不存在"))))))</f>
        <v/>
      </c>
    </row>
    <row r="101" spans="1:9" ht="24" customHeight="1">
      <c r="A101" s="32">
        <v>8</v>
      </c>
      <c r="B101" s="14"/>
      <c r="C101" s="14"/>
      <c r="D101" s="9" t="str">
        <f>IF(OR(B101="",C101=""),"",ROUNDUP(C101*(1+(全局设置!$B$5-1)*全局设置!$B$6),0))</f>
        <v/>
      </c>
      <c r="E101" s="6" t="str">
        <f>IFERROR(VLOOKUP(B101,敌人目录!$A$6:$AD$54,13,FALSE),"")</f>
        <v/>
      </c>
      <c r="F101" s="6" t="str">
        <f t="shared" si="3"/>
        <v/>
      </c>
      <c r="G101" s="6" t="str">
        <f>IF(F101="","",F101*全局设置!$B$7*全局设置!$C$14)</f>
        <v/>
      </c>
      <c r="H101" s="6" t="str">
        <f>IF(G101="","",G101*全局设置!$B$5)</f>
        <v/>
      </c>
      <c r="I101" s="9" t="str">
        <f>IF(AND(B101="",C101=""),"",IF(B101="","缺少敌人",IF(C101="","缺少数量",IF(OR(C101&lt;1,C101&gt;9999,C101&lt;&gt;INT(C101)),"数量无效",IF(COUNTIF($B$94:$B$111,B101)&gt;1,"重复敌人",IFERROR(IF(VLOOKUP(B101,敌人目录!$A$6:$AD$54,27,FALSE)="可回读","可回读","敌人参数错误"),"敌人不存在"))))))</f>
        <v/>
      </c>
    </row>
    <row r="102" spans="1:9" ht="24" customHeight="1">
      <c r="A102" s="32">
        <v>9</v>
      </c>
      <c r="B102" s="14"/>
      <c r="C102" s="14"/>
      <c r="D102" s="9" t="str">
        <f>IF(OR(B102="",C102=""),"",ROUNDUP(C102*(1+(全局设置!$B$5-1)*全局设置!$B$6),0))</f>
        <v/>
      </c>
      <c r="E102" s="6" t="str">
        <f>IFERROR(VLOOKUP(B102,敌人目录!$A$6:$AD$54,13,FALSE),"")</f>
        <v/>
      </c>
      <c r="F102" s="6" t="str">
        <f t="shared" si="3"/>
        <v/>
      </c>
      <c r="G102" s="6" t="str">
        <f>IF(F102="","",F102*全局设置!$B$7*全局设置!$C$14)</f>
        <v/>
      </c>
      <c r="H102" s="6" t="str">
        <f>IF(G102="","",G102*全局设置!$B$5)</f>
        <v/>
      </c>
      <c r="I102" s="9" t="str">
        <f>IF(AND(B102="",C102=""),"",IF(B102="","缺少敌人",IF(C102="","缺少数量",IF(OR(C102&lt;1,C102&gt;9999,C102&lt;&gt;INT(C102)),"数量无效",IF(COUNTIF($B$94:$B$111,B102)&gt;1,"重复敌人",IFERROR(IF(VLOOKUP(B102,敌人目录!$A$6:$AD$54,27,FALSE)="可回读","可回读","敌人参数错误"),"敌人不存在"))))))</f>
        <v/>
      </c>
    </row>
    <row r="103" spans="1:9" ht="24" customHeight="1">
      <c r="A103" s="32">
        <v>10</v>
      </c>
      <c r="B103" s="14"/>
      <c r="C103" s="14"/>
      <c r="D103" s="9" t="str">
        <f>IF(OR(B103="",C103=""),"",ROUNDUP(C103*(1+(全局设置!$B$5-1)*全局设置!$B$6),0))</f>
        <v/>
      </c>
      <c r="E103" s="6" t="str">
        <f>IFERROR(VLOOKUP(B103,敌人目录!$A$6:$AD$54,13,FALSE),"")</f>
        <v/>
      </c>
      <c r="F103" s="6" t="str">
        <f t="shared" si="3"/>
        <v/>
      </c>
      <c r="G103" s="6" t="str">
        <f>IF(F103="","",F103*全局设置!$B$7*全局设置!$C$14)</f>
        <v/>
      </c>
      <c r="H103" s="6" t="str">
        <f>IF(G103="","",G103*全局设置!$B$5)</f>
        <v/>
      </c>
      <c r="I103" s="9" t="str">
        <f>IF(AND(B103="",C103=""),"",IF(B103="","缺少敌人",IF(C103="","缺少数量",IF(OR(C103&lt;1,C103&gt;9999,C103&lt;&gt;INT(C103)),"数量无效",IF(COUNTIF($B$94:$B$111,B103)&gt;1,"重复敌人",IFERROR(IF(VLOOKUP(B103,敌人目录!$A$6:$AD$54,27,FALSE)="可回读","可回读","敌人参数错误"),"敌人不存在"))))))</f>
        <v/>
      </c>
    </row>
    <row r="104" spans="1:9" ht="24" customHeight="1">
      <c r="A104" s="32">
        <v>11</v>
      </c>
      <c r="B104" s="14"/>
      <c r="C104" s="14"/>
      <c r="D104" s="9" t="str">
        <f>IF(OR(B104="",C104=""),"",ROUNDUP(C104*(1+(全局设置!$B$5-1)*全局设置!$B$6),0))</f>
        <v/>
      </c>
      <c r="E104" s="6" t="str">
        <f>IFERROR(VLOOKUP(B104,敌人目录!$A$6:$AD$54,13,FALSE),"")</f>
        <v/>
      </c>
      <c r="F104" s="6" t="str">
        <f t="shared" si="3"/>
        <v/>
      </c>
      <c r="G104" s="6" t="str">
        <f>IF(F104="","",F104*全局设置!$B$7*全局设置!$C$14)</f>
        <v/>
      </c>
      <c r="H104" s="6" t="str">
        <f>IF(G104="","",G104*全局设置!$B$5)</f>
        <v/>
      </c>
      <c r="I104" s="9" t="str">
        <f>IF(AND(B104="",C104=""),"",IF(B104="","缺少敌人",IF(C104="","缺少数量",IF(OR(C104&lt;1,C104&gt;9999,C104&lt;&gt;INT(C104)),"数量无效",IF(COUNTIF($B$94:$B$111,B104)&gt;1,"重复敌人",IFERROR(IF(VLOOKUP(B104,敌人目录!$A$6:$AD$54,27,FALSE)="可回读","可回读","敌人参数错误"),"敌人不存在"))))))</f>
        <v/>
      </c>
    </row>
    <row r="105" spans="1:9" ht="24" customHeight="1">
      <c r="A105" s="32">
        <v>12</v>
      </c>
      <c r="B105" s="14"/>
      <c r="C105" s="14"/>
      <c r="D105" s="9" t="str">
        <f>IF(OR(B105="",C105=""),"",ROUNDUP(C105*(1+(全局设置!$B$5-1)*全局设置!$B$6),0))</f>
        <v/>
      </c>
      <c r="E105" s="6" t="str">
        <f>IFERROR(VLOOKUP(B105,敌人目录!$A$6:$AD$54,13,FALSE),"")</f>
        <v/>
      </c>
      <c r="F105" s="6" t="str">
        <f t="shared" si="3"/>
        <v/>
      </c>
      <c r="G105" s="6" t="str">
        <f>IF(F105="","",F105*全局设置!$B$7*全局设置!$C$14)</f>
        <v/>
      </c>
      <c r="H105" s="6" t="str">
        <f>IF(G105="","",G105*全局设置!$B$5)</f>
        <v/>
      </c>
      <c r="I105" s="9" t="str">
        <f>IF(AND(B105="",C105=""),"",IF(B105="","缺少敌人",IF(C105="","缺少数量",IF(OR(C105&lt;1,C105&gt;9999,C105&lt;&gt;INT(C105)),"数量无效",IF(COUNTIF($B$94:$B$111,B105)&gt;1,"重复敌人",IFERROR(IF(VLOOKUP(B105,敌人目录!$A$6:$AD$54,27,FALSE)="可回读","可回读","敌人参数错误"),"敌人不存在"))))))</f>
        <v/>
      </c>
    </row>
    <row r="106" spans="1:9" ht="24" customHeight="1">
      <c r="A106" s="32">
        <v>13</v>
      </c>
      <c r="B106" s="14"/>
      <c r="C106" s="14"/>
      <c r="D106" s="9" t="str">
        <f>IF(OR(B106="",C106=""),"",ROUNDUP(C106*(1+(全局设置!$B$5-1)*全局设置!$B$6),0))</f>
        <v/>
      </c>
      <c r="E106" s="6" t="str">
        <f>IFERROR(VLOOKUP(B106,敌人目录!$A$6:$AD$54,13,FALSE),"")</f>
        <v/>
      </c>
      <c r="F106" s="6" t="str">
        <f t="shared" si="3"/>
        <v/>
      </c>
      <c r="G106" s="6" t="str">
        <f>IF(F106="","",F106*全局设置!$B$7*全局设置!$C$14)</f>
        <v/>
      </c>
      <c r="H106" s="6" t="str">
        <f>IF(G106="","",G106*全局设置!$B$5)</f>
        <v/>
      </c>
      <c r="I106" s="9" t="str">
        <f>IF(AND(B106="",C106=""),"",IF(B106="","缺少敌人",IF(C106="","缺少数量",IF(OR(C106&lt;1,C106&gt;9999,C106&lt;&gt;INT(C106)),"数量无效",IF(COUNTIF($B$94:$B$111,B106)&gt;1,"重复敌人",IFERROR(IF(VLOOKUP(B106,敌人目录!$A$6:$AD$54,27,FALSE)="可回读","可回读","敌人参数错误"),"敌人不存在"))))))</f>
        <v/>
      </c>
    </row>
    <row r="107" spans="1:9" ht="24" customHeight="1">
      <c r="A107" s="32">
        <v>14</v>
      </c>
      <c r="B107" s="14"/>
      <c r="C107" s="14"/>
      <c r="D107" s="9" t="str">
        <f>IF(OR(B107="",C107=""),"",ROUNDUP(C107*(1+(全局设置!$B$5-1)*全局设置!$B$6),0))</f>
        <v/>
      </c>
      <c r="E107" s="6" t="str">
        <f>IFERROR(VLOOKUP(B107,敌人目录!$A$6:$AD$54,13,FALSE),"")</f>
        <v/>
      </c>
      <c r="F107" s="6" t="str">
        <f t="shared" si="3"/>
        <v/>
      </c>
      <c r="G107" s="6" t="str">
        <f>IF(F107="","",F107*全局设置!$B$7*全局设置!$C$14)</f>
        <v/>
      </c>
      <c r="H107" s="6" t="str">
        <f>IF(G107="","",G107*全局设置!$B$5)</f>
        <v/>
      </c>
      <c r="I107" s="9" t="str">
        <f>IF(AND(B107="",C107=""),"",IF(B107="","缺少敌人",IF(C107="","缺少数量",IF(OR(C107&lt;1,C107&gt;9999,C107&lt;&gt;INT(C107)),"数量无效",IF(COUNTIF($B$94:$B$111,B107)&gt;1,"重复敌人",IFERROR(IF(VLOOKUP(B107,敌人目录!$A$6:$AD$54,27,FALSE)="可回读","可回读","敌人参数错误"),"敌人不存在"))))))</f>
        <v/>
      </c>
    </row>
    <row r="108" spans="1:9" ht="24" customHeight="1">
      <c r="A108" s="32">
        <v>15</v>
      </c>
      <c r="B108" s="14"/>
      <c r="C108" s="14"/>
      <c r="D108" s="9" t="str">
        <f>IF(OR(B108="",C108=""),"",ROUNDUP(C108*(1+(全局设置!$B$5-1)*全局设置!$B$6),0))</f>
        <v/>
      </c>
      <c r="E108" s="6" t="str">
        <f>IFERROR(VLOOKUP(B108,敌人目录!$A$6:$AD$54,13,FALSE),"")</f>
        <v/>
      </c>
      <c r="F108" s="6" t="str">
        <f t="shared" si="3"/>
        <v/>
      </c>
      <c r="G108" s="6" t="str">
        <f>IF(F108="","",F108*全局设置!$B$7*全局设置!$C$14)</f>
        <v/>
      </c>
      <c r="H108" s="6" t="str">
        <f>IF(G108="","",G108*全局设置!$B$5)</f>
        <v/>
      </c>
      <c r="I108" s="9" t="str">
        <f>IF(AND(B108="",C108=""),"",IF(B108="","缺少敌人",IF(C108="","缺少数量",IF(OR(C108&lt;1,C108&gt;9999,C108&lt;&gt;INT(C108)),"数量无效",IF(COUNTIF($B$94:$B$111,B108)&gt;1,"重复敌人",IFERROR(IF(VLOOKUP(B108,敌人目录!$A$6:$AD$54,27,FALSE)="可回读","可回读","敌人参数错误"),"敌人不存在"))))))</f>
        <v/>
      </c>
    </row>
    <row r="109" spans="1:9" ht="24" customHeight="1">
      <c r="A109" s="32">
        <v>16</v>
      </c>
      <c r="B109" s="14"/>
      <c r="C109" s="14"/>
      <c r="D109" s="9" t="str">
        <f>IF(OR(B109="",C109=""),"",ROUNDUP(C109*(1+(全局设置!$B$5-1)*全局设置!$B$6),0))</f>
        <v/>
      </c>
      <c r="E109" s="6" t="str">
        <f>IFERROR(VLOOKUP(B109,敌人目录!$A$6:$AD$54,13,FALSE),"")</f>
        <v/>
      </c>
      <c r="F109" s="6" t="str">
        <f t="shared" si="3"/>
        <v/>
      </c>
      <c r="G109" s="6" t="str">
        <f>IF(F109="","",F109*全局设置!$B$7*全局设置!$C$14)</f>
        <v/>
      </c>
      <c r="H109" s="6" t="str">
        <f>IF(G109="","",G109*全局设置!$B$5)</f>
        <v/>
      </c>
      <c r="I109" s="9" t="str">
        <f>IF(AND(B109="",C109=""),"",IF(B109="","缺少敌人",IF(C109="","缺少数量",IF(OR(C109&lt;1,C109&gt;9999,C109&lt;&gt;INT(C109)),"数量无效",IF(COUNTIF($B$94:$B$111,B109)&gt;1,"重复敌人",IFERROR(IF(VLOOKUP(B109,敌人目录!$A$6:$AD$54,27,FALSE)="可回读","可回读","敌人参数错误"),"敌人不存在"))))))</f>
        <v/>
      </c>
    </row>
    <row r="110" spans="1:9" ht="24" customHeight="1">
      <c r="A110" s="32">
        <v>17</v>
      </c>
      <c r="B110" s="14"/>
      <c r="C110" s="14"/>
      <c r="D110" s="9" t="str">
        <f>IF(OR(B110="",C110=""),"",ROUNDUP(C110*(1+(全局设置!$B$5-1)*全局设置!$B$6),0))</f>
        <v/>
      </c>
      <c r="E110" s="6" t="str">
        <f>IFERROR(VLOOKUP(B110,敌人目录!$A$6:$AD$54,13,FALSE),"")</f>
        <v/>
      </c>
      <c r="F110" s="6" t="str">
        <f t="shared" si="3"/>
        <v/>
      </c>
      <c r="G110" s="6" t="str">
        <f>IF(F110="","",F110*全局设置!$B$7*全局设置!$C$14)</f>
        <v/>
      </c>
      <c r="H110" s="6" t="str">
        <f>IF(G110="","",G110*全局设置!$B$5)</f>
        <v/>
      </c>
      <c r="I110" s="9" t="str">
        <f>IF(AND(B110="",C110=""),"",IF(B110="","缺少敌人",IF(C110="","缺少数量",IF(OR(C110&lt;1,C110&gt;9999,C110&lt;&gt;INT(C110)),"数量无效",IF(COUNTIF($B$94:$B$111,B110)&gt;1,"重复敌人",IFERROR(IF(VLOOKUP(B110,敌人目录!$A$6:$AD$54,27,FALSE)="可回读","可回读","敌人参数错误"),"敌人不存在"))))))</f>
        <v/>
      </c>
    </row>
    <row r="111" spans="1:9" ht="24" customHeight="1">
      <c r="A111" s="32">
        <v>18</v>
      </c>
      <c r="B111" s="14"/>
      <c r="C111" s="14"/>
      <c r="D111" s="9" t="str">
        <f>IF(OR(B111="",C111=""),"",ROUNDUP(C111*(1+(全局设置!$B$5-1)*全局设置!$B$6),0))</f>
        <v/>
      </c>
      <c r="E111" s="6" t="str">
        <f>IFERROR(VLOOKUP(B111,敌人目录!$A$6:$AD$54,13,FALSE),"")</f>
        <v/>
      </c>
      <c r="F111" s="6" t="str">
        <f t="shared" si="3"/>
        <v/>
      </c>
      <c r="G111" s="6" t="str">
        <f>IF(F111="","",F111*全局设置!$B$7*全局设置!$C$14)</f>
        <v/>
      </c>
      <c r="H111" s="6" t="str">
        <f>IF(G111="","",G111*全局设置!$B$5)</f>
        <v/>
      </c>
      <c r="I111" s="9" t="str">
        <f>IF(AND(B111="",C111=""),"",IF(B111="","缺少敌人",IF(C111="","缺少数量",IF(OR(C111&lt;1,C111&gt;9999,C111&lt;&gt;INT(C111)),"数量无效",IF(COUNTIF($B$94:$B$111,B111)&gt;1,"重复敌人",IFERROR(IF(VLOOKUP(B111,敌人目录!$A$6:$AD$54,27,FALSE)="可回读","可回读","敌人参数错误"),"敌人不存在"))))))</f>
        <v/>
      </c>
    </row>
    <row r="112" spans="1:9" ht="24" customHeight="1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 ht="32.1" customHeight="1">
      <c r="A113" s="17" t="s">
        <v>134</v>
      </c>
      <c r="B113" s="9">
        <f>SUM(C94:C111)</f>
        <v>0</v>
      </c>
      <c r="C113" s="17" t="s">
        <v>135</v>
      </c>
      <c r="D113" s="9">
        <f>SUM(D94:D111)</f>
        <v>0</v>
      </c>
      <c r="E113" s="17" t="s">
        <v>59</v>
      </c>
      <c r="F113" s="9">
        <f>SUM(F94:F111)</f>
        <v>0</v>
      </c>
      <c r="G113" s="17" t="s">
        <v>48</v>
      </c>
      <c r="H113" s="9">
        <f>SUM(G94:G111)</f>
        <v>0</v>
      </c>
      <c r="I113" s="12"/>
    </row>
    <row r="114" spans="1:9" ht="32.1" customHeight="1">
      <c r="A114" s="17" t="s">
        <v>49</v>
      </c>
      <c r="B114" s="9">
        <f>SUM(H94:H111)</f>
        <v>0</v>
      </c>
      <c r="C114" s="46" t="s">
        <v>136</v>
      </c>
      <c r="D114" s="46" t="s">
        <v>136</v>
      </c>
      <c r="E114" s="46" t="s">
        <v>136</v>
      </c>
      <c r="F114" s="46" t="s">
        <v>136</v>
      </c>
      <c r="G114" s="46" t="s">
        <v>136</v>
      </c>
      <c r="H114" s="46" t="s">
        <v>136</v>
      </c>
      <c r="I114" s="46" t="s">
        <v>136</v>
      </c>
    </row>
    <row r="115" spans="1:9" ht="24" customHeight="1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9" ht="24" customHeight="1">
      <c r="A116" s="12"/>
      <c r="B116" s="12"/>
      <c r="C116" s="12"/>
      <c r="D116" s="12"/>
      <c r="E116" s="12"/>
      <c r="F116" s="12"/>
      <c r="G116" s="12"/>
      <c r="H116" s="12"/>
      <c r="I116" s="12"/>
    </row>
    <row r="117" spans="1:9" ht="24" customHeight="1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 ht="24" customHeight="1">
      <c r="A118" s="12"/>
      <c r="B118" s="12"/>
      <c r="C118" s="12"/>
      <c r="D118" s="12"/>
      <c r="E118" s="12"/>
      <c r="F118" s="12"/>
      <c r="G118" s="12"/>
      <c r="H118" s="12"/>
      <c r="I118" s="12"/>
    </row>
  </sheetData>
  <mergeCells count="16">
    <mergeCell ref="C114:I114"/>
    <mergeCell ref="A63:I63"/>
    <mergeCell ref="C85:I85"/>
    <mergeCell ref="A89:I89"/>
    <mergeCell ref="B90:C90"/>
    <mergeCell ref="A92:I92"/>
    <mergeCell ref="B32:C32"/>
    <mergeCell ref="A34:I34"/>
    <mergeCell ref="C56:I56"/>
    <mergeCell ref="A60:I60"/>
    <mergeCell ref="B61:C61"/>
    <mergeCell ref="A2:I2"/>
    <mergeCell ref="B3:C3"/>
    <mergeCell ref="A5:I5"/>
    <mergeCell ref="C27:I27"/>
    <mergeCell ref="A31:I31"/>
  </mergeCells>
  <phoneticPr fontId="15" type="noConversion"/>
  <conditionalFormatting sqref="I4">
    <cfRule type="containsText" dxfId="87" priority="7" operator="containsText" text="可回读"/>
    <cfRule type="containsText" dxfId="86" priority="8" operator="containsText" text="待设计"/>
    <cfRule type="containsText" dxfId="85" priority="9" operator="containsText" text="需修正"/>
  </conditionalFormatting>
  <conditionalFormatting sqref="I7:I24">
    <cfRule type="containsText" dxfId="84" priority="1" operator="containsText" text="可回读"/>
    <cfRule type="containsText" dxfId="83" priority="2" operator="containsText" text="缺少"/>
  </conditionalFormatting>
  <conditionalFormatting sqref="I33">
    <cfRule type="containsText" dxfId="82" priority="16" operator="containsText" text="可回读"/>
    <cfRule type="containsText" dxfId="81" priority="17" operator="containsText" text="待设计"/>
    <cfRule type="containsText" dxfId="80" priority="18" operator="containsText" text="需修正"/>
  </conditionalFormatting>
  <conditionalFormatting sqref="I36:I53">
    <cfRule type="containsText" dxfId="79" priority="10" operator="containsText" text="可回读"/>
    <cfRule type="containsText" dxfId="78" priority="11" operator="containsText" text="缺少"/>
  </conditionalFormatting>
  <conditionalFormatting sqref="I62">
    <cfRule type="containsText" dxfId="77" priority="26" operator="containsText" text="待设计"/>
    <cfRule type="containsText" dxfId="76" priority="25" operator="containsText" text="可回读"/>
    <cfRule type="containsText" dxfId="75" priority="27" operator="containsText" text="需修正"/>
  </conditionalFormatting>
  <conditionalFormatting sqref="I65:I82">
    <cfRule type="containsText" dxfId="74" priority="20" operator="containsText" text="缺少"/>
    <cfRule type="containsText" dxfId="73" priority="19" operator="containsText" text="可回读"/>
  </conditionalFormatting>
  <conditionalFormatting sqref="I91">
    <cfRule type="containsText" dxfId="72" priority="34" operator="containsText" text="可回读"/>
    <cfRule type="containsText" dxfId="71" priority="35" operator="containsText" text="待设计"/>
    <cfRule type="containsText" dxfId="70" priority="36" operator="containsText" text="需修正"/>
  </conditionalFormatting>
  <conditionalFormatting sqref="I94:I111">
    <cfRule type="containsText" dxfId="69" priority="28" operator="containsText" text="可回读"/>
    <cfRule type="containsText" dxfId="68" priority="29" operator="containsText" text="缺少"/>
  </conditionalFormatting>
  <dataValidations count="10">
    <dataValidation type="decimal" sqref="E3 E90 E32 E61" xr:uid="{00000000-0002-0000-0300-000000000000}">
      <formula1>0.025</formula1>
      <formula2>60</formula2>
    </dataValidation>
    <dataValidation type="whole" sqref="G3 G90 G61 G32" xr:uid="{00000000-0002-0000-0300-000001000000}">
      <formula1>1</formula1>
      <formula2>4</formula2>
    </dataValidation>
    <dataValidation type="whole" sqref="I3 I61 I32 I90" xr:uid="{00000000-0002-0000-0300-000002000000}">
      <formula1>1</formula1>
      <formula2>999</formula2>
    </dataValidation>
    <dataValidation type="list" sqref="B4 B91 B62 B33" xr:uid="{00000000-0002-0000-0300-000003000000}">
      <formula1>"点1·开启,点1·关闭"</formula1>
    </dataValidation>
    <dataValidation type="list" sqref="C4 C91 C62 C33" xr:uid="{00000000-0002-0000-0300-000004000000}">
      <formula1>"点2·开启,点2·关闭"</formula1>
    </dataValidation>
    <dataValidation type="list" sqref="D4 D91 D62 D33" xr:uid="{00000000-0002-0000-0300-000005000000}">
      <formula1>"点3·开启,点3·关闭"</formula1>
    </dataValidation>
    <dataValidation type="list" sqref="E4 E91 E62 E33" xr:uid="{00000000-0002-0000-0300-000006000000}">
      <formula1>"点4·开启,点4·关闭"</formula1>
    </dataValidation>
    <dataValidation type="list" sqref="F4 F91 F62 F33" xr:uid="{00000000-0002-0000-0300-000007000000}">
      <formula1>"点5·开启,点5·关闭"</formula1>
    </dataValidation>
    <dataValidation type="list" sqref="G4 G91 G62 G33" xr:uid="{00000000-0002-0000-0300-000008000000}">
      <formula1>"点6·开启,点6·关闭"</formula1>
    </dataValidation>
    <dataValidation type="whole" sqref="C7:C24 C94:C111 C65:C82 C36:C53" xr:uid="{00000000-0002-0000-0300-00000A000000}">
      <formula1>1</formula1>
      <formula2>9999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9000000}">
          <x14:formula1>
            <xm:f>'系统数据（勿改）'!$A$4:$A$52</xm:f>
          </x14:formula1>
          <xm:sqref>B7:B24 B94:B111 B65:B82 B36:B53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8"/>
  <sheetViews>
    <sheetView showGridLines="0" topLeftCell="A73" workbookViewId="0">
      <selection activeCell="I90" sqref="I90"/>
    </sheetView>
  </sheetViews>
  <sheetFormatPr defaultRowHeight="14.25"/>
  <cols>
    <col min="1" max="1" width="7" customWidth="1"/>
    <col min="2" max="2" width="38" customWidth="1"/>
    <col min="3" max="4" width="12" customWidth="1"/>
    <col min="5" max="5" width="14" customWidth="1"/>
    <col min="6" max="8" width="20" customWidth="1"/>
    <col min="9" max="9" width="15" customWidth="1"/>
  </cols>
  <sheetData>
    <row r="1" spans="1:9" ht="24" customHeight="1">
      <c r="A1" s="12"/>
      <c r="B1" s="12"/>
      <c r="C1" s="12"/>
      <c r="D1" s="12"/>
      <c r="E1" s="12"/>
      <c r="F1" s="12"/>
      <c r="G1" s="12"/>
      <c r="H1" s="12"/>
      <c r="I1" s="12"/>
    </row>
    <row r="2" spans="1:9" ht="38.1" customHeight="1">
      <c r="A2" s="44" t="s">
        <v>146</v>
      </c>
      <c r="B2" s="44" t="s">
        <v>146</v>
      </c>
      <c r="C2" s="44" t="s">
        <v>146</v>
      </c>
      <c r="D2" s="44" t="s">
        <v>146</v>
      </c>
      <c r="E2" s="44" t="s">
        <v>146</v>
      </c>
      <c r="F2" s="44" t="s">
        <v>146</v>
      </c>
      <c r="G2" s="44" t="s">
        <v>146</v>
      </c>
      <c r="H2" s="44" t="s">
        <v>146</v>
      </c>
      <c r="I2" s="44" t="s">
        <v>146</v>
      </c>
    </row>
    <row r="3" spans="1:9" ht="24" customHeight="1">
      <c r="A3" s="13" t="s">
        <v>112</v>
      </c>
      <c r="B3" s="45" t="s">
        <v>147</v>
      </c>
      <c r="C3" s="45" t="s">
        <v>147</v>
      </c>
      <c r="D3" s="13" t="s">
        <v>114</v>
      </c>
      <c r="E3" s="14">
        <v>0.45</v>
      </c>
      <c r="F3" s="13" t="s">
        <v>115</v>
      </c>
      <c r="G3" s="14">
        <v>1</v>
      </c>
      <c r="H3" s="13" t="s">
        <v>61</v>
      </c>
      <c r="I3" s="14">
        <v>300</v>
      </c>
    </row>
    <row r="4" spans="1:9" ht="24" customHeight="1">
      <c r="A4" s="13" t="s">
        <v>116</v>
      </c>
      <c r="B4" s="14" t="s">
        <v>117</v>
      </c>
      <c r="C4" s="14" t="s">
        <v>118</v>
      </c>
      <c r="D4" s="14" t="s">
        <v>119</v>
      </c>
      <c r="E4" s="14" t="s">
        <v>120</v>
      </c>
      <c r="F4" s="14" t="s">
        <v>121</v>
      </c>
      <c r="G4" s="14" t="s">
        <v>122</v>
      </c>
      <c r="H4" s="13" t="s">
        <v>123</v>
      </c>
      <c r="I4" s="9" t="str">
        <f>IF(COUNTA(B7:B24)=0,"待设计",IF(COUNTIF(I7:I24,"可回读")=COUNTA(B7:B24),"可回读","需修正"))</f>
        <v>可回读</v>
      </c>
    </row>
    <row r="5" spans="1:9" ht="33.950000000000003" customHeight="1">
      <c r="A5" s="41" t="s">
        <v>124</v>
      </c>
      <c r="B5" s="41" t="s">
        <v>124</v>
      </c>
      <c r="C5" s="41" t="s">
        <v>124</v>
      </c>
      <c r="D5" s="41" t="s">
        <v>124</v>
      </c>
      <c r="E5" s="41" t="s">
        <v>124</v>
      </c>
      <c r="F5" s="41" t="s">
        <v>124</v>
      </c>
      <c r="G5" s="41" t="s">
        <v>124</v>
      </c>
      <c r="H5" s="41" t="s">
        <v>124</v>
      </c>
      <c r="I5" s="41" t="s">
        <v>124</v>
      </c>
    </row>
    <row r="6" spans="1:9" ht="42" customHeight="1">
      <c r="A6" s="20" t="s">
        <v>125</v>
      </c>
      <c r="B6" s="20" t="s">
        <v>126</v>
      </c>
      <c r="C6" s="20" t="s">
        <v>56</v>
      </c>
      <c r="D6" s="20" t="s">
        <v>57</v>
      </c>
      <c r="E6" s="22" t="s">
        <v>127</v>
      </c>
      <c r="F6" s="22" t="s">
        <v>128</v>
      </c>
      <c r="G6" s="22" t="s">
        <v>129</v>
      </c>
      <c r="H6" s="22" t="s">
        <v>130</v>
      </c>
      <c r="I6" s="20" t="s">
        <v>131</v>
      </c>
    </row>
    <row r="7" spans="1:9" ht="24" customHeight="1">
      <c r="A7" s="32">
        <v>1</v>
      </c>
      <c r="B7" s="14" t="s">
        <v>132</v>
      </c>
      <c r="C7" s="14">
        <v>28</v>
      </c>
      <c r="D7" s="9">
        <f>IF(OR(B7="",C7=""),"",ROUNDUP(C7*(1+(全局设置!$B$5-1)*全局设置!$B$6),0))</f>
        <v>28</v>
      </c>
      <c r="E7" s="6">
        <f>IFERROR(VLOOKUP(B7,敌人目录!$A$6:$AD$54,13,FALSE),"")</f>
        <v>1</v>
      </c>
      <c r="F7" s="6">
        <f t="shared" ref="F7:F24" si="0">IF(D7="","",D7*E7)</f>
        <v>28</v>
      </c>
      <c r="G7" s="6">
        <f>IF(F7="","",F7*全局设置!$B$7*全局设置!$D$14)</f>
        <v>28</v>
      </c>
      <c r="H7" s="6">
        <f>IF(G7="","",G7*全局设置!$B$5)</f>
        <v>28</v>
      </c>
      <c r="I7" s="9" t="str">
        <f>IF(AND(B7="",C7=""),"",IF(B7="","缺少敌人",IF(C7="","缺少数量",IF(OR(C7&lt;1,C7&gt;9999,C7&lt;&gt;INT(C7)),"数量无效",IF(COUNTIF($B$7:$B$24,B7)&gt;1,"重复敌人",IFERROR(IF(VLOOKUP(B7,敌人目录!$A$6:$AD$54,27,FALSE)="可回读","可回读","敌人参数错误"),"敌人不存在"))))))</f>
        <v>可回读</v>
      </c>
    </row>
    <row r="8" spans="1:9" ht="24" customHeight="1">
      <c r="A8" s="32">
        <v>2</v>
      </c>
      <c r="B8" s="14" t="s">
        <v>139</v>
      </c>
      <c r="C8" s="14">
        <v>20</v>
      </c>
      <c r="D8" s="9">
        <f>IF(OR(B8="",C8=""),"",ROUNDUP(C8*(1+(全局设置!$B$5-1)*全局设置!$B$6),0))</f>
        <v>20</v>
      </c>
      <c r="E8" s="6">
        <f>IFERROR(VLOOKUP(B8,敌人目录!$A$6:$AD$54,13,FALSE),"")</f>
        <v>1</v>
      </c>
      <c r="F8" s="6">
        <f t="shared" si="0"/>
        <v>20</v>
      </c>
      <c r="G8" s="6">
        <f>IF(F8="","",F8*全局设置!$B$7*全局设置!$D$14)</f>
        <v>20</v>
      </c>
      <c r="H8" s="6">
        <f>IF(G8="","",G8*全局设置!$B$5)</f>
        <v>20</v>
      </c>
      <c r="I8" s="9" t="str">
        <f>IF(AND(B8="",C8=""),"",IF(B8="","缺少敌人",IF(C8="","缺少数量",IF(OR(C8&lt;1,C8&gt;9999,C8&lt;&gt;INT(C8)),"数量无效",IF(COUNTIF($B$7:$B$24,B8)&gt;1,"重复敌人",IFERROR(IF(VLOOKUP(B8,敌人目录!$A$6:$AD$54,27,FALSE)="可回读","可回读","敌人参数错误"),"敌人不存在"))))))</f>
        <v>可回读</v>
      </c>
    </row>
    <row r="9" spans="1:9" ht="24" customHeight="1">
      <c r="A9" s="32">
        <v>3</v>
      </c>
      <c r="B9" s="14" t="s">
        <v>133</v>
      </c>
      <c r="C9" s="14">
        <v>12</v>
      </c>
      <c r="D9" s="9">
        <f>IF(OR(B9="",C9=""),"",ROUNDUP(C9*(1+(全局设置!$B$5-1)*全局设置!$B$6),0))</f>
        <v>12</v>
      </c>
      <c r="E9" s="6">
        <f>IFERROR(VLOOKUP(B9,敌人目录!$A$6:$AD$54,13,FALSE),"")</f>
        <v>2</v>
      </c>
      <c r="F9" s="6">
        <f t="shared" si="0"/>
        <v>24</v>
      </c>
      <c r="G9" s="6">
        <f>IF(F9="","",F9*全局设置!$B$7*全局设置!$D$14)</f>
        <v>24</v>
      </c>
      <c r="H9" s="6">
        <f>IF(G9="","",G9*全局设置!$B$5)</f>
        <v>24</v>
      </c>
      <c r="I9" s="9" t="str">
        <f>IF(AND(B9="",C9=""),"",IF(B9="","缺少敌人",IF(C9="","缺少数量",IF(OR(C9&lt;1,C9&gt;9999,C9&lt;&gt;INT(C9)),"数量无效",IF(COUNTIF($B$7:$B$24,B9)&gt;1,"重复敌人",IFERROR(IF(VLOOKUP(B9,敌人目录!$A$6:$AD$54,27,FALSE)="可回读","可回读","敌人参数错误"),"敌人不存在"))))))</f>
        <v>可回读</v>
      </c>
    </row>
    <row r="10" spans="1:9" ht="24" customHeight="1">
      <c r="A10" s="32">
        <v>4</v>
      </c>
      <c r="B10" s="14" t="s">
        <v>142</v>
      </c>
      <c r="C10" s="14">
        <v>8</v>
      </c>
      <c r="D10" s="9">
        <f>IF(OR(B10="",C10=""),"",ROUNDUP(C10*(1+(全局设置!$B$5-1)*全局设置!$B$6),0))</f>
        <v>8</v>
      </c>
      <c r="E10" s="6">
        <f>IFERROR(VLOOKUP(B10,敌人目录!$A$6:$AD$54,13,FALSE),"")</f>
        <v>1</v>
      </c>
      <c r="F10" s="6">
        <f t="shared" si="0"/>
        <v>8</v>
      </c>
      <c r="G10" s="6">
        <f>IF(F10="","",F10*全局设置!$B$7*全局设置!$D$14)</f>
        <v>8</v>
      </c>
      <c r="H10" s="6">
        <f>IF(G10="","",G10*全局设置!$B$5)</f>
        <v>8</v>
      </c>
      <c r="I10" s="9" t="str">
        <f>IF(AND(B10="",C10=""),"",IF(B10="","缺少敌人",IF(C10="","缺少数量",IF(OR(C10&lt;1,C10&gt;9999,C10&lt;&gt;INT(C10)),"数量无效",IF(COUNTIF($B$7:$B$24,B10)&gt;1,"重复敌人",IFERROR(IF(VLOOKUP(B10,敌人目录!$A$6:$AD$54,27,FALSE)="可回读","可回读","敌人参数错误"),"敌人不存在"))))))</f>
        <v>可回读</v>
      </c>
    </row>
    <row r="11" spans="1:9" ht="24" customHeight="1">
      <c r="A11" s="32">
        <v>5</v>
      </c>
      <c r="B11" s="14" t="s">
        <v>143</v>
      </c>
      <c r="C11" s="14">
        <v>8</v>
      </c>
      <c r="D11" s="9">
        <f>IF(OR(B11="",C11=""),"",ROUNDUP(C11*(1+(全局设置!$B$5-1)*全局设置!$B$6),0))</f>
        <v>8</v>
      </c>
      <c r="E11" s="6">
        <f>IFERROR(VLOOKUP(B11,敌人目录!$A$6:$AD$54,13,FALSE),"")</f>
        <v>1</v>
      </c>
      <c r="F11" s="6">
        <f t="shared" si="0"/>
        <v>8</v>
      </c>
      <c r="G11" s="6">
        <f>IF(F11="","",F11*全局设置!$B$7*全局设置!$D$14)</f>
        <v>8</v>
      </c>
      <c r="H11" s="6">
        <f>IF(G11="","",G11*全局设置!$B$5)</f>
        <v>8</v>
      </c>
      <c r="I11" s="9" t="str">
        <f>IF(AND(B11="",C11=""),"",IF(B11="","缺少敌人",IF(C11="","缺少数量",IF(OR(C11&lt;1,C11&gt;9999,C11&lt;&gt;INT(C11)),"数量无效",IF(COUNTIF($B$7:$B$24,B11)&gt;1,"重复敌人",IFERROR(IF(VLOOKUP(B11,敌人目录!$A$6:$AD$54,27,FALSE)="可回读","可回读","敌人参数错误"),"敌人不存在"))))))</f>
        <v>可回读</v>
      </c>
    </row>
    <row r="12" spans="1:9" ht="24" customHeight="1">
      <c r="A12" s="32">
        <v>6</v>
      </c>
      <c r="B12" s="14" t="s">
        <v>148</v>
      </c>
      <c r="C12" s="14">
        <v>4</v>
      </c>
      <c r="D12" s="9">
        <f>IF(OR(B12="",C12=""),"",ROUNDUP(C12*(1+(全局设置!$B$5-1)*全局设置!$B$6),0))</f>
        <v>4</v>
      </c>
      <c r="E12" s="6">
        <f>IFERROR(VLOOKUP(B12,敌人目录!$A$6:$AD$54,13,FALSE),"")</f>
        <v>2</v>
      </c>
      <c r="F12" s="6">
        <f t="shared" si="0"/>
        <v>8</v>
      </c>
      <c r="G12" s="6">
        <f>IF(F12="","",F12*全局设置!$B$7*全局设置!$D$14)</f>
        <v>8</v>
      </c>
      <c r="H12" s="6">
        <f>IF(G12="","",G12*全局设置!$B$5)</f>
        <v>8</v>
      </c>
      <c r="I12" s="9" t="str">
        <f>IF(AND(B12="",C12=""),"",IF(B12="","缺少敌人",IF(C12="","缺少数量",IF(OR(C12&lt;1,C12&gt;9999,C12&lt;&gt;INT(C12)),"数量无效",IF(COUNTIF($B$7:$B$24,B12)&gt;1,"重复敌人",IFERROR(IF(VLOOKUP(B12,敌人目录!$A$6:$AD$54,27,FALSE)="可回读","可回读","敌人参数错误"),"敌人不存在"))))))</f>
        <v>可回读</v>
      </c>
    </row>
    <row r="13" spans="1:9" ht="24" customHeight="1">
      <c r="A13" s="32">
        <v>7</v>
      </c>
      <c r="B13" s="14"/>
      <c r="C13" s="14"/>
      <c r="D13" s="9" t="str">
        <f>IF(OR(B13="",C13=""),"",ROUNDUP(C13*(1+(全局设置!$B$5-1)*全局设置!$B$6),0))</f>
        <v/>
      </c>
      <c r="E13" s="6" t="str">
        <f>IFERROR(VLOOKUP(B13,敌人目录!$A$6:$AD$54,13,FALSE),"")</f>
        <v/>
      </c>
      <c r="F13" s="6" t="str">
        <f t="shared" si="0"/>
        <v/>
      </c>
      <c r="G13" s="6" t="str">
        <f>IF(F13="","",F13*全局设置!$B$7*全局设置!$D$14)</f>
        <v/>
      </c>
      <c r="H13" s="6" t="str">
        <f>IF(G13="","",G13*全局设置!$B$5)</f>
        <v/>
      </c>
      <c r="I13" s="9" t="str">
        <f>IF(AND(B13="",C13=""),"",IF(B13="","缺少敌人",IF(C13="","缺少数量",IF(OR(C13&lt;1,C13&gt;9999,C13&lt;&gt;INT(C13)),"数量无效",IF(COUNTIF($B$7:$B$24,B13)&gt;1,"重复敌人",IFERROR(IF(VLOOKUP(B13,敌人目录!$A$6:$AD$54,27,FALSE)="可回读","可回读","敌人参数错误"),"敌人不存在"))))))</f>
        <v/>
      </c>
    </row>
    <row r="14" spans="1:9" ht="24" customHeight="1">
      <c r="A14" s="32">
        <v>8</v>
      </c>
      <c r="B14" s="14"/>
      <c r="C14" s="14"/>
      <c r="D14" s="9" t="str">
        <f>IF(OR(B14="",C14=""),"",ROUNDUP(C14*(1+(全局设置!$B$5-1)*全局设置!$B$6),0))</f>
        <v/>
      </c>
      <c r="E14" s="6" t="str">
        <f>IFERROR(VLOOKUP(B14,敌人目录!$A$6:$AD$54,13,FALSE),"")</f>
        <v/>
      </c>
      <c r="F14" s="6" t="str">
        <f t="shared" si="0"/>
        <v/>
      </c>
      <c r="G14" s="6" t="str">
        <f>IF(F14="","",F14*全局设置!$B$7*全局设置!$D$14)</f>
        <v/>
      </c>
      <c r="H14" s="6" t="str">
        <f>IF(G14="","",G14*全局设置!$B$5)</f>
        <v/>
      </c>
      <c r="I14" s="9" t="str">
        <f>IF(AND(B14="",C14=""),"",IF(B14="","缺少敌人",IF(C14="","缺少数量",IF(OR(C14&lt;1,C14&gt;9999,C14&lt;&gt;INT(C14)),"数量无效",IF(COUNTIF($B$7:$B$24,B14)&gt;1,"重复敌人",IFERROR(IF(VLOOKUP(B14,敌人目录!$A$6:$AD$54,27,FALSE)="可回读","可回读","敌人参数错误"),"敌人不存在"))))))</f>
        <v/>
      </c>
    </row>
    <row r="15" spans="1:9" ht="24" customHeight="1">
      <c r="A15" s="32">
        <v>9</v>
      </c>
      <c r="B15" s="14"/>
      <c r="C15" s="14"/>
      <c r="D15" s="9" t="str">
        <f>IF(OR(B15="",C15=""),"",ROUNDUP(C15*(1+(全局设置!$B$5-1)*全局设置!$B$6),0))</f>
        <v/>
      </c>
      <c r="E15" s="6" t="str">
        <f>IFERROR(VLOOKUP(B15,敌人目录!$A$6:$AD$54,13,FALSE),"")</f>
        <v/>
      </c>
      <c r="F15" s="6" t="str">
        <f t="shared" si="0"/>
        <v/>
      </c>
      <c r="G15" s="6" t="str">
        <f>IF(F15="","",F15*全局设置!$B$7*全局设置!$D$14)</f>
        <v/>
      </c>
      <c r="H15" s="6" t="str">
        <f>IF(G15="","",G15*全局设置!$B$5)</f>
        <v/>
      </c>
      <c r="I15" s="9" t="str">
        <f>IF(AND(B15="",C15=""),"",IF(B15="","缺少敌人",IF(C15="","缺少数量",IF(OR(C15&lt;1,C15&gt;9999,C15&lt;&gt;INT(C15)),"数量无效",IF(COUNTIF($B$7:$B$24,B15)&gt;1,"重复敌人",IFERROR(IF(VLOOKUP(B15,敌人目录!$A$6:$AD$54,27,FALSE)="可回读","可回读","敌人参数错误"),"敌人不存在"))))))</f>
        <v/>
      </c>
    </row>
    <row r="16" spans="1:9" ht="24" customHeight="1">
      <c r="A16" s="32">
        <v>10</v>
      </c>
      <c r="B16" s="14"/>
      <c r="C16" s="14"/>
      <c r="D16" s="9" t="str">
        <f>IF(OR(B16="",C16=""),"",ROUNDUP(C16*(1+(全局设置!$B$5-1)*全局设置!$B$6),0))</f>
        <v/>
      </c>
      <c r="E16" s="6" t="str">
        <f>IFERROR(VLOOKUP(B16,敌人目录!$A$6:$AD$54,13,FALSE),"")</f>
        <v/>
      </c>
      <c r="F16" s="6" t="str">
        <f t="shared" si="0"/>
        <v/>
      </c>
      <c r="G16" s="6" t="str">
        <f>IF(F16="","",F16*全局设置!$B$7*全局设置!$D$14)</f>
        <v/>
      </c>
      <c r="H16" s="6" t="str">
        <f>IF(G16="","",G16*全局设置!$B$5)</f>
        <v/>
      </c>
      <c r="I16" s="9" t="str">
        <f>IF(AND(B16="",C16=""),"",IF(B16="","缺少敌人",IF(C16="","缺少数量",IF(OR(C16&lt;1,C16&gt;9999,C16&lt;&gt;INT(C16)),"数量无效",IF(COUNTIF($B$7:$B$24,B16)&gt;1,"重复敌人",IFERROR(IF(VLOOKUP(B16,敌人目录!$A$6:$AD$54,27,FALSE)="可回读","可回读","敌人参数错误"),"敌人不存在"))))))</f>
        <v/>
      </c>
    </row>
    <row r="17" spans="1:9" ht="24" customHeight="1">
      <c r="A17" s="32">
        <v>11</v>
      </c>
      <c r="B17" s="14"/>
      <c r="C17" s="14"/>
      <c r="D17" s="9" t="str">
        <f>IF(OR(B17="",C17=""),"",ROUNDUP(C17*(1+(全局设置!$B$5-1)*全局设置!$B$6),0))</f>
        <v/>
      </c>
      <c r="E17" s="6" t="str">
        <f>IFERROR(VLOOKUP(B17,敌人目录!$A$6:$AD$54,13,FALSE),"")</f>
        <v/>
      </c>
      <c r="F17" s="6" t="str">
        <f t="shared" si="0"/>
        <v/>
      </c>
      <c r="G17" s="6" t="str">
        <f>IF(F17="","",F17*全局设置!$B$7*全局设置!$D$14)</f>
        <v/>
      </c>
      <c r="H17" s="6" t="str">
        <f>IF(G17="","",G17*全局设置!$B$5)</f>
        <v/>
      </c>
      <c r="I17" s="9" t="str">
        <f>IF(AND(B17="",C17=""),"",IF(B17="","缺少敌人",IF(C17="","缺少数量",IF(OR(C17&lt;1,C17&gt;9999,C17&lt;&gt;INT(C17)),"数量无效",IF(COUNTIF($B$7:$B$24,B17)&gt;1,"重复敌人",IFERROR(IF(VLOOKUP(B17,敌人目录!$A$6:$AD$54,27,FALSE)="可回读","可回读","敌人参数错误"),"敌人不存在"))))))</f>
        <v/>
      </c>
    </row>
    <row r="18" spans="1:9" ht="24" customHeight="1">
      <c r="A18" s="32">
        <v>12</v>
      </c>
      <c r="B18" s="14"/>
      <c r="C18" s="14"/>
      <c r="D18" s="9" t="str">
        <f>IF(OR(B18="",C18=""),"",ROUNDUP(C18*(1+(全局设置!$B$5-1)*全局设置!$B$6),0))</f>
        <v/>
      </c>
      <c r="E18" s="6" t="str">
        <f>IFERROR(VLOOKUP(B18,敌人目录!$A$6:$AD$54,13,FALSE),"")</f>
        <v/>
      </c>
      <c r="F18" s="6" t="str">
        <f t="shared" si="0"/>
        <v/>
      </c>
      <c r="G18" s="6" t="str">
        <f>IF(F18="","",F18*全局设置!$B$7*全局设置!$D$14)</f>
        <v/>
      </c>
      <c r="H18" s="6" t="str">
        <f>IF(G18="","",G18*全局设置!$B$5)</f>
        <v/>
      </c>
      <c r="I18" s="9" t="str">
        <f>IF(AND(B18="",C18=""),"",IF(B18="","缺少敌人",IF(C18="","缺少数量",IF(OR(C18&lt;1,C18&gt;9999,C18&lt;&gt;INT(C18)),"数量无效",IF(COUNTIF($B$7:$B$24,B18)&gt;1,"重复敌人",IFERROR(IF(VLOOKUP(B18,敌人目录!$A$6:$AD$54,27,FALSE)="可回读","可回读","敌人参数错误"),"敌人不存在"))))))</f>
        <v/>
      </c>
    </row>
    <row r="19" spans="1:9" ht="24" customHeight="1">
      <c r="A19" s="32">
        <v>13</v>
      </c>
      <c r="B19" s="14"/>
      <c r="C19" s="14"/>
      <c r="D19" s="9" t="str">
        <f>IF(OR(B19="",C19=""),"",ROUNDUP(C19*(1+(全局设置!$B$5-1)*全局设置!$B$6),0))</f>
        <v/>
      </c>
      <c r="E19" s="6" t="str">
        <f>IFERROR(VLOOKUP(B19,敌人目录!$A$6:$AD$54,13,FALSE),"")</f>
        <v/>
      </c>
      <c r="F19" s="6" t="str">
        <f t="shared" si="0"/>
        <v/>
      </c>
      <c r="G19" s="6" t="str">
        <f>IF(F19="","",F19*全局设置!$B$7*全局设置!$D$14)</f>
        <v/>
      </c>
      <c r="H19" s="6" t="str">
        <f>IF(G19="","",G19*全局设置!$B$5)</f>
        <v/>
      </c>
      <c r="I19" s="9" t="str">
        <f>IF(AND(B19="",C19=""),"",IF(B19="","缺少敌人",IF(C19="","缺少数量",IF(OR(C19&lt;1,C19&gt;9999,C19&lt;&gt;INT(C19)),"数量无效",IF(COUNTIF($B$7:$B$24,B19)&gt;1,"重复敌人",IFERROR(IF(VLOOKUP(B19,敌人目录!$A$6:$AD$54,27,FALSE)="可回读","可回读","敌人参数错误"),"敌人不存在"))))))</f>
        <v/>
      </c>
    </row>
    <row r="20" spans="1:9" ht="24" customHeight="1">
      <c r="A20" s="32">
        <v>14</v>
      </c>
      <c r="B20" s="14"/>
      <c r="C20" s="14"/>
      <c r="D20" s="9" t="str">
        <f>IF(OR(B20="",C20=""),"",ROUNDUP(C20*(1+(全局设置!$B$5-1)*全局设置!$B$6),0))</f>
        <v/>
      </c>
      <c r="E20" s="6" t="str">
        <f>IFERROR(VLOOKUP(B20,敌人目录!$A$6:$AD$54,13,FALSE),"")</f>
        <v/>
      </c>
      <c r="F20" s="6" t="str">
        <f t="shared" si="0"/>
        <v/>
      </c>
      <c r="G20" s="6" t="str">
        <f>IF(F20="","",F20*全局设置!$B$7*全局设置!$D$14)</f>
        <v/>
      </c>
      <c r="H20" s="6" t="str">
        <f>IF(G20="","",G20*全局设置!$B$5)</f>
        <v/>
      </c>
      <c r="I20" s="9" t="str">
        <f>IF(AND(B20="",C20=""),"",IF(B20="","缺少敌人",IF(C20="","缺少数量",IF(OR(C20&lt;1,C20&gt;9999,C20&lt;&gt;INT(C20)),"数量无效",IF(COUNTIF($B$7:$B$24,B20)&gt;1,"重复敌人",IFERROR(IF(VLOOKUP(B20,敌人目录!$A$6:$AD$54,27,FALSE)="可回读","可回读","敌人参数错误"),"敌人不存在"))))))</f>
        <v/>
      </c>
    </row>
    <row r="21" spans="1:9" ht="24" customHeight="1">
      <c r="A21" s="32">
        <v>15</v>
      </c>
      <c r="B21" s="14"/>
      <c r="C21" s="14"/>
      <c r="D21" s="9" t="str">
        <f>IF(OR(B21="",C21=""),"",ROUNDUP(C21*(1+(全局设置!$B$5-1)*全局设置!$B$6),0))</f>
        <v/>
      </c>
      <c r="E21" s="6" t="str">
        <f>IFERROR(VLOOKUP(B21,敌人目录!$A$6:$AD$54,13,FALSE),"")</f>
        <v/>
      </c>
      <c r="F21" s="6" t="str">
        <f t="shared" si="0"/>
        <v/>
      </c>
      <c r="G21" s="6" t="str">
        <f>IF(F21="","",F21*全局设置!$B$7*全局设置!$D$14)</f>
        <v/>
      </c>
      <c r="H21" s="6" t="str">
        <f>IF(G21="","",G21*全局设置!$B$5)</f>
        <v/>
      </c>
      <c r="I21" s="9" t="str">
        <f>IF(AND(B21="",C21=""),"",IF(B21="","缺少敌人",IF(C21="","缺少数量",IF(OR(C21&lt;1,C21&gt;9999,C21&lt;&gt;INT(C21)),"数量无效",IF(COUNTIF($B$7:$B$24,B21)&gt;1,"重复敌人",IFERROR(IF(VLOOKUP(B21,敌人目录!$A$6:$AD$54,27,FALSE)="可回读","可回读","敌人参数错误"),"敌人不存在"))))))</f>
        <v/>
      </c>
    </row>
    <row r="22" spans="1:9" ht="24" customHeight="1">
      <c r="A22" s="32">
        <v>16</v>
      </c>
      <c r="B22" s="14"/>
      <c r="C22" s="14"/>
      <c r="D22" s="9" t="str">
        <f>IF(OR(B22="",C22=""),"",ROUNDUP(C22*(1+(全局设置!$B$5-1)*全局设置!$B$6),0))</f>
        <v/>
      </c>
      <c r="E22" s="6" t="str">
        <f>IFERROR(VLOOKUP(B22,敌人目录!$A$6:$AD$54,13,FALSE),"")</f>
        <v/>
      </c>
      <c r="F22" s="6" t="str">
        <f t="shared" si="0"/>
        <v/>
      </c>
      <c r="G22" s="6" t="str">
        <f>IF(F22="","",F22*全局设置!$B$7*全局设置!$D$14)</f>
        <v/>
      </c>
      <c r="H22" s="6" t="str">
        <f>IF(G22="","",G22*全局设置!$B$5)</f>
        <v/>
      </c>
      <c r="I22" s="9" t="str">
        <f>IF(AND(B22="",C22=""),"",IF(B22="","缺少敌人",IF(C22="","缺少数量",IF(OR(C22&lt;1,C22&gt;9999,C22&lt;&gt;INT(C22)),"数量无效",IF(COUNTIF($B$7:$B$24,B22)&gt;1,"重复敌人",IFERROR(IF(VLOOKUP(B22,敌人目录!$A$6:$AD$54,27,FALSE)="可回读","可回读","敌人参数错误"),"敌人不存在"))))))</f>
        <v/>
      </c>
    </row>
    <row r="23" spans="1:9" ht="24" customHeight="1">
      <c r="A23" s="32">
        <v>17</v>
      </c>
      <c r="B23" s="14"/>
      <c r="C23" s="14"/>
      <c r="D23" s="9" t="str">
        <f>IF(OR(B23="",C23=""),"",ROUNDUP(C23*(1+(全局设置!$B$5-1)*全局设置!$B$6),0))</f>
        <v/>
      </c>
      <c r="E23" s="6" t="str">
        <f>IFERROR(VLOOKUP(B23,敌人目录!$A$6:$AD$54,13,FALSE),"")</f>
        <v/>
      </c>
      <c r="F23" s="6" t="str">
        <f t="shared" si="0"/>
        <v/>
      </c>
      <c r="G23" s="6" t="str">
        <f>IF(F23="","",F23*全局设置!$B$7*全局设置!$D$14)</f>
        <v/>
      </c>
      <c r="H23" s="6" t="str">
        <f>IF(G23="","",G23*全局设置!$B$5)</f>
        <v/>
      </c>
      <c r="I23" s="9" t="str">
        <f>IF(AND(B23="",C23=""),"",IF(B23="","缺少敌人",IF(C23="","缺少数量",IF(OR(C23&lt;1,C23&gt;9999,C23&lt;&gt;INT(C23)),"数量无效",IF(COUNTIF($B$7:$B$24,B23)&gt;1,"重复敌人",IFERROR(IF(VLOOKUP(B23,敌人目录!$A$6:$AD$54,27,FALSE)="可回读","可回读","敌人参数错误"),"敌人不存在"))))))</f>
        <v/>
      </c>
    </row>
    <row r="24" spans="1:9" ht="24" customHeight="1">
      <c r="A24" s="32">
        <v>18</v>
      </c>
      <c r="B24" s="14"/>
      <c r="C24" s="14"/>
      <c r="D24" s="9" t="str">
        <f>IF(OR(B24="",C24=""),"",ROUNDUP(C24*(1+(全局设置!$B$5-1)*全局设置!$B$6),0))</f>
        <v/>
      </c>
      <c r="E24" s="6" t="str">
        <f>IFERROR(VLOOKUP(B24,敌人目录!$A$6:$AD$54,13,FALSE),"")</f>
        <v/>
      </c>
      <c r="F24" s="6" t="str">
        <f t="shared" si="0"/>
        <v/>
      </c>
      <c r="G24" s="6" t="str">
        <f>IF(F24="","",F24*全局设置!$B$7*全局设置!$D$14)</f>
        <v/>
      </c>
      <c r="H24" s="6" t="str">
        <f>IF(G24="","",G24*全局设置!$B$5)</f>
        <v/>
      </c>
      <c r="I24" s="9" t="str">
        <f>IF(AND(B24="",C24=""),"",IF(B24="","缺少敌人",IF(C24="","缺少数量",IF(OR(C24&lt;1,C24&gt;9999,C24&lt;&gt;INT(C24)),"数量无效",IF(COUNTIF($B$7:$B$24,B24)&gt;1,"重复敌人",IFERROR(IF(VLOOKUP(B24,敌人目录!$A$6:$AD$54,27,FALSE)="可回读","可回读","敌人参数错误"),"敌人不存在"))))))</f>
        <v/>
      </c>
    </row>
    <row r="25" spans="1:9" ht="24" customHeight="1">
      <c r="A25" s="12"/>
      <c r="B25" s="12"/>
      <c r="C25" s="12"/>
      <c r="D25" s="12"/>
      <c r="E25" s="12"/>
      <c r="F25" s="12"/>
      <c r="G25" s="12"/>
      <c r="H25" s="12"/>
      <c r="I25" s="12"/>
    </row>
    <row r="26" spans="1:9" ht="32.1" customHeight="1">
      <c r="A26" s="13" t="s">
        <v>134</v>
      </c>
      <c r="B26" s="9">
        <f>SUM(C7:C24)</f>
        <v>80</v>
      </c>
      <c r="C26" s="13" t="s">
        <v>135</v>
      </c>
      <c r="D26" s="9">
        <f>SUM(D7:D24)</f>
        <v>80</v>
      </c>
      <c r="E26" s="13" t="s">
        <v>59</v>
      </c>
      <c r="F26" s="9">
        <f>SUM(F7:F24)</f>
        <v>96</v>
      </c>
      <c r="G26" s="13" t="s">
        <v>48</v>
      </c>
      <c r="H26" s="9">
        <f>SUM(G7:G24)</f>
        <v>96</v>
      </c>
      <c r="I26" s="12"/>
    </row>
    <row r="27" spans="1:9" ht="32.1" customHeight="1">
      <c r="A27" s="22" t="s">
        <v>49</v>
      </c>
      <c r="B27" s="9">
        <f>SUM(H7:H24)</f>
        <v>96</v>
      </c>
      <c r="C27" s="46" t="s">
        <v>149</v>
      </c>
      <c r="D27" s="46" t="s">
        <v>149</v>
      </c>
      <c r="E27" s="46" t="s">
        <v>149</v>
      </c>
      <c r="F27" s="46" t="s">
        <v>149</v>
      </c>
      <c r="G27" s="46" t="s">
        <v>149</v>
      </c>
      <c r="H27" s="46" t="s">
        <v>149</v>
      </c>
      <c r="I27" s="46" t="s">
        <v>149</v>
      </c>
    </row>
    <row r="28" spans="1:9" ht="24" customHeight="1">
      <c r="A28" s="12"/>
      <c r="B28" s="12"/>
      <c r="C28" s="12"/>
      <c r="D28" s="12"/>
      <c r="E28" s="12"/>
      <c r="F28" s="12"/>
      <c r="G28" s="12"/>
      <c r="H28" s="12"/>
      <c r="I28" s="12"/>
    </row>
    <row r="29" spans="1:9" ht="24" customHeight="1">
      <c r="A29" s="12"/>
      <c r="B29" s="12"/>
      <c r="C29" s="12"/>
      <c r="D29" s="12"/>
      <c r="E29" s="12"/>
      <c r="F29" s="12"/>
      <c r="G29" s="12"/>
      <c r="H29" s="12"/>
      <c r="I29" s="12"/>
    </row>
    <row r="30" spans="1:9" ht="24" customHeight="1">
      <c r="A30" s="12"/>
      <c r="B30" s="12"/>
      <c r="C30" s="12"/>
      <c r="D30" s="12"/>
      <c r="E30" s="12"/>
      <c r="F30" s="12"/>
      <c r="G30" s="12"/>
      <c r="H30" s="12"/>
      <c r="I30" s="12"/>
    </row>
    <row r="31" spans="1:9" ht="38.1" customHeight="1">
      <c r="A31" s="44" t="s">
        <v>150</v>
      </c>
      <c r="B31" s="44" t="s">
        <v>150</v>
      </c>
      <c r="C31" s="44" t="s">
        <v>150</v>
      </c>
      <c r="D31" s="44" t="s">
        <v>150</v>
      </c>
      <c r="E31" s="44" t="s">
        <v>150</v>
      </c>
      <c r="F31" s="44" t="s">
        <v>150</v>
      </c>
      <c r="G31" s="44" t="s">
        <v>150</v>
      </c>
      <c r="H31" s="44" t="s">
        <v>150</v>
      </c>
      <c r="I31" s="44" t="s">
        <v>150</v>
      </c>
    </row>
    <row r="32" spans="1:9" ht="24" customHeight="1">
      <c r="A32" s="13" t="s">
        <v>112</v>
      </c>
      <c r="B32" s="45" t="s">
        <v>151</v>
      </c>
      <c r="C32" s="45" t="s">
        <v>151</v>
      </c>
      <c r="D32" s="13" t="s">
        <v>114</v>
      </c>
      <c r="E32" s="14">
        <v>0.4</v>
      </c>
      <c r="F32" s="13" t="s">
        <v>115</v>
      </c>
      <c r="G32" s="14">
        <v>1</v>
      </c>
      <c r="H32" s="13" t="s">
        <v>61</v>
      </c>
      <c r="I32" s="14">
        <v>300</v>
      </c>
    </row>
    <row r="33" spans="1:9" ht="24" customHeight="1">
      <c r="A33" s="13" t="s">
        <v>116</v>
      </c>
      <c r="B33" s="14" t="s">
        <v>117</v>
      </c>
      <c r="C33" s="14" t="s">
        <v>118</v>
      </c>
      <c r="D33" s="14" t="s">
        <v>119</v>
      </c>
      <c r="E33" s="14" t="s">
        <v>120</v>
      </c>
      <c r="F33" s="14" t="s">
        <v>121</v>
      </c>
      <c r="G33" s="14" t="s">
        <v>122</v>
      </c>
      <c r="H33" s="13" t="s">
        <v>123</v>
      </c>
      <c r="I33" s="9" t="str">
        <f>IF(COUNTA(B36:B53)=0,"待设计",IF(COUNTIF(I36:I53,"可回读")=COUNTA(B36:B53),"可回读","需修正"))</f>
        <v>可回读</v>
      </c>
    </row>
    <row r="34" spans="1:9" ht="33.950000000000003" customHeight="1">
      <c r="A34" s="41" t="s">
        <v>124</v>
      </c>
      <c r="B34" s="41" t="s">
        <v>124</v>
      </c>
      <c r="C34" s="41" t="s">
        <v>124</v>
      </c>
      <c r="D34" s="41" t="s">
        <v>124</v>
      </c>
      <c r="E34" s="41" t="s">
        <v>124</v>
      </c>
      <c r="F34" s="41" t="s">
        <v>124</v>
      </c>
      <c r="G34" s="41" t="s">
        <v>124</v>
      </c>
      <c r="H34" s="41" t="s">
        <v>124</v>
      </c>
      <c r="I34" s="41" t="s">
        <v>124</v>
      </c>
    </row>
    <row r="35" spans="1:9" ht="42" customHeight="1">
      <c r="A35" s="20" t="s">
        <v>125</v>
      </c>
      <c r="B35" s="20" t="s">
        <v>126</v>
      </c>
      <c r="C35" s="20" t="s">
        <v>56</v>
      </c>
      <c r="D35" s="20" t="s">
        <v>57</v>
      </c>
      <c r="E35" s="22" t="s">
        <v>127</v>
      </c>
      <c r="F35" s="22" t="s">
        <v>128</v>
      </c>
      <c r="G35" s="22" t="s">
        <v>129</v>
      </c>
      <c r="H35" s="22" t="s">
        <v>130</v>
      </c>
      <c r="I35" s="20" t="s">
        <v>131</v>
      </c>
    </row>
    <row r="36" spans="1:9" ht="24" customHeight="1">
      <c r="A36" s="32">
        <v>1</v>
      </c>
      <c r="B36" s="14" t="s">
        <v>132</v>
      </c>
      <c r="C36" s="14">
        <v>28</v>
      </c>
      <c r="D36" s="9">
        <f>IF(OR(B36="",C36=""),"",ROUNDUP(C36*(1+(全局设置!$B$5-1)*全局设置!$B$6),0))</f>
        <v>28</v>
      </c>
      <c r="E36" s="6">
        <f>IFERROR(VLOOKUP(B36,敌人目录!$A$6:$AD$54,13,FALSE),"")</f>
        <v>1</v>
      </c>
      <c r="F36" s="6">
        <f t="shared" ref="F36:F53" si="1">IF(D36="","",D36*E36)</f>
        <v>28</v>
      </c>
      <c r="G36" s="6">
        <f>IF(F36="","",F36*全局设置!$B$7*全局设置!$D$14)</f>
        <v>28</v>
      </c>
      <c r="H36" s="6">
        <f>IF(G36="","",G36*全局设置!$B$5)</f>
        <v>28</v>
      </c>
      <c r="I36" s="9" t="str">
        <f>IF(AND(B36="",C36=""),"",IF(B36="","缺少敌人",IF(C36="","缺少数量",IF(OR(C36&lt;1,C36&gt;9999,C36&lt;&gt;INT(C36)),"数量无效",IF(COUNTIF($B$36:$B$53,B36)&gt;1,"重复敌人",IFERROR(IF(VLOOKUP(B36,敌人目录!$A$6:$AD$54,27,FALSE)="可回读","可回读","敌人参数错误"),"敌人不存在"))))))</f>
        <v>可回读</v>
      </c>
    </row>
    <row r="37" spans="1:9" ht="24" customHeight="1">
      <c r="A37" s="32">
        <v>2</v>
      </c>
      <c r="B37" s="14" t="s">
        <v>139</v>
      </c>
      <c r="C37" s="14">
        <v>24</v>
      </c>
      <c r="D37" s="9">
        <f>IF(OR(B37="",C37=""),"",ROUNDUP(C37*(1+(全局设置!$B$5-1)*全局设置!$B$6),0))</f>
        <v>24</v>
      </c>
      <c r="E37" s="6">
        <f>IFERROR(VLOOKUP(B37,敌人目录!$A$6:$AD$54,13,FALSE),"")</f>
        <v>1</v>
      </c>
      <c r="F37" s="6">
        <f t="shared" si="1"/>
        <v>24</v>
      </c>
      <c r="G37" s="6">
        <f>IF(F37="","",F37*全局设置!$B$7*全局设置!$D$14)</f>
        <v>24</v>
      </c>
      <c r="H37" s="6">
        <f>IF(G37="","",G37*全局设置!$B$5)</f>
        <v>24</v>
      </c>
      <c r="I37" s="9" t="str">
        <f>IF(AND(B37="",C37=""),"",IF(B37="","缺少敌人",IF(C37="","缺少数量",IF(OR(C37&lt;1,C37&gt;9999,C37&lt;&gt;INT(C37)),"数量无效",IF(COUNTIF($B$36:$B$53,B37)&gt;1,"重复敌人",IFERROR(IF(VLOOKUP(B37,敌人目录!$A$6:$AD$54,27,FALSE)="可回读","可回读","敌人参数错误"),"敌人不存在"))))))</f>
        <v>可回读</v>
      </c>
    </row>
    <row r="38" spans="1:9" ht="24" customHeight="1">
      <c r="A38" s="32">
        <v>3</v>
      </c>
      <c r="B38" s="14" t="s">
        <v>133</v>
      </c>
      <c r="C38" s="14">
        <v>12</v>
      </c>
      <c r="D38" s="9">
        <f>IF(OR(B38="",C38=""),"",ROUNDUP(C38*(1+(全局设置!$B$5-1)*全局设置!$B$6),0))</f>
        <v>12</v>
      </c>
      <c r="E38" s="6">
        <f>IFERROR(VLOOKUP(B38,敌人目录!$A$6:$AD$54,13,FALSE),"")</f>
        <v>2</v>
      </c>
      <c r="F38" s="6">
        <f t="shared" si="1"/>
        <v>24</v>
      </c>
      <c r="G38" s="6">
        <f>IF(F38="","",F38*全局设置!$B$7*全局设置!$D$14)</f>
        <v>24</v>
      </c>
      <c r="H38" s="6">
        <f>IF(G38="","",G38*全局设置!$B$5)</f>
        <v>24</v>
      </c>
      <c r="I38" s="9" t="str">
        <f>IF(AND(B38="",C38=""),"",IF(B38="","缺少敌人",IF(C38="","缺少数量",IF(OR(C38&lt;1,C38&gt;9999,C38&lt;&gt;INT(C38)),"数量无效",IF(COUNTIF($B$36:$B$53,B38)&gt;1,"重复敌人",IFERROR(IF(VLOOKUP(B38,敌人目录!$A$6:$AD$54,27,FALSE)="可回读","可回读","敌人参数错误"),"敌人不存在"))))))</f>
        <v>可回读</v>
      </c>
    </row>
    <row r="39" spans="1:9" ht="24" customHeight="1">
      <c r="A39" s="32">
        <v>4</v>
      </c>
      <c r="B39" s="14" t="s">
        <v>142</v>
      </c>
      <c r="C39" s="14">
        <v>12</v>
      </c>
      <c r="D39" s="9">
        <f>IF(OR(B39="",C39=""),"",ROUNDUP(C39*(1+(全局设置!$B$5-1)*全局设置!$B$6),0))</f>
        <v>12</v>
      </c>
      <c r="E39" s="6">
        <f>IFERROR(VLOOKUP(B39,敌人目录!$A$6:$AD$54,13,FALSE),"")</f>
        <v>1</v>
      </c>
      <c r="F39" s="6">
        <f t="shared" si="1"/>
        <v>12</v>
      </c>
      <c r="G39" s="6">
        <f>IF(F39="","",F39*全局设置!$B$7*全局设置!$D$14)</f>
        <v>12</v>
      </c>
      <c r="H39" s="6">
        <f>IF(G39="","",G39*全局设置!$B$5)</f>
        <v>12</v>
      </c>
      <c r="I39" s="9" t="str">
        <f>IF(AND(B39="",C39=""),"",IF(B39="","缺少敌人",IF(C39="","缺少数量",IF(OR(C39&lt;1,C39&gt;9999,C39&lt;&gt;INT(C39)),"数量无效",IF(COUNTIF($B$36:$B$53,B39)&gt;1,"重复敌人",IFERROR(IF(VLOOKUP(B39,敌人目录!$A$6:$AD$54,27,FALSE)="可回读","可回读","敌人参数错误"),"敌人不存在"))))))</f>
        <v>可回读</v>
      </c>
    </row>
    <row r="40" spans="1:9" ht="24" customHeight="1">
      <c r="A40" s="32">
        <v>5</v>
      </c>
      <c r="B40" s="14" t="s">
        <v>143</v>
      </c>
      <c r="C40" s="14">
        <v>12</v>
      </c>
      <c r="D40" s="9">
        <f>IF(OR(B40="",C40=""),"",ROUNDUP(C40*(1+(全局设置!$B$5-1)*全局设置!$B$6),0))</f>
        <v>12</v>
      </c>
      <c r="E40" s="6">
        <f>IFERROR(VLOOKUP(B40,敌人目录!$A$6:$AD$54,13,FALSE),"")</f>
        <v>1</v>
      </c>
      <c r="F40" s="6">
        <f t="shared" si="1"/>
        <v>12</v>
      </c>
      <c r="G40" s="6">
        <f>IF(F40="","",F40*全局设置!$B$7*全局设置!$D$14)</f>
        <v>12</v>
      </c>
      <c r="H40" s="6">
        <f>IF(G40="","",G40*全局设置!$B$5)</f>
        <v>12</v>
      </c>
      <c r="I40" s="9" t="str">
        <f>IF(AND(B40="",C40=""),"",IF(B40="","缺少敌人",IF(C40="","缺少数量",IF(OR(C40&lt;1,C40&gt;9999,C40&lt;&gt;INT(C40)),"数量无效",IF(COUNTIF($B$36:$B$53,B40)&gt;1,"重复敌人",IFERROR(IF(VLOOKUP(B40,敌人目录!$A$6:$AD$54,27,FALSE)="可回读","可回读","敌人参数错误"),"敌人不存在"))))))</f>
        <v>可回读</v>
      </c>
    </row>
    <row r="41" spans="1:9" ht="24" customHeight="1">
      <c r="A41" s="32">
        <v>6</v>
      </c>
      <c r="B41" s="14" t="s">
        <v>148</v>
      </c>
      <c r="C41" s="14">
        <v>8</v>
      </c>
      <c r="D41" s="9">
        <f>IF(OR(B41="",C41=""),"",ROUNDUP(C41*(1+(全局设置!$B$5-1)*全局设置!$B$6),0))</f>
        <v>8</v>
      </c>
      <c r="E41" s="6">
        <f>IFERROR(VLOOKUP(B41,敌人目录!$A$6:$AD$54,13,FALSE),"")</f>
        <v>2</v>
      </c>
      <c r="F41" s="6">
        <f t="shared" si="1"/>
        <v>16</v>
      </c>
      <c r="G41" s="6">
        <f>IF(F41="","",F41*全局设置!$B$7*全局设置!$D$14)</f>
        <v>16</v>
      </c>
      <c r="H41" s="6">
        <f>IF(G41="","",G41*全局设置!$B$5)</f>
        <v>16</v>
      </c>
      <c r="I41" s="9" t="str">
        <f>IF(AND(B41="",C41=""),"",IF(B41="","缺少敌人",IF(C41="","缺少数量",IF(OR(C41&lt;1,C41&gt;9999,C41&lt;&gt;INT(C41)),"数量无效",IF(COUNTIF($B$36:$B$53,B41)&gt;1,"重复敌人",IFERROR(IF(VLOOKUP(B41,敌人目录!$A$6:$AD$54,27,FALSE)="可回读","可回读","敌人参数错误"),"敌人不存在"))))))</f>
        <v>可回读</v>
      </c>
    </row>
    <row r="42" spans="1:9" ht="24" customHeight="1">
      <c r="A42" s="32">
        <v>7</v>
      </c>
      <c r="B42" s="14"/>
      <c r="C42" s="14"/>
      <c r="D42" s="9" t="str">
        <f>IF(OR(B42="",C42=""),"",ROUNDUP(C42*(1+(全局设置!$B$5-1)*全局设置!$B$6),0))</f>
        <v/>
      </c>
      <c r="E42" s="6" t="str">
        <f>IFERROR(VLOOKUP(B42,敌人目录!$A$6:$AD$54,13,FALSE),"")</f>
        <v/>
      </c>
      <c r="F42" s="6" t="str">
        <f t="shared" si="1"/>
        <v/>
      </c>
      <c r="G42" s="6" t="str">
        <f>IF(F42="","",F42*全局设置!$B$7*全局设置!$D$14)</f>
        <v/>
      </c>
      <c r="H42" s="6" t="str">
        <f>IF(G42="","",G42*全局设置!$B$5)</f>
        <v/>
      </c>
      <c r="I42" s="9" t="str">
        <f>IF(AND(B42="",C42=""),"",IF(B42="","缺少敌人",IF(C42="","缺少数量",IF(OR(C42&lt;1,C42&gt;9999,C42&lt;&gt;INT(C42)),"数量无效",IF(COUNTIF($B$36:$B$53,B42)&gt;1,"重复敌人",IFERROR(IF(VLOOKUP(B42,敌人目录!$A$6:$AD$54,27,FALSE)="可回读","可回读","敌人参数错误"),"敌人不存在"))))))</f>
        <v/>
      </c>
    </row>
    <row r="43" spans="1:9" ht="24" customHeight="1">
      <c r="A43" s="32">
        <v>8</v>
      </c>
      <c r="B43" s="14"/>
      <c r="C43" s="14"/>
      <c r="D43" s="9" t="str">
        <f>IF(OR(B43="",C43=""),"",ROUNDUP(C43*(1+(全局设置!$B$5-1)*全局设置!$B$6),0))</f>
        <v/>
      </c>
      <c r="E43" s="6" t="str">
        <f>IFERROR(VLOOKUP(B43,敌人目录!$A$6:$AD$54,13,FALSE),"")</f>
        <v/>
      </c>
      <c r="F43" s="6" t="str">
        <f t="shared" si="1"/>
        <v/>
      </c>
      <c r="G43" s="6" t="str">
        <f>IF(F43="","",F43*全局设置!$B$7*全局设置!$D$14)</f>
        <v/>
      </c>
      <c r="H43" s="6" t="str">
        <f>IF(G43="","",G43*全局设置!$B$5)</f>
        <v/>
      </c>
      <c r="I43" s="9" t="str">
        <f>IF(AND(B43="",C43=""),"",IF(B43="","缺少敌人",IF(C43="","缺少数量",IF(OR(C43&lt;1,C43&gt;9999,C43&lt;&gt;INT(C43)),"数量无效",IF(COUNTIF($B$36:$B$53,B43)&gt;1,"重复敌人",IFERROR(IF(VLOOKUP(B43,敌人目录!$A$6:$AD$54,27,FALSE)="可回读","可回读","敌人参数错误"),"敌人不存在"))))))</f>
        <v/>
      </c>
    </row>
    <row r="44" spans="1:9" ht="24" customHeight="1">
      <c r="A44" s="32">
        <v>9</v>
      </c>
      <c r="B44" s="14"/>
      <c r="C44" s="14"/>
      <c r="D44" s="9" t="str">
        <f>IF(OR(B44="",C44=""),"",ROUNDUP(C44*(1+(全局设置!$B$5-1)*全局设置!$B$6),0))</f>
        <v/>
      </c>
      <c r="E44" s="6" t="str">
        <f>IFERROR(VLOOKUP(B44,敌人目录!$A$6:$AD$54,13,FALSE),"")</f>
        <v/>
      </c>
      <c r="F44" s="6" t="str">
        <f t="shared" si="1"/>
        <v/>
      </c>
      <c r="G44" s="6" t="str">
        <f>IF(F44="","",F44*全局设置!$B$7*全局设置!$D$14)</f>
        <v/>
      </c>
      <c r="H44" s="6" t="str">
        <f>IF(G44="","",G44*全局设置!$B$5)</f>
        <v/>
      </c>
      <c r="I44" s="9" t="str">
        <f>IF(AND(B44="",C44=""),"",IF(B44="","缺少敌人",IF(C44="","缺少数量",IF(OR(C44&lt;1,C44&gt;9999,C44&lt;&gt;INT(C44)),"数量无效",IF(COUNTIF($B$36:$B$53,B44)&gt;1,"重复敌人",IFERROR(IF(VLOOKUP(B44,敌人目录!$A$6:$AD$54,27,FALSE)="可回读","可回读","敌人参数错误"),"敌人不存在"))))))</f>
        <v/>
      </c>
    </row>
    <row r="45" spans="1:9" ht="24" customHeight="1">
      <c r="A45" s="32">
        <v>10</v>
      </c>
      <c r="B45" s="14"/>
      <c r="C45" s="14"/>
      <c r="D45" s="9" t="str">
        <f>IF(OR(B45="",C45=""),"",ROUNDUP(C45*(1+(全局设置!$B$5-1)*全局设置!$B$6),0))</f>
        <v/>
      </c>
      <c r="E45" s="6" t="str">
        <f>IFERROR(VLOOKUP(B45,敌人目录!$A$6:$AD$54,13,FALSE),"")</f>
        <v/>
      </c>
      <c r="F45" s="6" t="str">
        <f t="shared" si="1"/>
        <v/>
      </c>
      <c r="G45" s="6" t="str">
        <f>IF(F45="","",F45*全局设置!$B$7*全局设置!$D$14)</f>
        <v/>
      </c>
      <c r="H45" s="6" t="str">
        <f>IF(G45="","",G45*全局设置!$B$5)</f>
        <v/>
      </c>
      <c r="I45" s="9" t="str">
        <f>IF(AND(B45="",C45=""),"",IF(B45="","缺少敌人",IF(C45="","缺少数量",IF(OR(C45&lt;1,C45&gt;9999,C45&lt;&gt;INT(C45)),"数量无效",IF(COUNTIF($B$36:$B$53,B45)&gt;1,"重复敌人",IFERROR(IF(VLOOKUP(B45,敌人目录!$A$6:$AD$54,27,FALSE)="可回读","可回读","敌人参数错误"),"敌人不存在"))))))</f>
        <v/>
      </c>
    </row>
    <row r="46" spans="1:9" ht="24" customHeight="1">
      <c r="A46" s="32">
        <v>11</v>
      </c>
      <c r="B46" s="14"/>
      <c r="C46" s="14"/>
      <c r="D46" s="9" t="str">
        <f>IF(OR(B46="",C46=""),"",ROUNDUP(C46*(1+(全局设置!$B$5-1)*全局设置!$B$6),0))</f>
        <v/>
      </c>
      <c r="E46" s="6" t="str">
        <f>IFERROR(VLOOKUP(B46,敌人目录!$A$6:$AD$54,13,FALSE),"")</f>
        <v/>
      </c>
      <c r="F46" s="6" t="str">
        <f t="shared" si="1"/>
        <v/>
      </c>
      <c r="G46" s="6" t="str">
        <f>IF(F46="","",F46*全局设置!$B$7*全局设置!$D$14)</f>
        <v/>
      </c>
      <c r="H46" s="6" t="str">
        <f>IF(G46="","",G46*全局设置!$B$5)</f>
        <v/>
      </c>
      <c r="I46" s="9" t="str">
        <f>IF(AND(B46="",C46=""),"",IF(B46="","缺少敌人",IF(C46="","缺少数量",IF(OR(C46&lt;1,C46&gt;9999,C46&lt;&gt;INT(C46)),"数量无效",IF(COUNTIF($B$36:$B$53,B46)&gt;1,"重复敌人",IFERROR(IF(VLOOKUP(B46,敌人目录!$A$6:$AD$54,27,FALSE)="可回读","可回读","敌人参数错误"),"敌人不存在"))))))</f>
        <v/>
      </c>
    </row>
    <row r="47" spans="1:9" ht="24" customHeight="1">
      <c r="A47" s="32">
        <v>12</v>
      </c>
      <c r="B47" s="14"/>
      <c r="C47" s="14"/>
      <c r="D47" s="9" t="str">
        <f>IF(OR(B47="",C47=""),"",ROUNDUP(C47*(1+(全局设置!$B$5-1)*全局设置!$B$6),0))</f>
        <v/>
      </c>
      <c r="E47" s="6" t="str">
        <f>IFERROR(VLOOKUP(B47,敌人目录!$A$6:$AD$54,13,FALSE),"")</f>
        <v/>
      </c>
      <c r="F47" s="6" t="str">
        <f t="shared" si="1"/>
        <v/>
      </c>
      <c r="G47" s="6" t="str">
        <f>IF(F47="","",F47*全局设置!$B$7*全局设置!$D$14)</f>
        <v/>
      </c>
      <c r="H47" s="6" t="str">
        <f>IF(G47="","",G47*全局设置!$B$5)</f>
        <v/>
      </c>
      <c r="I47" s="9" t="str">
        <f>IF(AND(B47="",C47=""),"",IF(B47="","缺少敌人",IF(C47="","缺少数量",IF(OR(C47&lt;1,C47&gt;9999,C47&lt;&gt;INT(C47)),"数量无效",IF(COUNTIF($B$36:$B$53,B47)&gt;1,"重复敌人",IFERROR(IF(VLOOKUP(B47,敌人目录!$A$6:$AD$54,27,FALSE)="可回读","可回读","敌人参数错误"),"敌人不存在"))))))</f>
        <v/>
      </c>
    </row>
    <row r="48" spans="1:9" ht="24" customHeight="1">
      <c r="A48" s="32">
        <v>13</v>
      </c>
      <c r="B48" s="14"/>
      <c r="C48" s="14"/>
      <c r="D48" s="9" t="str">
        <f>IF(OR(B48="",C48=""),"",ROUNDUP(C48*(1+(全局设置!$B$5-1)*全局设置!$B$6),0))</f>
        <v/>
      </c>
      <c r="E48" s="6" t="str">
        <f>IFERROR(VLOOKUP(B48,敌人目录!$A$6:$AD$54,13,FALSE),"")</f>
        <v/>
      </c>
      <c r="F48" s="6" t="str">
        <f t="shared" si="1"/>
        <v/>
      </c>
      <c r="G48" s="6" t="str">
        <f>IF(F48="","",F48*全局设置!$B$7*全局设置!$D$14)</f>
        <v/>
      </c>
      <c r="H48" s="6" t="str">
        <f>IF(G48="","",G48*全局设置!$B$5)</f>
        <v/>
      </c>
      <c r="I48" s="9" t="str">
        <f>IF(AND(B48="",C48=""),"",IF(B48="","缺少敌人",IF(C48="","缺少数量",IF(OR(C48&lt;1,C48&gt;9999,C48&lt;&gt;INT(C48)),"数量无效",IF(COUNTIF($B$36:$B$53,B48)&gt;1,"重复敌人",IFERROR(IF(VLOOKUP(B48,敌人目录!$A$6:$AD$54,27,FALSE)="可回读","可回读","敌人参数错误"),"敌人不存在"))))))</f>
        <v/>
      </c>
    </row>
    <row r="49" spans="1:9" ht="24" customHeight="1">
      <c r="A49" s="32">
        <v>14</v>
      </c>
      <c r="B49" s="14"/>
      <c r="C49" s="14"/>
      <c r="D49" s="9" t="str">
        <f>IF(OR(B49="",C49=""),"",ROUNDUP(C49*(1+(全局设置!$B$5-1)*全局设置!$B$6),0))</f>
        <v/>
      </c>
      <c r="E49" s="6" t="str">
        <f>IFERROR(VLOOKUP(B49,敌人目录!$A$6:$AD$54,13,FALSE),"")</f>
        <v/>
      </c>
      <c r="F49" s="6" t="str">
        <f t="shared" si="1"/>
        <v/>
      </c>
      <c r="G49" s="6" t="str">
        <f>IF(F49="","",F49*全局设置!$B$7*全局设置!$D$14)</f>
        <v/>
      </c>
      <c r="H49" s="6" t="str">
        <f>IF(G49="","",G49*全局设置!$B$5)</f>
        <v/>
      </c>
      <c r="I49" s="9" t="str">
        <f>IF(AND(B49="",C49=""),"",IF(B49="","缺少敌人",IF(C49="","缺少数量",IF(OR(C49&lt;1,C49&gt;9999,C49&lt;&gt;INT(C49)),"数量无效",IF(COUNTIF($B$36:$B$53,B49)&gt;1,"重复敌人",IFERROR(IF(VLOOKUP(B49,敌人目录!$A$6:$AD$54,27,FALSE)="可回读","可回读","敌人参数错误"),"敌人不存在"))))))</f>
        <v/>
      </c>
    </row>
    <row r="50" spans="1:9" ht="24" customHeight="1">
      <c r="A50" s="32">
        <v>15</v>
      </c>
      <c r="B50" s="14"/>
      <c r="C50" s="14"/>
      <c r="D50" s="9" t="str">
        <f>IF(OR(B50="",C50=""),"",ROUNDUP(C50*(1+(全局设置!$B$5-1)*全局设置!$B$6),0))</f>
        <v/>
      </c>
      <c r="E50" s="6" t="str">
        <f>IFERROR(VLOOKUP(B50,敌人目录!$A$6:$AD$54,13,FALSE),"")</f>
        <v/>
      </c>
      <c r="F50" s="6" t="str">
        <f t="shared" si="1"/>
        <v/>
      </c>
      <c r="G50" s="6" t="str">
        <f>IF(F50="","",F50*全局设置!$B$7*全局设置!$D$14)</f>
        <v/>
      </c>
      <c r="H50" s="6" t="str">
        <f>IF(G50="","",G50*全局设置!$B$5)</f>
        <v/>
      </c>
      <c r="I50" s="9" t="str">
        <f>IF(AND(B50="",C50=""),"",IF(B50="","缺少敌人",IF(C50="","缺少数量",IF(OR(C50&lt;1,C50&gt;9999,C50&lt;&gt;INT(C50)),"数量无效",IF(COUNTIF($B$36:$B$53,B50)&gt;1,"重复敌人",IFERROR(IF(VLOOKUP(B50,敌人目录!$A$6:$AD$54,27,FALSE)="可回读","可回读","敌人参数错误"),"敌人不存在"))))))</f>
        <v/>
      </c>
    </row>
    <row r="51" spans="1:9" ht="24" customHeight="1">
      <c r="A51" s="32">
        <v>16</v>
      </c>
      <c r="B51" s="14"/>
      <c r="C51" s="14"/>
      <c r="D51" s="9" t="str">
        <f>IF(OR(B51="",C51=""),"",ROUNDUP(C51*(1+(全局设置!$B$5-1)*全局设置!$B$6),0))</f>
        <v/>
      </c>
      <c r="E51" s="6" t="str">
        <f>IFERROR(VLOOKUP(B51,敌人目录!$A$6:$AD$54,13,FALSE),"")</f>
        <v/>
      </c>
      <c r="F51" s="6" t="str">
        <f t="shared" si="1"/>
        <v/>
      </c>
      <c r="G51" s="6" t="str">
        <f>IF(F51="","",F51*全局设置!$B$7*全局设置!$D$14)</f>
        <v/>
      </c>
      <c r="H51" s="6" t="str">
        <f>IF(G51="","",G51*全局设置!$B$5)</f>
        <v/>
      </c>
      <c r="I51" s="9" t="str">
        <f>IF(AND(B51="",C51=""),"",IF(B51="","缺少敌人",IF(C51="","缺少数量",IF(OR(C51&lt;1,C51&gt;9999,C51&lt;&gt;INT(C51)),"数量无效",IF(COUNTIF($B$36:$B$53,B51)&gt;1,"重复敌人",IFERROR(IF(VLOOKUP(B51,敌人目录!$A$6:$AD$54,27,FALSE)="可回读","可回读","敌人参数错误"),"敌人不存在"))))))</f>
        <v/>
      </c>
    </row>
    <row r="52" spans="1:9" ht="24" customHeight="1">
      <c r="A52" s="32">
        <v>17</v>
      </c>
      <c r="B52" s="14"/>
      <c r="C52" s="14"/>
      <c r="D52" s="9" t="str">
        <f>IF(OR(B52="",C52=""),"",ROUNDUP(C52*(1+(全局设置!$B$5-1)*全局设置!$B$6),0))</f>
        <v/>
      </c>
      <c r="E52" s="6" t="str">
        <f>IFERROR(VLOOKUP(B52,敌人目录!$A$6:$AD$54,13,FALSE),"")</f>
        <v/>
      </c>
      <c r="F52" s="6" t="str">
        <f t="shared" si="1"/>
        <v/>
      </c>
      <c r="G52" s="6" t="str">
        <f>IF(F52="","",F52*全局设置!$B$7*全局设置!$D$14)</f>
        <v/>
      </c>
      <c r="H52" s="6" t="str">
        <f>IF(G52="","",G52*全局设置!$B$5)</f>
        <v/>
      </c>
      <c r="I52" s="9" t="str">
        <f>IF(AND(B52="",C52=""),"",IF(B52="","缺少敌人",IF(C52="","缺少数量",IF(OR(C52&lt;1,C52&gt;9999,C52&lt;&gt;INT(C52)),"数量无效",IF(COUNTIF($B$36:$B$53,B52)&gt;1,"重复敌人",IFERROR(IF(VLOOKUP(B52,敌人目录!$A$6:$AD$54,27,FALSE)="可回读","可回读","敌人参数错误"),"敌人不存在"))))))</f>
        <v/>
      </c>
    </row>
    <row r="53" spans="1:9" ht="24" customHeight="1">
      <c r="A53" s="32">
        <v>18</v>
      </c>
      <c r="B53" s="14"/>
      <c r="C53" s="14"/>
      <c r="D53" s="9" t="str">
        <f>IF(OR(B53="",C53=""),"",ROUNDUP(C53*(1+(全局设置!$B$5-1)*全局设置!$B$6),0))</f>
        <v/>
      </c>
      <c r="E53" s="6" t="str">
        <f>IFERROR(VLOOKUP(B53,敌人目录!$A$6:$AD$54,13,FALSE),"")</f>
        <v/>
      </c>
      <c r="F53" s="6" t="str">
        <f t="shared" si="1"/>
        <v/>
      </c>
      <c r="G53" s="6" t="str">
        <f>IF(F53="","",F53*全局设置!$B$7*全局设置!$D$14)</f>
        <v/>
      </c>
      <c r="H53" s="6" t="str">
        <f>IF(G53="","",G53*全局设置!$B$5)</f>
        <v/>
      </c>
      <c r="I53" s="9" t="str">
        <f>IF(AND(B53="",C53=""),"",IF(B53="","缺少敌人",IF(C53="","缺少数量",IF(OR(C53&lt;1,C53&gt;9999,C53&lt;&gt;INT(C53)),"数量无效",IF(COUNTIF($B$36:$B$53,B53)&gt;1,"重复敌人",IFERROR(IF(VLOOKUP(B53,敌人目录!$A$6:$AD$54,27,FALSE)="可回读","可回读","敌人参数错误"),"敌人不存在"))))))</f>
        <v/>
      </c>
    </row>
    <row r="54" spans="1:9" ht="24" customHeight="1">
      <c r="A54" s="12"/>
      <c r="B54" s="12"/>
      <c r="C54" s="12"/>
      <c r="D54" s="12"/>
      <c r="E54" s="12"/>
      <c r="F54" s="12"/>
      <c r="G54" s="12"/>
      <c r="H54" s="12"/>
      <c r="I54" s="12"/>
    </row>
    <row r="55" spans="1:9" ht="32.1" customHeight="1">
      <c r="A55" s="13" t="s">
        <v>134</v>
      </c>
      <c r="B55" s="9">
        <f>SUM(C36:C53)</f>
        <v>96</v>
      </c>
      <c r="C55" s="13" t="s">
        <v>135</v>
      </c>
      <c r="D55" s="9">
        <f>SUM(D36:D53)</f>
        <v>96</v>
      </c>
      <c r="E55" s="13" t="s">
        <v>59</v>
      </c>
      <c r="F55" s="9">
        <f>SUM(F36:F53)</f>
        <v>116</v>
      </c>
      <c r="G55" s="13" t="s">
        <v>48</v>
      </c>
      <c r="H55" s="9">
        <f>SUM(G36:G53)</f>
        <v>116</v>
      </c>
      <c r="I55" s="12"/>
    </row>
    <row r="56" spans="1:9" ht="32.1" customHeight="1">
      <c r="A56" s="22" t="s">
        <v>49</v>
      </c>
      <c r="B56" s="9">
        <f>SUM(H36:H53)</f>
        <v>116</v>
      </c>
      <c r="C56" s="46" t="s">
        <v>149</v>
      </c>
      <c r="D56" s="46" t="s">
        <v>149</v>
      </c>
      <c r="E56" s="46" t="s">
        <v>149</v>
      </c>
      <c r="F56" s="46" t="s">
        <v>149</v>
      </c>
      <c r="G56" s="46" t="s">
        <v>149</v>
      </c>
      <c r="H56" s="46" t="s">
        <v>149</v>
      </c>
      <c r="I56" s="46" t="s">
        <v>149</v>
      </c>
    </row>
    <row r="57" spans="1:9" ht="24" customHeight="1">
      <c r="A57" s="12"/>
      <c r="B57" s="12"/>
      <c r="C57" s="12"/>
      <c r="D57" s="12"/>
      <c r="E57" s="12"/>
      <c r="F57" s="12"/>
      <c r="G57" s="12"/>
      <c r="H57" s="12"/>
      <c r="I57" s="12"/>
    </row>
    <row r="58" spans="1:9" ht="24" customHeight="1">
      <c r="A58" s="12"/>
      <c r="B58" s="12"/>
      <c r="C58" s="12"/>
      <c r="D58" s="12"/>
      <c r="E58" s="12"/>
      <c r="F58" s="12"/>
      <c r="G58" s="12"/>
      <c r="H58" s="12"/>
      <c r="I58" s="12"/>
    </row>
    <row r="59" spans="1:9" ht="24" customHeight="1">
      <c r="A59" s="12"/>
      <c r="B59" s="12"/>
      <c r="C59" s="12"/>
      <c r="D59" s="12"/>
      <c r="E59" s="12"/>
      <c r="F59" s="12"/>
      <c r="G59" s="12"/>
      <c r="H59" s="12"/>
      <c r="I59" s="12"/>
    </row>
    <row r="60" spans="1:9" ht="38.1" customHeight="1">
      <c r="A60" s="47" t="s">
        <v>152</v>
      </c>
      <c r="B60" s="47" t="s">
        <v>152</v>
      </c>
      <c r="C60" s="47" t="s">
        <v>152</v>
      </c>
      <c r="D60" s="47" t="s">
        <v>152</v>
      </c>
      <c r="E60" s="47" t="s">
        <v>152</v>
      </c>
      <c r="F60" s="47" t="s">
        <v>152</v>
      </c>
      <c r="G60" s="47" t="s">
        <v>152</v>
      </c>
      <c r="H60" s="47" t="s">
        <v>152</v>
      </c>
      <c r="I60" s="47" t="s">
        <v>152</v>
      </c>
    </row>
    <row r="61" spans="1:9" ht="24" customHeight="1">
      <c r="A61" s="17" t="s">
        <v>112</v>
      </c>
      <c r="B61" s="45" t="s">
        <v>153</v>
      </c>
      <c r="C61" s="45" t="s">
        <v>153</v>
      </c>
      <c r="D61" s="17" t="s">
        <v>114</v>
      </c>
      <c r="E61" s="14">
        <v>0.35</v>
      </c>
      <c r="F61" s="17" t="s">
        <v>115</v>
      </c>
      <c r="G61" s="14">
        <v>1</v>
      </c>
      <c r="H61" s="17" t="s">
        <v>61</v>
      </c>
      <c r="I61" s="14">
        <v>300</v>
      </c>
    </row>
    <row r="62" spans="1:9" ht="24" customHeight="1">
      <c r="A62" s="17" t="s">
        <v>116</v>
      </c>
      <c r="B62" s="14" t="s">
        <v>117</v>
      </c>
      <c r="C62" s="14" t="s">
        <v>118</v>
      </c>
      <c r="D62" s="14" t="s">
        <v>119</v>
      </c>
      <c r="E62" s="14" t="s">
        <v>120</v>
      </c>
      <c r="F62" s="14" t="s">
        <v>121</v>
      </c>
      <c r="G62" s="14" t="s">
        <v>122</v>
      </c>
      <c r="H62" s="17" t="s">
        <v>123</v>
      </c>
      <c r="I62" s="9" t="str">
        <f>IF(COUNTA(B65:B82)=0,"待设计",IF(COUNTIF(I65:I82,"可回读")=COUNTA(B65:B82),"可回读","需修正"))</f>
        <v>可回读</v>
      </c>
    </row>
    <row r="63" spans="1:9" ht="33.950000000000003" customHeight="1">
      <c r="A63" s="48" t="s">
        <v>124</v>
      </c>
      <c r="B63" s="48" t="s">
        <v>124</v>
      </c>
      <c r="C63" s="48" t="s">
        <v>124</v>
      </c>
      <c r="D63" s="48" t="s">
        <v>124</v>
      </c>
      <c r="E63" s="48" t="s">
        <v>124</v>
      </c>
      <c r="F63" s="48" t="s">
        <v>124</v>
      </c>
      <c r="G63" s="48" t="s">
        <v>124</v>
      </c>
      <c r="H63" s="48" t="s">
        <v>124</v>
      </c>
      <c r="I63" s="48" t="s">
        <v>124</v>
      </c>
    </row>
    <row r="64" spans="1:9" ht="42" customHeight="1">
      <c r="A64" s="17" t="s">
        <v>125</v>
      </c>
      <c r="B64" s="17" t="s">
        <v>126</v>
      </c>
      <c r="C64" s="17" t="s">
        <v>56</v>
      </c>
      <c r="D64" s="17" t="s">
        <v>57</v>
      </c>
      <c r="E64" s="22" t="s">
        <v>127</v>
      </c>
      <c r="F64" s="22" t="s">
        <v>128</v>
      </c>
      <c r="G64" s="22" t="s">
        <v>129</v>
      </c>
      <c r="H64" s="22" t="s">
        <v>130</v>
      </c>
      <c r="I64" s="17" t="s">
        <v>131</v>
      </c>
    </row>
    <row r="65" spans="1:9" ht="24" customHeight="1">
      <c r="A65" s="32">
        <v>1</v>
      </c>
      <c r="B65" s="14" t="s">
        <v>132</v>
      </c>
      <c r="C65" s="14">
        <v>24</v>
      </c>
      <c r="D65" s="9">
        <f>IF(OR(B65="",C65=""),"",ROUNDUP(C65*(1+(全局设置!$B$5-1)*全局设置!$B$6),0))</f>
        <v>24</v>
      </c>
      <c r="E65" s="6">
        <f>IFERROR(VLOOKUP(B65,敌人目录!$A$6:$AD$54,13,FALSE),"")</f>
        <v>1</v>
      </c>
      <c r="F65" s="6">
        <f t="shared" ref="F65:F82" si="2">IF(D65="","",D65*E65)</f>
        <v>24</v>
      </c>
      <c r="G65" s="6">
        <f>IF(F65="","",F65*全局设置!$B$7*全局设置!$D$14)</f>
        <v>24</v>
      </c>
      <c r="H65" s="6">
        <f>IF(G65="","",G65*全局设置!$B$5)</f>
        <v>24</v>
      </c>
      <c r="I65" s="9" t="str">
        <f>IF(AND(B65="",C65=""),"",IF(B65="","缺少敌人",IF(C65="","缺少数量",IF(OR(C65&lt;1,C65&gt;9999,C65&lt;&gt;INT(C65)),"数量无效",IF(COUNTIF($B$65:$B$82,B65)&gt;1,"重复敌人",IFERROR(IF(VLOOKUP(B65,敌人目录!$A$6:$AD$54,27,FALSE)="可回读","可回读","敌人参数错误"),"敌人不存在"))))))</f>
        <v>可回读</v>
      </c>
    </row>
    <row r="66" spans="1:9" ht="24" customHeight="1">
      <c r="A66" s="32">
        <v>2</v>
      </c>
      <c r="B66" s="14" t="s">
        <v>139</v>
      </c>
      <c r="C66" s="14">
        <v>24</v>
      </c>
      <c r="D66" s="9">
        <f>IF(OR(B66="",C66=""),"",ROUNDUP(C66*(1+(全局设置!$B$5-1)*全局设置!$B$6),0))</f>
        <v>24</v>
      </c>
      <c r="E66" s="6">
        <f>IFERROR(VLOOKUP(B66,敌人目录!$A$6:$AD$54,13,FALSE),"")</f>
        <v>1</v>
      </c>
      <c r="F66" s="6">
        <f t="shared" si="2"/>
        <v>24</v>
      </c>
      <c r="G66" s="6">
        <f>IF(F66="","",F66*全局设置!$B$7*全局设置!$D$14)</f>
        <v>24</v>
      </c>
      <c r="H66" s="6">
        <f>IF(G66="","",G66*全局设置!$B$5)</f>
        <v>24</v>
      </c>
      <c r="I66" s="9" t="str">
        <f>IF(AND(B66="",C66=""),"",IF(B66="","缺少敌人",IF(C66="","缺少数量",IF(OR(C66&lt;1,C66&gt;9999,C66&lt;&gt;INT(C66)),"数量无效",IF(COUNTIF($B$65:$B$82,B66)&gt;1,"重复敌人",IFERROR(IF(VLOOKUP(B66,敌人目录!$A$6:$AD$54,27,FALSE)="可回读","可回读","敌人参数错误"),"敌人不存在"))))))</f>
        <v>可回读</v>
      </c>
    </row>
    <row r="67" spans="1:9" ht="24" customHeight="1">
      <c r="A67" s="32">
        <v>3</v>
      </c>
      <c r="B67" s="14" t="s">
        <v>133</v>
      </c>
      <c r="C67" s="14">
        <v>16</v>
      </c>
      <c r="D67" s="9">
        <f>IF(OR(B67="",C67=""),"",ROUNDUP(C67*(1+(全局设置!$B$5-1)*全局设置!$B$6),0))</f>
        <v>16</v>
      </c>
      <c r="E67" s="6">
        <f>IFERROR(VLOOKUP(B67,敌人目录!$A$6:$AD$54,13,FALSE),"")</f>
        <v>2</v>
      </c>
      <c r="F67" s="6">
        <f t="shared" si="2"/>
        <v>32</v>
      </c>
      <c r="G67" s="6">
        <f>IF(F67="","",F67*全局设置!$B$7*全局设置!$D$14)</f>
        <v>32</v>
      </c>
      <c r="H67" s="6">
        <f>IF(G67="","",G67*全局设置!$B$5)</f>
        <v>32</v>
      </c>
      <c r="I67" s="9" t="str">
        <f>IF(AND(B67="",C67=""),"",IF(B67="","缺少敌人",IF(C67="","缺少数量",IF(OR(C67&lt;1,C67&gt;9999,C67&lt;&gt;INT(C67)),"数量无效",IF(COUNTIF($B$65:$B$82,B67)&gt;1,"重复敌人",IFERROR(IF(VLOOKUP(B67,敌人目录!$A$6:$AD$54,27,FALSE)="可回读","可回读","敌人参数错误"),"敌人不存在"))))))</f>
        <v>可回读</v>
      </c>
    </row>
    <row r="68" spans="1:9" ht="24" customHeight="1">
      <c r="A68" s="32">
        <v>4</v>
      </c>
      <c r="B68" s="14" t="s">
        <v>142</v>
      </c>
      <c r="C68" s="14">
        <v>16</v>
      </c>
      <c r="D68" s="9">
        <f>IF(OR(B68="",C68=""),"",ROUNDUP(C68*(1+(全局设置!$B$5-1)*全局设置!$B$6),0))</f>
        <v>16</v>
      </c>
      <c r="E68" s="6">
        <f>IFERROR(VLOOKUP(B68,敌人目录!$A$6:$AD$54,13,FALSE),"")</f>
        <v>1</v>
      </c>
      <c r="F68" s="6">
        <f t="shared" si="2"/>
        <v>16</v>
      </c>
      <c r="G68" s="6">
        <f>IF(F68="","",F68*全局设置!$B$7*全局设置!$D$14)</f>
        <v>16</v>
      </c>
      <c r="H68" s="6">
        <f>IF(G68="","",G68*全局设置!$B$5)</f>
        <v>16</v>
      </c>
      <c r="I68" s="9" t="str">
        <f>IF(AND(B68="",C68=""),"",IF(B68="","缺少敌人",IF(C68="","缺少数量",IF(OR(C68&lt;1,C68&gt;9999,C68&lt;&gt;INT(C68)),"数量无效",IF(COUNTIF($B$65:$B$82,B68)&gt;1,"重复敌人",IFERROR(IF(VLOOKUP(B68,敌人目录!$A$6:$AD$54,27,FALSE)="可回读","可回读","敌人参数错误"),"敌人不存在"))))))</f>
        <v>可回读</v>
      </c>
    </row>
    <row r="69" spans="1:9" ht="24" customHeight="1">
      <c r="A69" s="32">
        <v>5</v>
      </c>
      <c r="B69" s="14" t="s">
        <v>154</v>
      </c>
      <c r="C69" s="14">
        <v>8</v>
      </c>
      <c r="D69" s="9">
        <f>IF(OR(B69="",C69=""),"",ROUNDUP(C69*(1+(全局设置!$B$5-1)*全局设置!$B$6),0))</f>
        <v>8</v>
      </c>
      <c r="E69" s="6">
        <f>IFERROR(VLOOKUP(B69,敌人目录!$A$6:$AD$54,13,FALSE),"")</f>
        <v>2</v>
      </c>
      <c r="F69" s="6">
        <f t="shared" si="2"/>
        <v>16</v>
      </c>
      <c r="G69" s="6">
        <f>IF(F69="","",F69*全局设置!$B$7*全局设置!$D$14)</f>
        <v>16</v>
      </c>
      <c r="H69" s="6">
        <f>IF(G69="","",G69*全局设置!$B$5)</f>
        <v>16</v>
      </c>
      <c r="I69" s="9" t="str">
        <f>IF(AND(B69="",C69=""),"",IF(B69="","缺少敌人",IF(C69="","缺少数量",IF(OR(C69&lt;1,C69&gt;9999,C69&lt;&gt;INT(C69)),"数量无效",IF(COUNTIF($B$65:$B$82,B69)&gt;1,"重复敌人",IFERROR(IF(VLOOKUP(B69,敌人目录!$A$6:$AD$54,27,FALSE)="可回读","可回读","敌人参数错误"),"敌人不存在"))))))</f>
        <v>可回读</v>
      </c>
    </row>
    <row r="70" spans="1:9" ht="24" customHeight="1">
      <c r="A70" s="32">
        <v>6</v>
      </c>
      <c r="B70" s="14" t="s">
        <v>143</v>
      </c>
      <c r="C70" s="14">
        <v>16</v>
      </c>
      <c r="D70" s="9">
        <f>IF(OR(B70="",C70=""),"",ROUNDUP(C70*(1+(全局设置!$B$5-1)*全局设置!$B$6),0))</f>
        <v>16</v>
      </c>
      <c r="E70" s="6">
        <f>IFERROR(VLOOKUP(B70,敌人目录!$A$6:$AD$54,13,FALSE),"")</f>
        <v>1</v>
      </c>
      <c r="F70" s="6">
        <f t="shared" si="2"/>
        <v>16</v>
      </c>
      <c r="G70" s="6">
        <f>IF(F70="","",F70*全局设置!$B$7*全局设置!$D$14)</f>
        <v>16</v>
      </c>
      <c r="H70" s="6">
        <f>IF(G70="","",G70*全局设置!$B$5)</f>
        <v>16</v>
      </c>
      <c r="I70" s="9" t="str">
        <f>IF(AND(B70="",C70=""),"",IF(B70="","缺少敌人",IF(C70="","缺少数量",IF(OR(C70&lt;1,C70&gt;9999,C70&lt;&gt;INT(C70)),"数量无效",IF(COUNTIF($B$65:$B$82,B70)&gt;1,"重复敌人",IFERROR(IF(VLOOKUP(B70,敌人目录!$A$6:$AD$54,27,FALSE)="可回读","可回读","敌人参数错误"),"敌人不存在"))))))</f>
        <v>可回读</v>
      </c>
    </row>
    <row r="71" spans="1:9" ht="24" customHeight="1">
      <c r="A71" s="32">
        <v>7</v>
      </c>
      <c r="B71" s="14" t="s">
        <v>148</v>
      </c>
      <c r="C71" s="14">
        <v>8</v>
      </c>
      <c r="D71" s="9">
        <f>IF(OR(B71="",C71=""),"",ROUNDUP(C71*(1+(全局设置!$B$5-1)*全局设置!$B$6),0))</f>
        <v>8</v>
      </c>
      <c r="E71" s="6">
        <f>IFERROR(VLOOKUP(B71,敌人目录!$A$6:$AD$54,13,FALSE),"")</f>
        <v>2</v>
      </c>
      <c r="F71" s="6">
        <f t="shared" si="2"/>
        <v>16</v>
      </c>
      <c r="G71" s="6">
        <f>IF(F71="","",F71*全局设置!$B$7*全局设置!$D$14)</f>
        <v>16</v>
      </c>
      <c r="H71" s="6">
        <f>IF(G71="","",G71*全局设置!$B$5)</f>
        <v>16</v>
      </c>
      <c r="I71" s="9" t="str">
        <f>IF(AND(B71="",C71=""),"",IF(B71="","缺少敌人",IF(C71="","缺少数量",IF(OR(C71&lt;1,C71&gt;9999,C71&lt;&gt;INT(C71)),"数量无效",IF(COUNTIF($B$65:$B$82,B71)&gt;1,"重复敌人",IFERROR(IF(VLOOKUP(B71,敌人目录!$A$6:$AD$54,27,FALSE)="可回读","可回读","敌人参数错误"),"敌人不存在"))))))</f>
        <v>可回读</v>
      </c>
    </row>
    <row r="72" spans="1:9" ht="24" customHeight="1">
      <c r="A72" s="32">
        <v>8</v>
      </c>
      <c r="B72" s="14"/>
      <c r="C72" s="14"/>
      <c r="D72" s="9" t="str">
        <f>IF(OR(B72="",C72=""),"",ROUNDUP(C72*(1+(全局设置!$B$5-1)*全局设置!$B$6),0))</f>
        <v/>
      </c>
      <c r="E72" s="6" t="str">
        <f>IFERROR(VLOOKUP(B72,敌人目录!$A$6:$AD$54,13,FALSE),"")</f>
        <v/>
      </c>
      <c r="F72" s="6" t="str">
        <f t="shared" si="2"/>
        <v/>
      </c>
      <c r="G72" s="6" t="str">
        <f>IF(F72="","",F72*全局设置!$B$7*全局设置!$D$14)</f>
        <v/>
      </c>
      <c r="H72" s="6" t="str">
        <f>IF(G72="","",G72*全局设置!$B$5)</f>
        <v/>
      </c>
      <c r="I72" s="9" t="str">
        <f>IF(AND(B72="",C72=""),"",IF(B72="","缺少敌人",IF(C72="","缺少数量",IF(OR(C72&lt;1,C72&gt;9999,C72&lt;&gt;INT(C72)),"数量无效",IF(COUNTIF($B$65:$B$82,B72)&gt;1,"重复敌人",IFERROR(IF(VLOOKUP(B72,敌人目录!$A$6:$AD$54,27,FALSE)="可回读","可回读","敌人参数错误"),"敌人不存在"))))))</f>
        <v/>
      </c>
    </row>
    <row r="73" spans="1:9" ht="24" customHeight="1">
      <c r="A73" s="32">
        <v>9</v>
      </c>
      <c r="B73" s="14"/>
      <c r="C73" s="14"/>
      <c r="D73" s="9" t="str">
        <f>IF(OR(B73="",C73=""),"",ROUNDUP(C73*(1+(全局设置!$B$5-1)*全局设置!$B$6),0))</f>
        <v/>
      </c>
      <c r="E73" s="6" t="str">
        <f>IFERROR(VLOOKUP(B73,敌人目录!$A$6:$AD$54,13,FALSE),"")</f>
        <v/>
      </c>
      <c r="F73" s="6" t="str">
        <f t="shared" si="2"/>
        <v/>
      </c>
      <c r="G73" s="6" t="str">
        <f>IF(F73="","",F73*全局设置!$B$7*全局设置!$D$14)</f>
        <v/>
      </c>
      <c r="H73" s="6" t="str">
        <f>IF(G73="","",G73*全局设置!$B$5)</f>
        <v/>
      </c>
      <c r="I73" s="9" t="str">
        <f>IF(AND(B73="",C73=""),"",IF(B73="","缺少敌人",IF(C73="","缺少数量",IF(OR(C73&lt;1,C73&gt;9999,C73&lt;&gt;INT(C73)),"数量无效",IF(COUNTIF($B$65:$B$82,B73)&gt;1,"重复敌人",IFERROR(IF(VLOOKUP(B73,敌人目录!$A$6:$AD$54,27,FALSE)="可回读","可回读","敌人参数错误"),"敌人不存在"))))))</f>
        <v/>
      </c>
    </row>
    <row r="74" spans="1:9" ht="24" customHeight="1">
      <c r="A74" s="32">
        <v>10</v>
      </c>
      <c r="B74" s="14"/>
      <c r="C74" s="14"/>
      <c r="D74" s="9" t="str">
        <f>IF(OR(B74="",C74=""),"",ROUNDUP(C74*(1+(全局设置!$B$5-1)*全局设置!$B$6),0))</f>
        <v/>
      </c>
      <c r="E74" s="6" t="str">
        <f>IFERROR(VLOOKUP(B74,敌人目录!$A$6:$AD$54,13,FALSE),"")</f>
        <v/>
      </c>
      <c r="F74" s="6" t="str">
        <f t="shared" si="2"/>
        <v/>
      </c>
      <c r="G74" s="6" t="str">
        <f>IF(F74="","",F74*全局设置!$B$7*全局设置!$D$14)</f>
        <v/>
      </c>
      <c r="H74" s="6" t="str">
        <f>IF(G74="","",G74*全局设置!$B$5)</f>
        <v/>
      </c>
      <c r="I74" s="9" t="str">
        <f>IF(AND(B74="",C74=""),"",IF(B74="","缺少敌人",IF(C74="","缺少数量",IF(OR(C74&lt;1,C74&gt;9999,C74&lt;&gt;INT(C74)),"数量无效",IF(COUNTIF($B$65:$B$82,B74)&gt;1,"重复敌人",IFERROR(IF(VLOOKUP(B74,敌人目录!$A$6:$AD$54,27,FALSE)="可回读","可回读","敌人参数错误"),"敌人不存在"))))))</f>
        <v/>
      </c>
    </row>
    <row r="75" spans="1:9" ht="24" customHeight="1">
      <c r="A75" s="32">
        <v>11</v>
      </c>
      <c r="B75" s="14"/>
      <c r="C75" s="14"/>
      <c r="D75" s="9" t="str">
        <f>IF(OR(B75="",C75=""),"",ROUNDUP(C75*(1+(全局设置!$B$5-1)*全局设置!$B$6),0))</f>
        <v/>
      </c>
      <c r="E75" s="6" t="str">
        <f>IFERROR(VLOOKUP(B75,敌人目录!$A$6:$AD$54,13,FALSE),"")</f>
        <v/>
      </c>
      <c r="F75" s="6" t="str">
        <f t="shared" si="2"/>
        <v/>
      </c>
      <c r="G75" s="6" t="str">
        <f>IF(F75="","",F75*全局设置!$B$7*全局设置!$D$14)</f>
        <v/>
      </c>
      <c r="H75" s="6" t="str">
        <f>IF(G75="","",G75*全局设置!$B$5)</f>
        <v/>
      </c>
      <c r="I75" s="9" t="str">
        <f>IF(AND(B75="",C75=""),"",IF(B75="","缺少敌人",IF(C75="","缺少数量",IF(OR(C75&lt;1,C75&gt;9999,C75&lt;&gt;INT(C75)),"数量无效",IF(COUNTIF($B$65:$B$82,B75)&gt;1,"重复敌人",IFERROR(IF(VLOOKUP(B75,敌人目录!$A$6:$AD$54,27,FALSE)="可回读","可回读","敌人参数错误"),"敌人不存在"))))))</f>
        <v/>
      </c>
    </row>
    <row r="76" spans="1:9" ht="24" customHeight="1">
      <c r="A76" s="32">
        <v>12</v>
      </c>
      <c r="B76" s="14"/>
      <c r="C76" s="14"/>
      <c r="D76" s="9" t="str">
        <f>IF(OR(B76="",C76=""),"",ROUNDUP(C76*(1+(全局设置!$B$5-1)*全局设置!$B$6),0))</f>
        <v/>
      </c>
      <c r="E76" s="6" t="str">
        <f>IFERROR(VLOOKUP(B76,敌人目录!$A$6:$AD$54,13,FALSE),"")</f>
        <v/>
      </c>
      <c r="F76" s="6" t="str">
        <f t="shared" si="2"/>
        <v/>
      </c>
      <c r="G76" s="6" t="str">
        <f>IF(F76="","",F76*全局设置!$B$7*全局设置!$D$14)</f>
        <v/>
      </c>
      <c r="H76" s="6" t="str">
        <f>IF(G76="","",G76*全局设置!$B$5)</f>
        <v/>
      </c>
      <c r="I76" s="9" t="str">
        <f>IF(AND(B76="",C76=""),"",IF(B76="","缺少敌人",IF(C76="","缺少数量",IF(OR(C76&lt;1,C76&gt;9999,C76&lt;&gt;INT(C76)),"数量无效",IF(COUNTIF($B$65:$B$82,B76)&gt;1,"重复敌人",IFERROR(IF(VLOOKUP(B76,敌人目录!$A$6:$AD$54,27,FALSE)="可回读","可回读","敌人参数错误"),"敌人不存在"))))))</f>
        <v/>
      </c>
    </row>
    <row r="77" spans="1:9" ht="24" customHeight="1">
      <c r="A77" s="32">
        <v>13</v>
      </c>
      <c r="B77" s="14"/>
      <c r="C77" s="14"/>
      <c r="D77" s="9" t="str">
        <f>IF(OR(B77="",C77=""),"",ROUNDUP(C77*(1+(全局设置!$B$5-1)*全局设置!$B$6),0))</f>
        <v/>
      </c>
      <c r="E77" s="6" t="str">
        <f>IFERROR(VLOOKUP(B77,敌人目录!$A$6:$AD$54,13,FALSE),"")</f>
        <v/>
      </c>
      <c r="F77" s="6" t="str">
        <f t="shared" si="2"/>
        <v/>
      </c>
      <c r="G77" s="6" t="str">
        <f>IF(F77="","",F77*全局设置!$B$7*全局设置!$D$14)</f>
        <v/>
      </c>
      <c r="H77" s="6" t="str">
        <f>IF(G77="","",G77*全局设置!$B$5)</f>
        <v/>
      </c>
      <c r="I77" s="9" t="str">
        <f>IF(AND(B77="",C77=""),"",IF(B77="","缺少敌人",IF(C77="","缺少数量",IF(OR(C77&lt;1,C77&gt;9999,C77&lt;&gt;INT(C77)),"数量无效",IF(COUNTIF($B$65:$B$82,B77)&gt;1,"重复敌人",IFERROR(IF(VLOOKUP(B77,敌人目录!$A$6:$AD$54,27,FALSE)="可回读","可回读","敌人参数错误"),"敌人不存在"))))))</f>
        <v/>
      </c>
    </row>
    <row r="78" spans="1:9" ht="24" customHeight="1">
      <c r="A78" s="32">
        <v>14</v>
      </c>
      <c r="B78" s="14"/>
      <c r="C78" s="14"/>
      <c r="D78" s="9" t="str">
        <f>IF(OR(B78="",C78=""),"",ROUNDUP(C78*(1+(全局设置!$B$5-1)*全局设置!$B$6),0))</f>
        <v/>
      </c>
      <c r="E78" s="6" t="str">
        <f>IFERROR(VLOOKUP(B78,敌人目录!$A$6:$AD$54,13,FALSE),"")</f>
        <v/>
      </c>
      <c r="F78" s="6" t="str">
        <f t="shared" si="2"/>
        <v/>
      </c>
      <c r="G78" s="6" t="str">
        <f>IF(F78="","",F78*全局设置!$B$7*全局设置!$D$14)</f>
        <v/>
      </c>
      <c r="H78" s="6" t="str">
        <f>IF(G78="","",G78*全局设置!$B$5)</f>
        <v/>
      </c>
      <c r="I78" s="9" t="str">
        <f>IF(AND(B78="",C78=""),"",IF(B78="","缺少敌人",IF(C78="","缺少数量",IF(OR(C78&lt;1,C78&gt;9999,C78&lt;&gt;INT(C78)),"数量无效",IF(COUNTIF($B$65:$B$82,B78)&gt;1,"重复敌人",IFERROR(IF(VLOOKUP(B78,敌人目录!$A$6:$AD$54,27,FALSE)="可回读","可回读","敌人参数错误"),"敌人不存在"))))))</f>
        <v/>
      </c>
    </row>
    <row r="79" spans="1:9" ht="24" customHeight="1">
      <c r="A79" s="32">
        <v>15</v>
      </c>
      <c r="B79" s="14"/>
      <c r="C79" s="14"/>
      <c r="D79" s="9" t="str">
        <f>IF(OR(B79="",C79=""),"",ROUNDUP(C79*(1+(全局设置!$B$5-1)*全局设置!$B$6),0))</f>
        <v/>
      </c>
      <c r="E79" s="6" t="str">
        <f>IFERROR(VLOOKUP(B79,敌人目录!$A$6:$AD$54,13,FALSE),"")</f>
        <v/>
      </c>
      <c r="F79" s="6" t="str">
        <f t="shared" si="2"/>
        <v/>
      </c>
      <c r="G79" s="6" t="str">
        <f>IF(F79="","",F79*全局设置!$B$7*全局设置!$D$14)</f>
        <v/>
      </c>
      <c r="H79" s="6" t="str">
        <f>IF(G79="","",G79*全局设置!$B$5)</f>
        <v/>
      </c>
      <c r="I79" s="9" t="str">
        <f>IF(AND(B79="",C79=""),"",IF(B79="","缺少敌人",IF(C79="","缺少数量",IF(OR(C79&lt;1,C79&gt;9999,C79&lt;&gt;INT(C79)),"数量无效",IF(COUNTIF($B$65:$B$82,B79)&gt;1,"重复敌人",IFERROR(IF(VLOOKUP(B79,敌人目录!$A$6:$AD$54,27,FALSE)="可回读","可回读","敌人参数错误"),"敌人不存在"))))))</f>
        <v/>
      </c>
    </row>
    <row r="80" spans="1:9" ht="24" customHeight="1">
      <c r="A80" s="32">
        <v>16</v>
      </c>
      <c r="B80" s="14"/>
      <c r="C80" s="14"/>
      <c r="D80" s="9" t="str">
        <f>IF(OR(B80="",C80=""),"",ROUNDUP(C80*(1+(全局设置!$B$5-1)*全局设置!$B$6),0))</f>
        <v/>
      </c>
      <c r="E80" s="6" t="str">
        <f>IFERROR(VLOOKUP(B80,敌人目录!$A$6:$AD$54,13,FALSE),"")</f>
        <v/>
      </c>
      <c r="F80" s="6" t="str">
        <f t="shared" si="2"/>
        <v/>
      </c>
      <c r="G80" s="6" t="str">
        <f>IF(F80="","",F80*全局设置!$B$7*全局设置!$D$14)</f>
        <v/>
      </c>
      <c r="H80" s="6" t="str">
        <f>IF(G80="","",G80*全局设置!$B$5)</f>
        <v/>
      </c>
      <c r="I80" s="9" t="str">
        <f>IF(AND(B80="",C80=""),"",IF(B80="","缺少敌人",IF(C80="","缺少数量",IF(OR(C80&lt;1,C80&gt;9999,C80&lt;&gt;INT(C80)),"数量无效",IF(COUNTIF($B$65:$B$82,B80)&gt;1,"重复敌人",IFERROR(IF(VLOOKUP(B80,敌人目录!$A$6:$AD$54,27,FALSE)="可回读","可回读","敌人参数错误"),"敌人不存在"))))))</f>
        <v/>
      </c>
    </row>
    <row r="81" spans="1:9" ht="24" customHeight="1">
      <c r="A81" s="32">
        <v>17</v>
      </c>
      <c r="B81" s="14"/>
      <c r="C81" s="14"/>
      <c r="D81" s="9" t="str">
        <f>IF(OR(B81="",C81=""),"",ROUNDUP(C81*(1+(全局设置!$B$5-1)*全局设置!$B$6),0))</f>
        <v/>
      </c>
      <c r="E81" s="6" t="str">
        <f>IFERROR(VLOOKUP(B81,敌人目录!$A$6:$AD$54,13,FALSE),"")</f>
        <v/>
      </c>
      <c r="F81" s="6" t="str">
        <f t="shared" si="2"/>
        <v/>
      </c>
      <c r="G81" s="6" t="str">
        <f>IF(F81="","",F81*全局设置!$B$7*全局设置!$D$14)</f>
        <v/>
      </c>
      <c r="H81" s="6" t="str">
        <f>IF(G81="","",G81*全局设置!$B$5)</f>
        <v/>
      </c>
      <c r="I81" s="9" t="str">
        <f>IF(AND(B81="",C81=""),"",IF(B81="","缺少敌人",IF(C81="","缺少数量",IF(OR(C81&lt;1,C81&gt;9999,C81&lt;&gt;INT(C81)),"数量无效",IF(COUNTIF($B$65:$B$82,B81)&gt;1,"重复敌人",IFERROR(IF(VLOOKUP(B81,敌人目录!$A$6:$AD$54,27,FALSE)="可回读","可回读","敌人参数错误"),"敌人不存在"))))))</f>
        <v/>
      </c>
    </row>
    <row r="82" spans="1:9" ht="24" customHeight="1">
      <c r="A82" s="32">
        <v>18</v>
      </c>
      <c r="B82" s="14"/>
      <c r="C82" s="14"/>
      <c r="D82" s="9" t="str">
        <f>IF(OR(B82="",C82=""),"",ROUNDUP(C82*(1+(全局设置!$B$5-1)*全局设置!$B$6),0))</f>
        <v/>
      </c>
      <c r="E82" s="6" t="str">
        <f>IFERROR(VLOOKUP(B82,敌人目录!$A$6:$AD$54,13,FALSE),"")</f>
        <v/>
      </c>
      <c r="F82" s="6" t="str">
        <f t="shared" si="2"/>
        <v/>
      </c>
      <c r="G82" s="6" t="str">
        <f>IF(F82="","",F82*全局设置!$B$7*全局设置!$D$14)</f>
        <v/>
      </c>
      <c r="H82" s="6" t="str">
        <f>IF(G82="","",G82*全局设置!$B$5)</f>
        <v/>
      </c>
      <c r="I82" s="9" t="str">
        <f>IF(AND(B82="",C82=""),"",IF(B82="","缺少敌人",IF(C82="","缺少数量",IF(OR(C82&lt;1,C82&gt;9999,C82&lt;&gt;INT(C82)),"数量无效",IF(COUNTIF($B$65:$B$82,B82)&gt;1,"重复敌人",IFERROR(IF(VLOOKUP(B82,敌人目录!$A$6:$AD$54,27,FALSE)="可回读","可回读","敌人参数错误"),"敌人不存在"))))))</f>
        <v/>
      </c>
    </row>
    <row r="83" spans="1:9" ht="24" customHeight="1">
      <c r="A83" s="12"/>
      <c r="B83" s="12"/>
      <c r="C83" s="12"/>
      <c r="D83" s="12"/>
      <c r="E83" s="12"/>
      <c r="F83" s="12"/>
      <c r="G83" s="12"/>
      <c r="H83" s="12"/>
      <c r="I83" s="12"/>
    </row>
    <row r="84" spans="1:9" ht="32.1" customHeight="1">
      <c r="A84" s="17" t="s">
        <v>134</v>
      </c>
      <c r="B84" s="9">
        <f>SUM(C65:C82)</f>
        <v>112</v>
      </c>
      <c r="C84" s="17" t="s">
        <v>135</v>
      </c>
      <c r="D84" s="9">
        <f>SUM(D65:D82)</f>
        <v>112</v>
      </c>
      <c r="E84" s="17" t="s">
        <v>59</v>
      </c>
      <c r="F84" s="9">
        <f>SUM(F65:F82)</f>
        <v>144</v>
      </c>
      <c r="G84" s="17" t="s">
        <v>48</v>
      </c>
      <c r="H84" s="9">
        <f>SUM(G65:G82)</f>
        <v>144</v>
      </c>
      <c r="I84" s="12"/>
    </row>
    <row r="85" spans="1:9" ht="32.1" customHeight="1">
      <c r="A85" s="17" t="s">
        <v>49</v>
      </c>
      <c r="B85" s="9">
        <f>SUM(H65:H82)</f>
        <v>144</v>
      </c>
      <c r="C85" s="46" t="s">
        <v>149</v>
      </c>
      <c r="D85" s="46" t="s">
        <v>149</v>
      </c>
      <c r="E85" s="46" t="s">
        <v>149</v>
      </c>
      <c r="F85" s="46" t="s">
        <v>149</v>
      </c>
      <c r="G85" s="46" t="s">
        <v>149</v>
      </c>
      <c r="H85" s="46" t="s">
        <v>149</v>
      </c>
      <c r="I85" s="46" t="s">
        <v>149</v>
      </c>
    </row>
    <row r="86" spans="1:9" ht="24" customHeight="1">
      <c r="A86" s="12"/>
      <c r="B86" s="12"/>
      <c r="C86" s="12"/>
      <c r="D86" s="12"/>
      <c r="E86" s="12"/>
      <c r="F86" s="12"/>
      <c r="G86" s="12"/>
      <c r="H86" s="12"/>
      <c r="I86" s="12"/>
    </row>
    <row r="87" spans="1:9" ht="24" customHeight="1">
      <c r="A87" s="12"/>
      <c r="B87" s="12"/>
      <c r="C87" s="12"/>
      <c r="D87" s="12"/>
      <c r="E87" s="12"/>
      <c r="F87" s="12"/>
      <c r="G87" s="12"/>
      <c r="H87" s="12"/>
      <c r="I87" s="12"/>
    </row>
    <row r="88" spans="1:9" ht="24" customHeight="1">
      <c r="A88" s="12"/>
      <c r="B88" s="12"/>
      <c r="C88" s="12"/>
      <c r="D88" s="12"/>
      <c r="E88" s="12"/>
      <c r="F88" s="12"/>
      <c r="G88" s="12"/>
      <c r="H88" s="12"/>
      <c r="I88" s="12"/>
    </row>
    <row r="89" spans="1:9" ht="38.1" customHeight="1">
      <c r="A89" s="47" t="s">
        <v>155</v>
      </c>
      <c r="B89" s="47" t="s">
        <v>155</v>
      </c>
      <c r="C89" s="47" t="s">
        <v>155</v>
      </c>
      <c r="D89" s="47" t="s">
        <v>155</v>
      </c>
      <c r="E89" s="47" t="s">
        <v>155</v>
      </c>
      <c r="F89" s="47" t="s">
        <v>155</v>
      </c>
      <c r="G89" s="47" t="s">
        <v>155</v>
      </c>
      <c r="H89" s="47" t="s">
        <v>155</v>
      </c>
      <c r="I89" s="47" t="s">
        <v>155</v>
      </c>
    </row>
    <row r="90" spans="1:9" ht="24" customHeight="1">
      <c r="A90" s="17" t="s">
        <v>112</v>
      </c>
      <c r="B90" s="45" t="s">
        <v>156</v>
      </c>
      <c r="C90" s="45" t="s">
        <v>156</v>
      </c>
      <c r="D90" s="17" t="s">
        <v>114</v>
      </c>
      <c r="E90" s="14">
        <v>0.3</v>
      </c>
      <c r="F90" s="17" t="s">
        <v>115</v>
      </c>
      <c r="G90" s="14">
        <v>1</v>
      </c>
      <c r="H90" s="17" t="s">
        <v>61</v>
      </c>
      <c r="I90" s="14">
        <v>300</v>
      </c>
    </row>
    <row r="91" spans="1:9" ht="24" customHeight="1">
      <c r="A91" s="17" t="s">
        <v>116</v>
      </c>
      <c r="B91" s="14" t="s">
        <v>117</v>
      </c>
      <c r="C91" s="14" t="s">
        <v>118</v>
      </c>
      <c r="D91" s="14" t="s">
        <v>119</v>
      </c>
      <c r="E91" s="14" t="s">
        <v>120</v>
      </c>
      <c r="F91" s="14" t="s">
        <v>121</v>
      </c>
      <c r="G91" s="14" t="s">
        <v>122</v>
      </c>
      <c r="H91" s="17" t="s">
        <v>123</v>
      </c>
      <c r="I91" s="9" t="str">
        <f>IF(COUNTA(B94:B111)=0,"待设计",IF(COUNTIF(I94:I111,"可回读")=COUNTA(B94:B111),"可回读","需修正"))</f>
        <v>可回读</v>
      </c>
    </row>
    <row r="92" spans="1:9" ht="33.950000000000003" customHeight="1">
      <c r="A92" s="48" t="s">
        <v>124</v>
      </c>
      <c r="B92" s="48" t="s">
        <v>124</v>
      </c>
      <c r="C92" s="48" t="s">
        <v>124</v>
      </c>
      <c r="D92" s="48" t="s">
        <v>124</v>
      </c>
      <c r="E92" s="48" t="s">
        <v>124</v>
      </c>
      <c r="F92" s="48" t="s">
        <v>124</v>
      </c>
      <c r="G92" s="48" t="s">
        <v>124</v>
      </c>
      <c r="H92" s="48" t="s">
        <v>124</v>
      </c>
      <c r="I92" s="48" t="s">
        <v>124</v>
      </c>
    </row>
    <row r="93" spans="1:9" ht="42" customHeight="1">
      <c r="A93" s="17" t="s">
        <v>125</v>
      </c>
      <c r="B93" s="17" t="s">
        <v>126</v>
      </c>
      <c r="C93" s="17" t="s">
        <v>56</v>
      </c>
      <c r="D93" s="17" t="s">
        <v>57</v>
      </c>
      <c r="E93" s="22" t="s">
        <v>127</v>
      </c>
      <c r="F93" s="22" t="s">
        <v>128</v>
      </c>
      <c r="G93" s="22" t="s">
        <v>129</v>
      </c>
      <c r="H93" s="22" t="s">
        <v>130</v>
      </c>
      <c r="I93" s="17" t="s">
        <v>131</v>
      </c>
    </row>
    <row r="94" spans="1:9" ht="24" customHeight="1">
      <c r="A94" s="32">
        <v>1</v>
      </c>
      <c r="B94" s="14" t="s">
        <v>132</v>
      </c>
      <c r="C94" s="14">
        <v>24</v>
      </c>
      <c r="D94" s="9">
        <f>IF(OR(B94="",C94=""),"",ROUNDUP(C94*(1+(全局设置!$B$5-1)*全局设置!$B$6),0))</f>
        <v>24</v>
      </c>
      <c r="E94" s="6">
        <f>IFERROR(VLOOKUP(B94,敌人目录!$A$6:$AD$54,13,FALSE),"")</f>
        <v>1</v>
      </c>
      <c r="F94" s="6">
        <f t="shared" ref="F94:F111" si="3">IF(D94="","",D94*E94)</f>
        <v>24</v>
      </c>
      <c r="G94" s="6">
        <f>IF(F94="","",F94*全局设置!$B$7*全局设置!$D$14)</f>
        <v>24</v>
      </c>
      <c r="H94" s="6">
        <f>IF(G94="","",G94*全局设置!$B$5)</f>
        <v>24</v>
      </c>
      <c r="I94" s="9" t="str">
        <f>IF(AND(B94="",C94=""),"",IF(B94="","缺少敌人",IF(C94="","缺少数量",IF(OR(C94&lt;1,C94&gt;9999,C94&lt;&gt;INT(C94)),"数量无效",IF(COUNTIF($B$94:$B$111,B94)&gt;1,"重复敌人",IFERROR(IF(VLOOKUP(B94,敌人目录!$A$6:$AD$54,27,FALSE)="可回读","可回读","敌人参数错误"),"敌人不存在"))))))</f>
        <v>可回读</v>
      </c>
    </row>
    <row r="95" spans="1:9" ht="24" customHeight="1">
      <c r="A95" s="32">
        <v>2</v>
      </c>
      <c r="B95" s="14" t="s">
        <v>139</v>
      </c>
      <c r="C95" s="14">
        <v>24</v>
      </c>
      <c r="D95" s="9">
        <f>IF(OR(B95="",C95=""),"",ROUNDUP(C95*(1+(全局设置!$B$5-1)*全局设置!$B$6),0))</f>
        <v>24</v>
      </c>
      <c r="E95" s="6">
        <f>IFERROR(VLOOKUP(B95,敌人目录!$A$6:$AD$54,13,FALSE),"")</f>
        <v>1</v>
      </c>
      <c r="F95" s="6">
        <f t="shared" si="3"/>
        <v>24</v>
      </c>
      <c r="G95" s="6">
        <f>IF(F95="","",F95*全局设置!$B$7*全局设置!$D$14)</f>
        <v>24</v>
      </c>
      <c r="H95" s="6">
        <f>IF(G95="","",G95*全局设置!$B$5)</f>
        <v>24</v>
      </c>
      <c r="I95" s="9" t="str">
        <f>IF(AND(B95="",C95=""),"",IF(B95="","缺少敌人",IF(C95="","缺少数量",IF(OR(C95&lt;1,C95&gt;9999,C95&lt;&gt;INT(C95)),"数量无效",IF(COUNTIF($B$94:$B$111,B95)&gt;1,"重复敌人",IFERROR(IF(VLOOKUP(B95,敌人目录!$A$6:$AD$54,27,FALSE)="可回读","可回读","敌人参数错误"),"敌人不存在"))))))</f>
        <v>可回读</v>
      </c>
    </row>
    <row r="96" spans="1:9" ht="24" customHeight="1">
      <c r="A96" s="32">
        <v>3</v>
      </c>
      <c r="B96" s="14" t="s">
        <v>133</v>
      </c>
      <c r="C96" s="14">
        <v>20</v>
      </c>
      <c r="D96" s="9">
        <f>IF(OR(B96="",C96=""),"",ROUNDUP(C96*(1+(全局设置!$B$5-1)*全局设置!$B$6),0))</f>
        <v>20</v>
      </c>
      <c r="E96" s="6">
        <f>IFERROR(VLOOKUP(B96,敌人目录!$A$6:$AD$54,13,FALSE),"")</f>
        <v>2</v>
      </c>
      <c r="F96" s="6">
        <f t="shared" si="3"/>
        <v>40</v>
      </c>
      <c r="G96" s="6">
        <f>IF(F96="","",F96*全局设置!$B$7*全局设置!$D$14)</f>
        <v>40</v>
      </c>
      <c r="H96" s="6">
        <f>IF(G96="","",G96*全局设置!$B$5)</f>
        <v>40</v>
      </c>
      <c r="I96" s="9" t="str">
        <f>IF(AND(B96="",C96=""),"",IF(B96="","缺少敌人",IF(C96="","缺少数量",IF(OR(C96&lt;1,C96&gt;9999,C96&lt;&gt;INT(C96)),"数量无效",IF(COUNTIF($B$94:$B$111,B96)&gt;1,"重复敌人",IFERROR(IF(VLOOKUP(B96,敌人目录!$A$6:$AD$54,27,FALSE)="可回读","可回读","敌人参数错误"),"敌人不存在"))))))</f>
        <v>可回读</v>
      </c>
    </row>
    <row r="97" spans="1:9" ht="24" customHeight="1">
      <c r="A97" s="32">
        <v>4</v>
      </c>
      <c r="B97" s="14" t="s">
        <v>142</v>
      </c>
      <c r="C97" s="14">
        <v>20</v>
      </c>
      <c r="D97" s="9">
        <f>IF(OR(B97="",C97=""),"",ROUNDUP(C97*(1+(全局设置!$B$5-1)*全局设置!$B$6),0))</f>
        <v>20</v>
      </c>
      <c r="E97" s="6">
        <f>IFERROR(VLOOKUP(B97,敌人目录!$A$6:$AD$54,13,FALSE),"")</f>
        <v>1</v>
      </c>
      <c r="F97" s="6">
        <f t="shared" si="3"/>
        <v>20</v>
      </c>
      <c r="G97" s="6">
        <f>IF(F97="","",F97*全局设置!$B$7*全局设置!$D$14)</f>
        <v>20</v>
      </c>
      <c r="H97" s="6">
        <f>IF(G97="","",G97*全局设置!$B$5)</f>
        <v>20</v>
      </c>
      <c r="I97" s="9" t="str">
        <f>IF(AND(B97="",C97=""),"",IF(B97="","缺少敌人",IF(C97="","缺少数量",IF(OR(C97&lt;1,C97&gt;9999,C97&lt;&gt;INT(C97)),"数量无效",IF(COUNTIF($B$94:$B$111,B97)&gt;1,"重复敌人",IFERROR(IF(VLOOKUP(B97,敌人目录!$A$6:$AD$54,27,FALSE)="可回读","可回读","敌人参数错误"),"敌人不存在"))))))</f>
        <v>可回读</v>
      </c>
    </row>
    <row r="98" spans="1:9" ht="24" customHeight="1">
      <c r="A98" s="32">
        <v>5</v>
      </c>
      <c r="B98" s="14" t="s">
        <v>154</v>
      </c>
      <c r="C98" s="14">
        <v>12</v>
      </c>
      <c r="D98" s="9">
        <f>IF(OR(B98="",C98=""),"",ROUNDUP(C98*(1+(全局设置!$B$5-1)*全局设置!$B$6),0))</f>
        <v>12</v>
      </c>
      <c r="E98" s="6">
        <f>IFERROR(VLOOKUP(B98,敌人目录!$A$6:$AD$54,13,FALSE),"")</f>
        <v>2</v>
      </c>
      <c r="F98" s="6">
        <f t="shared" si="3"/>
        <v>24</v>
      </c>
      <c r="G98" s="6">
        <f>IF(F98="","",F98*全局设置!$B$7*全局设置!$D$14)</f>
        <v>24</v>
      </c>
      <c r="H98" s="6">
        <f>IF(G98="","",G98*全局设置!$B$5)</f>
        <v>24</v>
      </c>
      <c r="I98" s="9" t="str">
        <f>IF(AND(B98="",C98=""),"",IF(B98="","缺少敌人",IF(C98="","缺少数量",IF(OR(C98&lt;1,C98&gt;9999,C98&lt;&gt;INT(C98)),"数量无效",IF(COUNTIF($B$94:$B$111,B98)&gt;1,"重复敌人",IFERROR(IF(VLOOKUP(B98,敌人目录!$A$6:$AD$54,27,FALSE)="可回读","可回读","敌人参数错误"),"敌人不存在"))))))</f>
        <v>可回读</v>
      </c>
    </row>
    <row r="99" spans="1:9" ht="24" customHeight="1">
      <c r="A99" s="32">
        <v>6</v>
      </c>
      <c r="B99" s="14" t="s">
        <v>143</v>
      </c>
      <c r="C99" s="14">
        <v>16</v>
      </c>
      <c r="D99" s="9">
        <f>IF(OR(B99="",C99=""),"",ROUNDUP(C99*(1+(全局设置!$B$5-1)*全局设置!$B$6),0))</f>
        <v>16</v>
      </c>
      <c r="E99" s="6">
        <f>IFERROR(VLOOKUP(B99,敌人目录!$A$6:$AD$54,13,FALSE),"")</f>
        <v>1</v>
      </c>
      <c r="F99" s="6">
        <f t="shared" si="3"/>
        <v>16</v>
      </c>
      <c r="G99" s="6">
        <f>IF(F99="","",F99*全局设置!$B$7*全局设置!$D$14)</f>
        <v>16</v>
      </c>
      <c r="H99" s="6">
        <f>IF(G99="","",G99*全局设置!$B$5)</f>
        <v>16</v>
      </c>
      <c r="I99" s="9" t="str">
        <f>IF(AND(B99="",C99=""),"",IF(B99="","缺少敌人",IF(C99="","缺少数量",IF(OR(C99&lt;1,C99&gt;9999,C99&lt;&gt;INT(C99)),"数量无效",IF(COUNTIF($B$94:$B$111,B99)&gt;1,"重复敌人",IFERROR(IF(VLOOKUP(B99,敌人目录!$A$6:$AD$54,27,FALSE)="可回读","可回读","敌人参数错误"),"敌人不存在"))))))</f>
        <v>可回读</v>
      </c>
    </row>
    <row r="100" spans="1:9" ht="24" customHeight="1">
      <c r="A100" s="32">
        <v>7</v>
      </c>
      <c r="B100" s="14" t="s">
        <v>148</v>
      </c>
      <c r="C100" s="14">
        <v>12</v>
      </c>
      <c r="D100" s="9">
        <f>IF(OR(B100="",C100=""),"",ROUNDUP(C100*(1+(全局设置!$B$5-1)*全局设置!$B$6),0))</f>
        <v>12</v>
      </c>
      <c r="E100" s="6">
        <f>IFERROR(VLOOKUP(B100,敌人目录!$A$6:$AD$54,13,FALSE),"")</f>
        <v>2</v>
      </c>
      <c r="F100" s="6">
        <f t="shared" si="3"/>
        <v>24</v>
      </c>
      <c r="G100" s="6">
        <f>IF(F100="","",F100*全局设置!$B$7*全局设置!$D$14)</f>
        <v>24</v>
      </c>
      <c r="H100" s="6">
        <f>IF(G100="","",G100*全局设置!$B$5)</f>
        <v>24</v>
      </c>
      <c r="I100" s="9" t="str">
        <f>IF(AND(B100="",C100=""),"",IF(B100="","缺少敌人",IF(C100="","缺少数量",IF(OR(C100&lt;1,C100&gt;9999,C100&lt;&gt;INT(C100)),"数量无效",IF(COUNTIF($B$94:$B$111,B100)&gt;1,"重复敌人",IFERROR(IF(VLOOKUP(B100,敌人目录!$A$6:$AD$54,27,FALSE)="可回读","可回读","敌人参数错误"),"敌人不存在"))))))</f>
        <v>可回读</v>
      </c>
    </row>
    <row r="101" spans="1:9" ht="24" customHeight="1">
      <c r="A101" s="32">
        <v>8</v>
      </c>
      <c r="B101" s="14"/>
      <c r="C101" s="14"/>
      <c r="D101" s="9" t="str">
        <f>IF(OR(B101="",C101=""),"",ROUNDUP(C101*(1+(全局设置!$B$5-1)*全局设置!$B$6),0))</f>
        <v/>
      </c>
      <c r="E101" s="6" t="str">
        <f>IFERROR(VLOOKUP(B101,敌人目录!$A$6:$AD$54,13,FALSE),"")</f>
        <v/>
      </c>
      <c r="F101" s="6" t="str">
        <f t="shared" si="3"/>
        <v/>
      </c>
      <c r="G101" s="6" t="str">
        <f>IF(F101="","",F101*全局设置!$B$7*全局设置!$D$14)</f>
        <v/>
      </c>
      <c r="H101" s="6" t="str">
        <f>IF(G101="","",G101*全局设置!$B$5)</f>
        <v/>
      </c>
      <c r="I101" s="9" t="str">
        <f>IF(AND(B101="",C101=""),"",IF(B101="","缺少敌人",IF(C101="","缺少数量",IF(OR(C101&lt;1,C101&gt;9999,C101&lt;&gt;INT(C101)),"数量无效",IF(COUNTIF($B$94:$B$111,B101)&gt;1,"重复敌人",IFERROR(IF(VLOOKUP(B101,敌人目录!$A$6:$AD$54,27,FALSE)="可回读","可回读","敌人参数错误"),"敌人不存在"))))))</f>
        <v/>
      </c>
    </row>
    <row r="102" spans="1:9" ht="24" customHeight="1">
      <c r="A102" s="32">
        <v>9</v>
      </c>
      <c r="B102" s="14"/>
      <c r="C102" s="14"/>
      <c r="D102" s="9" t="str">
        <f>IF(OR(B102="",C102=""),"",ROUNDUP(C102*(1+(全局设置!$B$5-1)*全局设置!$B$6),0))</f>
        <v/>
      </c>
      <c r="E102" s="6" t="str">
        <f>IFERROR(VLOOKUP(B102,敌人目录!$A$6:$AD$54,13,FALSE),"")</f>
        <v/>
      </c>
      <c r="F102" s="6" t="str">
        <f t="shared" si="3"/>
        <v/>
      </c>
      <c r="G102" s="6" t="str">
        <f>IF(F102="","",F102*全局设置!$B$7*全局设置!$D$14)</f>
        <v/>
      </c>
      <c r="H102" s="6" t="str">
        <f>IF(G102="","",G102*全局设置!$B$5)</f>
        <v/>
      </c>
      <c r="I102" s="9" t="str">
        <f>IF(AND(B102="",C102=""),"",IF(B102="","缺少敌人",IF(C102="","缺少数量",IF(OR(C102&lt;1,C102&gt;9999,C102&lt;&gt;INT(C102)),"数量无效",IF(COUNTIF($B$94:$B$111,B102)&gt;1,"重复敌人",IFERROR(IF(VLOOKUP(B102,敌人目录!$A$6:$AD$54,27,FALSE)="可回读","可回读","敌人参数错误"),"敌人不存在"))))))</f>
        <v/>
      </c>
    </row>
    <row r="103" spans="1:9" ht="24" customHeight="1">
      <c r="A103" s="32">
        <v>10</v>
      </c>
      <c r="B103" s="14"/>
      <c r="C103" s="14"/>
      <c r="D103" s="9" t="str">
        <f>IF(OR(B103="",C103=""),"",ROUNDUP(C103*(1+(全局设置!$B$5-1)*全局设置!$B$6),0))</f>
        <v/>
      </c>
      <c r="E103" s="6" t="str">
        <f>IFERROR(VLOOKUP(B103,敌人目录!$A$6:$AD$54,13,FALSE),"")</f>
        <v/>
      </c>
      <c r="F103" s="6" t="str">
        <f t="shared" si="3"/>
        <v/>
      </c>
      <c r="G103" s="6" t="str">
        <f>IF(F103="","",F103*全局设置!$B$7*全局设置!$D$14)</f>
        <v/>
      </c>
      <c r="H103" s="6" t="str">
        <f>IF(G103="","",G103*全局设置!$B$5)</f>
        <v/>
      </c>
      <c r="I103" s="9" t="str">
        <f>IF(AND(B103="",C103=""),"",IF(B103="","缺少敌人",IF(C103="","缺少数量",IF(OR(C103&lt;1,C103&gt;9999,C103&lt;&gt;INT(C103)),"数量无效",IF(COUNTIF($B$94:$B$111,B103)&gt;1,"重复敌人",IFERROR(IF(VLOOKUP(B103,敌人目录!$A$6:$AD$54,27,FALSE)="可回读","可回读","敌人参数错误"),"敌人不存在"))))))</f>
        <v/>
      </c>
    </row>
    <row r="104" spans="1:9" ht="24" customHeight="1">
      <c r="A104" s="32">
        <v>11</v>
      </c>
      <c r="B104" s="14"/>
      <c r="C104" s="14"/>
      <c r="D104" s="9" t="str">
        <f>IF(OR(B104="",C104=""),"",ROUNDUP(C104*(1+(全局设置!$B$5-1)*全局设置!$B$6),0))</f>
        <v/>
      </c>
      <c r="E104" s="6" t="str">
        <f>IFERROR(VLOOKUP(B104,敌人目录!$A$6:$AD$54,13,FALSE),"")</f>
        <v/>
      </c>
      <c r="F104" s="6" t="str">
        <f t="shared" si="3"/>
        <v/>
      </c>
      <c r="G104" s="6" t="str">
        <f>IF(F104="","",F104*全局设置!$B$7*全局设置!$D$14)</f>
        <v/>
      </c>
      <c r="H104" s="6" t="str">
        <f>IF(G104="","",G104*全局设置!$B$5)</f>
        <v/>
      </c>
      <c r="I104" s="9" t="str">
        <f>IF(AND(B104="",C104=""),"",IF(B104="","缺少敌人",IF(C104="","缺少数量",IF(OR(C104&lt;1,C104&gt;9999,C104&lt;&gt;INT(C104)),"数量无效",IF(COUNTIF($B$94:$B$111,B104)&gt;1,"重复敌人",IFERROR(IF(VLOOKUP(B104,敌人目录!$A$6:$AD$54,27,FALSE)="可回读","可回读","敌人参数错误"),"敌人不存在"))))))</f>
        <v/>
      </c>
    </row>
    <row r="105" spans="1:9" ht="24" customHeight="1">
      <c r="A105" s="32">
        <v>12</v>
      </c>
      <c r="B105" s="14"/>
      <c r="C105" s="14"/>
      <c r="D105" s="9" t="str">
        <f>IF(OR(B105="",C105=""),"",ROUNDUP(C105*(1+(全局设置!$B$5-1)*全局设置!$B$6),0))</f>
        <v/>
      </c>
      <c r="E105" s="6" t="str">
        <f>IFERROR(VLOOKUP(B105,敌人目录!$A$6:$AD$54,13,FALSE),"")</f>
        <v/>
      </c>
      <c r="F105" s="6" t="str">
        <f t="shared" si="3"/>
        <v/>
      </c>
      <c r="G105" s="6" t="str">
        <f>IF(F105="","",F105*全局设置!$B$7*全局设置!$D$14)</f>
        <v/>
      </c>
      <c r="H105" s="6" t="str">
        <f>IF(G105="","",G105*全局设置!$B$5)</f>
        <v/>
      </c>
      <c r="I105" s="9" t="str">
        <f>IF(AND(B105="",C105=""),"",IF(B105="","缺少敌人",IF(C105="","缺少数量",IF(OR(C105&lt;1,C105&gt;9999,C105&lt;&gt;INT(C105)),"数量无效",IF(COUNTIF($B$94:$B$111,B105)&gt;1,"重复敌人",IFERROR(IF(VLOOKUP(B105,敌人目录!$A$6:$AD$54,27,FALSE)="可回读","可回读","敌人参数错误"),"敌人不存在"))))))</f>
        <v/>
      </c>
    </row>
    <row r="106" spans="1:9" ht="24" customHeight="1">
      <c r="A106" s="32">
        <v>13</v>
      </c>
      <c r="B106" s="14"/>
      <c r="C106" s="14"/>
      <c r="D106" s="9" t="str">
        <f>IF(OR(B106="",C106=""),"",ROUNDUP(C106*(1+(全局设置!$B$5-1)*全局设置!$B$6),0))</f>
        <v/>
      </c>
      <c r="E106" s="6" t="str">
        <f>IFERROR(VLOOKUP(B106,敌人目录!$A$6:$AD$54,13,FALSE),"")</f>
        <v/>
      </c>
      <c r="F106" s="6" t="str">
        <f t="shared" si="3"/>
        <v/>
      </c>
      <c r="G106" s="6" t="str">
        <f>IF(F106="","",F106*全局设置!$B$7*全局设置!$D$14)</f>
        <v/>
      </c>
      <c r="H106" s="6" t="str">
        <f>IF(G106="","",G106*全局设置!$B$5)</f>
        <v/>
      </c>
      <c r="I106" s="9" t="str">
        <f>IF(AND(B106="",C106=""),"",IF(B106="","缺少敌人",IF(C106="","缺少数量",IF(OR(C106&lt;1,C106&gt;9999,C106&lt;&gt;INT(C106)),"数量无效",IF(COUNTIF($B$94:$B$111,B106)&gt;1,"重复敌人",IFERROR(IF(VLOOKUP(B106,敌人目录!$A$6:$AD$54,27,FALSE)="可回读","可回读","敌人参数错误"),"敌人不存在"))))))</f>
        <v/>
      </c>
    </row>
    <row r="107" spans="1:9" ht="24" customHeight="1">
      <c r="A107" s="32">
        <v>14</v>
      </c>
      <c r="B107" s="14"/>
      <c r="C107" s="14"/>
      <c r="D107" s="9" t="str">
        <f>IF(OR(B107="",C107=""),"",ROUNDUP(C107*(1+(全局设置!$B$5-1)*全局设置!$B$6),0))</f>
        <v/>
      </c>
      <c r="E107" s="6" t="str">
        <f>IFERROR(VLOOKUP(B107,敌人目录!$A$6:$AD$54,13,FALSE),"")</f>
        <v/>
      </c>
      <c r="F107" s="6" t="str">
        <f t="shared" si="3"/>
        <v/>
      </c>
      <c r="G107" s="6" t="str">
        <f>IF(F107="","",F107*全局设置!$B$7*全局设置!$D$14)</f>
        <v/>
      </c>
      <c r="H107" s="6" t="str">
        <f>IF(G107="","",G107*全局设置!$B$5)</f>
        <v/>
      </c>
      <c r="I107" s="9" t="str">
        <f>IF(AND(B107="",C107=""),"",IF(B107="","缺少敌人",IF(C107="","缺少数量",IF(OR(C107&lt;1,C107&gt;9999,C107&lt;&gt;INT(C107)),"数量无效",IF(COUNTIF($B$94:$B$111,B107)&gt;1,"重复敌人",IFERROR(IF(VLOOKUP(B107,敌人目录!$A$6:$AD$54,27,FALSE)="可回读","可回读","敌人参数错误"),"敌人不存在"))))))</f>
        <v/>
      </c>
    </row>
    <row r="108" spans="1:9" ht="24" customHeight="1">
      <c r="A108" s="32">
        <v>15</v>
      </c>
      <c r="B108" s="14"/>
      <c r="C108" s="14"/>
      <c r="D108" s="9" t="str">
        <f>IF(OR(B108="",C108=""),"",ROUNDUP(C108*(1+(全局设置!$B$5-1)*全局设置!$B$6),0))</f>
        <v/>
      </c>
      <c r="E108" s="6" t="str">
        <f>IFERROR(VLOOKUP(B108,敌人目录!$A$6:$AD$54,13,FALSE),"")</f>
        <v/>
      </c>
      <c r="F108" s="6" t="str">
        <f t="shared" si="3"/>
        <v/>
      </c>
      <c r="G108" s="6" t="str">
        <f>IF(F108="","",F108*全局设置!$B$7*全局设置!$D$14)</f>
        <v/>
      </c>
      <c r="H108" s="6" t="str">
        <f>IF(G108="","",G108*全局设置!$B$5)</f>
        <v/>
      </c>
      <c r="I108" s="9" t="str">
        <f>IF(AND(B108="",C108=""),"",IF(B108="","缺少敌人",IF(C108="","缺少数量",IF(OR(C108&lt;1,C108&gt;9999,C108&lt;&gt;INT(C108)),"数量无效",IF(COUNTIF($B$94:$B$111,B108)&gt;1,"重复敌人",IFERROR(IF(VLOOKUP(B108,敌人目录!$A$6:$AD$54,27,FALSE)="可回读","可回读","敌人参数错误"),"敌人不存在"))))))</f>
        <v/>
      </c>
    </row>
    <row r="109" spans="1:9" ht="24" customHeight="1">
      <c r="A109" s="32">
        <v>16</v>
      </c>
      <c r="B109" s="14"/>
      <c r="C109" s="14"/>
      <c r="D109" s="9" t="str">
        <f>IF(OR(B109="",C109=""),"",ROUNDUP(C109*(1+(全局设置!$B$5-1)*全局设置!$B$6),0))</f>
        <v/>
      </c>
      <c r="E109" s="6" t="str">
        <f>IFERROR(VLOOKUP(B109,敌人目录!$A$6:$AD$54,13,FALSE),"")</f>
        <v/>
      </c>
      <c r="F109" s="6" t="str">
        <f t="shared" si="3"/>
        <v/>
      </c>
      <c r="G109" s="6" t="str">
        <f>IF(F109="","",F109*全局设置!$B$7*全局设置!$D$14)</f>
        <v/>
      </c>
      <c r="H109" s="6" t="str">
        <f>IF(G109="","",G109*全局设置!$B$5)</f>
        <v/>
      </c>
      <c r="I109" s="9" t="str">
        <f>IF(AND(B109="",C109=""),"",IF(B109="","缺少敌人",IF(C109="","缺少数量",IF(OR(C109&lt;1,C109&gt;9999,C109&lt;&gt;INT(C109)),"数量无效",IF(COUNTIF($B$94:$B$111,B109)&gt;1,"重复敌人",IFERROR(IF(VLOOKUP(B109,敌人目录!$A$6:$AD$54,27,FALSE)="可回读","可回读","敌人参数错误"),"敌人不存在"))))))</f>
        <v/>
      </c>
    </row>
    <row r="110" spans="1:9" ht="24" customHeight="1">
      <c r="A110" s="32">
        <v>17</v>
      </c>
      <c r="B110" s="14"/>
      <c r="C110" s="14"/>
      <c r="D110" s="9" t="str">
        <f>IF(OR(B110="",C110=""),"",ROUNDUP(C110*(1+(全局设置!$B$5-1)*全局设置!$B$6),0))</f>
        <v/>
      </c>
      <c r="E110" s="6" t="str">
        <f>IFERROR(VLOOKUP(B110,敌人目录!$A$6:$AD$54,13,FALSE),"")</f>
        <v/>
      </c>
      <c r="F110" s="6" t="str">
        <f t="shared" si="3"/>
        <v/>
      </c>
      <c r="G110" s="6" t="str">
        <f>IF(F110="","",F110*全局设置!$B$7*全局设置!$D$14)</f>
        <v/>
      </c>
      <c r="H110" s="6" t="str">
        <f>IF(G110="","",G110*全局设置!$B$5)</f>
        <v/>
      </c>
      <c r="I110" s="9" t="str">
        <f>IF(AND(B110="",C110=""),"",IF(B110="","缺少敌人",IF(C110="","缺少数量",IF(OR(C110&lt;1,C110&gt;9999,C110&lt;&gt;INT(C110)),"数量无效",IF(COUNTIF($B$94:$B$111,B110)&gt;1,"重复敌人",IFERROR(IF(VLOOKUP(B110,敌人目录!$A$6:$AD$54,27,FALSE)="可回读","可回读","敌人参数错误"),"敌人不存在"))))))</f>
        <v/>
      </c>
    </row>
    <row r="111" spans="1:9" ht="24" customHeight="1">
      <c r="A111" s="32">
        <v>18</v>
      </c>
      <c r="B111" s="14"/>
      <c r="C111" s="14"/>
      <c r="D111" s="9" t="str">
        <f>IF(OR(B111="",C111=""),"",ROUNDUP(C111*(1+(全局设置!$B$5-1)*全局设置!$B$6),0))</f>
        <v/>
      </c>
      <c r="E111" s="6" t="str">
        <f>IFERROR(VLOOKUP(B111,敌人目录!$A$6:$AD$54,13,FALSE),"")</f>
        <v/>
      </c>
      <c r="F111" s="6" t="str">
        <f t="shared" si="3"/>
        <v/>
      </c>
      <c r="G111" s="6" t="str">
        <f>IF(F111="","",F111*全局设置!$B$7*全局设置!$D$14)</f>
        <v/>
      </c>
      <c r="H111" s="6" t="str">
        <f>IF(G111="","",G111*全局设置!$B$5)</f>
        <v/>
      </c>
      <c r="I111" s="9" t="str">
        <f>IF(AND(B111="",C111=""),"",IF(B111="","缺少敌人",IF(C111="","缺少数量",IF(OR(C111&lt;1,C111&gt;9999,C111&lt;&gt;INT(C111)),"数量无效",IF(COUNTIF($B$94:$B$111,B111)&gt;1,"重复敌人",IFERROR(IF(VLOOKUP(B111,敌人目录!$A$6:$AD$54,27,FALSE)="可回读","可回读","敌人参数错误"),"敌人不存在"))))))</f>
        <v/>
      </c>
    </row>
    <row r="112" spans="1:9" ht="24" customHeight="1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 ht="32.1" customHeight="1">
      <c r="A113" s="17" t="s">
        <v>134</v>
      </c>
      <c r="B113" s="9">
        <f>SUM(C94:C111)</f>
        <v>128</v>
      </c>
      <c r="C113" s="17" t="s">
        <v>135</v>
      </c>
      <c r="D113" s="9">
        <f>SUM(D94:D111)</f>
        <v>128</v>
      </c>
      <c r="E113" s="17" t="s">
        <v>59</v>
      </c>
      <c r="F113" s="9">
        <f>SUM(F94:F111)</f>
        <v>172</v>
      </c>
      <c r="G113" s="17" t="s">
        <v>48</v>
      </c>
      <c r="H113" s="9">
        <f>SUM(G94:G111)</f>
        <v>172</v>
      </c>
      <c r="I113" s="12"/>
    </row>
    <row r="114" spans="1:9" ht="32.1" customHeight="1">
      <c r="A114" s="17" t="s">
        <v>49</v>
      </c>
      <c r="B114" s="9">
        <f>SUM(H94:H111)</f>
        <v>172</v>
      </c>
      <c r="C114" s="46" t="s">
        <v>149</v>
      </c>
      <c r="D114" s="46" t="s">
        <v>149</v>
      </c>
      <c r="E114" s="46" t="s">
        <v>149</v>
      </c>
      <c r="F114" s="46" t="s">
        <v>149</v>
      </c>
      <c r="G114" s="46" t="s">
        <v>149</v>
      </c>
      <c r="H114" s="46" t="s">
        <v>149</v>
      </c>
      <c r="I114" s="46" t="s">
        <v>149</v>
      </c>
    </row>
    <row r="115" spans="1:9" ht="24" customHeight="1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9" ht="24" customHeight="1">
      <c r="A116" s="12"/>
      <c r="B116" s="12"/>
      <c r="C116" s="12"/>
      <c r="D116" s="12"/>
      <c r="E116" s="12"/>
      <c r="F116" s="12"/>
      <c r="G116" s="12"/>
      <c r="H116" s="12"/>
      <c r="I116" s="12"/>
    </row>
    <row r="117" spans="1:9" ht="24" customHeight="1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 ht="24" customHeight="1">
      <c r="A118" s="12"/>
      <c r="B118" s="12"/>
      <c r="C118" s="12"/>
      <c r="D118" s="12"/>
      <c r="E118" s="12"/>
      <c r="F118" s="12"/>
      <c r="G118" s="12"/>
      <c r="H118" s="12"/>
      <c r="I118" s="12"/>
    </row>
  </sheetData>
  <mergeCells count="16">
    <mergeCell ref="C114:I114"/>
    <mergeCell ref="A63:I63"/>
    <mergeCell ref="C85:I85"/>
    <mergeCell ref="A89:I89"/>
    <mergeCell ref="B90:C90"/>
    <mergeCell ref="A92:I92"/>
    <mergeCell ref="B32:C32"/>
    <mergeCell ref="A34:I34"/>
    <mergeCell ref="C56:I56"/>
    <mergeCell ref="A60:I60"/>
    <mergeCell ref="B61:C61"/>
    <mergeCell ref="A2:I2"/>
    <mergeCell ref="B3:C3"/>
    <mergeCell ref="A5:I5"/>
    <mergeCell ref="C27:I27"/>
    <mergeCell ref="A31:I31"/>
  </mergeCells>
  <phoneticPr fontId="15" type="noConversion"/>
  <conditionalFormatting sqref="I4">
    <cfRule type="containsText" dxfId="67" priority="7" operator="containsText" text="可回读"/>
    <cfRule type="containsText" dxfId="66" priority="8" operator="containsText" text="待设计"/>
    <cfRule type="containsText" dxfId="65" priority="9" operator="containsText" text="需修正"/>
  </conditionalFormatting>
  <conditionalFormatting sqref="I7:I24">
    <cfRule type="containsText" dxfId="64" priority="1" operator="containsText" text="可回读"/>
    <cfRule type="containsText" dxfId="63" priority="2" operator="containsText" text="缺少"/>
  </conditionalFormatting>
  <conditionalFormatting sqref="I33">
    <cfRule type="containsText" dxfId="62" priority="16" operator="containsText" text="可回读"/>
    <cfRule type="containsText" dxfId="61" priority="17" operator="containsText" text="待设计"/>
    <cfRule type="containsText" dxfId="60" priority="18" operator="containsText" text="需修正"/>
  </conditionalFormatting>
  <conditionalFormatting sqref="I36:I53">
    <cfRule type="containsText" dxfId="59" priority="10" operator="containsText" text="可回读"/>
    <cfRule type="containsText" dxfId="58" priority="11" operator="containsText" text="缺少"/>
  </conditionalFormatting>
  <conditionalFormatting sqref="I62">
    <cfRule type="containsText" dxfId="57" priority="26" operator="containsText" text="待设计"/>
    <cfRule type="containsText" dxfId="56" priority="25" operator="containsText" text="可回读"/>
    <cfRule type="containsText" dxfId="55" priority="27" operator="containsText" text="需修正"/>
  </conditionalFormatting>
  <conditionalFormatting sqref="I65:I82">
    <cfRule type="containsText" dxfId="54" priority="20" operator="containsText" text="缺少"/>
    <cfRule type="containsText" dxfId="53" priority="19" operator="containsText" text="可回读"/>
  </conditionalFormatting>
  <conditionalFormatting sqref="I91">
    <cfRule type="containsText" dxfId="52" priority="34" operator="containsText" text="可回读"/>
    <cfRule type="containsText" dxfId="51" priority="35" operator="containsText" text="待设计"/>
    <cfRule type="containsText" dxfId="50" priority="36" operator="containsText" text="需修正"/>
  </conditionalFormatting>
  <conditionalFormatting sqref="I94:I111">
    <cfRule type="containsText" dxfId="49" priority="28" operator="containsText" text="可回读"/>
    <cfRule type="containsText" dxfId="48" priority="29" operator="containsText" text="缺少"/>
  </conditionalFormatting>
  <dataValidations count="10">
    <dataValidation type="decimal" sqref="E3 E90 E61 E32" xr:uid="{00000000-0002-0000-0400-000000000000}">
      <formula1>0.025</formula1>
      <formula2>60</formula2>
    </dataValidation>
    <dataValidation type="whole" sqref="G3 G90 G61 G32" xr:uid="{00000000-0002-0000-0400-000001000000}">
      <formula1>1</formula1>
      <formula2>4</formula2>
    </dataValidation>
    <dataValidation type="whole" sqref="I3 I61 I32 I90" xr:uid="{00000000-0002-0000-0400-000002000000}">
      <formula1>1</formula1>
      <formula2>999</formula2>
    </dataValidation>
    <dataValidation type="list" sqref="B4 B91 B62 B33" xr:uid="{00000000-0002-0000-0400-000003000000}">
      <formula1>"点1·开启,点1·关闭"</formula1>
    </dataValidation>
    <dataValidation type="list" sqref="C4 C91 C62 C33" xr:uid="{00000000-0002-0000-0400-000004000000}">
      <formula1>"点2·开启,点2·关闭"</formula1>
    </dataValidation>
    <dataValidation type="list" sqref="D4 D91 D62 D33" xr:uid="{00000000-0002-0000-0400-000005000000}">
      <formula1>"点3·开启,点3·关闭"</formula1>
    </dataValidation>
    <dataValidation type="list" sqref="E4 E91 E62 E33" xr:uid="{00000000-0002-0000-0400-000006000000}">
      <formula1>"点4·开启,点4·关闭"</formula1>
    </dataValidation>
    <dataValidation type="list" sqref="F4 F91 F62 F33" xr:uid="{00000000-0002-0000-0400-000007000000}">
      <formula1>"点5·开启,点5·关闭"</formula1>
    </dataValidation>
    <dataValidation type="list" sqref="G4 G91 G62 G33" xr:uid="{00000000-0002-0000-0400-000008000000}">
      <formula1>"点6·开启,点6·关闭"</formula1>
    </dataValidation>
    <dataValidation type="whole" sqref="C7:C24 C94:C111 C65:C82 C36:C53" xr:uid="{00000000-0002-0000-0400-00000A000000}">
      <formula1>1</formula1>
      <formula2>9999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9000000}">
          <x14:formula1>
            <xm:f>'系统数据（勿改）'!$A$4:$A$52</xm:f>
          </x14:formula1>
          <xm:sqref>B7:B24 B94:B111 B65:B82 B36:B53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8"/>
  <sheetViews>
    <sheetView showGridLines="0" workbookViewId="0">
      <selection activeCell="I3" sqref="I3"/>
    </sheetView>
  </sheetViews>
  <sheetFormatPr defaultRowHeight="14.25"/>
  <cols>
    <col min="1" max="1" width="7" customWidth="1"/>
    <col min="2" max="2" width="38" customWidth="1"/>
    <col min="3" max="4" width="12" customWidth="1"/>
    <col min="5" max="5" width="14" customWidth="1"/>
    <col min="6" max="8" width="20" customWidth="1"/>
    <col min="9" max="9" width="15" customWidth="1"/>
  </cols>
  <sheetData>
    <row r="1" spans="1:9" ht="24" customHeight="1">
      <c r="A1" s="12"/>
      <c r="B1" s="12"/>
      <c r="C1" s="12"/>
      <c r="D1" s="12"/>
      <c r="E1" s="12"/>
      <c r="F1" s="12"/>
      <c r="G1" s="12"/>
      <c r="H1" s="12"/>
      <c r="I1" s="12"/>
    </row>
    <row r="2" spans="1:9" ht="38.1" customHeight="1">
      <c r="A2" s="44" t="s">
        <v>157</v>
      </c>
      <c r="B2" s="44" t="s">
        <v>157</v>
      </c>
      <c r="C2" s="44" t="s">
        <v>157</v>
      </c>
      <c r="D2" s="44" t="s">
        <v>157</v>
      </c>
      <c r="E2" s="44" t="s">
        <v>157</v>
      </c>
      <c r="F2" s="44" t="s">
        <v>157</v>
      </c>
      <c r="G2" s="44" t="s">
        <v>157</v>
      </c>
      <c r="H2" s="44" t="s">
        <v>157</v>
      </c>
      <c r="I2" s="44" t="s">
        <v>157</v>
      </c>
    </row>
    <row r="3" spans="1:9" ht="24" customHeight="1">
      <c r="A3" s="13" t="s">
        <v>112</v>
      </c>
      <c r="B3" s="45" t="s">
        <v>158</v>
      </c>
      <c r="C3" s="45" t="s">
        <v>158</v>
      </c>
      <c r="D3" s="13" t="s">
        <v>114</v>
      </c>
      <c r="E3" s="14">
        <v>0.28000000000000003</v>
      </c>
      <c r="F3" s="13" t="s">
        <v>115</v>
      </c>
      <c r="G3" s="14">
        <v>1</v>
      </c>
      <c r="H3" s="13" t="s">
        <v>61</v>
      </c>
      <c r="I3" s="14">
        <v>300</v>
      </c>
    </row>
    <row r="4" spans="1:9" ht="24" customHeight="1">
      <c r="A4" s="13" t="s">
        <v>116</v>
      </c>
      <c r="B4" s="14" t="s">
        <v>117</v>
      </c>
      <c r="C4" s="14" t="s">
        <v>118</v>
      </c>
      <c r="D4" s="14" t="s">
        <v>119</v>
      </c>
      <c r="E4" s="14" t="s">
        <v>120</v>
      </c>
      <c r="F4" s="14" t="s">
        <v>121</v>
      </c>
      <c r="G4" s="14" t="s">
        <v>122</v>
      </c>
      <c r="H4" s="13" t="s">
        <v>123</v>
      </c>
      <c r="I4" s="9" t="str">
        <f>IF(COUNTA(B7:B24)=0,"待设计",IF(COUNTIF(I7:I24,"可回读")=COUNTA(B7:B24),"可回读","需修正"))</f>
        <v>可回读</v>
      </c>
    </row>
    <row r="5" spans="1:9" ht="33.950000000000003" customHeight="1">
      <c r="A5" s="41" t="s">
        <v>124</v>
      </c>
      <c r="B5" s="41" t="s">
        <v>124</v>
      </c>
      <c r="C5" s="41" t="s">
        <v>124</v>
      </c>
      <c r="D5" s="41" t="s">
        <v>124</v>
      </c>
      <c r="E5" s="41" t="s">
        <v>124</v>
      </c>
      <c r="F5" s="41" t="s">
        <v>124</v>
      </c>
      <c r="G5" s="41" t="s">
        <v>124</v>
      </c>
      <c r="H5" s="41" t="s">
        <v>124</v>
      </c>
      <c r="I5" s="41" t="s">
        <v>124</v>
      </c>
    </row>
    <row r="6" spans="1:9" ht="42" customHeight="1">
      <c r="A6" s="20" t="s">
        <v>125</v>
      </c>
      <c r="B6" s="20" t="s">
        <v>126</v>
      </c>
      <c r="C6" s="20" t="s">
        <v>56</v>
      </c>
      <c r="D6" s="20" t="s">
        <v>57</v>
      </c>
      <c r="E6" s="22" t="s">
        <v>127</v>
      </c>
      <c r="F6" s="22" t="s">
        <v>128</v>
      </c>
      <c r="G6" s="22" t="s">
        <v>129</v>
      </c>
      <c r="H6" s="22" t="s">
        <v>130</v>
      </c>
      <c r="I6" s="20" t="s">
        <v>131</v>
      </c>
    </row>
    <row r="7" spans="1:9" ht="24" customHeight="1">
      <c r="A7" s="32">
        <v>1</v>
      </c>
      <c r="B7" s="14" t="s">
        <v>132</v>
      </c>
      <c r="C7" s="14">
        <v>26</v>
      </c>
      <c r="D7" s="9">
        <f>IF(OR(B7="",C7=""),"",ROUNDUP(C7*(1+(全局设置!$B$5-1)*全局设置!$B$6),0))</f>
        <v>26</v>
      </c>
      <c r="E7" s="6">
        <f>IFERROR(VLOOKUP(B7,敌人目录!$A$6:$AD$54,13,FALSE),"")</f>
        <v>1</v>
      </c>
      <c r="F7" s="6">
        <f t="shared" ref="F7:F24" si="0">IF(D7="","",D7*E7)</f>
        <v>26</v>
      </c>
      <c r="G7" s="6">
        <f>IF(F7="","",F7*全局设置!$B$7*全局设置!$E$14)</f>
        <v>26</v>
      </c>
      <c r="H7" s="6">
        <f>IF(G7="","",G7*全局设置!$B$5)</f>
        <v>26</v>
      </c>
      <c r="I7" s="9" t="str">
        <f>IF(AND(B7="",C7=""),"",IF(B7="","缺少敌人",IF(C7="","缺少数量",IF(OR(C7&lt;1,C7&gt;9999,C7&lt;&gt;INT(C7)),"数量无效",IF(COUNTIF($B$7:$B$24,B7)&gt;1,"重复敌人",IFERROR(IF(VLOOKUP(B7,敌人目录!$A$6:$AD$54,27,FALSE)="可回读","可回读","敌人参数错误"),"敌人不存在"))))))</f>
        <v>可回读</v>
      </c>
    </row>
    <row r="8" spans="1:9" ht="24" customHeight="1">
      <c r="A8" s="32">
        <v>2</v>
      </c>
      <c r="B8" s="14" t="s">
        <v>139</v>
      </c>
      <c r="C8" s="14">
        <v>20</v>
      </c>
      <c r="D8" s="9">
        <f>IF(OR(B8="",C8=""),"",ROUNDUP(C8*(1+(全局设置!$B$5-1)*全局设置!$B$6),0))</f>
        <v>20</v>
      </c>
      <c r="E8" s="6">
        <f>IFERROR(VLOOKUP(B8,敌人目录!$A$6:$AD$54,13,FALSE),"")</f>
        <v>1</v>
      </c>
      <c r="F8" s="6">
        <f t="shared" si="0"/>
        <v>20</v>
      </c>
      <c r="G8" s="6">
        <f>IF(F8="","",F8*全局设置!$B$7*全局设置!$E$14)</f>
        <v>20</v>
      </c>
      <c r="H8" s="6">
        <f>IF(G8="","",G8*全局设置!$B$5)</f>
        <v>20</v>
      </c>
      <c r="I8" s="9" t="str">
        <f>IF(AND(B8="",C8=""),"",IF(B8="","缺少敌人",IF(C8="","缺少数量",IF(OR(C8&lt;1,C8&gt;9999,C8&lt;&gt;INT(C8)),"数量无效",IF(COUNTIF($B$7:$B$24,B8)&gt;1,"重复敌人",IFERROR(IF(VLOOKUP(B8,敌人目录!$A$6:$AD$54,27,FALSE)="可回读","可回读","敌人参数错误"),"敌人不存在"))))))</f>
        <v>可回读</v>
      </c>
    </row>
    <row r="9" spans="1:9" ht="24" customHeight="1">
      <c r="A9" s="32">
        <v>3</v>
      </c>
      <c r="B9" s="14" t="s">
        <v>133</v>
      </c>
      <c r="C9" s="14">
        <v>20</v>
      </c>
      <c r="D9" s="9">
        <f>IF(OR(B9="",C9=""),"",ROUNDUP(C9*(1+(全局设置!$B$5-1)*全局设置!$B$6),0))</f>
        <v>20</v>
      </c>
      <c r="E9" s="6">
        <f>IFERROR(VLOOKUP(B9,敌人目录!$A$6:$AD$54,13,FALSE),"")</f>
        <v>2</v>
      </c>
      <c r="F9" s="6">
        <f t="shared" si="0"/>
        <v>40</v>
      </c>
      <c r="G9" s="6">
        <f>IF(F9="","",F9*全局设置!$B$7*全局设置!$E$14)</f>
        <v>40</v>
      </c>
      <c r="H9" s="6">
        <f>IF(G9="","",G9*全局设置!$B$5)</f>
        <v>40</v>
      </c>
      <c r="I9" s="9" t="str">
        <f>IF(AND(B9="",C9=""),"",IF(B9="","缺少敌人",IF(C9="","缺少数量",IF(OR(C9&lt;1,C9&gt;9999,C9&lt;&gt;INT(C9)),"数量无效",IF(COUNTIF($B$7:$B$24,B9)&gt;1,"重复敌人",IFERROR(IF(VLOOKUP(B9,敌人目录!$A$6:$AD$54,27,FALSE)="可回读","可回读","敌人参数错误"),"敌人不存在"))))))</f>
        <v>可回读</v>
      </c>
    </row>
    <row r="10" spans="1:9" ht="24" customHeight="1">
      <c r="A10" s="32">
        <v>4</v>
      </c>
      <c r="B10" s="14" t="s">
        <v>142</v>
      </c>
      <c r="C10" s="14">
        <v>16</v>
      </c>
      <c r="D10" s="9">
        <f>IF(OR(B10="",C10=""),"",ROUNDUP(C10*(1+(全局设置!$B$5-1)*全局设置!$B$6),0))</f>
        <v>16</v>
      </c>
      <c r="E10" s="6">
        <f>IFERROR(VLOOKUP(B10,敌人目录!$A$6:$AD$54,13,FALSE),"")</f>
        <v>1</v>
      </c>
      <c r="F10" s="6">
        <f t="shared" si="0"/>
        <v>16</v>
      </c>
      <c r="G10" s="6">
        <f>IF(F10="","",F10*全局设置!$B$7*全局设置!$E$14)</f>
        <v>16</v>
      </c>
      <c r="H10" s="6">
        <f>IF(G10="","",G10*全局设置!$B$5)</f>
        <v>16</v>
      </c>
      <c r="I10" s="9" t="str">
        <f>IF(AND(B10="",C10=""),"",IF(B10="","缺少敌人",IF(C10="","缺少数量",IF(OR(C10&lt;1,C10&gt;9999,C10&lt;&gt;INT(C10)),"数量无效",IF(COUNTIF($B$7:$B$24,B10)&gt;1,"重复敌人",IFERROR(IF(VLOOKUP(B10,敌人目录!$A$6:$AD$54,27,FALSE)="可回读","可回读","敌人参数错误"),"敌人不存在"))))))</f>
        <v>可回读</v>
      </c>
    </row>
    <row r="11" spans="1:9" ht="24" customHeight="1">
      <c r="A11" s="32">
        <v>5</v>
      </c>
      <c r="B11" s="14" t="s">
        <v>154</v>
      </c>
      <c r="C11" s="14">
        <v>12</v>
      </c>
      <c r="D11" s="9">
        <f>IF(OR(B11="",C11=""),"",ROUNDUP(C11*(1+(全局设置!$B$5-1)*全局设置!$B$6),0))</f>
        <v>12</v>
      </c>
      <c r="E11" s="6">
        <f>IFERROR(VLOOKUP(B11,敌人目录!$A$6:$AD$54,13,FALSE),"")</f>
        <v>2</v>
      </c>
      <c r="F11" s="6">
        <f t="shared" si="0"/>
        <v>24</v>
      </c>
      <c r="G11" s="6">
        <f>IF(F11="","",F11*全局设置!$B$7*全局设置!$E$14)</f>
        <v>24</v>
      </c>
      <c r="H11" s="6">
        <f>IF(G11="","",G11*全局设置!$B$5)</f>
        <v>24</v>
      </c>
      <c r="I11" s="9" t="str">
        <f>IF(AND(B11="",C11=""),"",IF(B11="","缺少敌人",IF(C11="","缺少数量",IF(OR(C11&lt;1,C11&gt;9999,C11&lt;&gt;INT(C11)),"数量无效",IF(COUNTIF($B$7:$B$24,B11)&gt;1,"重复敌人",IFERROR(IF(VLOOKUP(B11,敌人目录!$A$6:$AD$54,27,FALSE)="可回读","可回读","敌人参数错误"),"敌人不存在"))))))</f>
        <v>可回读</v>
      </c>
    </row>
    <row r="12" spans="1:9" ht="24" customHeight="1">
      <c r="A12" s="32">
        <v>6</v>
      </c>
      <c r="B12" s="14" t="s">
        <v>143</v>
      </c>
      <c r="C12" s="14">
        <v>20</v>
      </c>
      <c r="D12" s="9">
        <f>IF(OR(B12="",C12=""),"",ROUNDUP(C12*(1+(全局设置!$B$5-1)*全局设置!$B$6),0))</f>
        <v>20</v>
      </c>
      <c r="E12" s="6">
        <f>IFERROR(VLOOKUP(B12,敌人目录!$A$6:$AD$54,13,FALSE),"")</f>
        <v>1</v>
      </c>
      <c r="F12" s="6">
        <f t="shared" si="0"/>
        <v>20</v>
      </c>
      <c r="G12" s="6">
        <f>IF(F12="","",F12*全局设置!$B$7*全局设置!$E$14)</f>
        <v>20</v>
      </c>
      <c r="H12" s="6">
        <f>IF(G12="","",G12*全局设置!$B$5)</f>
        <v>20</v>
      </c>
      <c r="I12" s="9" t="str">
        <f>IF(AND(B12="",C12=""),"",IF(B12="","缺少敌人",IF(C12="","缺少数量",IF(OR(C12&lt;1,C12&gt;9999,C12&lt;&gt;INT(C12)),"数量无效",IF(COUNTIF($B$7:$B$24,B12)&gt;1,"重复敌人",IFERROR(IF(VLOOKUP(B12,敌人目录!$A$6:$AD$54,27,FALSE)="可回读","可回读","敌人参数错误"),"敌人不存在"))))))</f>
        <v>可回读</v>
      </c>
    </row>
    <row r="13" spans="1:9" ht="24" customHeight="1">
      <c r="A13" s="32">
        <v>7</v>
      </c>
      <c r="B13" s="14" t="s">
        <v>159</v>
      </c>
      <c r="C13" s="14">
        <v>16</v>
      </c>
      <c r="D13" s="9">
        <f>IF(OR(B13="",C13=""),"",ROUNDUP(C13*(1+(全局设置!$B$5-1)*全局设置!$B$6),0))</f>
        <v>16</v>
      </c>
      <c r="E13" s="6">
        <f>IFERROR(VLOOKUP(B13,敌人目录!$A$6:$AD$54,13,FALSE),"")</f>
        <v>2</v>
      </c>
      <c r="F13" s="6">
        <f t="shared" si="0"/>
        <v>32</v>
      </c>
      <c r="G13" s="6">
        <f>IF(F13="","",F13*全局设置!$B$7*全局设置!$E$14)</f>
        <v>32</v>
      </c>
      <c r="H13" s="6">
        <f>IF(G13="","",G13*全局设置!$B$5)</f>
        <v>32</v>
      </c>
      <c r="I13" s="9" t="str">
        <f>IF(AND(B13="",C13=""),"",IF(B13="","缺少敌人",IF(C13="","缺少数量",IF(OR(C13&lt;1,C13&gt;9999,C13&lt;&gt;INT(C13)),"数量无效",IF(COUNTIF($B$7:$B$24,B13)&gt;1,"重复敌人",IFERROR(IF(VLOOKUP(B13,敌人目录!$A$6:$AD$54,27,FALSE)="可回读","可回读","敌人参数错误"),"敌人不存在"))))))</f>
        <v>可回读</v>
      </c>
    </row>
    <row r="14" spans="1:9" ht="24" customHeight="1">
      <c r="A14" s="32">
        <v>8</v>
      </c>
      <c r="B14" s="14" t="s">
        <v>148</v>
      </c>
      <c r="C14" s="14">
        <v>12</v>
      </c>
      <c r="D14" s="9">
        <f>IF(OR(B14="",C14=""),"",ROUNDUP(C14*(1+(全局设置!$B$5-1)*全局设置!$B$6),0))</f>
        <v>12</v>
      </c>
      <c r="E14" s="6">
        <f>IFERROR(VLOOKUP(B14,敌人目录!$A$6:$AD$54,13,FALSE),"")</f>
        <v>2</v>
      </c>
      <c r="F14" s="6">
        <f t="shared" si="0"/>
        <v>24</v>
      </c>
      <c r="G14" s="6">
        <f>IF(F14="","",F14*全局设置!$B$7*全局设置!$E$14)</f>
        <v>24</v>
      </c>
      <c r="H14" s="6">
        <f>IF(G14="","",G14*全局设置!$B$5)</f>
        <v>24</v>
      </c>
      <c r="I14" s="9" t="str">
        <f>IF(AND(B14="",C14=""),"",IF(B14="","缺少敌人",IF(C14="","缺少数量",IF(OR(C14&lt;1,C14&gt;9999,C14&lt;&gt;INT(C14)),"数量无效",IF(COUNTIF($B$7:$B$24,B14)&gt;1,"重复敌人",IFERROR(IF(VLOOKUP(B14,敌人目录!$A$6:$AD$54,27,FALSE)="可回读","可回读","敌人参数错误"),"敌人不存在"))))))</f>
        <v>可回读</v>
      </c>
    </row>
    <row r="15" spans="1:9" ht="24" customHeight="1">
      <c r="A15" s="32">
        <v>9</v>
      </c>
      <c r="B15" s="14" t="s">
        <v>160</v>
      </c>
      <c r="C15" s="14">
        <v>2</v>
      </c>
      <c r="D15" s="9">
        <f>IF(OR(B15="",C15=""),"",ROUNDUP(C15*(1+(全局设置!$B$5-1)*全局设置!$B$6),0))</f>
        <v>2</v>
      </c>
      <c r="E15" s="6">
        <f>IFERROR(VLOOKUP(B15,敌人目录!$A$6:$AD$54,13,FALSE),"")</f>
        <v>4</v>
      </c>
      <c r="F15" s="6">
        <f t="shared" si="0"/>
        <v>8</v>
      </c>
      <c r="G15" s="6">
        <f>IF(F15="","",F15*全局设置!$B$7*全局设置!$E$14)</f>
        <v>8</v>
      </c>
      <c r="H15" s="6">
        <f>IF(G15="","",G15*全局设置!$B$5)</f>
        <v>8</v>
      </c>
      <c r="I15" s="9" t="str">
        <f>IF(AND(B15="",C15=""),"",IF(B15="","缺少敌人",IF(C15="","缺少数量",IF(OR(C15&lt;1,C15&gt;9999,C15&lt;&gt;INT(C15)),"数量无效",IF(COUNTIF($B$7:$B$24,B15)&gt;1,"重复敌人",IFERROR(IF(VLOOKUP(B15,敌人目录!$A$6:$AD$54,27,FALSE)="可回读","可回读","敌人参数错误"),"敌人不存在"))))))</f>
        <v>可回读</v>
      </c>
    </row>
    <row r="16" spans="1:9" ht="24" customHeight="1">
      <c r="A16" s="32">
        <v>10</v>
      </c>
      <c r="B16" s="14"/>
      <c r="C16" s="14"/>
      <c r="D16" s="9" t="str">
        <f>IF(OR(B16="",C16=""),"",ROUNDUP(C16*(1+(全局设置!$B$5-1)*全局设置!$B$6),0))</f>
        <v/>
      </c>
      <c r="E16" s="6" t="str">
        <f>IFERROR(VLOOKUP(B16,敌人目录!$A$6:$AD$54,13,FALSE),"")</f>
        <v/>
      </c>
      <c r="F16" s="6" t="str">
        <f t="shared" si="0"/>
        <v/>
      </c>
      <c r="G16" s="6" t="str">
        <f>IF(F16="","",F16*全局设置!$B$7*全局设置!$E$14)</f>
        <v/>
      </c>
      <c r="H16" s="6" t="str">
        <f>IF(G16="","",G16*全局设置!$B$5)</f>
        <v/>
      </c>
      <c r="I16" s="9" t="str">
        <f>IF(AND(B16="",C16=""),"",IF(B16="","缺少敌人",IF(C16="","缺少数量",IF(OR(C16&lt;1,C16&gt;9999,C16&lt;&gt;INT(C16)),"数量无效",IF(COUNTIF($B$7:$B$24,B16)&gt;1,"重复敌人",IFERROR(IF(VLOOKUP(B16,敌人目录!$A$6:$AD$54,27,FALSE)="可回读","可回读","敌人参数错误"),"敌人不存在"))))))</f>
        <v/>
      </c>
    </row>
    <row r="17" spans="1:9" ht="24" customHeight="1">
      <c r="A17" s="32">
        <v>11</v>
      </c>
      <c r="B17" s="14"/>
      <c r="C17" s="14"/>
      <c r="D17" s="9" t="str">
        <f>IF(OR(B17="",C17=""),"",ROUNDUP(C17*(1+(全局设置!$B$5-1)*全局设置!$B$6),0))</f>
        <v/>
      </c>
      <c r="E17" s="6" t="str">
        <f>IFERROR(VLOOKUP(B17,敌人目录!$A$6:$AD$54,13,FALSE),"")</f>
        <v/>
      </c>
      <c r="F17" s="6" t="str">
        <f t="shared" si="0"/>
        <v/>
      </c>
      <c r="G17" s="6" t="str">
        <f>IF(F17="","",F17*全局设置!$B$7*全局设置!$E$14)</f>
        <v/>
      </c>
      <c r="H17" s="6" t="str">
        <f>IF(G17="","",G17*全局设置!$B$5)</f>
        <v/>
      </c>
      <c r="I17" s="9" t="str">
        <f>IF(AND(B17="",C17=""),"",IF(B17="","缺少敌人",IF(C17="","缺少数量",IF(OR(C17&lt;1,C17&gt;9999,C17&lt;&gt;INT(C17)),"数量无效",IF(COUNTIF($B$7:$B$24,B17)&gt;1,"重复敌人",IFERROR(IF(VLOOKUP(B17,敌人目录!$A$6:$AD$54,27,FALSE)="可回读","可回读","敌人参数错误"),"敌人不存在"))))))</f>
        <v/>
      </c>
    </row>
    <row r="18" spans="1:9" ht="24" customHeight="1">
      <c r="A18" s="32">
        <v>12</v>
      </c>
      <c r="B18" s="14"/>
      <c r="C18" s="14"/>
      <c r="D18" s="9" t="str">
        <f>IF(OR(B18="",C18=""),"",ROUNDUP(C18*(1+(全局设置!$B$5-1)*全局设置!$B$6),0))</f>
        <v/>
      </c>
      <c r="E18" s="6" t="str">
        <f>IFERROR(VLOOKUP(B18,敌人目录!$A$6:$AD$54,13,FALSE),"")</f>
        <v/>
      </c>
      <c r="F18" s="6" t="str">
        <f t="shared" si="0"/>
        <v/>
      </c>
      <c r="G18" s="6" t="str">
        <f>IF(F18="","",F18*全局设置!$B$7*全局设置!$E$14)</f>
        <v/>
      </c>
      <c r="H18" s="6" t="str">
        <f>IF(G18="","",G18*全局设置!$B$5)</f>
        <v/>
      </c>
      <c r="I18" s="9" t="str">
        <f>IF(AND(B18="",C18=""),"",IF(B18="","缺少敌人",IF(C18="","缺少数量",IF(OR(C18&lt;1,C18&gt;9999,C18&lt;&gt;INT(C18)),"数量无效",IF(COUNTIF($B$7:$B$24,B18)&gt;1,"重复敌人",IFERROR(IF(VLOOKUP(B18,敌人目录!$A$6:$AD$54,27,FALSE)="可回读","可回读","敌人参数错误"),"敌人不存在"))))))</f>
        <v/>
      </c>
    </row>
    <row r="19" spans="1:9" ht="24" customHeight="1">
      <c r="A19" s="32">
        <v>13</v>
      </c>
      <c r="B19" s="14"/>
      <c r="C19" s="14"/>
      <c r="D19" s="9" t="str">
        <f>IF(OR(B19="",C19=""),"",ROUNDUP(C19*(1+(全局设置!$B$5-1)*全局设置!$B$6),0))</f>
        <v/>
      </c>
      <c r="E19" s="6" t="str">
        <f>IFERROR(VLOOKUP(B19,敌人目录!$A$6:$AD$54,13,FALSE),"")</f>
        <v/>
      </c>
      <c r="F19" s="6" t="str">
        <f t="shared" si="0"/>
        <v/>
      </c>
      <c r="G19" s="6" t="str">
        <f>IF(F19="","",F19*全局设置!$B$7*全局设置!$E$14)</f>
        <v/>
      </c>
      <c r="H19" s="6" t="str">
        <f>IF(G19="","",G19*全局设置!$B$5)</f>
        <v/>
      </c>
      <c r="I19" s="9" t="str">
        <f>IF(AND(B19="",C19=""),"",IF(B19="","缺少敌人",IF(C19="","缺少数量",IF(OR(C19&lt;1,C19&gt;9999,C19&lt;&gt;INT(C19)),"数量无效",IF(COUNTIF($B$7:$B$24,B19)&gt;1,"重复敌人",IFERROR(IF(VLOOKUP(B19,敌人目录!$A$6:$AD$54,27,FALSE)="可回读","可回读","敌人参数错误"),"敌人不存在"))))))</f>
        <v/>
      </c>
    </row>
    <row r="20" spans="1:9" ht="24" customHeight="1">
      <c r="A20" s="32">
        <v>14</v>
      </c>
      <c r="B20" s="14"/>
      <c r="C20" s="14"/>
      <c r="D20" s="9" t="str">
        <f>IF(OR(B20="",C20=""),"",ROUNDUP(C20*(1+(全局设置!$B$5-1)*全局设置!$B$6),0))</f>
        <v/>
      </c>
      <c r="E20" s="6" t="str">
        <f>IFERROR(VLOOKUP(B20,敌人目录!$A$6:$AD$54,13,FALSE),"")</f>
        <v/>
      </c>
      <c r="F20" s="6" t="str">
        <f t="shared" si="0"/>
        <v/>
      </c>
      <c r="G20" s="6" t="str">
        <f>IF(F20="","",F20*全局设置!$B$7*全局设置!$E$14)</f>
        <v/>
      </c>
      <c r="H20" s="6" t="str">
        <f>IF(G20="","",G20*全局设置!$B$5)</f>
        <v/>
      </c>
      <c r="I20" s="9" t="str">
        <f>IF(AND(B20="",C20=""),"",IF(B20="","缺少敌人",IF(C20="","缺少数量",IF(OR(C20&lt;1,C20&gt;9999,C20&lt;&gt;INT(C20)),"数量无效",IF(COUNTIF($B$7:$B$24,B20)&gt;1,"重复敌人",IFERROR(IF(VLOOKUP(B20,敌人目录!$A$6:$AD$54,27,FALSE)="可回读","可回读","敌人参数错误"),"敌人不存在"))))))</f>
        <v/>
      </c>
    </row>
    <row r="21" spans="1:9" ht="24" customHeight="1">
      <c r="A21" s="32">
        <v>15</v>
      </c>
      <c r="B21" s="14"/>
      <c r="C21" s="14"/>
      <c r="D21" s="9" t="str">
        <f>IF(OR(B21="",C21=""),"",ROUNDUP(C21*(1+(全局设置!$B$5-1)*全局设置!$B$6),0))</f>
        <v/>
      </c>
      <c r="E21" s="6" t="str">
        <f>IFERROR(VLOOKUP(B21,敌人目录!$A$6:$AD$54,13,FALSE),"")</f>
        <v/>
      </c>
      <c r="F21" s="6" t="str">
        <f t="shared" si="0"/>
        <v/>
      </c>
      <c r="G21" s="6" t="str">
        <f>IF(F21="","",F21*全局设置!$B$7*全局设置!$E$14)</f>
        <v/>
      </c>
      <c r="H21" s="6" t="str">
        <f>IF(G21="","",G21*全局设置!$B$5)</f>
        <v/>
      </c>
      <c r="I21" s="9" t="str">
        <f>IF(AND(B21="",C21=""),"",IF(B21="","缺少敌人",IF(C21="","缺少数量",IF(OR(C21&lt;1,C21&gt;9999,C21&lt;&gt;INT(C21)),"数量无效",IF(COUNTIF($B$7:$B$24,B21)&gt;1,"重复敌人",IFERROR(IF(VLOOKUP(B21,敌人目录!$A$6:$AD$54,27,FALSE)="可回读","可回读","敌人参数错误"),"敌人不存在"))))))</f>
        <v/>
      </c>
    </row>
    <row r="22" spans="1:9" ht="24" customHeight="1">
      <c r="A22" s="32">
        <v>16</v>
      </c>
      <c r="B22" s="14"/>
      <c r="C22" s="14"/>
      <c r="D22" s="9" t="str">
        <f>IF(OR(B22="",C22=""),"",ROUNDUP(C22*(1+(全局设置!$B$5-1)*全局设置!$B$6),0))</f>
        <v/>
      </c>
      <c r="E22" s="6" t="str">
        <f>IFERROR(VLOOKUP(B22,敌人目录!$A$6:$AD$54,13,FALSE),"")</f>
        <v/>
      </c>
      <c r="F22" s="6" t="str">
        <f t="shared" si="0"/>
        <v/>
      </c>
      <c r="G22" s="6" t="str">
        <f>IF(F22="","",F22*全局设置!$B$7*全局设置!$E$14)</f>
        <v/>
      </c>
      <c r="H22" s="6" t="str">
        <f>IF(G22="","",G22*全局设置!$B$5)</f>
        <v/>
      </c>
      <c r="I22" s="9" t="str">
        <f>IF(AND(B22="",C22=""),"",IF(B22="","缺少敌人",IF(C22="","缺少数量",IF(OR(C22&lt;1,C22&gt;9999,C22&lt;&gt;INT(C22)),"数量无效",IF(COUNTIF($B$7:$B$24,B22)&gt;1,"重复敌人",IFERROR(IF(VLOOKUP(B22,敌人目录!$A$6:$AD$54,27,FALSE)="可回读","可回读","敌人参数错误"),"敌人不存在"))))))</f>
        <v/>
      </c>
    </row>
    <row r="23" spans="1:9" ht="24" customHeight="1">
      <c r="A23" s="32">
        <v>17</v>
      </c>
      <c r="B23" s="14"/>
      <c r="C23" s="14"/>
      <c r="D23" s="9" t="str">
        <f>IF(OR(B23="",C23=""),"",ROUNDUP(C23*(1+(全局设置!$B$5-1)*全局设置!$B$6),0))</f>
        <v/>
      </c>
      <c r="E23" s="6" t="str">
        <f>IFERROR(VLOOKUP(B23,敌人目录!$A$6:$AD$54,13,FALSE),"")</f>
        <v/>
      </c>
      <c r="F23" s="6" t="str">
        <f t="shared" si="0"/>
        <v/>
      </c>
      <c r="G23" s="6" t="str">
        <f>IF(F23="","",F23*全局设置!$B$7*全局设置!$E$14)</f>
        <v/>
      </c>
      <c r="H23" s="6" t="str">
        <f>IF(G23="","",G23*全局设置!$B$5)</f>
        <v/>
      </c>
      <c r="I23" s="9" t="str">
        <f>IF(AND(B23="",C23=""),"",IF(B23="","缺少敌人",IF(C23="","缺少数量",IF(OR(C23&lt;1,C23&gt;9999,C23&lt;&gt;INT(C23)),"数量无效",IF(COUNTIF($B$7:$B$24,B23)&gt;1,"重复敌人",IFERROR(IF(VLOOKUP(B23,敌人目录!$A$6:$AD$54,27,FALSE)="可回读","可回读","敌人参数错误"),"敌人不存在"))))))</f>
        <v/>
      </c>
    </row>
    <row r="24" spans="1:9" ht="24" customHeight="1">
      <c r="A24" s="32">
        <v>18</v>
      </c>
      <c r="B24" s="14"/>
      <c r="C24" s="14"/>
      <c r="D24" s="9" t="str">
        <f>IF(OR(B24="",C24=""),"",ROUNDUP(C24*(1+(全局设置!$B$5-1)*全局设置!$B$6),0))</f>
        <v/>
      </c>
      <c r="E24" s="6" t="str">
        <f>IFERROR(VLOOKUP(B24,敌人目录!$A$6:$AD$54,13,FALSE),"")</f>
        <v/>
      </c>
      <c r="F24" s="6" t="str">
        <f t="shared" si="0"/>
        <v/>
      </c>
      <c r="G24" s="6" t="str">
        <f>IF(F24="","",F24*全局设置!$B$7*全局设置!$E$14)</f>
        <v/>
      </c>
      <c r="H24" s="6" t="str">
        <f>IF(G24="","",G24*全局设置!$B$5)</f>
        <v/>
      </c>
      <c r="I24" s="9" t="str">
        <f>IF(AND(B24="",C24=""),"",IF(B24="","缺少敌人",IF(C24="","缺少数量",IF(OR(C24&lt;1,C24&gt;9999,C24&lt;&gt;INT(C24)),"数量无效",IF(COUNTIF($B$7:$B$24,B24)&gt;1,"重复敌人",IFERROR(IF(VLOOKUP(B24,敌人目录!$A$6:$AD$54,27,FALSE)="可回读","可回读","敌人参数错误"),"敌人不存在"))))))</f>
        <v/>
      </c>
    </row>
    <row r="25" spans="1:9" ht="24" customHeight="1">
      <c r="A25" s="12"/>
      <c r="B25" s="12"/>
      <c r="C25" s="12"/>
      <c r="D25" s="12"/>
      <c r="E25" s="12"/>
      <c r="F25" s="12"/>
      <c r="G25" s="12"/>
      <c r="H25" s="12"/>
      <c r="I25" s="12"/>
    </row>
    <row r="26" spans="1:9" ht="32.1" customHeight="1">
      <c r="A26" s="13" t="s">
        <v>134</v>
      </c>
      <c r="B26" s="9">
        <f>SUM(C7:C24)</f>
        <v>144</v>
      </c>
      <c r="C26" s="13" t="s">
        <v>135</v>
      </c>
      <c r="D26" s="9">
        <f>SUM(D7:D24)</f>
        <v>144</v>
      </c>
      <c r="E26" s="13" t="s">
        <v>59</v>
      </c>
      <c r="F26" s="9">
        <f>SUM(F7:F24)</f>
        <v>210</v>
      </c>
      <c r="G26" s="13" t="s">
        <v>48</v>
      </c>
      <c r="H26" s="9">
        <f>SUM(G7:G24)</f>
        <v>210</v>
      </c>
      <c r="I26" s="12"/>
    </row>
    <row r="27" spans="1:9" ht="32.1" customHeight="1">
      <c r="A27" s="22" t="s">
        <v>49</v>
      </c>
      <c r="B27" s="9">
        <f>SUM(H7:H24)</f>
        <v>210</v>
      </c>
      <c r="C27" s="46" t="s">
        <v>161</v>
      </c>
      <c r="D27" s="46" t="s">
        <v>161</v>
      </c>
      <c r="E27" s="46" t="s">
        <v>161</v>
      </c>
      <c r="F27" s="46" t="s">
        <v>161</v>
      </c>
      <c r="G27" s="46" t="s">
        <v>161</v>
      </c>
      <c r="H27" s="46" t="s">
        <v>161</v>
      </c>
      <c r="I27" s="46" t="s">
        <v>161</v>
      </c>
    </row>
    <row r="28" spans="1:9" ht="24" customHeight="1">
      <c r="A28" s="12"/>
      <c r="B28" s="12"/>
      <c r="C28" s="12"/>
      <c r="D28" s="12"/>
      <c r="E28" s="12"/>
      <c r="F28" s="12"/>
      <c r="G28" s="12"/>
      <c r="H28" s="12"/>
      <c r="I28" s="12"/>
    </row>
    <row r="29" spans="1:9" ht="24" customHeight="1">
      <c r="A29" s="12"/>
      <c r="B29" s="12"/>
      <c r="C29" s="12"/>
      <c r="D29" s="12"/>
      <c r="E29" s="12"/>
      <c r="F29" s="12"/>
      <c r="G29" s="12"/>
      <c r="H29" s="12"/>
      <c r="I29" s="12"/>
    </row>
    <row r="30" spans="1:9" ht="24" customHeight="1">
      <c r="A30" s="12"/>
      <c r="B30" s="12"/>
      <c r="C30" s="12"/>
      <c r="D30" s="12"/>
      <c r="E30" s="12"/>
      <c r="F30" s="12"/>
      <c r="G30" s="12"/>
      <c r="H30" s="12"/>
      <c r="I30" s="12"/>
    </row>
    <row r="31" spans="1:9" ht="38.1" customHeight="1">
      <c r="A31" s="44" t="s">
        <v>162</v>
      </c>
      <c r="B31" s="44" t="s">
        <v>162</v>
      </c>
      <c r="C31" s="44" t="s">
        <v>162</v>
      </c>
      <c r="D31" s="44" t="s">
        <v>162</v>
      </c>
      <c r="E31" s="44" t="s">
        <v>162</v>
      </c>
      <c r="F31" s="44" t="s">
        <v>162</v>
      </c>
      <c r="G31" s="44" t="s">
        <v>162</v>
      </c>
      <c r="H31" s="44" t="s">
        <v>162</v>
      </c>
      <c r="I31" s="44" t="s">
        <v>162</v>
      </c>
    </row>
    <row r="32" spans="1:9" ht="24" customHeight="1">
      <c r="A32" s="13" t="s">
        <v>112</v>
      </c>
      <c r="B32" s="45" t="s">
        <v>163</v>
      </c>
      <c r="C32" s="45" t="s">
        <v>163</v>
      </c>
      <c r="D32" s="13" t="s">
        <v>114</v>
      </c>
      <c r="E32" s="14">
        <v>0.26</v>
      </c>
      <c r="F32" s="13" t="s">
        <v>115</v>
      </c>
      <c r="G32" s="14">
        <v>1</v>
      </c>
      <c r="H32" s="13" t="s">
        <v>61</v>
      </c>
      <c r="I32" s="14">
        <v>300</v>
      </c>
    </row>
    <row r="33" spans="1:9" ht="24" customHeight="1">
      <c r="A33" s="13" t="s">
        <v>116</v>
      </c>
      <c r="B33" s="14" t="s">
        <v>117</v>
      </c>
      <c r="C33" s="14" t="s">
        <v>118</v>
      </c>
      <c r="D33" s="14" t="s">
        <v>119</v>
      </c>
      <c r="E33" s="14" t="s">
        <v>120</v>
      </c>
      <c r="F33" s="14" t="s">
        <v>121</v>
      </c>
      <c r="G33" s="14" t="s">
        <v>122</v>
      </c>
      <c r="H33" s="13" t="s">
        <v>123</v>
      </c>
      <c r="I33" s="9" t="str">
        <f>IF(COUNTA(B36:B53)=0,"待设计",IF(COUNTIF(I36:I53,"可回读")=COUNTA(B36:B53),"可回读","需修正"))</f>
        <v>可回读</v>
      </c>
    </row>
    <row r="34" spans="1:9" ht="33.950000000000003" customHeight="1">
      <c r="A34" s="41" t="s">
        <v>124</v>
      </c>
      <c r="B34" s="41" t="s">
        <v>124</v>
      </c>
      <c r="C34" s="41" t="s">
        <v>124</v>
      </c>
      <c r="D34" s="41" t="s">
        <v>124</v>
      </c>
      <c r="E34" s="41" t="s">
        <v>124</v>
      </c>
      <c r="F34" s="41" t="s">
        <v>124</v>
      </c>
      <c r="G34" s="41" t="s">
        <v>124</v>
      </c>
      <c r="H34" s="41" t="s">
        <v>124</v>
      </c>
      <c r="I34" s="41" t="s">
        <v>124</v>
      </c>
    </row>
    <row r="35" spans="1:9" ht="42" customHeight="1">
      <c r="A35" s="20" t="s">
        <v>125</v>
      </c>
      <c r="B35" s="20" t="s">
        <v>126</v>
      </c>
      <c r="C35" s="20" t="s">
        <v>56</v>
      </c>
      <c r="D35" s="20" t="s">
        <v>57</v>
      </c>
      <c r="E35" s="22" t="s">
        <v>127</v>
      </c>
      <c r="F35" s="22" t="s">
        <v>128</v>
      </c>
      <c r="G35" s="22" t="s">
        <v>129</v>
      </c>
      <c r="H35" s="22" t="s">
        <v>130</v>
      </c>
      <c r="I35" s="20" t="s">
        <v>131</v>
      </c>
    </row>
    <row r="36" spans="1:9" ht="24" customHeight="1">
      <c r="A36" s="32">
        <v>1</v>
      </c>
      <c r="B36" s="14" t="s">
        <v>132</v>
      </c>
      <c r="C36" s="14">
        <v>20</v>
      </c>
      <c r="D36" s="9">
        <f>IF(OR(B36="",C36=""),"",ROUNDUP(C36*(1+(全局设置!$B$5-1)*全局设置!$B$6),0))</f>
        <v>20</v>
      </c>
      <c r="E36" s="6">
        <f>IFERROR(VLOOKUP(B36,敌人目录!$A$6:$AD$54,13,FALSE),"")</f>
        <v>1</v>
      </c>
      <c r="F36" s="6">
        <f t="shared" ref="F36:F53" si="1">IF(D36="","",D36*E36)</f>
        <v>20</v>
      </c>
      <c r="G36" s="6">
        <f>IF(F36="","",F36*全局设置!$B$7*全局设置!$E$14)</f>
        <v>20</v>
      </c>
      <c r="H36" s="6">
        <f>IF(G36="","",G36*全局设置!$B$5)</f>
        <v>20</v>
      </c>
      <c r="I36" s="9" t="str">
        <f>IF(AND(B36="",C36=""),"",IF(B36="","缺少敌人",IF(C36="","缺少数量",IF(OR(C36&lt;1,C36&gt;9999,C36&lt;&gt;INT(C36)),"数量无效",IF(COUNTIF($B$36:$B$53,B36)&gt;1,"重复敌人",IFERROR(IF(VLOOKUP(B36,敌人目录!$A$6:$AD$54,27,FALSE)="可回读","可回读","敌人参数错误"),"敌人不存在"))))))</f>
        <v>可回读</v>
      </c>
    </row>
    <row r="37" spans="1:9" ht="24" customHeight="1">
      <c r="A37" s="32">
        <v>2</v>
      </c>
      <c r="B37" s="14" t="s">
        <v>139</v>
      </c>
      <c r="C37" s="14">
        <v>24</v>
      </c>
      <c r="D37" s="9">
        <f>IF(OR(B37="",C37=""),"",ROUNDUP(C37*(1+(全局设置!$B$5-1)*全局设置!$B$6),0))</f>
        <v>24</v>
      </c>
      <c r="E37" s="6">
        <f>IFERROR(VLOOKUP(B37,敌人目录!$A$6:$AD$54,13,FALSE),"")</f>
        <v>1</v>
      </c>
      <c r="F37" s="6">
        <f t="shared" si="1"/>
        <v>24</v>
      </c>
      <c r="G37" s="6">
        <f>IF(F37="","",F37*全局设置!$B$7*全局设置!$E$14)</f>
        <v>24</v>
      </c>
      <c r="H37" s="6">
        <f>IF(G37="","",G37*全局设置!$B$5)</f>
        <v>24</v>
      </c>
      <c r="I37" s="9" t="str">
        <f>IF(AND(B37="",C37=""),"",IF(B37="","缺少敌人",IF(C37="","缺少数量",IF(OR(C37&lt;1,C37&gt;9999,C37&lt;&gt;INT(C37)),"数量无效",IF(COUNTIF($B$36:$B$53,B37)&gt;1,"重复敌人",IFERROR(IF(VLOOKUP(B37,敌人目录!$A$6:$AD$54,27,FALSE)="可回读","可回读","敌人参数错误"),"敌人不存在"))))))</f>
        <v>可回读</v>
      </c>
    </row>
    <row r="38" spans="1:9" ht="24" customHeight="1">
      <c r="A38" s="32">
        <v>3</v>
      </c>
      <c r="B38" s="14" t="s">
        <v>133</v>
      </c>
      <c r="C38" s="14">
        <v>24</v>
      </c>
      <c r="D38" s="9">
        <f>IF(OR(B38="",C38=""),"",ROUNDUP(C38*(1+(全局设置!$B$5-1)*全局设置!$B$6),0))</f>
        <v>24</v>
      </c>
      <c r="E38" s="6">
        <f>IFERROR(VLOOKUP(B38,敌人目录!$A$6:$AD$54,13,FALSE),"")</f>
        <v>2</v>
      </c>
      <c r="F38" s="6">
        <f t="shared" si="1"/>
        <v>48</v>
      </c>
      <c r="G38" s="6">
        <f>IF(F38="","",F38*全局设置!$B$7*全局设置!$E$14)</f>
        <v>48</v>
      </c>
      <c r="H38" s="6">
        <f>IF(G38="","",G38*全局设置!$B$5)</f>
        <v>48</v>
      </c>
      <c r="I38" s="9" t="str">
        <f>IF(AND(B38="",C38=""),"",IF(B38="","缺少敌人",IF(C38="","缺少数量",IF(OR(C38&lt;1,C38&gt;9999,C38&lt;&gt;INT(C38)),"数量无效",IF(COUNTIF($B$36:$B$53,B38)&gt;1,"重复敌人",IFERROR(IF(VLOOKUP(B38,敌人目录!$A$6:$AD$54,27,FALSE)="可回读","可回读","敌人参数错误"),"敌人不存在"))))))</f>
        <v>可回读</v>
      </c>
    </row>
    <row r="39" spans="1:9" ht="24" customHeight="1">
      <c r="A39" s="32">
        <v>4</v>
      </c>
      <c r="B39" s="14" t="s">
        <v>142</v>
      </c>
      <c r="C39" s="14">
        <v>20</v>
      </c>
      <c r="D39" s="9">
        <f>IF(OR(B39="",C39=""),"",ROUNDUP(C39*(1+(全局设置!$B$5-1)*全局设置!$B$6),0))</f>
        <v>20</v>
      </c>
      <c r="E39" s="6">
        <f>IFERROR(VLOOKUP(B39,敌人目录!$A$6:$AD$54,13,FALSE),"")</f>
        <v>1</v>
      </c>
      <c r="F39" s="6">
        <f t="shared" si="1"/>
        <v>20</v>
      </c>
      <c r="G39" s="6">
        <f>IF(F39="","",F39*全局设置!$B$7*全局设置!$E$14)</f>
        <v>20</v>
      </c>
      <c r="H39" s="6">
        <f>IF(G39="","",G39*全局设置!$B$5)</f>
        <v>20</v>
      </c>
      <c r="I39" s="9" t="str">
        <f>IF(AND(B39="",C39=""),"",IF(B39="","缺少敌人",IF(C39="","缺少数量",IF(OR(C39&lt;1,C39&gt;9999,C39&lt;&gt;INT(C39)),"数量无效",IF(COUNTIF($B$36:$B$53,B39)&gt;1,"重复敌人",IFERROR(IF(VLOOKUP(B39,敌人目录!$A$6:$AD$54,27,FALSE)="可回读","可回读","敌人参数错误"),"敌人不存在"))))))</f>
        <v>可回读</v>
      </c>
    </row>
    <row r="40" spans="1:9" ht="24" customHeight="1">
      <c r="A40" s="32">
        <v>5</v>
      </c>
      <c r="B40" s="14" t="s">
        <v>154</v>
      </c>
      <c r="C40" s="14">
        <v>16</v>
      </c>
      <c r="D40" s="9">
        <f>IF(OR(B40="",C40=""),"",ROUNDUP(C40*(1+(全局设置!$B$5-1)*全局设置!$B$6),0))</f>
        <v>16</v>
      </c>
      <c r="E40" s="6">
        <f>IFERROR(VLOOKUP(B40,敌人目录!$A$6:$AD$54,13,FALSE),"")</f>
        <v>2</v>
      </c>
      <c r="F40" s="6">
        <f t="shared" si="1"/>
        <v>32</v>
      </c>
      <c r="G40" s="6">
        <f>IF(F40="","",F40*全局设置!$B$7*全局设置!$E$14)</f>
        <v>32</v>
      </c>
      <c r="H40" s="6">
        <f>IF(G40="","",G40*全局设置!$B$5)</f>
        <v>32</v>
      </c>
      <c r="I40" s="9" t="str">
        <f>IF(AND(B40="",C40=""),"",IF(B40="","缺少敌人",IF(C40="","缺少数量",IF(OR(C40&lt;1,C40&gt;9999,C40&lt;&gt;INT(C40)),"数量无效",IF(COUNTIF($B$36:$B$53,B40)&gt;1,"重复敌人",IFERROR(IF(VLOOKUP(B40,敌人目录!$A$6:$AD$54,27,FALSE)="可回读","可回读","敌人参数错误"),"敌人不存在"))))))</f>
        <v>可回读</v>
      </c>
    </row>
    <row r="41" spans="1:9" ht="24" customHeight="1">
      <c r="A41" s="32">
        <v>6</v>
      </c>
      <c r="B41" s="14" t="s">
        <v>143</v>
      </c>
      <c r="C41" s="14">
        <v>20</v>
      </c>
      <c r="D41" s="9">
        <f>IF(OR(B41="",C41=""),"",ROUNDUP(C41*(1+(全局设置!$B$5-1)*全局设置!$B$6),0))</f>
        <v>20</v>
      </c>
      <c r="E41" s="6">
        <f>IFERROR(VLOOKUP(B41,敌人目录!$A$6:$AD$54,13,FALSE),"")</f>
        <v>1</v>
      </c>
      <c r="F41" s="6">
        <f t="shared" si="1"/>
        <v>20</v>
      </c>
      <c r="G41" s="6">
        <f>IF(F41="","",F41*全局设置!$B$7*全局设置!$E$14)</f>
        <v>20</v>
      </c>
      <c r="H41" s="6">
        <f>IF(G41="","",G41*全局设置!$B$5)</f>
        <v>20</v>
      </c>
      <c r="I41" s="9" t="str">
        <f>IF(AND(B41="",C41=""),"",IF(B41="","缺少敌人",IF(C41="","缺少数量",IF(OR(C41&lt;1,C41&gt;9999,C41&lt;&gt;INT(C41)),"数量无效",IF(COUNTIF($B$36:$B$53,B41)&gt;1,"重复敌人",IFERROR(IF(VLOOKUP(B41,敌人目录!$A$6:$AD$54,27,FALSE)="可回读","可回读","敌人参数错误"),"敌人不存在"))))))</f>
        <v>可回读</v>
      </c>
    </row>
    <row r="42" spans="1:9" ht="24" customHeight="1">
      <c r="A42" s="32">
        <v>7</v>
      </c>
      <c r="B42" s="14" t="s">
        <v>159</v>
      </c>
      <c r="C42" s="14">
        <v>16</v>
      </c>
      <c r="D42" s="9">
        <f>IF(OR(B42="",C42=""),"",ROUNDUP(C42*(1+(全局设置!$B$5-1)*全局设置!$B$6),0))</f>
        <v>16</v>
      </c>
      <c r="E42" s="6">
        <f>IFERROR(VLOOKUP(B42,敌人目录!$A$6:$AD$54,13,FALSE),"")</f>
        <v>2</v>
      </c>
      <c r="F42" s="6">
        <f t="shared" si="1"/>
        <v>32</v>
      </c>
      <c r="G42" s="6">
        <f>IF(F42="","",F42*全局设置!$B$7*全局设置!$E$14)</f>
        <v>32</v>
      </c>
      <c r="H42" s="6">
        <f>IF(G42="","",G42*全局设置!$B$5)</f>
        <v>32</v>
      </c>
      <c r="I42" s="9" t="str">
        <f>IF(AND(B42="",C42=""),"",IF(B42="","缺少敌人",IF(C42="","缺少数量",IF(OR(C42&lt;1,C42&gt;9999,C42&lt;&gt;INT(C42)),"数量无效",IF(COUNTIF($B$36:$B$53,B42)&gt;1,"重复敌人",IFERROR(IF(VLOOKUP(B42,敌人目录!$A$6:$AD$54,27,FALSE)="可回读","可回读","敌人参数错误"),"敌人不存在"))))))</f>
        <v>可回读</v>
      </c>
    </row>
    <row r="43" spans="1:9" ht="24" customHeight="1">
      <c r="A43" s="32">
        <v>8</v>
      </c>
      <c r="B43" s="14" t="s">
        <v>148</v>
      </c>
      <c r="C43" s="14">
        <v>16</v>
      </c>
      <c r="D43" s="9">
        <f>IF(OR(B43="",C43=""),"",ROUNDUP(C43*(1+(全局设置!$B$5-1)*全局设置!$B$6),0))</f>
        <v>16</v>
      </c>
      <c r="E43" s="6">
        <f>IFERROR(VLOOKUP(B43,敌人目录!$A$6:$AD$54,13,FALSE),"")</f>
        <v>2</v>
      </c>
      <c r="F43" s="6">
        <f t="shared" si="1"/>
        <v>32</v>
      </c>
      <c r="G43" s="6">
        <f>IF(F43="","",F43*全局设置!$B$7*全局设置!$E$14)</f>
        <v>32</v>
      </c>
      <c r="H43" s="6">
        <f>IF(G43="","",G43*全局设置!$B$5)</f>
        <v>32</v>
      </c>
      <c r="I43" s="9" t="str">
        <f>IF(AND(B43="",C43=""),"",IF(B43="","缺少敌人",IF(C43="","缺少数量",IF(OR(C43&lt;1,C43&gt;9999,C43&lt;&gt;INT(C43)),"数量无效",IF(COUNTIF($B$36:$B$53,B43)&gt;1,"重复敌人",IFERROR(IF(VLOOKUP(B43,敌人目录!$A$6:$AD$54,27,FALSE)="可回读","可回读","敌人参数错误"),"敌人不存在"))))))</f>
        <v>可回读</v>
      </c>
    </row>
    <row r="44" spans="1:9" ht="24" customHeight="1">
      <c r="A44" s="32">
        <v>9</v>
      </c>
      <c r="B44" s="14" t="s">
        <v>164</v>
      </c>
      <c r="C44" s="14">
        <v>2</v>
      </c>
      <c r="D44" s="9">
        <f>IF(OR(B44="",C44=""),"",ROUNDUP(C44*(1+(全局设置!$B$5-1)*全局设置!$B$6),0))</f>
        <v>2</v>
      </c>
      <c r="E44" s="6">
        <f>IFERROR(VLOOKUP(B44,敌人目录!$A$6:$AD$54,13,FALSE),"")</f>
        <v>5</v>
      </c>
      <c r="F44" s="6">
        <f t="shared" si="1"/>
        <v>10</v>
      </c>
      <c r="G44" s="6">
        <f>IF(F44="","",F44*全局设置!$B$7*全局设置!$E$14)</f>
        <v>10</v>
      </c>
      <c r="H44" s="6">
        <f>IF(G44="","",G44*全局设置!$B$5)</f>
        <v>10</v>
      </c>
      <c r="I44" s="9" t="str">
        <f>IF(AND(B44="",C44=""),"",IF(B44="","缺少敌人",IF(C44="","缺少数量",IF(OR(C44&lt;1,C44&gt;9999,C44&lt;&gt;INT(C44)),"数量无效",IF(COUNTIF($B$36:$B$53,B44)&gt;1,"重复敌人",IFERROR(IF(VLOOKUP(B44,敌人目录!$A$6:$AD$54,27,FALSE)="可回读","可回读","敌人参数错误"),"敌人不存在"))))))</f>
        <v>可回读</v>
      </c>
    </row>
    <row r="45" spans="1:9" ht="24" customHeight="1">
      <c r="A45" s="32">
        <v>10</v>
      </c>
      <c r="B45" s="14" t="s">
        <v>160</v>
      </c>
      <c r="C45" s="14">
        <v>2</v>
      </c>
      <c r="D45" s="9">
        <f>IF(OR(B45="",C45=""),"",ROUNDUP(C45*(1+(全局设置!$B$5-1)*全局设置!$B$6),0))</f>
        <v>2</v>
      </c>
      <c r="E45" s="6">
        <f>IFERROR(VLOOKUP(B45,敌人目录!$A$6:$AD$54,13,FALSE),"")</f>
        <v>4</v>
      </c>
      <c r="F45" s="6">
        <f t="shared" si="1"/>
        <v>8</v>
      </c>
      <c r="G45" s="6">
        <f>IF(F45="","",F45*全局设置!$B$7*全局设置!$E$14)</f>
        <v>8</v>
      </c>
      <c r="H45" s="6">
        <f>IF(G45="","",G45*全局设置!$B$5)</f>
        <v>8</v>
      </c>
      <c r="I45" s="9" t="str">
        <f>IF(AND(B45="",C45=""),"",IF(B45="","缺少敌人",IF(C45="","缺少数量",IF(OR(C45&lt;1,C45&gt;9999,C45&lt;&gt;INT(C45)),"数量无效",IF(COUNTIF($B$36:$B$53,B45)&gt;1,"重复敌人",IFERROR(IF(VLOOKUP(B45,敌人目录!$A$6:$AD$54,27,FALSE)="可回读","可回读","敌人参数错误"),"敌人不存在"))))))</f>
        <v>可回读</v>
      </c>
    </row>
    <row r="46" spans="1:9" ht="24" customHeight="1">
      <c r="A46" s="32">
        <v>11</v>
      </c>
      <c r="B46" s="14"/>
      <c r="C46" s="14"/>
      <c r="D46" s="9" t="str">
        <f>IF(OR(B46="",C46=""),"",ROUNDUP(C46*(1+(全局设置!$B$5-1)*全局设置!$B$6),0))</f>
        <v/>
      </c>
      <c r="E46" s="6" t="str">
        <f>IFERROR(VLOOKUP(B46,敌人目录!$A$6:$AD$54,13,FALSE),"")</f>
        <v/>
      </c>
      <c r="F46" s="6" t="str">
        <f t="shared" si="1"/>
        <v/>
      </c>
      <c r="G46" s="6" t="str">
        <f>IF(F46="","",F46*全局设置!$B$7*全局设置!$E$14)</f>
        <v/>
      </c>
      <c r="H46" s="6" t="str">
        <f>IF(G46="","",G46*全局设置!$B$5)</f>
        <v/>
      </c>
      <c r="I46" s="9" t="str">
        <f>IF(AND(B46="",C46=""),"",IF(B46="","缺少敌人",IF(C46="","缺少数量",IF(OR(C46&lt;1,C46&gt;9999,C46&lt;&gt;INT(C46)),"数量无效",IF(COUNTIF($B$36:$B$53,B46)&gt;1,"重复敌人",IFERROR(IF(VLOOKUP(B46,敌人目录!$A$6:$AD$54,27,FALSE)="可回读","可回读","敌人参数错误"),"敌人不存在"))))))</f>
        <v/>
      </c>
    </row>
    <row r="47" spans="1:9" ht="24" customHeight="1">
      <c r="A47" s="32">
        <v>12</v>
      </c>
      <c r="B47" s="14"/>
      <c r="C47" s="14"/>
      <c r="D47" s="9" t="str">
        <f>IF(OR(B47="",C47=""),"",ROUNDUP(C47*(1+(全局设置!$B$5-1)*全局设置!$B$6),0))</f>
        <v/>
      </c>
      <c r="E47" s="6" t="str">
        <f>IFERROR(VLOOKUP(B47,敌人目录!$A$6:$AD$54,13,FALSE),"")</f>
        <v/>
      </c>
      <c r="F47" s="6" t="str">
        <f t="shared" si="1"/>
        <v/>
      </c>
      <c r="G47" s="6" t="str">
        <f>IF(F47="","",F47*全局设置!$B$7*全局设置!$E$14)</f>
        <v/>
      </c>
      <c r="H47" s="6" t="str">
        <f>IF(G47="","",G47*全局设置!$B$5)</f>
        <v/>
      </c>
      <c r="I47" s="9" t="str">
        <f>IF(AND(B47="",C47=""),"",IF(B47="","缺少敌人",IF(C47="","缺少数量",IF(OR(C47&lt;1,C47&gt;9999,C47&lt;&gt;INT(C47)),"数量无效",IF(COUNTIF($B$36:$B$53,B47)&gt;1,"重复敌人",IFERROR(IF(VLOOKUP(B47,敌人目录!$A$6:$AD$54,27,FALSE)="可回读","可回读","敌人参数错误"),"敌人不存在"))))))</f>
        <v/>
      </c>
    </row>
    <row r="48" spans="1:9" ht="24" customHeight="1">
      <c r="A48" s="32">
        <v>13</v>
      </c>
      <c r="B48" s="14"/>
      <c r="C48" s="14"/>
      <c r="D48" s="9" t="str">
        <f>IF(OR(B48="",C48=""),"",ROUNDUP(C48*(1+(全局设置!$B$5-1)*全局设置!$B$6),0))</f>
        <v/>
      </c>
      <c r="E48" s="6" t="str">
        <f>IFERROR(VLOOKUP(B48,敌人目录!$A$6:$AD$54,13,FALSE),"")</f>
        <v/>
      </c>
      <c r="F48" s="6" t="str">
        <f t="shared" si="1"/>
        <v/>
      </c>
      <c r="G48" s="6" t="str">
        <f>IF(F48="","",F48*全局设置!$B$7*全局设置!$E$14)</f>
        <v/>
      </c>
      <c r="H48" s="6" t="str">
        <f>IF(G48="","",G48*全局设置!$B$5)</f>
        <v/>
      </c>
      <c r="I48" s="9" t="str">
        <f>IF(AND(B48="",C48=""),"",IF(B48="","缺少敌人",IF(C48="","缺少数量",IF(OR(C48&lt;1,C48&gt;9999,C48&lt;&gt;INT(C48)),"数量无效",IF(COUNTIF($B$36:$B$53,B48)&gt;1,"重复敌人",IFERROR(IF(VLOOKUP(B48,敌人目录!$A$6:$AD$54,27,FALSE)="可回读","可回读","敌人参数错误"),"敌人不存在"))))))</f>
        <v/>
      </c>
    </row>
    <row r="49" spans="1:9" ht="24" customHeight="1">
      <c r="A49" s="32">
        <v>14</v>
      </c>
      <c r="B49" s="14"/>
      <c r="C49" s="14"/>
      <c r="D49" s="9" t="str">
        <f>IF(OR(B49="",C49=""),"",ROUNDUP(C49*(1+(全局设置!$B$5-1)*全局设置!$B$6),0))</f>
        <v/>
      </c>
      <c r="E49" s="6" t="str">
        <f>IFERROR(VLOOKUP(B49,敌人目录!$A$6:$AD$54,13,FALSE),"")</f>
        <v/>
      </c>
      <c r="F49" s="6" t="str">
        <f t="shared" si="1"/>
        <v/>
      </c>
      <c r="G49" s="6" t="str">
        <f>IF(F49="","",F49*全局设置!$B$7*全局设置!$E$14)</f>
        <v/>
      </c>
      <c r="H49" s="6" t="str">
        <f>IF(G49="","",G49*全局设置!$B$5)</f>
        <v/>
      </c>
      <c r="I49" s="9" t="str">
        <f>IF(AND(B49="",C49=""),"",IF(B49="","缺少敌人",IF(C49="","缺少数量",IF(OR(C49&lt;1,C49&gt;9999,C49&lt;&gt;INT(C49)),"数量无效",IF(COUNTIF($B$36:$B$53,B49)&gt;1,"重复敌人",IFERROR(IF(VLOOKUP(B49,敌人目录!$A$6:$AD$54,27,FALSE)="可回读","可回读","敌人参数错误"),"敌人不存在"))))))</f>
        <v/>
      </c>
    </row>
    <row r="50" spans="1:9" ht="24" customHeight="1">
      <c r="A50" s="32">
        <v>15</v>
      </c>
      <c r="B50" s="14"/>
      <c r="C50" s="14"/>
      <c r="D50" s="9" t="str">
        <f>IF(OR(B50="",C50=""),"",ROUNDUP(C50*(1+(全局设置!$B$5-1)*全局设置!$B$6),0))</f>
        <v/>
      </c>
      <c r="E50" s="6" t="str">
        <f>IFERROR(VLOOKUP(B50,敌人目录!$A$6:$AD$54,13,FALSE),"")</f>
        <v/>
      </c>
      <c r="F50" s="6" t="str">
        <f t="shared" si="1"/>
        <v/>
      </c>
      <c r="G50" s="6" t="str">
        <f>IF(F50="","",F50*全局设置!$B$7*全局设置!$E$14)</f>
        <v/>
      </c>
      <c r="H50" s="6" t="str">
        <f>IF(G50="","",G50*全局设置!$B$5)</f>
        <v/>
      </c>
      <c r="I50" s="9" t="str">
        <f>IF(AND(B50="",C50=""),"",IF(B50="","缺少敌人",IF(C50="","缺少数量",IF(OR(C50&lt;1,C50&gt;9999,C50&lt;&gt;INT(C50)),"数量无效",IF(COUNTIF($B$36:$B$53,B50)&gt;1,"重复敌人",IFERROR(IF(VLOOKUP(B50,敌人目录!$A$6:$AD$54,27,FALSE)="可回读","可回读","敌人参数错误"),"敌人不存在"))))))</f>
        <v/>
      </c>
    </row>
    <row r="51" spans="1:9" ht="24" customHeight="1">
      <c r="A51" s="32">
        <v>16</v>
      </c>
      <c r="B51" s="14"/>
      <c r="C51" s="14"/>
      <c r="D51" s="9" t="str">
        <f>IF(OR(B51="",C51=""),"",ROUNDUP(C51*(1+(全局设置!$B$5-1)*全局设置!$B$6),0))</f>
        <v/>
      </c>
      <c r="E51" s="6" t="str">
        <f>IFERROR(VLOOKUP(B51,敌人目录!$A$6:$AD$54,13,FALSE),"")</f>
        <v/>
      </c>
      <c r="F51" s="6" t="str">
        <f t="shared" si="1"/>
        <v/>
      </c>
      <c r="G51" s="6" t="str">
        <f>IF(F51="","",F51*全局设置!$B$7*全局设置!$E$14)</f>
        <v/>
      </c>
      <c r="H51" s="6" t="str">
        <f>IF(G51="","",G51*全局设置!$B$5)</f>
        <v/>
      </c>
      <c r="I51" s="9" t="str">
        <f>IF(AND(B51="",C51=""),"",IF(B51="","缺少敌人",IF(C51="","缺少数量",IF(OR(C51&lt;1,C51&gt;9999,C51&lt;&gt;INT(C51)),"数量无效",IF(COUNTIF($B$36:$B$53,B51)&gt;1,"重复敌人",IFERROR(IF(VLOOKUP(B51,敌人目录!$A$6:$AD$54,27,FALSE)="可回读","可回读","敌人参数错误"),"敌人不存在"))))))</f>
        <v/>
      </c>
    </row>
    <row r="52" spans="1:9" ht="24" customHeight="1">
      <c r="A52" s="32">
        <v>17</v>
      </c>
      <c r="B52" s="14"/>
      <c r="C52" s="14"/>
      <c r="D52" s="9" t="str">
        <f>IF(OR(B52="",C52=""),"",ROUNDUP(C52*(1+(全局设置!$B$5-1)*全局设置!$B$6),0))</f>
        <v/>
      </c>
      <c r="E52" s="6" t="str">
        <f>IFERROR(VLOOKUP(B52,敌人目录!$A$6:$AD$54,13,FALSE),"")</f>
        <v/>
      </c>
      <c r="F52" s="6" t="str">
        <f t="shared" si="1"/>
        <v/>
      </c>
      <c r="G52" s="6" t="str">
        <f>IF(F52="","",F52*全局设置!$B$7*全局设置!$E$14)</f>
        <v/>
      </c>
      <c r="H52" s="6" t="str">
        <f>IF(G52="","",G52*全局设置!$B$5)</f>
        <v/>
      </c>
      <c r="I52" s="9" t="str">
        <f>IF(AND(B52="",C52=""),"",IF(B52="","缺少敌人",IF(C52="","缺少数量",IF(OR(C52&lt;1,C52&gt;9999,C52&lt;&gt;INT(C52)),"数量无效",IF(COUNTIF($B$36:$B$53,B52)&gt;1,"重复敌人",IFERROR(IF(VLOOKUP(B52,敌人目录!$A$6:$AD$54,27,FALSE)="可回读","可回读","敌人参数错误"),"敌人不存在"))))))</f>
        <v/>
      </c>
    </row>
    <row r="53" spans="1:9" ht="24" customHeight="1">
      <c r="A53" s="32">
        <v>18</v>
      </c>
      <c r="B53" s="14"/>
      <c r="C53" s="14"/>
      <c r="D53" s="9" t="str">
        <f>IF(OR(B53="",C53=""),"",ROUNDUP(C53*(1+(全局设置!$B$5-1)*全局设置!$B$6),0))</f>
        <v/>
      </c>
      <c r="E53" s="6" t="str">
        <f>IFERROR(VLOOKUP(B53,敌人目录!$A$6:$AD$54,13,FALSE),"")</f>
        <v/>
      </c>
      <c r="F53" s="6" t="str">
        <f t="shared" si="1"/>
        <v/>
      </c>
      <c r="G53" s="6" t="str">
        <f>IF(F53="","",F53*全局设置!$B$7*全局设置!$E$14)</f>
        <v/>
      </c>
      <c r="H53" s="6" t="str">
        <f>IF(G53="","",G53*全局设置!$B$5)</f>
        <v/>
      </c>
      <c r="I53" s="9" t="str">
        <f>IF(AND(B53="",C53=""),"",IF(B53="","缺少敌人",IF(C53="","缺少数量",IF(OR(C53&lt;1,C53&gt;9999,C53&lt;&gt;INT(C53)),"数量无效",IF(COUNTIF($B$36:$B$53,B53)&gt;1,"重复敌人",IFERROR(IF(VLOOKUP(B53,敌人目录!$A$6:$AD$54,27,FALSE)="可回读","可回读","敌人参数错误"),"敌人不存在"))))))</f>
        <v/>
      </c>
    </row>
    <row r="54" spans="1:9" ht="24" customHeight="1">
      <c r="A54" s="12"/>
      <c r="B54" s="12"/>
      <c r="C54" s="12"/>
      <c r="D54" s="12"/>
      <c r="E54" s="12"/>
      <c r="F54" s="12"/>
      <c r="G54" s="12"/>
      <c r="H54" s="12"/>
      <c r="I54" s="12"/>
    </row>
    <row r="55" spans="1:9" ht="32.1" customHeight="1">
      <c r="A55" s="13" t="s">
        <v>134</v>
      </c>
      <c r="B55" s="9">
        <f>SUM(C36:C53)</f>
        <v>160</v>
      </c>
      <c r="C55" s="13" t="s">
        <v>135</v>
      </c>
      <c r="D55" s="9">
        <f>SUM(D36:D53)</f>
        <v>160</v>
      </c>
      <c r="E55" s="13" t="s">
        <v>59</v>
      </c>
      <c r="F55" s="9">
        <f>SUM(F36:F53)</f>
        <v>246</v>
      </c>
      <c r="G55" s="13" t="s">
        <v>48</v>
      </c>
      <c r="H55" s="9">
        <f>SUM(G36:G53)</f>
        <v>246</v>
      </c>
      <c r="I55" s="12"/>
    </row>
    <row r="56" spans="1:9" ht="32.1" customHeight="1">
      <c r="A56" s="22" t="s">
        <v>49</v>
      </c>
      <c r="B56" s="9">
        <f>SUM(H36:H53)</f>
        <v>246</v>
      </c>
      <c r="C56" s="46" t="s">
        <v>161</v>
      </c>
      <c r="D56" s="46" t="s">
        <v>161</v>
      </c>
      <c r="E56" s="46" t="s">
        <v>161</v>
      </c>
      <c r="F56" s="46" t="s">
        <v>161</v>
      </c>
      <c r="G56" s="46" t="s">
        <v>161</v>
      </c>
      <c r="H56" s="46" t="s">
        <v>161</v>
      </c>
      <c r="I56" s="46" t="s">
        <v>161</v>
      </c>
    </row>
    <row r="57" spans="1:9" ht="24" customHeight="1">
      <c r="A57" s="12"/>
      <c r="B57" s="12"/>
      <c r="C57" s="12"/>
      <c r="D57" s="12"/>
      <c r="E57" s="12"/>
      <c r="F57" s="12"/>
      <c r="G57" s="12"/>
      <c r="H57" s="12"/>
      <c r="I57" s="12"/>
    </row>
    <row r="58" spans="1:9" ht="24" customHeight="1">
      <c r="A58" s="12"/>
      <c r="B58" s="12"/>
      <c r="C58" s="12"/>
      <c r="D58" s="12"/>
      <c r="E58" s="12"/>
      <c r="F58" s="12"/>
      <c r="G58" s="12"/>
      <c r="H58" s="12"/>
      <c r="I58" s="12"/>
    </row>
    <row r="59" spans="1:9" ht="24" customHeight="1">
      <c r="A59" s="12"/>
      <c r="B59" s="12"/>
      <c r="C59" s="12"/>
      <c r="D59" s="12"/>
      <c r="E59" s="12"/>
      <c r="F59" s="12"/>
      <c r="G59" s="12"/>
      <c r="H59" s="12"/>
      <c r="I59" s="12"/>
    </row>
    <row r="60" spans="1:9" ht="38.1" customHeight="1">
      <c r="A60" s="47" t="s">
        <v>165</v>
      </c>
      <c r="B60" s="47" t="s">
        <v>165</v>
      </c>
      <c r="C60" s="47" t="s">
        <v>165</v>
      </c>
      <c r="D60" s="47" t="s">
        <v>165</v>
      </c>
      <c r="E60" s="47" t="s">
        <v>165</v>
      </c>
      <c r="F60" s="47" t="s">
        <v>165</v>
      </c>
      <c r="G60" s="47" t="s">
        <v>165</v>
      </c>
      <c r="H60" s="47" t="s">
        <v>165</v>
      </c>
      <c r="I60" s="47" t="s">
        <v>165</v>
      </c>
    </row>
    <row r="61" spans="1:9" ht="24" customHeight="1">
      <c r="A61" s="17" t="s">
        <v>112</v>
      </c>
      <c r="B61" s="45" t="s">
        <v>166</v>
      </c>
      <c r="C61" s="45" t="s">
        <v>166</v>
      </c>
      <c r="D61" s="17" t="s">
        <v>114</v>
      </c>
      <c r="E61" s="14">
        <v>0.24</v>
      </c>
      <c r="F61" s="17" t="s">
        <v>115</v>
      </c>
      <c r="G61" s="14">
        <v>1</v>
      </c>
      <c r="H61" s="17" t="s">
        <v>61</v>
      </c>
      <c r="I61" s="14">
        <v>300</v>
      </c>
    </row>
    <row r="62" spans="1:9" ht="24" customHeight="1">
      <c r="A62" s="17" t="s">
        <v>116</v>
      </c>
      <c r="B62" s="14" t="s">
        <v>117</v>
      </c>
      <c r="C62" s="14" t="s">
        <v>118</v>
      </c>
      <c r="D62" s="14" t="s">
        <v>119</v>
      </c>
      <c r="E62" s="14" t="s">
        <v>120</v>
      </c>
      <c r="F62" s="14" t="s">
        <v>121</v>
      </c>
      <c r="G62" s="14" t="s">
        <v>122</v>
      </c>
      <c r="H62" s="17" t="s">
        <v>123</v>
      </c>
      <c r="I62" s="9" t="str">
        <f>IF(COUNTA(B65:B82)=0,"待设计",IF(COUNTIF(I65:I82,"可回读")=COUNTA(B65:B82),"可回读","需修正"))</f>
        <v>可回读</v>
      </c>
    </row>
    <row r="63" spans="1:9" ht="33.950000000000003" customHeight="1">
      <c r="A63" s="48" t="s">
        <v>124</v>
      </c>
      <c r="B63" s="48" t="s">
        <v>124</v>
      </c>
      <c r="C63" s="48" t="s">
        <v>124</v>
      </c>
      <c r="D63" s="48" t="s">
        <v>124</v>
      </c>
      <c r="E63" s="48" t="s">
        <v>124</v>
      </c>
      <c r="F63" s="48" t="s">
        <v>124</v>
      </c>
      <c r="G63" s="48" t="s">
        <v>124</v>
      </c>
      <c r="H63" s="48" t="s">
        <v>124</v>
      </c>
      <c r="I63" s="48" t="s">
        <v>124</v>
      </c>
    </row>
    <row r="64" spans="1:9" ht="42" customHeight="1">
      <c r="A64" s="17" t="s">
        <v>125</v>
      </c>
      <c r="B64" s="17" t="s">
        <v>126</v>
      </c>
      <c r="C64" s="17" t="s">
        <v>56</v>
      </c>
      <c r="D64" s="17" t="s">
        <v>57</v>
      </c>
      <c r="E64" s="22" t="s">
        <v>127</v>
      </c>
      <c r="F64" s="22" t="s">
        <v>128</v>
      </c>
      <c r="G64" s="22" t="s">
        <v>129</v>
      </c>
      <c r="H64" s="22" t="s">
        <v>130</v>
      </c>
      <c r="I64" s="17" t="s">
        <v>131</v>
      </c>
    </row>
    <row r="65" spans="1:9" ht="24" customHeight="1">
      <c r="A65" s="32">
        <v>1</v>
      </c>
      <c r="B65" s="14" t="s">
        <v>132</v>
      </c>
      <c r="C65" s="14">
        <v>46</v>
      </c>
      <c r="D65" s="9">
        <f>IF(OR(B65="",C65=""),"",ROUNDUP(C65*(1+(全局设置!$B$5-1)*全局设置!$B$6),0))</f>
        <v>46</v>
      </c>
      <c r="E65" s="6">
        <f>IFERROR(VLOOKUP(B65,敌人目录!$A$6:$AD$54,13,FALSE),"")</f>
        <v>1</v>
      </c>
      <c r="F65" s="6">
        <f t="shared" ref="F65:F82" si="2">IF(D65="","",D65*E65)</f>
        <v>46</v>
      </c>
      <c r="G65" s="6">
        <f>IF(F65="","",F65*全局设置!$B$7*全局设置!$E$14)</f>
        <v>46</v>
      </c>
      <c r="H65" s="6">
        <f>IF(G65="","",G65*全局设置!$B$5)</f>
        <v>46</v>
      </c>
      <c r="I65" s="9" t="str">
        <f>IF(AND(B65="",C65=""),"",IF(B65="","缺少敌人",IF(C65="","缺少数量",IF(OR(C65&lt;1,C65&gt;9999,C65&lt;&gt;INT(C65)),"数量无效",IF(COUNTIF($B$65:$B$82,B65)&gt;1,"重复敌人",IFERROR(IF(VLOOKUP(B65,敌人目录!$A$6:$AD$54,27,FALSE)="可回读","可回读","敌人参数错误"),"敌人不存在"))))))</f>
        <v>可回读</v>
      </c>
    </row>
    <row r="66" spans="1:9" ht="24" customHeight="1">
      <c r="A66" s="32">
        <v>2</v>
      </c>
      <c r="B66" s="14" t="s">
        <v>139</v>
      </c>
      <c r="C66" s="14">
        <v>20</v>
      </c>
      <c r="D66" s="9">
        <f>IF(OR(B66="",C66=""),"",ROUNDUP(C66*(1+(全局设置!$B$5-1)*全局设置!$B$6),0))</f>
        <v>20</v>
      </c>
      <c r="E66" s="6">
        <f>IFERROR(VLOOKUP(B66,敌人目录!$A$6:$AD$54,13,FALSE),"")</f>
        <v>1</v>
      </c>
      <c r="F66" s="6">
        <f t="shared" si="2"/>
        <v>20</v>
      </c>
      <c r="G66" s="6">
        <f>IF(F66="","",F66*全局设置!$B$7*全局设置!$E$14)</f>
        <v>20</v>
      </c>
      <c r="H66" s="6">
        <f>IF(G66="","",G66*全局设置!$B$5)</f>
        <v>20</v>
      </c>
      <c r="I66" s="9" t="str">
        <f>IF(AND(B66="",C66=""),"",IF(B66="","缺少敌人",IF(C66="","缺少数量",IF(OR(C66&lt;1,C66&gt;9999,C66&lt;&gt;INT(C66)),"数量无效",IF(COUNTIF($B$65:$B$82,B66)&gt;1,"重复敌人",IFERROR(IF(VLOOKUP(B66,敌人目录!$A$6:$AD$54,27,FALSE)="可回读","可回读","敌人参数错误"),"敌人不存在"))))))</f>
        <v>可回读</v>
      </c>
    </row>
    <row r="67" spans="1:9" ht="24" customHeight="1">
      <c r="A67" s="32">
        <v>3</v>
      </c>
      <c r="B67" s="14" t="s">
        <v>133</v>
      </c>
      <c r="C67" s="14">
        <v>20</v>
      </c>
      <c r="D67" s="9">
        <f>IF(OR(B67="",C67=""),"",ROUNDUP(C67*(1+(全局设置!$B$5-1)*全局设置!$B$6),0))</f>
        <v>20</v>
      </c>
      <c r="E67" s="6">
        <f>IFERROR(VLOOKUP(B67,敌人目录!$A$6:$AD$54,13,FALSE),"")</f>
        <v>2</v>
      </c>
      <c r="F67" s="6">
        <f t="shared" si="2"/>
        <v>40</v>
      </c>
      <c r="G67" s="6">
        <f>IF(F67="","",F67*全局设置!$B$7*全局设置!$E$14)</f>
        <v>40</v>
      </c>
      <c r="H67" s="6">
        <f>IF(G67="","",G67*全局设置!$B$5)</f>
        <v>40</v>
      </c>
      <c r="I67" s="9" t="str">
        <f>IF(AND(B67="",C67=""),"",IF(B67="","缺少敌人",IF(C67="","缺少数量",IF(OR(C67&lt;1,C67&gt;9999,C67&lt;&gt;INT(C67)),"数量无效",IF(COUNTIF($B$65:$B$82,B67)&gt;1,"重复敌人",IFERROR(IF(VLOOKUP(B67,敌人目录!$A$6:$AD$54,27,FALSE)="可回读","可回读","敌人参数错误"),"敌人不存在"))))))</f>
        <v>可回读</v>
      </c>
    </row>
    <row r="68" spans="1:9" ht="24" customHeight="1">
      <c r="A68" s="32">
        <v>4</v>
      </c>
      <c r="B68" s="14" t="s">
        <v>142</v>
      </c>
      <c r="C68" s="14">
        <v>16</v>
      </c>
      <c r="D68" s="9">
        <f>IF(OR(B68="",C68=""),"",ROUNDUP(C68*(1+(全局设置!$B$5-1)*全局设置!$B$6),0))</f>
        <v>16</v>
      </c>
      <c r="E68" s="6">
        <f>IFERROR(VLOOKUP(B68,敌人目录!$A$6:$AD$54,13,FALSE),"")</f>
        <v>1</v>
      </c>
      <c r="F68" s="6">
        <f t="shared" si="2"/>
        <v>16</v>
      </c>
      <c r="G68" s="6">
        <f>IF(F68="","",F68*全局设置!$B$7*全局设置!$E$14)</f>
        <v>16</v>
      </c>
      <c r="H68" s="6">
        <f>IF(G68="","",G68*全局设置!$B$5)</f>
        <v>16</v>
      </c>
      <c r="I68" s="9" t="str">
        <f>IF(AND(B68="",C68=""),"",IF(B68="","缺少敌人",IF(C68="","缺少数量",IF(OR(C68&lt;1,C68&gt;9999,C68&lt;&gt;INT(C68)),"数量无效",IF(COUNTIF($B$65:$B$82,B68)&gt;1,"重复敌人",IFERROR(IF(VLOOKUP(B68,敌人目录!$A$6:$AD$54,27,FALSE)="可回读","可回读","敌人参数错误"),"敌人不存在"))))))</f>
        <v>可回读</v>
      </c>
    </row>
    <row r="69" spans="1:9" ht="24" customHeight="1">
      <c r="A69" s="32">
        <v>5</v>
      </c>
      <c r="B69" s="14" t="s">
        <v>154</v>
      </c>
      <c r="C69" s="14">
        <v>16</v>
      </c>
      <c r="D69" s="9">
        <f>IF(OR(B69="",C69=""),"",ROUNDUP(C69*(1+(全局设置!$B$5-1)*全局设置!$B$6),0))</f>
        <v>16</v>
      </c>
      <c r="E69" s="6">
        <f>IFERROR(VLOOKUP(B69,敌人目录!$A$6:$AD$54,13,FALSE),"")</f>
        <v>2</v>
      </c>
      <c r="F69" s="6">
        <f t="shared" si="2"/>
        <v>32</v>
      </c>
      <c r="G69" s="6">
        <f>IF(F69="","",F69*全局设置!$B$7*全局设置!$E$14)</f>
        <v>32</v>
      </c>
      <c r="H69" s="6">
        <f>IF(G69="","",G69*全局设置!$B$5)</f>
        <v>32</v>
      </c>
      <c r="I69" s="9" t="str">
        <f>IF(AND(B69="",C69=""),"",IF(B69="","缺少敌人",IF(C69="","缺少数量",IF(OR(C69&lt;1,C69&gt;9999,C69&lt;&gt;INT(C69)),"数量无效",IF(COUNTIF($B$65:$B$82,B69)&gt;1,"重复敌人",IFERROR(IF(VLOOKUP(B69,敌人目录!$A$6:$AD$54,27,FALSE)="可回读","可回读","敌人参数错误"),"敌人不存在"))))))</f>
        <v>可回读</v>
      </c>
    </row>
    <row r="70" spans="1:9" ht="24" customHeight="1">
      <c r="A70" s="32">
        <v>6</v>
      </c>
      <c r="B70" s="14" t="s">
        <v>143</v>
      </c>
      <c r="C70" s="14">
        <v>20</v>
      </c>
      <c r="D70" s="9">
        <f>IF(OR(B70="",C70=""),"",ROUNDUP(C70*(1+(全局设置!$B$5-1)*全局设置!$B$6),0))</f>
        <v>20</v>
      </c>
      <c r="E70" s="6">
        <f>IFERROR(VLOOKUP(B70,敌人目录!$A$6:$AD$54,13,FALSE),"")</f>
        <v>1</v>
      </c>
      <c r="F70" s="6">
        <f t="shared" si="2"/>
        <v>20</v>
      </c>
      <c r="G70" s="6">
        <f>IF(F70="","",F70*全局设置!$B$7*全局设置!$E$14)</f>
        <v>20</v>
      </c>
      <c r="H70" s="6">
        <f>IF(G70="","",G70*全局设置!$B$5)</f>
        <v>20</v>
      </c>
      <c r="I70" s="9" t="str">
        <f>IF(AND(B70="",C70=""),"",IF(B70="","缺少敌人",IF(C70="","缺少数量",IF(OR(C70&lt;1,C70&gt;9999,C70&lt;&gt;INT(C70)),"数量无效",IF(COUNTIF($B$65:$B$82,B70)&gt;1,"重复敌人",IFERROR(IF(VLOOKUP(B70,敌人目录!$A$6:$AD$54,27,FALSE)="可回读","可回读","敌人参数错误"),"敌人不存在"))))))</f>
        <v>可回读</v>
      </c>
    </row>
    <row r="71" spans="1:9" ht="24" customHeight="1">
      <c r="A71" s="32">
        <v>7</v>
      </c>
      <c r="B71" s="14" t="s">
        <v>159</v>
      </c>
      <c r="C71" s="14">
        <v>16</v>
      </c>
      <c r="D71" s="9">
        <f>IF(OR(B71="",C71=""),"",ROUNDUP(C71*(1+(全局设置!$B$5-1)*全局设置!$B$6),0))</f>
        <v>16</v>
      </c>
      <c r="E71" s="6">
        <f>IFERROR(VLOOKUP(B71,敌人目录!$A$6:$AD$54,13,FALSE),"")</f>
        <v>2</v>
      </c>
      <c r="F71" s="6">
        <f t="shared" si="2"/>
        <v>32</v>
      </c>
      <c r="G71" s="6">
        <f>IF(F71="","",F71*全局设置!$B$7*全局设置!$E$14)</f>
        <v>32</v>
      </c>
      <c r="H71" s="6">
        <f>IF(G71="","",G71*全局设置!$B$5)</f>
        <v>32</v>
      </c>
      <c r="I71" s="9" t="str">
        <f>IF(AND(B71="",C71=""),"",IF(B71="","缺少敌人",IF(C71="","缺少数量",IF(OR(C71&lt;1,C71&gt;9999,C71&lt;&gt;INT(C71)),"数量无效",IF(COUNTIF($B$65:$B$82,B71)&gt;1,"重复敌人",IFERROR(IF(VLOOKUP(B71,敌人目录!$A$6:$AD$54,27,FALSE)="可回读","可回读","敌人参数错误"),"敌人不存在"))))))</f>
        <v>可回读</v>
      </c>
    </row>
    <row r="72" spans="1:9" ht="24" customHeight="1">
      <c r="A72" s="32">
        <v>8</v>
      </c>
      <c r="B72" s="14" t="s">
        <v>148</v>
      </c>
      <c r="C72" s="14">
        <v>16</v>
      </c>
      <c r="D72" s="9">
        <f>IF(OR(B72="",C72=""),"",ROUNDUP(C72*(1+(全局设置!$B$5-1)*全局设置!$B$6),0))</f>
        <v>16</v>
      </c>
      <c r="E72" s="6">
        <f>IFERROR(VLOOKUP(B72,敌人目录!$A$6:$AD$54,13,FALSE),"")</f>
        <v>2</v>
      </c>
      <c r="F72" s="6">
        <f t="shared" si="2"/>
        <v>32</v>
      </c>
      <c r="G72" s="6">
        <f>IF(F72="","",F72*全局设置!$B$7*全局设置!$E$14)</f>
        <v>32</v>
      </c>
      <c r="H72" s="6">
        <f>IF(G72="","",G72*全局设置!$B$5)</f>
        <v>32</v>
      </c>
      <c r="I72" s="9" t="str">
        <f>IF(AND(B72="",C72=""),"",IF(B72="","缺少敌人",IF(C72="","缺少数量",IF(OR(C72&lt;1,C72&gt;9999,C72&lt;&gt;INT(C72)),"数量无效",IF(COUNTIF($B$65:$B$82,B72)&gt;1,"重复敌人",IFERROR(IF(VLOOKUP(B72,敌人目录!$A$6:$AD$54,27,FALSE)="可回读","可回读","敌人参数错误"),"敌人不存在"))))))</f>
        <v>可回读</v>
      </c>
    </row>
    <row r="73" spans="1:9" ht="24" customHeight="1">
      <c r="A73" s="32">
        <v>9</v>
      </c>
      <c r="B73" s="14" t="s">
        <v>164</v>
      </c>
      <c r="C73" s="14">
        <v>2</v>
      </c>
      <c r="D73" s="9">
        <f>IF(OR(B73="",C73=""),"",ROUNDUP(C73*(1+(全局设置!$B$5-1)*全局设置!$B$6),0))</f>
        <v>2</v>
      </c>
      <c r="E73" s="6">
        <f>IFERROR(VLOOKUP(B73,敌人目录!$A$6:$AD$54,13,FALSE),"")</f>
        <v>5</v>
      </c>
      <c r="F73" s="6">
        <f t="shared" si="2"/>
        <v>10</v>
      </c>
      <c r="G73" s="6">
        <f>IF(F73="","",F73*全局设置!$B$7*全局设置!$E$14)</f>
        <v>10</v>
      </c>
      <c r="H73" s="6">
        <f>IF(G73="","",G73*全局设置!$B$5)</f>
        <v>10</v>
      </c>
      <c r="I73" s="9" t="str">
        <f>IF(AND(B73="",C73=""),"",IF(B73="","缺少敌人",IF(C73="","缺少数量",IF(OR(C73&lt;1,C73&gt;9999,C73&lt;&gt;INT(C73)),"数量无效",IF(COUNTIF($B$65:$B$82,B73)&gt;1,"重复敌人",IFERROR(IF(VLOOKUP(B73,敌人目录!$A$6:$AD$54,27,FALSE)="可回读","可回读","敌人参数错误"),"敌人不存在"))))))</f>
        <v>可回读</v>
      </c>
    </row>
    <row r="74" spans="1:9" ht="24" customHeight="1">
      <c r="A74" s="32">
        <v>10</v>
      </c>
      <c r="B74" s="14" t="s">
        <v>160</v>
      </c>
      <c r="C74" s="14">
        <v>2</v>
      </c>
      <c r="D74" s="9">
        <f>IF(OR(B74="",C74=""),"",ROUNDUP(C74*(1+(全局设置!$B$5-1)*全局设置!$B$6),0))</f>
        <v>2</v>
      </c>
      <c r="E74" s="6">
        <f>IFERROR(VLOOKUP(B74,敌人目录!$A$6:$AD$54,13,FALSE),"")</f>
        <v>4</v>
      </c>
      <c r="F74" s="6">
        <f t="shared" si="2"/>
        <v>8</v>
      </c>
      <c r="G74" s="6">
        <f>IF(F74="","",F74*全局设置!$B$7*全局设置!$E$14)</f>
        <v>8</v>
      </c>
      <c r="H74" s="6">
        <f>IF(G74="","",G74*全局设置!$B$5)</f>
        <v>8</v>
      </c>
      <c r="I74" s="9" t="str">
        <f>IF(AND(B74="",C74=""),"",IF(B74="","缺少敌人",IF(C74="","缺少数量",IF(OR(C74&lt;1,C74&gt;9999,C74&lt;&gt;INT(C74)),"数量无效",IF(COUNTIF($B$65:$B$82,B74)&gt;1,"重复敌人",IFERROR(IF(VLOOKUP(B74,敌人目录!$A$6:$AD$54,27,FALSE)="可回读","可回读","敌人参数错误"),"敌人不存在"))))))</f>
        <v>可回读</v>
      </c>
    </row>
    <row r="75" spans="1:9" ht="24" customHeight="1">
      <c r="A75" s="32">
        <v>11</v>
      </c>
      <c r="B75" s="14" t="s">
        <v>167</v>
      </c>
      <c r="C75" s="14">
        <v>1</v>
      </c>
      <c r="D75" s="9">
        <f>IF(OR(B75="",C75=""),"",ROUNDUP(C75*(1+(全局设置!$B$5-1)*全局设置!$B$6),0))</f>
        <v>1</v>
      </c>
      <c r="E75" s="6">
        <f>IFERROR(VLOOKUP(B75,敌人目录!$A$6:$AD$54,13,FALSE),"")</f>
        <v>10</v>
      </c>
      <c r="F75" s="6">
        <f t="shared" si="2"/>
        <v>10</v>
      </c>
      <c r="G75" s="6">
        <f>IF(F75="","",F75*全局设置!$B$7*全局设置!$E$14)</f>
        <v>10</v>
      </c>
      <c r="H75" s="6">
        <f>IF(G75="","",G75*全局设置!$B$5)</f>
        <v>10</v>
      </c>
      <c r="I75" s="9" t="str">
        <f>IF(AND(B75="",C75=""),"",IF(B75="","缺少敌人",IF(C75="","缺少数量",IF(OR(C75&lt;1,C75&gt;9999,C75&lt;&gt;INT(C75)),"数量无效",IF(COUNTIF($B$65:$B$82,B75)&gt;1,"重复敌人",IFERROR(IF(VLOOKUP(B75,敌人目录!$A$6:$AD$54,27,FALSE)="可回读","可回读","敌人参数错误"),"敌人不存在"))))))</f>
        <v>可回读</v>
      </c>
    </row>
    <row r="76" spans="1:9" ht="24" customHeight="1">
      <c r="A76" s="32">
        <v>12</v>
      </c>
      <c r="B76" s="14" t="s">
        <v>168</v>
      </c>
      <c r="C76" s="14">
        <v>1</v>
      </c>
      <c r="D76" s="9">
        <f>IF(OR(B76="",C76=""),"",ROUNDUP(C76*(1+(全局设置!$B$5-1)*全局设置!$B$6),0))</f>
        <v>1</v>
      </c>
      <c r="E76" s="6">
        <f>IFERROR(VLOOKUP(B76,敌人目录!$A$6:$AD$54,13,FALSE),"")</f>
        <v>40</v>
      </c>
      <c r="F76" s="6">
        <f t="shared" si="2"/>
        <v>40</v>
      </c>
      <c r="G76" s="6">
        <f>IF(F76="","",F76*全局设置!$B$7*全局设置!$E$14)</f>
        <v>40</v>
      </c>
      <c r="H76" s="6">
        <f>IF(G76="","",G76*全局设置!$B$5)</f>
        <v>40</v>
      </c>
      <c r="I76" s="9" t="str">
        <f>IF(AND(B76="",C76=""),"",IF(B76="","缺少敌人",IF(C76="","缺少数量",IF(OR(C76&lt;1,C76&gt;9999,C76&lt;&gt;INT(C76)),"数量无效",IF(COUNTIF($B$65:$B$82,B76)&gt;1,"重复敌人",IFERROR(IF(VLOOKUP(B76,敌人目录!$A$6:$AD$54,27,FALSE)="可回读","可回读","敌人参数错误"),"敌人不存在"))))))</f>
        <v>可回读</v>
      </c>
    </row>
    <row r="77" spans="1:9" ht="24" customHeight="1">
      <c r="A77" s="32">
        <v>13</v>
      </c>
      <c r="B77" s="14"/>
      <c r="C77" s="14"/>
      <c r="D77" s="9" t="str">
        <f>IF(OR(B77="",C77=""),"",ROUNDUP(C77*(1+(全局设置!$B$5-1)*全局设置!$B$6),0))</f>
        <v/>
      </c>
      <c r="E77" s="6" t="str">
        <f>IFERROR(VLOOKUP(B77,敌人目录!$A$6:$AD$54,13,FALSE),"")</f>
        <v/>
      </c>
      <c r="F77" s="6" t="str">
        <f t="shared" si="2"/>
        <v/>
      </c>
      <c r="G77" s="6" t="str">
        <f>IF(F77="","",F77*全局设置!$B$7*全局设置!$E$14)</f>
        <v/>
      </c>
      <c r="H77" s="6" t="str">
        <f>IF(G77="","",G77*全局设置!$B$5)</f>
        <v/>
      </c>
      <c r="I77" s="9" t="str">
        <f>IF(AND(B77="",C77=""),"",IF(B77="","缺少敌人",IF(C77="","缺少数量",IF(OR(C77&lt;1,C77&gt;9999,C77&lt;&gt;INT(C77)),"数量无效",IF(COUNTIF($B$65:$B$82,B77)&gt;1,"重复敌人",IFERROR(IF(VLOOKUP(B77,敌人目录!$A$6:$AD$54,27,FALSE)="可回读","可回读","敌人参数错误"),"敌人不存在"))))))</f>
        <v/>
      </c>
    </row>
    <row r="78" spans="1:9" ht="24" customHeight="1">
      <c r="A78" s="32">
        <v>14</v>
      </c>
      <c r="B78" s="14"/>
      <c r="C78" s="14"/>
      <c r="D78" s="9" t="str">
        <f>IF(OR(B78="",C78=""),"",ROUNDUP(C78*(1+(全局设置!$B$5-1)*全局设置!$B$6),0))</f>
        <v/>
      </c>
      <c r="E78" s="6" t="str">
        <f>IFERROR(VLOOKUP(B78,敌人目录!$A$6:$AD$54,13,FALSE),"")</f>
        <v/>
      </c>
      <c r="F78" s="6" t="str">
        <f t="shared" si="2"/>
        <v/>
      </c>
      <c r="G78" s="6" t="str">
        <f>IF(F78="","",F78*全局设置!$B$7*全局设置!$E$14)</f>
        <v/>
      </c>
      <c r="H78" s="6" t="str">
        <f>IF(G78="","",G78*全局设置!$B$5)</f>
        <v/>
      </c>
      <c r="I78" s="9" t="str">
        <f>IF(AND(B78="",C78=""),"",IF(B78="","缺少敌人",IF(C78="","缺少数量",IF(OR(C78&lt;1,C78&gt;9999,C78&lt;&gt;INT(C78)),"数量无效",IF(COUNTIF($B$65:$B$82,B78)&gt;1,"重复敌人",IFERROR(IF(VLOOKUP(B78,敌人目录!$A$6:$AD$54,27,FALSE)="可回读","可回读","敌人参数错误"),"敌人不存在"))))))</f>
        <v/>
      </c>
    </row>
    <row r="79" spans="1:9" ht="24" customHeight="1">
      <c r="A79" s="32">
        <v>15</v>
      </c>
      <c r="B79" s="14"/>
      <c r="C79" s="14"/>
      <c r="D79" s="9" t="str">
        <f>IF(OR(B79="",C79=""),"",ROUNDUP(C79*(1+(全局设置!$B$5-1)*全局设置!$B$6),0))</f>
        <v/>
      </c>
      <c r="E79" s="6" t="str">
        <f>IFERROR(VLOOKUP(B79,敌人目录!$A$6:$AD$54,13,FALSE),"")</f>
        <v/>
      </c>
      <c r="F79" s="6" t="str">
        <f t="shared" si="2"/>
        <v/>
      </c>
      <c r="G79" s="6" t="str">
        <f>IF(F79="","",F79*全局设置!$B$7*全局设置!$E$14)</f>
        <v/>
      </c>
      <c r="H79" s="6" t="str">
        <f>IF(G79="","",G79*全局设置!$B$5)</f>
        <v/>
      </c>
      <c r="I79" s="9" t="str">
        <f>IF(AND(B79="",C79=""),"",IF(B79="","缺少敌人",IF(C79="","缺少数量",IF(OR(C79&lt;1,C79&gt;9999,C79&lt;&gt;INT(C79)),"数量无效",IF(COUNTIF($B$65:$B$82,B79)&gt;1,"重复敌人",IFERROR(IF(VLOOKUP(B79,敌人目录!$A$6:$AD$54,27,FALSE)="可回读","可回读","敌人参数错误"),"敌人不存在"))))))</f>
        <v/>
      </c>
    </row>
    <row r="80" spans="1:9" ht="24" customHeight="1">
      <c r="A80" s="32">
        <v>16</v>
      </c>
      <c r="B80" s="14"/>
      <c r="C80" s="14"/>
      <c r="D80" s="9" t="str">
        <f>IF(OR(B80="",C80=""),"",ROUNDUP(C80*(1+(全局设置!$B$5-1)*全局设置!$B$6),0))</f>
        <v/>
      </c>
      <c r="E80" s="6" t="str">
        <f>IFERROR(VLOOKUP(B80,敌人目录!$A$6:$AD$54,13,FALSE),"")</f>
        <v/>
      </c>
      <c r="F80" s="6" t="str">
        <f t="shared" si="2"/>
        <v/>
      </c>
      <c r="G80" s="6" t="str">
        <f>IF(F80="","",F80*全局设置!$B$7*全局设置!$E$14)</f>
        <v/>
      </c>
      <c r="H80" s="6" t="str">
        <f>IF(G80="","",G80*全局设置!$B$5)</f>
        <v/>
      </c>
      <c r="I80" s="9" t="str">
        <f>IF(AND(B80="",C80=""),"",IF(B80="","缺少敌人",IF(C80="","缺少数量",IF(OR(C80&lt;1,C80&gt;9999,C80&lt;&gt;INT(C80)),"数量无效",IF(COUNTIF($B$65:$B$82,B80)&gt;1,"重复敌人",IFERROR(IF(VLOOKUP(B80,敌人目录!$A$6:$AD$54,27,FALSE)="可回读","可回读","敌人参数错误"),"敌人不存在"))))))</f>
        <v/>
      </c>
    </row>
    <row r="81" spans="1:9" ht="24" customHeight="1">
      <c r="A81" s="32">
        <v>17</v>
      </c>
      <c r="B81" s="14"/>
      <c r="C81" s="14"/>
      <c r="D81" s="9" t="str">
        <f>IF(OR(B81="",C81=""),"",ROUNDUP(C81*(1+(全局设置!$B$5-1)*全局设置!$B$6),0))</f>
        <v/>
      </c>
      <c r="E81" s="6" t="str">
        <f>IFERROR(VLOOKUP(B81,敌人目录!$A$6:$AD$54,13,FALSE),"")</f>
        <v/>
      </c>
      <c r="F81" s="6" t="str">
        <f t="shared" si="2"/>
        <v/>
      </c>
      <c r="G81" s="6" t="str">
        <f>IF(F81="","",F81*全局设置!$B$7*全局设置!$E$14)</f>
        <v/>
      </c>
      <c r="H81" s="6" t="str">
        <f>IF(G81="","",G81*全局设置!$B$5)</f>
        <v/>
      </c>
      <c r="I81" s="9" t="str">
        <f>IF(AND(B81="",C81=""),"",IF(B81="","缺少敌人",IF(C81="","缺少数量",IF(OR(C81&lt;1,C81&gt;9999,C81&lt;&gt;INT(C81)),"数量无效",IF(COUNTIF($B$65:$B$82,B81)&gt;1,"重复敌人",IFERROR(IF(VLOOKUP(B81,敌人目录!$A$6:$AD$54,27,FALSE)="可回读","可回读","敌人参数错误"),"敌人不存在"))))))</f>
        <v/>
      </c>
    </row>
    <row r="82" spans="1:9" ht="24" customHeight="1">
      <c r="A82" s="32">
        <v>18</v>
      </c>
      <c r="B82" s="14"/>
      <c r="C82" s="14"/>
      <c r="D82" s="9" t="str">
        <f>IF(OR(B82="",C82=""),"",ROUNDUP(C82*(1+(全局设置!$B$5-1)*全局设置!$B$6),0))</f>
        <v/>
      </c>
      <c r="E82" s="6" t="str">
        <f>IFERROR(VLOOKUP(B82,敌人目录!$A$6:$AD$54,13,FALSE),"")</f>
        <v/>
      </c>
      <c r="F82" s="6" t="str">
        <f t="shared" si="2"/>
        <v/>
      </c>
      <c r="G82" s="6" t="str">
        <f>IF(F82="","",F82*全局设置!$B$7*全局设置!$E$14)</f>
        <v/>
      </c>
      <c r="H82" s="6" t="str">
        <f>IF(G82="","",G82*全局设置!$B$5)</f>
        <v/>
      </c>
      <c r="I82" s="9" t="str">
        <f>IF(AND(B82="",C82=""),"",IF(B82="","缺少敌人",IF(C82="","缺少数量",IF(OR(C82&lt;1,C82&gt;9999,C82&lt;&gt;INT(C82)),"数量无效",IF(COUNTIF($B$65:$B$82,B82)&gt;1,"重复敌人",IFERROR(IF(VLOOKUP(B82,敌人目录!$A$6:$AD$54,27,FALSE)="可回读","可回读","敌人参数错误"),"敌人不存在"))))))</f>
        <v/>
      </c>
    </row>
    <row r="83" spans="1:9" ht="24" customHeight="1">
      <c r="A83" s="12"/>
      <c r="B83" s="12"/>
      <c r="C83" s="12"/>
      <c r="D83" s="12"/>
      <c r="E83" s="12"/>
      <c r="F83" s="12"/>
      <c r="G83" s="12"/>
      <c r="H83" s="12"/>
      <c r="I83" s="12"/>
    </row>
    <row r="84" spans="1:9" ht="32.1" customHeight="1">
      <c r="A84" s="17" t="s">
        <v>134</v>
      </c>
      <c r="B84" s="9">
        <f>SUM(C65:C82)</f>
        <v>176</v>
      </c>
      <c r="C84" s="17" t="s">
        <v>135</v>
      </c>
      <c r="D84" s="9">
        <f>SUM(D65:D82)</f>
        <v>176</v>
      </c>
      <c r="E84" s="17" t="s">
        <v>59</v>
      </c>
      <c r="F84" s="9">
        <f>SUM(F65:F82)</f>
        <v>306</v>
      </c>
      <c r="G84" s="17" t="s">
        <v>48</v>
      </c>
      <c r="H84" s="9">
        <f>SUM(G65:G82)</f>
        <v>306</v>
      </c>
      <c r="I84" s="12"/>
    </row>
    <row r="85" spans="1:9" ht="32.1" customHeight="1">
      <c r="A85" s="17" t="s">
        <v>49</v>
      </c>
      <c r="B85" s="9">
        <f>SUM(H65:H82)</f>
        <v>306</v>
      </c>
      <c r="C85" s="46" t="s">
        <v>161</v>
      </c>
      <c r="D85" s="46" t="s">
        <v>161</v>
      </c>
      <c r="E85" s="46" t="s">
        <v>161</v>
      </c>
      <c r="F85" s="46" t="s">
        <v>161</v>
      </c>
      <c r="G85" s="46" t="s">
        <v>161</v>
      </c>
      <c r="H85" s="46" t="s">
        <v>161</v>
      </c>
      <c r="I85" s="46" t="s">
        <v>161</v>
      </c>
    </row>
    <row r="86" spans="1:9" ht="24" customHeight="1">
      <c r="A86" s="12"/>
      <c r="B86" s="12"/>
      <c r="C86" s="12"/>
      <c r="D86" s="12"/>
      <c r="E86" s="12"/>
      <c r="F86" s="12"/>
      <c r="G86" s="12"/>
      <c r="H86" s="12"/>
      <c r="I86" s="12"/>
    </row>
    <row r="87" spans="1:9" ht="24" customHeight="1">
      <c r="A87" s="12"/>
      <c r="B87" s="12"/>
      <c r="C87" s="12"/>
      <c r="D87" s="12"/>
      <c r="E87" s="12"/>
      <c r="F87" s="12"/>
      <c r="G87" s="12"/>
      <c r="H87" s="12"/>
      <c r="I87" s="12"/>
    </row>
    <row r="88" spans="1:9" ht="24" customHeight="1">
      <c r="A88" s="12"/>
      <c r="B88" s="12"/>
      <c r="C88" s="12"/>
      <c r="D88" s="12"/>
      <c r="E88" s="12"/>
      <c r="F88" s="12"/>
      <c r="G88" s="12"/>
      <c r="H88" s="12"/>
      <c r="I88" s="12"/>
    </row>
    <row r="89" spans="1:9" ht="38.1" customHeight="1">
      <c r="A89" s="47" t="s">
        <v>169</v>
      </c>
      <c r="B89" s="47" t="s">
        <v>169</v>
      </c>
      <c r="C89" s="47" t="s">
        <v>169</v>
      </c>
      <c r="D89" s="47" t="s">
        <v>169</v>
      </c>
      <c r="E89" s="47" t="s">
        <v>169</v>
      </c>
      <c r="F89" s="47" t="s">
        <v>169</v>
      </c>
      <c r="G89" s="47" t="s">
        <v>169</v>
      </c>
      <c r="H89" s="47" t="s">
        <v>169</v>
      </c>
      <c r="I89" s="47" t="s">
        <v>169</v>
      </c>
    </row>
    <row r="90" spans="1:9" ht="24" customHeight="1">
      <c r="A90" s="17" t="s">
        <v>112</v>
      </c>
      <c r="B90" s="45" t="s">
        <v>170</v>
      </c>
      <c r="C90" s="45" t="s">
        <v>170</v>
      </c>
      <c r="D90" s="17" t="s">
        <v>114</v>
      </c>
      <c r="E90" s="14">
        <v>0.22</v>
      </c>
      <c r="F90" s="17" t="s">
        <v>115</v>
      </c>
      <c r="G90" s="14">
        <v>1</v>
      </c>
      <c r="H90" s="17" t="s">
        <v>61</v>
      </c>
      <c r="I90" s="14">
        <v>300</v>
      </c>
    </row>
    <row r="91" spans="1:9" ht="24" customHeight="1">
      <c r="A91" s="17" t="s">
        <v>116</v>
      </c>
      <c r="B91" s="14" t="s">
        <v>117</v>
      </c>
      <c r="C91" s="14" t="s">
        <v>118</v>
      </c>
      <c r="D91" s="14" t="s">
        <v>119</v>
      </c>
      <c r="E91" s="14" t="s">
        <v>120</v>
      </c>
      <c r="F91" s="14" t="s">
        <v>121</v>
      </c>
      <c r="G91" s="14" t="s">
        <v>122</v>
      </c>
      <c r="H91" s="17" t="s">
        <v>123</v>
      </c>
      <c r="I91" s="9" t="str">
        <f>IF(COUNTA(B94:B111)=0,"待设计",IF(COUNTIF(I94:I111,"可回读")=COUNTA(B94:B111),"可回读","需修正"))</f>
        <v>可回读</v>
      </c>
    </row>
    <row r="92" spans="1:9" ht="33.950000000000003" customHeight="1">
      <c r="A92" s="48" t="s">
        <v>124</v>
      </c>
      <c r="B92" s="48" t="s">
        <v>124</v>
      </c>
      <c r="C92" s="48" t="s">
        <v>124</v>
      </c>
      <c r="D92" s="48" t="s">
        <v>124</v>
      </c>
      <c r="E92" s="48" t="s">
        <v>124</v>
      </c>
      <c r="F92" s="48" t="s">
        <v>124</v>
      </c>
      <c r="G92" s="48" t="s">
        <v>124</v>
      </c>
      <c r="H92" s="48" t="s">
        <v>124</v>
      </c>
      <c r="I92" s="48" t="s">
        <v>124</v>
      </c>
    </row>
    <row r="93" spans="1:9" ht="42" customHeight="1">
      <c r="A93" s="17" t="s">
        <v>125</v>
      </c>
      <c r="B93" s="17" t="s">
        <v>126</v>
      </c>
      <c r="C93" s="17" t="s">
        <v>56</v>
      </c>
      <c r="D93" s="17" t="s">
        <v>57</v>
      </c>
      <c r="E93" s="22" t="s">
        <v>127</v>
      </c>
      <c r="F93" s="22" t="s">
        <v>128</v>
      </c>
      <c r="G93" s="22" t="s">
        <v>129</v>
      </c>
      <c r="H93" s="22" t="s">
        <v>130</v>
      </c>
      <c r="I93" s="17" t="s">
        <v>131</v>
      </c>
    </row>
    <row r="94" spans="1:9" ht="24" customHeight="1">
      <c r="A94" s="32">
        <v>1</v>
      </c>
      <c r="B94" s="14" t="s">
        <v>132</v>
      </c>
      <c r="C94" s="14">
        <v>53</v>
      </c>
      <c r="D94" s="9">
        <f>IF(OR(B94="",C94=""),"",ROUNDUP(C94*(1+(全局设置!$B$5-1)*全局设置!$B$6),0))</f>
        <v>53</v>
      </c>
      <c r="E94" s="6">
        <f>IFERROR(VLOOKUP(B94,敌人目录!$A$6:$AD$54,13,FALSE),"")</f>
        <v>1</v>
      </c>
      <c r="F94" s="6">
        <f t="shared" ref="F94:F111" si="3">IF(D94="","",D94*E94)</f>
        <v>53</v>
      </c>
      <c r="G94" s="6">
        <f>IF(F94="","",F94*全局设置!$B$7*全局设置!$E$14)</f>
        <v>53</v>
      </c>
      <c r="H94" s="6">
        <f>IF(G94="","",G94*全局设置!$B$5)</f>
        <v>53</v>
      </c>
      <c r="I94" s="9" t="str">
        <f>IF(AND(B94="",C94=""),"",IF(B94="","缺少敌人",IF(C94="","缺少数量",IF(OR(C94&lt;1,C94&gt;9999,C94&lt;&gt;INT(C94)),"数量无效",IF(COUNTIF($B$94:$B$111,B94)&gt;1,"重复敌人",IFERROR(IF(VLOOKUP(B94,敌人目录!$A$6:$AD$54,27,FALSE)="可回读","可回读","敌人参数错误"),"敌人不存在"))))))</f>
        <v>可回读</v>
      </c>
    </row>
    <row r="95" spans="1:9" ht="24" customHeight="1">
      <c r="A95" s="32">
        <v>2</v>
      </c>
      <c r="B95" s="14" t="s">
        <v>139</v>
      </c>
      <c r="C95" s="14">
        <v>24</v>
      </c>
      <c r="D95" s="9">
        <f>IF(OR(B95="",C95=""),"",ROUNDUP(C95*(1+(全局设置!$B$5-1)*全局设置!$B$6),0))</f>
        <v>24</v>
      </c>
      <c r="E95" s="6">
        <f>IFERROR(VLOOKUP(B95,敌人目录!$A$6:$AD$54,13,FALSE),"")</f>
        <v>1</v>
      </c>
      <c r="F95" s="6">
        <f t="shared" si="3"/>
        <v>24</v>
      </c>
      <c r="G95" s="6">
        <f>IF(F95="","",F95*全局设置!$B$7*全局设置!$E$14)</f>
        <v>24</v>
      </c>
      <c r="H95" s="6">
        <f>IF(G95="","",G95*全局设置!$B$5)</f>
        <v>24</v>
      </c>
      <c r="I95" s="9" t="str">
        <f>IF(AND(B95="",C95=""),"",IF(B95="","缺少敌人",IF(C95="","缺少数量",IF(OR(C95&lt;1,C95&gt;9999,C95&lt;&gt;INT(C95)),"数量无效",IF(COUNTIF($B$94:$B$111,B95)&gt;1,"重复敌人",IFERROR(IF(VLOOKUP(B95,敌人目录!$A$6:$AD$54,27,FALSE)="可回读","可回读","敌人参数错误"),"敌人不存在"))))))</f>
        <v>可回读</v>
      </c>
    </row>
    <row r="96" spans="1:9" ht="24" customHeight="1">
      <c r="A96" s="32">
        <v>3</v>
      </c>
      <c r="B96" s="14" t="s">
        <v>133</v>
      </c>
      <c r="C96" s="14">
        <v>24</v>
      </c>
      <c r="D96" s="9">
        <f>IF(OR(B96="",C96=""),"",ROUNDUP(C96*(1+(全局设置!$B$5-1)*全局设置!$B$6),0))</f>
        <v>24</v>
      </c>
      <c r="E96" s="6">
        <f>IFERROR(VLOOKUP(B96,敌人目录!$A$6:$AD$54,13,FALSE),"")</f>
        <v>2</v>
      </c>
      <c r="F96" s="6">
        <f t="shared" si="3"/>
        <v>48</v>
      </c>
      <c r="G96" s="6">
        <f>IF(F96="","",F96*全局设置!$B$7*全局设置!$E$14)</f>
        <v>48</v>
      </c>
      <c r="H96" s="6">
        <f>IF(G96="","",G96*全局设置!$B$5)</f>
        <v>48</v>
      </c>
      <c r="I96" s="9" t="str">
        <f>IF(AND(B96="",C96=""),"",IF(B96="","缺少敌人",IF(C96="","缺少数量",IF(OR(C96&lt;1,C96&gt;9999,C96&lt;&gt;INT(C96)),"数量无效",IF(COUNTIF($B$94:$B$111,B96)&gt;1,"重复敌人",IFERROR(IF(VLOOKUP(B96,敌人目录!$A$6:$AD$54,27,FALSE)="可回读","可回读","敌人参数错误"),"敌人不存在"))))))</f>
        <v>可回读</v>
      </c>
    </row>
    <row r="97" spans="1:9" ht="24" customHeight="1">
      <c r="A97" s="32">
        <v>4</v>
      </c>
      <c r="B97" s="14" t="s">
        <v>142</v>
      </c>
      <c r="C97" s="14">
        <v>20</v>
      </c>
      <c r="D97" s="9">
        <f>IF(OR(B97="",C97=""),"",ROUNDUP(C97*(1+(全局设置!$B$5-1)*全局设置!$B$6),0))</f>
        <v>20</v>
      </c>
      <c r="E97" s="6">
        <f>IFERROR(VLOOKUP(B97,敌人目录!$A$6:$AD$54,13,FALSE),"")</f>
        <v>1</v>
      </c>
      <c r="F97" s="6">
        <f t="shared" si="3"/>
        <v>20</v>
      </c>
      <c r="G97" s="6">
        <f>IF(F97="","",F97*全局设置!$B$7*全局设置!$E$14)</f>
        <v>20</v>
      </c>
      <c r="H97" s="6">
        <f>IF(G97="","",G97*全局设置!$B$5)</f>
        <v>20</v>
      </c>
      <c r="I97" s="9" t="str">
        <f>IF(AND(B97="",C97=""),"",IF(B97="","缺少敌人",IF(C97="","缺少数量",IF(OR(C97&lt;1,C97&gt;9999,C97&lt;&gt;INT(C97)),"数量无效",IF(COUNTIF($B$94:$B$111,B97)&gt;1,"重复敌人",IFERROR(IF(VLOOKUP(B97,敌人目录!$A$6:$AD$54,27,FALSE)="可回读","可回读","敌人参数错误"),"敌人不存在"))))))</f>
        <v>可回读</v>
      </c>
    </row>
    <row r="98" spans="1:9" ht="24" customHeight="1">
      <c r="A98" s="32">
        <v>5</v>
      </c>
      <c r="B98" s="14" t="s">
        <v>154</v>
      </c>
      <c r="C98" s="14">
        <v>16</v>
      </c>
      <c r="D98" s="9">
        <f>IF(OR(B98="",C98=""),"",ROUNDUP(C98*(1+(全局设置!$B$5-1)*全局设置!$B$6),0))</f>
        <v>16</v>
      </c>
      <c r="E98" s="6">
        <f>IFERROR(VLOOKUP(B98,敌人目录!$A$6:$AD$54,13,FALSE),"")</f>
        <v>2</v>
      </c>
      <c r="F98" s="6">
        <f t="shared" si="3"/>
        <v>32</v>
      </c>
      <c r="G98" s="6">
        <f>IF(F98="","",F98*全局设置!$B$7*全局设置!$E$14)</f>
        <v>32</v>
      </c>
      <c r="H98" s="6">
        <f>IF(G98="","",G98*全局设置!$B$5)</f>
        <v>32</v>
      </c>
      <c r="I98" s="9" t="str">
        <f>IF(AND(B98="",C98=""),"",IF(B98="","缺少敌人",IF(C98="","缺少数量",IF(OR(C98&lt;1,C98&gt;9999,C98&lt;&gt;INT(C98)),"数量无效",IF(COUNTIF($B$94:$B$111,B98)&gt;1,"重复敌人",IFERROR(IF(VLOOKUP(B98,敌人目录!$A$6:$AD$54,27,FALSE)="可回读","可回读","敌人参数错误"),"敌人不存在"))))))</f>
        <v>可回读</v>
      </c>
    </row>
    <row r="99" spans="1:9" ht="24" customHeight="1">
      <c r="A99" s="32">
        <v>6</v>
      </c>
      <c r="B99" s="14" t="s">
        <v>143</v>
      </c>
      <c r="C99" s="14">
        <v>20</v>
      </c>
      <c r="D99" s="9">
        <f>IF(OR(B99="",C99=""),"",ROUNDUP(C99*(1+(全局设置!$B$5-1)*全局设置!$B$6),0))</f>
        <v>20</v>
      </c>
      <c r="E99" s="6">
        <f>IFERROR(VLOOKUP(B99,敌人目录!$A$6:$AD$54,13,FALSE),"")</f>
        <v>1</v>
      </c>
      <c r="F99" s="6">
        <f t="shared" si="3"/>
        <v>20</v>
      </c>
      <c r="G99" s="6">
        <f>IF(F99="","",F99*全局设置!$B$7*全局设置!$E$14)</f>
        <v>20</v>
      </c>
      <c r="H99" s="6">
        <f>IF(G99="","",G99*全局设置!$B$5)</f>
        <v>20</v>
      </c>
      <c r="I99" s="9" t="str">
        <f>IF(AND(B99="",C99=""),"",IF(B99="","缺少敌人",IF(C99="","缺少数量",IF(OR(C99&lt;1,C99&gt;9999,C99&lt;&gt;INT(C99)),"数量无效",IF(COUNTIF($B$94:$B$111,B99)&gt;1,"重复敌人",IFERROR(IF(VLOOKUP(B99,敌人目录!$A$6:$AD$54,27,FALSE)="可回读","可回读","敌人参数错误"),"敌人不存在"))))))</f>
        <v>可回读</v>
      </c>
    </row>
    <row r="100" spans="1:9" ht="24" customHeight="1">
      <c r="A100" s="32">
        <v>7</v>
      </c>
      <c r="B100" s="14" t="s">
        <v>159</v>
      </c>
      <c r="C100" s="14">
        <v>20</v>
      </c>
      <c r="D100" s="9">
        <f>IF(OR(B100="",C100=""),"",ROUNDUP(C100*(1+(全局设置!$B$5-1)*全局设置!$B$6),0))</f>
        <v>20</v>
      </c>
      <c r="E100" s="6">
        <f>IFERROR(VLOOKUP(B100,敌人目录!$A$6:$AD$54,13,FALSE),"")</f>
        <v>2</v>
      </c>
      <c r="F100" s="6">
        <f t="shared" si="3"/>
        <v>40</v>
      </c>
      <c r="G100" s="6">
        <f>IF(F100="","",F100*全局设置!$B$7*全局设置!$E$14)</f>
        <v>40</v>
      </c>
      <c r="H100" s="6">
        <f>IF(G100="","",G100*全局设置!$B$5)</f>
        <v>40</v>
      </c>
      <c r="I100" s="9" t="str">
        <f>IF(AND(B100="",C100=""),"",IF(B100="","缺少敌人",IF(C100="","缺少数量",IF(OR(C100&lt;1,C100&gt;9999,C100&lt;&gt;INT(C100)),"数量无效",IF(COUNTIF($B$94:$B$111,B100)&gt;1,"重复敌人",IFERROR(IF(VLOOKUP(B100,敌人目录!$A$6:$AD$54,27,FALSE)="可回读","可回读","敌人参数错误"),"敌人不存在"))))))</f>
        <v>可回读</v>
      </c>
    </row>
    <row r="101" spans="1:9" ht="24" customHeight="1">
      <c r="A101" s="32">
        <v>8</v>
      </c>
      <c r="B101" s="14" t="s">
        <v>148</v>
      </c>
      <c r="C101" s="14">
        <v>16</v>
      </c>
      <c r="D101" s="9">
        <f>IF(OR(B101="",C101=""),"",ROUNDUP(C101*(1+(全局设置!$B$5-1)*全局设置!$B$6),0))</f>
        <v>16</v>
      </c>
      <c r="E101" s="6">
        <f>IFERROR(VLOOKUP(B101,敌人目录!$A$6:$AD$54,13,FALSE),"")</f>
        <v>2</v>
      </c>
      <c r="F101" s="6">
        <f t="shared" si="3"/>
        <v>32</v>
      </c>
      <c r="G101" s="6">
        <f>IF(F101="","",F101*全局设置!$B$7*全局设置!$E$14)</f>
        <v>32</v>
      </c>
      <c r="H101" s="6">
        <f>IF(G101="","",G101*全局设置!$B$5)</f>
        <v>32</v>
      </c>
      <c r="I101" s="9" t="str">
        <f>IF(AND(B101="",C101=""),"",IF(B101="","缺少敌人",IF(C101="","缺少数量",IF(OR(C101&lt;1,C101&gt;9999,C101&lt;&gt;INT(C101)),"数量无效",IF(COUNTIF($B$94:$B$111,B101)&gt;1,"重复敌人",IFERROR(IF(VLOOKUP(B101,敌人目录!$A$6:$AD$54,27,FALSE)="可回读","可回读","敌人参数错误"),"敌人不存在"))))))</f>
        <v>可回读</v>
      </c>
    </row>
    <row r="102" spans="1:9" ht="24" customHeight="1">
      <c r="A102" s="32">
        <v>9</v>
      </c>
      <c r="B102" s="14" t="s">
        <v>164</v>
      </c>
      <c r="C102" s="14">
        <v>2</v>
      </c>
      <c r="D102" s="9">
        <f>IF(OR(B102="",C102=""),"",ROUNDUP(C102*(1+(全局设置!$B$5-1)*全局设置!$B$6),0))</f>
        <v>2</v>
      </c>
      <c r="E102" s="6">
        <f>IFERROR(VLOOKUP(B102,敌人目录!$A$6:$AD$54,13,FALSE),"")</f>
        <v>5</v>
      </c>
      <c r="F102" s="6">
        <f t="shared" si="3"/>
        <v>10</v>
      </c>
      <c r="G102" s="6">
        <f>IF(F102="","",F102*全局设置!$B$7*全局设置!$E$14)</f>
        <v>10</v>
      </c>
      <c r="H102" s="6">
        <f>IF(G102="","",G102*全局设置!$B$5)</f>
        <v>10</v>
      </c>
      <c r="I102" s="9" t="str">
        <f>IF(AND(B102="",C102=""),"",IF(B102="","缺少敌人",IF(C102="","缺少数量",IF(OR(C102&lt;1,C102&gt;9999,C102&lt;&gt;INT(C102)),"数量无效",IF(COUNTIF($B$94:$B$111,B102)&gt;1,"重复敌人",IFERROR(IF(VLOOKUP(B102,敌人目录!$A$6:$AD$54,27,FALSE)="可回读","可回读","敌人参数错误"),"敌人不存在"))))))</f>
        <v>可回读</v>
      </c>
    </row>
    <row r="103" spans="1:9" ht="24" customHeight="1">
      <c r="A103" s="32">
        <v>10</v>
      </c>
      <c r="B103" s="14" t="s">
        <v>160</v>
      </c>
      <c r="C103" s="14">
        <v>2</v>
      </c>
      <c r="D103" s="9">
        <f>IF(OR(B103="",C103=""),"",ROUNDUP(C103*(1+(全局设置!$B$5-1)*全局设置!$B$6),0))</f>
        <v>2</v>
      </c>
      <c r="E103" s="6">
        <f>IFERROR(VLOOKUP(B103,敌人目录!$A$6:$AD$54,13,FALSE),"")</f>
        <v>4</v>
      </c>
      <c r="F103" s="6">
        <f t="shared" si="3"/>
        <v>8</v>
      </c>
      <c r="G103" s="6">
        <f>IF(F103="","",F103*全局设置!$B$7*全局设置!$E$14)</f>
        <v>8</v>
      </c>
      <c r="H103" s="6">
        <f>IF(G103="","",G103*全局设置!$B$5)</f>
        <v>8</v>
      </c>
      <c r="I103" s="9" t="str">
        <f>IF(AND(B103="",C103=""),"",IF(B103="","缺少敌人",IF(C103="","缺少数量",IF(OR(C103&lt;1,C103&gt;9999,C103&lt;&gt;INT(C103)),"数量无效",IF(COUNTIF($B$94:$B$111,B103)&gt;1,"重复敌人",IFERROR(IF(VLOOKUP(B103,敌人目录!$A$6:$AD$54,27,FALSE)="可回读","可回读","敌人参数错误"),"敌人不存在"))))))</f>
        <v>可回读</v>
      </c>
    </row>
    <row r="104" spans="1:9" ht="24" customHeight="1">
      <c r="A104" s="32">
        <v>11</v>
      </c>
      <c r="B104" s="14" t="s">
        <v>167</v>
      </c>
      <c r="C104" s="14">
        <v>1</v>
      </c>
      <c r="D104" s="9">
        <f>IF(OR(B104="",C104=""),"",ROUNDUP(C104*(1+(全局设置!$B$5-1)*全局设置!$B$6),0))</f>
        <v>1</v>
      </c>
      <c r="E104" s="6">
        <f>IFERROR(VLOOKUP(B104,敌人目录!$A$6:$AD$54,13,FALSE),"")</f>
        <v>10</v>
      </c>
      <c r="F104" s="6">
        <f t="shared" si="3"/>
        <v>10</v>
      </c>
      <c r="G104" s="6">
        <f>IF(F104="","",F104*全局设置!$B$7*全局设置!$E$14)</f>
        <v>10</v>
      </c>
      <c r="H104" s="6">
        <f>IF(G104="","",G104*全局设置!$B$5)</f>
        <v>10</v>
      </c>
      <c r="I104" s="9" t="str">
        <f>IF(AND(B104="",C104=""),"",IF(B104="","缺少敌人",IF(C104="","缺少数量",IF(OR(C104&lt;1,C104&gt;9999,C104&lt;&gt;INT(C104)),"数量无效",IF(COUNTIF($B$94:$B$111,B104)&gt;1,"重复敌人",IFERROR(IF(VLOOKUP(B104,敌人目录!$A$6:$AD$54,27,FALSE)="可回读","可回读","敌人参数错误"),"敌人不存在"))))))</f>
        <v>可回读</v>
      </c>
    </row>
    <row r="105" spans="1:9" ht="24" customHeight="1">
      <c r="A105" s="32">
        <v>12</v>
      </c>
      <c r="B105" s="14" t="s">
        <v>171</v>
      </c>
      <c r="C105" s="14">
        <v>1</v>
      </c>
      <c r="D105" s="9">
        <f>IF(OR(B105="",C105=""),"",ROUNDUP(C105*(1+(全局设置!$B$5-1)*全局设置!$B$6),0))</f>
        <v>1</v>
      </c>
      <c r="E105" s="6">
        <f>IFERROR(VLOOKUP(B105,敌人目录!$A$6:$AD$54,13,FALSE),"")</f>
        <v>5</v>
      </c>
      <c r="F105" s="6">
        <f t="shared" si="3"/>
        <v>5</v>
      </c>
      <c r="G105" s="6">
        <f>IF(F105="","",F105*全局设置!$B$7*全局设置!$E$14)</f>
        <v>5</v>
      </c>
      <c r="H105" s="6">
        <f>IF(G105="","",G105*全局设置!$B$5)</f>
        <v>5</v>
      </c>
      <c r="I105" s="9" t="str">
        <f>IF(AND(B105="",C105=""),"",IF(B105="","缺少敌人",IF(C105="","缺少数量",IF(OR(C105&lt;1,C105&gt;9999,C105&lt;&gt;INT(C105)),"数量无效",IF(COUNTIF($B$94:$B$111,B105)&gt;1,"重复敌人",IFERROR(IF(VLOOKUP(B105,敌人目录!$A$6:$AD$54,27,FALSE)="可回读","可回读","敌人参数错误"),"敌人不存在"))))))</f>
        <v>可回读</v>
      </c>
    </row>
    <row r="106" spans="1:9" ht="24" customHeight="1">
      <c r="A106" s="32">
        <v>13</v>
      </c>
      <c r="B106" s="14" t="s">
        <v>168</v>
      </c>
      <c r="C106" s="14">
        <v>1</v>
      </c>
      <c r="D106" s="9">
        <f>IF(OR(B106="",C106=""),"",ROUNDUP(C106*(1+(全局设置!$B$5-1)*全局设置!$B$6),0))</f>
        <v>1</v>
      </c>
      <c r="E106" s="6">
        <f>IFERROR(VLOOKUP(B106,敌人目录!$A$6:$AD$54,13,FALSE),"")</f>
        <v>40</v>
      </c>
      <c r="F106" s="6">
        <f t="shared" si="3"/>
        <v>40</v>
      </c>
      <c r="G106" s="6">
        <f>IF(F106="","",F106*全局设置!$B$7*全局设置!$E$14)</f>
        <v>40</v>
      </c>
      <c r="H106" s="6">
        <f>IF(G106="","",G106*全局设置!$B$5)</f>
        <v>40</v>
      </c>
      <c r="I106" s="9" t="str">
        <f>IF(AND(B106="",C106=""),"",IF(B106="","缺少敌人",IF(C106="","缺少数量",IF(OR(C106&lt;1,C106&gt;9999,C106&lt;&gt;INT(C106)),"数量无效",IF(COUNTIF($B$94:$B$111,B106)&gt;1,"重复敌人",IFERROR(IF(VLOOKUP(B106,敌人目录!$A$6:$AD$54,27,FALSE)="可回读","可回读","敌人参数错误"),"敌人不存在"))))))</f>
        <v>可回读</v>
      </c>
    </row>
    <row r="107" spans="1:9" ht="24" customHeight="1">
      <c r="A107" s="32">
        <v>14</v>
      </c>
      <c r="B107" s="14"/>
      <c r="C107" s="14"/>
      <c r="D107" s="9" t="str">
        <f>IF(OR(B107="",C107=""),"",ROUNDUP(C107*(1+(全局设置!$B$5-1)*全局设置!$B$6),0))</f>
        <v/>
      </c>
      <c r="E107" s="6" t="str">
        <f>IFERROR(VLOOKUP(B107,敌人目录!$A$6:$AD$54,13,FALSE),"")</f>
        <v/>
      </c>
      <c r="F107" s="6" t="str">
        <f t="shared" si="3"/>
        <v/>
      </c>
      <c r="G107" s="6" t="str">
        <f>IF(F107="","",F107*全局设置!$B$7*全局设置!$E$14)</f>
        <v/>
      </c>
      <c r="H107" s="6" t="str">
        <f>IF(G107="","",G107*全局设置!$B$5)</f>
        <v/>
      </c>
      <c r="I107" s="9" t="str">
        <f>IF(AND(B107="",C107=""),"",IF(B107="","缺少敌人",IF(C107="","缺少数量",IF(OR(C107&lt;1,C107&gt;9999,C107&lt;&gt;INT(C107)),"数量无效",IF(COUNTIF($B$94:$B$111,B107)&gt;1,"重复敌人",IFERROR(IF(VLOOKUP(B107,敌人目录!$A$6:$AD$54,27,FALSE)="可回读","可回读","敌人参数错误"),"敌人不存在"))))))</f>
        <v/>
      </c>
    </row>
    <row r="108" spans="1:9" ht="24" customHeight="1">
      <c r="A108" s="32">
        <v>15</v>
      </c>
      <c r="B108" s="14"/>
      <c r="C108" s="14"/>
      <c r="D108" s="9" t="str">
        <f>IF(OR(B108="",C108=""),"",ROUNDUP(C108*(1+(全局设置!$B$5-1)*全局设置!$B$6),0))</f>
        <v/>
      </c>
      <c r="E108" s="6" t="str">
        <f>IFERROR(VLOOKUP(B108,敌人目录!$A$6:$AD$54,13,FALSE),"")</f>
        <v/>
      </c>
      <c r="F108" s="6" t="str">
        <f t="shared" si="3"/>
        <v/>
      </c>
      <c r="G108" s="6" t="str">
        <f>IF(F108="","",F108*全局设置!$B$7*全局设置!$E$14)</f>
        <v/>
      </c>
      <c r="H108" s="6" t="str">
        <f>IF(G108="","",G108*全局设置!$B$5)</f>
        <v/>
      </c>
      <c r="I108" s="9" t="str">
        <f>IF(AND(B108="",C108=""),"",IF(B108="","缺少敌人",IF(C108="","缺少数量",IF(OR(C108&lt;1,C108&gt;9999,C108&lt;&gt;INT(C108)),"数量无效",IF(COUNTIF($B$94:$B$111,B108)&gt;1,"重复敌人",IFERROR(IF(VLOOKUP(B108,敌人目录!$A$6:$AD$54,27,FALSE)="可回读","可回读","敌人参数错误"),"敌人不存在"))))))</f>
        <v/>
      </c>
    </row>
    <row r="109" spans="1:9" ht="24" customHeight="1">
      <c r="A109" s="32">
        <v>16</v>
      </c>
      <c r="B109" s="14"/>
      <c r="C109" s="14"/>
      <c r="D109" s="9" t="str">
        <f>IF(OR(B109="",C109=""),"",ROUNDUP(C109*(1+(全局设置!$B$5-1)*全局设置!$B$6),0))</f>
        <v/>
      </c>
      <c r="E109" s="6" t="str">
        <f>IFERROR(VLOOKUP(B109,敌人目录!$A$6:$AD$54,13,FALSE),"")</f>
        <v/>
      </c>
      <c r="F109" s="6" t="str">
        <f t="shared" si="3"/>
        <v/>
      </c>
      <c r="G109" s="6" t="str">
        <f>IF(F109="","",F109*全局设置!$B$7*全局设置!$E$14)</f>
        <v/>
      </c>
      <c r="H109" s="6" t="str">
        <f>IF(G109="","",G109*全局设置!$B$5)</f>
        <v/>
      </c>
      <c r="I109" s="9" t="str">
        <f>IF(AND(B109="",C109=""),"",IF(B109="","缺少敌人",IF(C109="","缺少数量",IF(OR(C109&lt;1,C109&gt;9999,C109&lt;&gt;INT(C109)),"数量无效",IF(COUNTIF($B$94:$B$111,B109)&gt;1,"重复敌人",IFERROR(IF(VLOOKUP(B109,敌人目录!$A$6:$AD$54,27,FALSE)="可回读","可回读","敌人参数错误"),"敌人不存在"))))))</f>
        <v/>
      </c>
    </row>
    <row r="110" spans="1:9" ht="24" customHeight="1">
      <c r="A110" s="32">
        <v>17</v>
      </c>
      <c r="B110" s="14"/>
      <c r="C110" s="14"/>
      <c r="D110" s="9" t="str">
        <f>IF(OR(B110="",C110=""),"",ROUNDUP(C110*(1+(全局设置!$B$5-1)*全局设置!$B$6),0))</f>
        <v/>
      </c>
      <c r="E110" s="6" t="str">
        <f>IFERROR(VLOOKUP(B110,敌人目录!$A$6:$AD$54,13,FALSE),"")</f>
        <v/>
      </c>
      <c r="F110" s="6" t="str">
        <f t="shared" si="3"/>
        <v/>
      </c>
      <c r="G110" s="6" t="str">
        <f>IF(F110="","",F110*全局设置!$B$7*全局设置!$E$14)</f>
        <v/>
      </c>
      <c r="H110" s="6" t="str">
        <f>IF(G110="","",G110*全局设置!$B$5)</f>
        <v/>
      </c>
      <c r="I110" s="9" t="str">
        <f>IF(AND(B110="",C110=""),"",IF(B110="","缺少敌人",IF(C110="","缺少数量",IF(OR(C110&lt;1,C110&gt;9999,C110&lt;&gt;INT(C110)),"数量无效",IF(COUNTIF($B$94:$B$111,B110)&gt;1,"重复敌人",IFERROR(IF(VLOOKUP(B110,敌人目录!$A$6:$AD$54,27,FALSE)="可回读","可回读","敌人参数错误"),"敌人不存在"))))))</f>
        <v/>
      </c>
    </row>
    <row r="111" spans="1:9" ht="24" customHeight="1">
      <c r="A111" s="32">
        <v>18</v>
      </c>
      <c r="B111" s="14"/>
      <c r="C111" s="14"/>
      <c r="D111" s="9" t="str">
        <f>IF(OR(B111="",C111=""),"",ROUNDUP(C111*(1+(全局设置!$B$5-1)*全局设置!$B$6),0))</f>
        <v/>
      </c>
      <c r="E111" s="6" t="str">
        <f>IFERROR(VLOOKUP(B111,敌人目录!$A$6:$AD$54,13,FALSE),"")</f>
        <v/>
      </c>
      <c r="F111" s="6" t="str">
        <f t="shared" si="3"/>
        <v/>
      </c>
      <c r="G111" s="6" t="str">
        <f>IF(F111="","",F111*全局设置!$B$7*全局设置!$E$14)</f>
        <v/>
      </c>
      <c r="H111" s="6" t="str">
        <f>IF(G111="","",G111*全局设置!$B$5)</f>
        <v/>
      </c>
      <c r="I111" s="9" t="str">
        <f>IF(AND(B111="",C111=""),"",IF(B111="","缺少敌人",IF(C111="","缺少数量",IF(OR(C111&lt;1,C111&gt;9999,C111&lt;&gt;INT(C111)),"数量无效",IF(COUNTIF($B$94:$B$111,B111)&gt;1,"重复敌人",IFERROR(IF(VLOOKUP(B111,敌人目录!$A$6:$AD$54,27,FALSE)="可回读","可回读","敌人参数错误"),"敌人不存在"))))))</f>
        <v/>
      </c>
    </row>
    <row r="112" spans="1:9" ht="24" customHeight="1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 ht="32.1" customHeight="1">
      <c r="A113" s="17" t="s">
        <v>134</v>
      </c>
      <c r="B113" s="9">
        <f>SUM(C94:C111)</f>
        <v>200</v>
      </c>
      <c r="C113" s="17" t="s">
        <v>135</v>
      </c>
      <c r="D113" s="9">
        <f>SUM(D94:D111)</f>
        <v>200</v>
      </c>
      <c r="E113" s="17" t="s">
        <v>59</v>
      </c>
      <c r="F113" s="9">
        <f>SUM(F94:F111)</f>
        <v>342</v>
      </c>
      <c r="G113" s="17" t="s">
        <v>48</v>
      </c>
      <c r="H113" s="9">
        <f>SUM(G94:G111)</f>
        <v>342</v>
      </c>
      <c r="I113" s="12"/>
    </row>
    <row r="114" spans="1:9" ht="32.1" customHeight="1">
      <c r="A114" s="17" t="s">
        <v>49</v>
      </c>
      <c r="B114" s="9">
        <f>SUM(H94:H111)</f>
        <v>342</v>
      </c>
      <c r="C114" s="46" t="s">
        <v>161</v>
      </c>
      <c r="D114" s="46" t="s">
        <v>161</v>
      </c>
      <c r="E114" s="46" t="s">
        <v>161</v>
      </c>
      <c r="F114" s="46" t="s">
        <v>161</v>
      </c>
      <c r="G114" s="46" t="s">
        <v>161</v>
      </c>
      <c r="H114" s="46" t="s">
        <v>161</v>
      </c>
      <c r="I114" s="46" t="s">
        <v>161</v>
      </c>
    </row>
    <row r="115" spans="1:9" ht="24" customHeight="1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9" ht="24" customHeight="1">
      <c r="A116" s="12"/>
      <c r="B116" s="12"/>
      <c r="C116" s="12"/>
      <c r="D116" s="12"/>
      <c r="E116" s="12"/>
      <c r="F116" s="12"/>
      <c r="G116" s="12"/>
      <c r="H116" s="12"/>
      <c r="I116" s="12"/>
    </row>
    <row r="117" spans="1:9" ht="24" customHeight="1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 ht="24" customHeight="1">
      <c r="A118" s="12"/>
      <c r="B118" s="12"/>
      <c r="C118" s="12"/>
      <c r="D118" s="12"/>
      <c r="E118" s="12"/>
      <c r="F118" s="12"/>
      <c r="G118" s="12"/>
      <c r="H118" s="12"/>
      <c r="I118" s="12"/>
    </row>
  </sheetData>
  <mergeCells count="16">
    <mergeCell ref="C114:I114"/>
    <mergeCell ref="A63:I63"/>
    <mergeCell ref="C85:I85"/>
    <mergeCell ref="A89:I89"/>
    <mergeCell ref="B90:C90"/>
    <mergeCell ref="A92:I92"/>
    <mergeCell ref="B32:C32"/>
    <mergeCell ref="A34:I34"/>
    <mergeCell ref="C56:I56"/>
    <mergeCell ref="A60:I60"/>
    <mergeCell ref="B61:C61"/>
    <mergeCell ref="A2:I2"/>
    <mergeCell ref="B3:C3"/>
    <mergeCell ref="A5:I5"/>
    <mergeCell ref="C27:I27"/>
    <mergeCell ref="A31:I31"/>
  </mergeCells>
  <phoneticPr fontId="15" type="noConversion"/>
  <conditionalFormatting sqref="I4">
    <cfRule type="containsText" dxfId="47" priority="7" operator="containsText" text="可回读"/>
    <cfRule type="containsText" dxfId="46" priority="8" operator="containsText" text="待设计"/>
    <cfRule type="containsText" dxfId="45" priority="9" operator="containsText" text="需修正"/>
  </conditionalFormatting>
  <conditionalFormatting sqref="I7:I24">
    <cfRule type="containsText" dxfId="44" priority="1" operator="containsText" text="可回读"/>
    <cfRule type="containsText" dxfId="43" priority="2" operator="containsText" text="缺少"/>
  </conditionalFormatting>
  <conditionalFormatting sqref="I33">
    <cfRule type="containsText" dxfId="42" priority="16" operator="containsText" text="可回读"/>
    <cfRule type="containsText" dxfId="41" priority="17" operator="containsText" text="待设计"/>
    <cfRule type="containsText" dxfId="40" priority="18" operator="containsText" text="需修正"/>
  </conditionalFormatting>
  <conditionalFormatting sqref="I36:I53">
    <cfRule type="containsText" dxfId="39" priority="10" operator="containsText" text="可回读"/>
    <cfRule type="containsText" dxfId="38" priority="11" operator="containsText" text="缺少"/>
  </conditionalFormatting>
  <conditionalFormatting sqref="I62">
    <cfRule type="containsText" dxfId="37" priority="26" operator="containsText" text="待设计"/>
    <cfRule type="containsText" dxfId="36" priority="25" operator="containsText" text="可回读"/>
    <cfRule type="containsText" dxfId="35" priority="27" operator="containsText" text="需修正"/>
  </conditionalFormatting>
  <conditionalFormatting sqref="I65:I82">
    <cfRule type="containsText" dxfId="34" priority="20" operator="containsText" text="缺少"/>
    <cfRule type="containsText" dxfId="33" priority="19" operator="containsText" text="可回读"/>
  </conditionalFormatting>
  <conditionalFormatting sqref="I91">
    <cfRule type="containsText" dxfId="32" priority="34" operator="containsText" text="可回读"/>
    <cfRule type="containsText" dxfId="31" priority="35" operator="containsText" text="待设计"/>
    <cfRule type="containsText" dxfId="30" priority="36" operator="containsText" text="需修正"/>
  </conditionalFormatting>
  <conditionalFormatting sqref="I94:I111">
    <cfRule type="containsText" dxfId="29" priority="28" operator="containsText" text="可回读"/>
    <cfRule type="containsText" dxfId="28" priority="29" operator="containsText" text="缺少"/>
  </conditionalFormatting>
  <dataValidations count="10">
    <dataValidation type="decimal" sqref="E3 E90 E61 E32" xr:uid="{00000000-0002-0000-0500-000000000000}">
      <formula1>0.025</formula1>
      <formula2>60</formula2>
    </dataValidation>
    <dataValidation type="whole" sqref="G3 G90 G61 G32" xr:uid="{00000000-0002-0000-0500-000001000000}">
      <formula1>1</formula1>
      <formula2>4</formula2>
    </dataValidation>
    <dataValidation type="whole" sqref="I32 I90 I61 I3" xr:uid="{00000000-0002-0000-0500-000002000000}">
      <formula1>1</formula1>
      <formula2>999</formula2>
    </dataValidation>
    <dataValidation type="list" sqref="B4 B91 B62 B33" xr:uid="{00000000-0002-0000-0500-000003000000}">
      <formula1>"点1·开启,点1·关闭"</formula1>
    </dataValidation>
    <dataValidation type="list" sqref="C4 C91 C62 C33" xr:uid="{00000000-0002-0000-0500-000004000000}">
      <formula1>"点2·开启,点2·关闭"</formula1>
    </dataValidation>
    <dataValidation type="list" sqref="D4 D91 D62 D33" xr:uid="{00000000-0002-0000-0500-000005000000}">
      <formula1>"点3·开启,点3·关闭"</formula1>
    </dataValidation>
    <dataValidation type="list" sqref="E4 E91 E62 E33" xr:uid="{00000000-0002-0000-0500-000006000000}">
      <formula1>"点4·开启,点4·关闭"</formula1>
    </dataValidation>
    <dataValidation type="list" sqref="F4 F91 F62 F33" xr:uid="{00000000-0002-0000-0500-000007000000}">
      <formula1>"点5·开启,点5·关闭"</formula1>
    </dataValidation>
    <dataValidation type="list" sqref="G4 G91 G62 G33" xr:uid="{00000000-0002-0000-0500-000008000000}">
      <formula1>"点6·开启,点6·关闭"</formula1>
    </dataValidation>
    <dataValidation type="whole" sqref="C7:C24 C94:C111 C65:C82 C36:C53" xr:uid="{00000000-0002-0000-0500-00000A000000}">
      <formula1>1</formula1>
      <formula2>9999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9000000}">
          <x14:formula1>
            <xm:f>'系统数据（勿改）'!$A$4:$A$52</xm:f>
          </x14:formula1>
          <xm:sqref>B7:B24 B94:B111 B65:B82 B36:B53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8"/>
  <sheetViews>
    <sheetView showGridLines="0" workbookViewId="0">
      <selection activeCell="K9" sqref="K9"/>
    </sheetView>
  </sheetViews>
  <sheetFormatPr defaultRowHeight="14.25"/>
  <cols>
    <col min="1" max="1" width="7" customWidth="1"/>
    <col min="2" max="2" width="38" customWidth="1"/>
    <col min="3" max="4" width="12" customWidth="1"/>
    <col min="5" max="5" width="14" customWidth="1"/>
    <col min="6" max="8" width="20" customWidth="1"/>
    <col min="9" max="9" width="15" customWidth="1"/>
  </cols>
  <sheetData>
    <row r="1" spans="1:9" ht="24" customHeight="1">
      <c r="A1" s="12"/>
      <c r="B1" s="12"/>
      <c r="C1" s="12"/>
      <c r="D1" s="12"/>
      <c r="E1" s="12"/>
      <c r="F1" s="12"/>
      <c r="G1" s="12"/>
      <c r="H1" s="12"/>
      <c r="I1" s="12"/>
    </row>
    <row r="2" spans="1:9" ht="38.1" customHeight="1">
      <c r="A2" s="44" t="s">
        <v>172</v>
      </c>
      <c r="B2" s="44" t="s">
        <v>172</v>
      </c>
      <c r="C2" s="44" t="s">
        <v>172</v>
      </c>
      <c r="D2" s="44" t="s">
        <v>172</v>
      </c>
      <c r="E2" s="44" t="s">
        <v>172</v>
      </c>
      <c r="F2" s="44" t="s">
        <v>172</v>
      </c>
      <c r="G2" s="44" t="s">
        <v>172</v>
      </c>
      <c r="H2" s="44" t="s">
        <v>172</v>
      </c>
      <c r="I2" s="44" t="s">
        <v>172</v>
      </c>
    </row>
    <row r="3" spans="1:9" ht="24" customHeight="1">
      <c r="A3" s="13" t="s">
        <v>112</v>
      </c>
      <c r="B3" s="45" t="s">
        <v>173</v>
      </c>
      <c r="C3" s="45" t="s">
        <v>173</v>
      </c>
      <c r="D3" s="13" t="s">
        <v>114</v>
      </c>
      <c r="E3" s="14">
        <v>0.22</v>
      </c>
      <c r="F3" s="13" t="s">
        <v>115</v>
      </c>
      <c r="G3" s="14">
        <v>1</v>
      </c>
      <c r="H3" s="13" t="s">
        <v>61</v>
      </c>
      <c r="I3" s="14">
        <v>300</v>
      </c>
    </row>
    <row r="4" spans="1:9" ht="24" customHeight="1">
      <c r="A4" s="13" t="s">
        <v>116</v>
      </c>
      <c r="B4" s="14" t="s">
        <v>117</v>
      </c>
      <c r="C4" s="14" t="s">
        <v>118</v>
      </c>
      <c r="D4" s="14" t="s">
        <v>119</v>
      </c>
      <c r="E4" s="14" t="s">
        <v>120</v>
      </c>
      <c r="F4" s="14" t="s">
        <v>121</v>
      </c>
      <c r="G4" s="14" t="s">
        <v>122</v>
      </c>
      <c r="H4" s="13" t="s">
        <v>123</v>
      </c>
      <c r="I4" s="9" t="str">
        <f>IF(COUNTA(B7:B24)=0,"待设计",IF(COUNTIF(I7:I24,"可回读")=COUNTA(B7:B24),"可回读","需修正"))</f>
        <v>待设计</v>
      </c>
    </row>
    <row r="5" spans="1:9" ht="33.950000000000003" customHeight="1">
      <c r="A5" s="41" t="s">
        <v>124</v>
      </c>
      <c r="B5" s="41" t="s">
        <v>124</v>
      </c>
      <c r="C5" s="41" t="s">
        <v>124</v>
      </c>
      <c r="D5" s="41" t="s">
        <v>124</v>
      </c>
      <c r="E5" s="41" t="s">
        <v>124</v>
      </c>
      <c r="F5" s="41" t="s">
        <v>124</v>
      </c>
      <c r="G5" s="41" t="s">
        <v>124</v>
      </c>
      <c r="H5" s="41" t="s">
        <v>124</v>
      </c>
      <c r="I5" s="41" t="s">
        <v>124</v>
      </c>
    </row>
    <row r="6" spans="1:9" ht="42" customHeight="1">
      <c r="A6" s="20" t="s">
        <v>125</v>
      </c>
      <c r="B6" s="20" t="s">
        <v>126</v>
      </c>
      <c r="C6" s="20" t="s">
        <v>56</v>
      </c>
      <c r="D6" s="20" t="s">
        <v>57</v>
      </c>
      <c r="E6" s="22" t="s">
        <v>127</v>
      </c>
      <c r="F6" s="22" t="s">
        <v>128</v>
      </c>
      <c r="G6" s="22" t="s">
        <v>129</v>
      </c>
      <c r="H6" s="22" t="s">
        <v>130</v>
      </c>
      <c r="I6" s="20" t="s">
        <v>131</v>
      </c>
    </row>
    <row r="7" spans="1:9" ht="24" customHeight="1">
      <c r="A7" s="32">
        <v>1</v>
      </c>
      <c r="B7" s="14"/>
      <c r="C7" s="14"/>
      <c r="D7" s="9" t="str">
        <f>IF(OR(B7="",C7=""),"",ROUNDUP(C7*(1+(全局设置!$B$5-1)*全局设置!$B$6),0))</f>
        <v/>
      </c>
      <c r="E7" s="6" t="str">
        <f>IFERROR(VLOOKUP(B7,敌人目录!$A$6:$AD$54,13,FALSE),"")</f>
        <v/>
      </c>
      <c r="F7" s="6" t="str">
        <f t="shared" ref="F7:F24" si="0">IF(D7="","",D7*E7)</f>
        <v/>
      </c>
      <c r="G7" s="6" t="str">
        <f>IF(F7="","",F7*全局设置!$B$7*全局设置!$F$14)</f>
        <v/>
      </c>
      <c r="H7" s="6" t="str">
        <f>IF(G7="","",G7*全局设置!$B$5)</f>
        <v/>
      </c>
      <c r="I7" s="9" t="str">
        <f>IF(AND(B7="",C7=""),"",IF(B7="","缺少敌人",IF(C7="","缺少数量",IF(OR(C7&lt;1,C7&gt;9999,C7&lt;&gt;INT(C7)),"数量无效",IF(COUNTIF($B$7:$B$24,B7)&gt;1,"重复敌人",IFERROR(IF(VLOOKUP(B7,敌人目录!$A$6:$AD$54,27,FALSE)="可回读","可回读","敌人参数错误"),"敌人不存在"))))))</f>
        <v/>
      </c>
    </row>
    <row r="8" spans="1:9" ht="24" customHeight="1">
      <c r="A8" s="32">
        <v>2</v>
      </c>
      <c r="B8" s="14"/>
      <c r="C8" s="14"/>
      <c r="D8" s="9" t="str">
        <f>IF(OR(B8="",C8=""),"",ROUNDUP(C8*(1+(全局设置!$B$5-1)*全局设置!$B$6),0))</f>
        <v/>
      </c>
      <c r="E8" s="6" t="str">
        <f>IFERROR(VLOOKUP(B8,敌人目录!$A$6:$AD$54,13,FALSE),"")</f>
        <v/>
      </c>
      <c r="F8" s="6" t="str">
        <f t="shared" si="0"/>
        <v/>
      </c>
      <c r="G8" s="6" t="str">
        <f>IF(F8="","",F8*全局设置!$B$7*全局设置!$F$14)</f>
        <v/>
      </c>
      <c r="H8" s="6" t="str">
        <f>IF(G8="","",G8*全局设置!$B$5)</f>
        <v/>
      </c>
      <c r="I8" s="9" t="str">
        <f>IF(AND(B8="",C8=""),"",IF(B8="","缺少敌人",IF(C8="","缺少数量",IF(OR(C8&lt;1,C8&gt;9999,C8&lt;&gt;INT(C8)),"数量无效",IF(COUNTIF($B$7:$B$24,B8)&gt;1,"重复敌人",IFERROR(IF(VLOOKUP(B8,敌人目录!$A$6:$AD$54,27,FALSE)="可回读","可回读","敌人参数错误"),"敌人不存在"))))))</f>
        <v/>
      </c>
    </row>
    <row r="9" spans="1:9" ht="24" customHeight="1">
      <c r="A9" s="32">
        <v>3</v>
      </c>
      <c r="B9" s="14"/>
      <c r="C9" s="14"/>
      <c r="D9" s="9" t="str">
        <f>IF(OR(B9="",C9=""),"",ROUNDUP(C9*(1+(全局设置!$B$5-1)*全局设置!$B$6),0))</f>
        <v/>
      </c>
      <c r="E9" s="6" t="str">
        <f>IFERROR(VLOOKUP(B9,敌人目录!$A$6:$AD$54,13,FALSE),"")</f>
        <v/>
      </c>
      <c r="F9" s="6" t="str">
        <f t="shared" si="0"/>
        <v/>
      </c>
      <c r="G9" s="6" t="str">
        <f>IF(F9="","",F9*全局设置!$B$7*全局设置!$F$14)</f>
        <v/>
      </c>
      <c r="H9" s="6" t="str">
        <f>IF(G9="","",G9*全局设置!$B$5)</f>
        <v/>
      </c>
      <c r="I9" s="9" t="str">
        <f>IF(AND(B9="",C9=""),"",IF(B9="","缺少敌人",IF(C9="","缺少数量",IF(OR(C9&lt;1,C9&gt;9999,C9&lt;&gt;INT(C9)),"数量无效",IF(COUNTIF($B$7:$B$24,B9)&gt;1,"重复敌人",IFERROR(IF(VLOOKUP(B9,敌人目录!$A$6:$AD$54,27,FALSE)="可回读","可回读","敌人参数错误"),"敌人不存在"))))))</f>
        <v/>
      </c>
    </row>
    <row r="10" spans="1:9" ht="24" customHeight="1">
      <c r="A10" s="32">
        <v>4</v>
      </c>
      <c r="B10" s="14"/>
      <c r="C10" s="14"/>
      <c r="D10" s="9" t="str">
        <f>IF(OR(B10="",C10=""),"",ROUNDUP(C10*(1+(全局设置!$B$5-1)*全局设置!$B$6),0))</f>
        <v/>
      </c>
      <c r="E10" s="6" t="str">
        <f>IFERROR(VLOOKUP(B10,敌人目录!$A$6:$AD$54,13,FALSE),"")</f>
        <v/>
      </c>
      <c r="F10" s="6" t="str">
        <f t="shared" si="0"/>
        <v/>
      </c>
      <c r="G10" s="6" t="str">
        <f>IF(F10="","",F10*全局设置!$B$7*全局设置!$F$14)</f>
        <v/>
      </c>
      <c r="H10" s="6" t="str">
        <f>IF(G10="","",G10*全局设置!$B$5)</f>
        <v/>
      </c>
      <c r="I10" s="9" t="str">
        <f>IF(AND(B10="",C10=""),"",IF(B10="","缺少敌人",IF(C10="","缺少数量",IF(OR(C10&lt;1,C10&gt;9999,C10&lt;&gt;INT(C10)),"数量无效",IF(COUNTIF($B$7:$B$24,B10)&gt;1,"重复敌人",IFERROR(IF(VLOOKUP(B10,敌人目录!$A$6:$AD$54,27,FALSE)="可回读","可回读","敌人参数错误"),"敌人不存在"))))))</f>
        <v/>
      </c>
    </row>
    <row r="11" spans="1:9" ht="24" customHeight="1">
      <c r="A11" s="32">
        <v>5</v>
      </c>
      <c r="B11" s="14"/>
      <c r="C11" s="14"/>
      <c r="D11" s="9" t="str">
        <f>IF(OR(B11="",C11=""),"",ROUNDUP(C11*(1+(全局设置!$B$5-1)*全局设置!$B$6),0))</f>
        <v/>
      </c>
      <c r="E11" s="6" t="str">
        <f>IFERROR(VLOOKUP(B11,敌人目录!$A$6:$AD$54,13,FALSE),"")</f>
        <v/>
      </c>
      <c r="F11" s="6" t="str">
        <f t="shared" si="0"/>
        <v/>
      </c>
      <c r="G11" s="6" t="str">
        <f>IF(F11="","",F11*全局设置!$B$7*全局设置!$F$14)</f>
        <v/>
      </c>
      <c r="H11" s="6" t="str">
        <f>IF(G11="","",G11*全局设置!$B$5)</f>
        <v/>
      </c>
      <c r="I11" s="9" t="str">
        <f>IF(AND(B11="",C11=""),"",IF(B11="","缺少敌人",IF(C11="","缺少数量",IF(OR(C11&lt;1,C11&gt;9999,C11&lt;&gt;INT(C11)),"数量无效",IF(COUNTIF($B$7:$B$24,B11)&gt;1,"重复敌人",IFERROR(IF(VLOOKUP(B11,敌人目录!$A$6:$AD$54,27,FALSE)="可回读","可回读","敌人参数错误"),"敌人不存在"))))))</f>
        <v/>
      </c>
    </row>
    <row r="12" spans="1:9" ht="24" customHeight="1">
      <c r="A12" s="32">
        <v>6</v>
      </c>
      <c r="B12" s="14"/>
      <c r="C12" s="14"/>
      <c r="D12" s="9" t="str">
        <f>IF(OR(B12="",C12=""),"",ROUNDUP(C12*(1+(全局设置!$B$5-1)*全局设置!$B$6),0))</f>
        <v/>
      </c>
      <c r="E12" s="6" t="str">
        <f>IFERROR(VLOOKUP(B12,敌人目录!$A$6:$AD$54,13,FALSE),"")</f>
        <v/>
      </c>
      <c r="F12" s="6" t="str">
        <f t="shared" si="0"/>
        <v/>
      </c>
      <c r="G12" s="6" t="str">
        <f>IF(F12="","",F12*全局设置!$B$7*全局设置!$F$14)</f>
        <v/>
      </c>
      <c r="H12" s="6" t="str">
        <f>IF(G12="","",G12*全局设置!$B$5)</f>
        <v/>
      </c>
      <c r="I12" s="9" t="str">
        <f>IF(AND(B12="",C12=""),"",IF(B12="","缺少敌人",IF(C12="","缺少数量",IF(OR(C12&lt;1,C12&gt;9999,C12&lt;&gt;INT(C12)),"数量无效",IF(COUNTIF($B$7:$B$24,B12)&gt;1,"重复敌人",IFERROR(IF(VLOOKUP(B12,敌人目录!$A$6:$AD$54,27,FALSE)="可回读","可回读","敌人参数错误"),"敌人不存在"))))))</f>
        <v/>
      </c>
    </row>
    <row r="13" spans="1:9" ht="24" customHeight="1">
      <c r="A13" s="32">
        <v>7</v>
      </c>
      <c r="B13" s="14"/>
      <c r="C13" s="14"/>
      <c r="D13" s="9" t="str">
        <f>IF(OR(B13="",C13=""),"",ROUNDUP(C13*(1+(全局设置!$B$5-1)*全局设置!$B$6),0))</f>
        <v/>
      </c>
      <c r="E13" s="6" t="str">
        <f>IFERROR(VLOOKUP(B13,敌人目录!$A$6:$AD$54,13,FALSE),"")</f>
        <v/>
      </c>
      <c r="F13" s="6" t="str">
        <f t="shared" si="0"/>
        <v/>
      </c>
      <c r="G13" s="6" t="str">
        <f>IF(F13="","",F13*全局设置!$B$7*全局设置!$F$14)</f>
        <v/>
      </c>
      <c r="H13" s="6" t="str">
        <f>IF(G13="","",G13*全局设置!$B$5)</f>
        <v/>
      </c>
      <c r="I13" s="9" t="str">
        <f>IF(AND(B13="",C13=""),"",IF(B13="","缺少敌人",IF(C13="","缺少数量",IF(OR(C13&lt;1,C13&gt;9999,C13&lt;&gt;INT(C13)),"数量无效",IF(COUNTIF($B$7:$B$24,B13)&gt;1,"重复敌人",IFERROR(IF(VLOOKUP(B13,敌人目录!$A$6:$AD$54,27,FALSE)="可回读","可回读","敌人参数错误"),"敌人不存在"))))))</f>
        <v/>
      </c>
    </row>
    <row r="14" spans="1:9" ht="24" customHeight="1">
      <c r="A14" s="32">
        <v>8</v>
      </c>
      <c r="B14" s="14"/>
      <c r="C14" s="14"/>
      <c r="D14" s="9" t="str">
        <f>IF(OR(B14="",C14=""),"",ROUNDUP(C14*(1+(全局设置!$B$5-1)*全局设置!$B$6),0))</f>
        <v/>
      </c>
      <c r="E14" s="6" t="str">
        <f>IFERROR(VLOOKUP(B14,敌人目录!$A$6:$AD$54,13,FALSE),"")</f>
        <v/>
      </c>
      <c r="F14" s="6" t="str">
        <f t="shared" si="0"/>
        <v/>
      </c>
      <c r="G14" s="6" t="str">
        <f>IF(F14="","",F14*全局设置!$B$7*全局设置!$F$14)</f>
        <v/>
      </c>
      <c r="H14" s="6" t="str">
        <f>IF(G14="","",G14*全局设置!$B$5)</f>
        <v/>
      </c>
      <c r="I14" s="9" t="str">
        <f>IF(AND(B14="",C14=""),"",IF(B14="","缺少敌人",IF(C14="","缺少数量",IF(OR(C14&lt;1,C14&gt;9999,C14&lt;&gt;INT(C14)),"数量无效",IF(COUNTIF($B$7:$B$24,B14)&gt;1,"重复敌人",IFERROR(IF(VLOOKUP(B14,敌人目录!$A$6:$AD$54,27,FALSE)="可回读","可回读","敌人参数错误"),"敌人不存在"))))))</f>
        <v/>
      </c>
    </row>
    <row r="15" spans="1:9" ht="24" customHeight="1">
      <c r="A15" s="32">
        <v>9</v>
      </c>
      <c r="B15" s="14"/>
      <c r="C15" s="14"/>
      <c r="D15" s="9" t="str">
        <f>IF(OR(B15="",C15=""),"",ROUNDUP(C15*(1+(全局设置!$B$5-1)*全局设置!$B$6),0))</f>
        <v/>
      </c>
      <c r="E15" s="6" t="str">
        <f>IFERROR(VLOOKUP(B15,敌人目录!$A$6:$AD$54,13,FALSE),"")</f>
        <v/>
      </c>
      <c r="F15" s="6" t="str">
        <f t="shared" si="0"/>
        <v/>
      </c>
      <c r="G15" s="6" t="str">
        <f>IF(F15="","",F15*全局设置!$B$7*全局设置!$F$14)</f>
        <v/>
      </c>
      <c r="H15" s="6" t="str">
        <f>IF(G15="","",G15*全局设置!$B$5)</f>
        <v/>
      </c>
      <c r="I15" s="9" t="str">
        <f>IF(AND(B15="",C15=""),"",IF(B15="","缺少敌人",IF(C15="","缺少数量",IF(OR(C15&lt;1,C15&gt;9999,C15&lt;&gt;INT(C15)),"数量无效",IF(COUNTIF($B$7:$B$24,B15)&gt;1,"重复敌人",IFERROR(IF(VLOOKUP(B15,敌人目录!$A$6:$AD$54,27,FALSE)="可回读","可回读","敌人参数错误"),"敌人不存在"))))))</f>
        <v/>
      </c>
    </row>
    <row r="16" spans="1:9" ht="24" customHeight="1">
      <c r="A16" s="32">
        <v>10</v>
      </c>
      <c r="B16" s="14"/>
      <c r="C16" s="14"/>
      <c r="D16" s="9" t="str">
        <f>IF(OR(B16="",C16=""),"",ROUNDUP(C16*(1+(全局设置!$B$5-1)*全局设置!$B$6),0))</f>
        <v/>
      </c>
      <c r="E16" s="6" t="str">
        <f>IFERROR(VLOOKUP(B16,敌人目录!$A$6:$AD$54,13,FALSE),"")</f>
        <v/>
      </c>
      <c r="F16" s="6" t="str">
        <f t="shared" si="0"/>
        <v/>
      </c>
      <c r="G16" s="6" t="str">
        <f>IF(F16="","",F16*全局设置!$B$7*全局设置!$F$14)</f>
        <v/>
      </c>
      <c r="H16" s="6" t="str">
        <f>IF(G16="","",G16*全局设置!$B$5)</f>
        <v/>
      </c>
      <c r="I16" s="9" t="str">
        <f>IF(AND(B16="",C16=""),"",IF(B16="","缺少敌人",IF(C16="","缺少数量",IF(OR(C16&lt;1,C16&gt;9999,C16&lt;&gt;INT(C16)),"数量无效",IF(COUNTIF($B$7:$B$24,B16)&gt;1,"重复敌人",IFERROR(IF(VLOOKUP(B16,敌人目录!$A$6:$AD$54,27,FALSE)="可回读","可回读","敌人参数错误"),"敌人不存在"))))))</f>
        <v/>
      </c>
    </row>
    <row r="17" spans="1:9" ht="24" customHeight="1">
      <c r="A17" s="32">
        <v>11</v>
      </c>
      <c r="B17" s="14"/>
      <c r="C17" s="14"/>
      <c r="D17" s="9" t="str">
        <f>IF(OR(B17="",C17=""),"",ROUNDUP(C17*(1+(全局设置!$B$5-1)*全局设置!$B$6),0))</f>
        <v/>
      </c>
      <c r="E17" s="6" t="str">
        <f>IFERROR(VLOOKUP(B17,敌人目录!$A$6:$AD$54,13,FALSE),"")</f>
        <v/>
      </c>
      <c r="F17" s="6" t="str">
        <f t="shared" si="0"/>
        <v/>
      </c>
      <c r="G17" s="6" t="str">
        <f>IF(F17="","",F17*全局设置!$B$7*全局设置!$F$14)</f>
        <v/>
      </c>
      <c r="H17" s="6" t="str">
        <f>IF(G17="","",G17*全局设置!$B$5)</f>
        <v/>
      </c>
      <c r="I17" s="9" t="str">
        <f>IF(AND(B17="",C17=""),"",IF(B17="","缺少敌人",IF(C17="","缺少数量",IF(OR(C17&lt;1,C17&gt;9999,C17&lt;&gt;INT(C17)),"数量无效",IF(COUNTIF($B$7:$B$24,B17)&gt;1,"重复敌人",IFERROR(IF(VLOOKUP(B17,敌人目录!$A$6:$AD$54,27,FALSE)="可回读","可回读","敌人参数错误"),"敌人不存在"))))))</f>
        <v/>
      </c>
    </row>
    <row r="18" spans="1:9" ht="24" customHeight="1">
      <c r="A18" s="32">
        <v>12</v>
      </c>
      <c r="B18" s="14"/>
      <c r="C18" s="14"/>
      <c r="D18" s="9" t="str">
        <f>IF(OR(B18="",C18=""),"",ROUNDUP(C18*(1+(全局设置!$B$5-1)*全局设置!$B$6),0))</f>
        <v/>
      </c>
      <c r="E18" s="6" t="str">
        <f>IFERROR(VLOOKUP(B18,敌人目录!$A$6:$AD$54,13,FALSE),"")</f>
        <v/>
      </c>
      <c r="F18" s="6" t="str">
        <f t="shared" si="0"/>
        <v/>
      </c>
      <c r="G18" s="6" t="str">
        <f>IF(F18="","",F18*全局设置!$B$7*全局设置!$F$14)</f>
        <v/>
      </c>
      <c r="H18" s="6" t="str">
        <f>IF(G18="","",G18*全局设置!$B$5)</f>
        <v/>
      </c>
      <c r="I18" s="9" t="str">
        <f>IF(AND(B18="",C18=""),"",IF(B18="","缺少敌人",IF(C18="","缺少数量",IF(OR(C18&lt;1,C18&gt;9999,C18&lt;&gt;INT(C18)),"数量无效",IF(COUNTIF($B$7:$B$24,B18)&gt;1,"重复敌人",IFERROR(IF(VLOOKUP(B18,敌人目录!$A$6:$AD$54,27,FALSE)="可回读","可回读","敌人参数错误"),"敌人不存在"))))))</f>
        <v/>
      </c>
    </row>
    <row r="19" spans="1:9" ht="24" customHeight="1">
      <c r="A19" s="32">
        <v>13</v>
      </c>
      <c r="B19" s="14"/>
      <c r="C19" s="14"/>
      <c r="D19" s="9" t="str">
        <f>IF(OR(B19="",C19=""),"",ROUNDUP(C19*(1+(全局设置!$B$5-1)*全局设置!$B$6),0))</f>
        <v/>
      </c>
      <c r="E19" s="6" t="str">
        <f>IFERROR(VLOOKUP(B19,敌人目录!$A$6:$AD$54,13,FALSE),"")</f>
        <v/>
      </c>
      <c r="F19" s="6" t="str">
        <f t="shared" si="0"/>
        <v/>
      </c>
      <c r="G19" s="6" t="str">
        <f>IF(F19="","",F19*全局设置!$B$7*全局设置!$F$14)</f>
        <v/>
      </c>
      <c r="H19" s="6" t="str">
        <f>IF(G19="","",G19*全局设置!$B$5)</f>
        <v/>
      </c>
      <c r="I19" s="9" t="str">
        <f>IF(AND(B19="",C19=""),"",IF(B19="","缺少敌人",IF(C19="","缺少数量",IF(OR(C19&lt;1,C19&gt;9999,C19&lt;&gt;INT(C19)),"数量无效",IF(COUNTIF($B$7:$B$24,B19)&gt;1,"重复敌人",IFERROR(IF(VLOOKUP(B19,敌人目录!$A$6:$AD$54,27,FALSE)="可回读","可回读","敌人参数错误"),"敌人不存在"))))))</f>
        <v/>
      </c>
    </row>
    <row r="20" spans="1:9" ht="24" customHeight="1">
      <c r="A20" s="32">
        <v>14</v>
      </c>
      <c r="B20" s="14"/>
      <c r="C20" s="14"/>
      <c r="D20" s="9" t="str">
        <f>IF(OR(B20="",C20=""),"",ROUNDUP(C20*(1+(全局设置!$B$5-1)*全局设置!$B$6),0))</f>
        <v/>
      </c>
      <c r="E20" s="6" t="str">
        <f>IFERROR(VLOOKUP(B20,敌人目录!$A$6:$AD$54,13,FALSE),"")</f>
        <v/>
      </c>
      <c r="F20" s="6" t="str">
        <f t="shared" si="0"/>
        <v/>
      </c>
      <c r="G20" s="6" t="str">
        <f>IF(F20="","",F20*全局设置!$B$7*全局设置!$F$14)</f>
        <v/>
      </c>
      <c r="H20" s="6" t="str">
        <f>IF(G20="","",G20*全局设置!$B$5)</f>
        <v/>
      </c>
      <c r="I20" s="9" t="str">
        <f>IF(AND(B20="",C20=""),"",IF(B20="","缺少敌人",IF(C20="","缺少数量",IF(OR(C20&lt;1,C20&gt;9999,C20&lt;&gt;INT(C20)),"数量无效",IF(COUNTIF($B$7:$B$24,B20)&gt;1,"重复敌人",IFERROR(IF(VLOOKUP(B20,敌人目录!$A$6:$AD$54,27,FALSE)="可回读","可回读","敌人参数错误"),"敌人不存在"))))))</f>
        <v/>
      </c>
    </row>
    <row r="21" spans="1:9" ht="24" customHeight="1">
      <c r="A21" s="32">
        <v>15</v>
      </c>
      <c r="B21" s="14"/>
      <c r="C21" s="14"/>
      <c r="D21" s="9" t="str">
        <f>IF(OR(B21="",C21=""),"",ROUNDUP(C21*(1+(全局设置!$B$5-1)*全局设置!$B$6),0))</f>
        <v/>
      </c>
      <c r="E21" s="6" t="str">
        <f>IFERROR(VLOOKUP(B21,敌人目录!$A$6:$AD$54,13,FALSE),"")</f>
        <v/>
      </c>
      <c r="F21" s="6" t="str">
        <f t="shared" si="0"/>
        <v/>
      </c>
      <c r="G21" s="6" t="str">
        <f>IF(F21="","",F21*全局设置!$B$7*全局设置!$F$14)</f>
        <v/>
      </c>
      <c r="H21" s="6" t="str">
        <f>IF(G21="","",G21*全局设置!$B$5)</f>
        <v/>
      </c>
      <c r="I21" s="9" t="str">
        <f>IF(AND(B21="",C21=""),"",IF(B21="","缺少敌人",IF(C21="","缺少数量",IF(OR(C21&lt;1,C21&gt;9999,C21&lt;&gt;INT(C21)),"数量无效",IF(COUNTIF($B$7:$B$24,B21)&gt;1,"重复敌人",IFERROR(IF(VLOOKUP(B21,敌人目录!$A$6:$AD$54,27,FALSE)="可回读","可回读","敌人参数错误"),"敌人不存在"))))))</f>
        <v/>
      </c>
    </row>
    <row r="22" spans="1:9" ht="24" customHeight="1">
      <c r="A22" s="32">
        <v>16</v>
      </c>
      <c r="B22" s="14"/>
      <c r="C22" s="14"/>
      <c r="D22" s="9" t="str">
        <f>IF(OR(B22="",C22=""),"",ROUNDUP(C22*(1+(全局设置!$B$5-1)*全局设置!$B$6),0))</f>
        <v/>
      </c>
      <c r="E22" s="6" t="str">
        <f>IFERROR(VLOOKUP(B22,敌人目录!$A$6:$AD$54,13,FALSE),"")</f>
        <v/>
      </c>
      <c r="F22" s="6" t="str">
        <f t="shared" si="0"/>
        <v/>
      </c>
      <c r="G22" s="6" t="str">
        <f>IF(F22="","",F22*全局设置!$B$7*全局设置!$F$14)</f>
        <v/>
      </c>
      <c r="H22" s="6" t="str">
        <f>IF(G22="","",G22*全局设置!$B$5)</f>
        <v/>
      </c>
      <c r="I22" s="9" t="str">
        <f>IF(AND(B22="",C22=""),"",IF(B22="","缺少敌人",IF(C22="","缺少数量",IF(OR(C22&lt;1,C22&gt;9999,C22&lt;&gt;INT(C22)),"数量无效",IF(COUNTIF($B$7:$B$24,B22)&gt;1,"重复敌人",IFERROR(IF(VLOOKUP(B22,敌人目录!$A$6:$AD$54,27,FALSE)="可回读","可回读","敌人参数错误"),"敌人不存在"))))))</f>
        <v/>
      </c>
    </row>
    <row r="23" spans="1:9" ht="24" customHeight="1">
      <c r="A23" s="32">
        <v>17</v>
      </c>
      <c r="B23" s="14"/>
      <c r="C23" s="14"/>
      <c r="D23" s="9" t="str">
        <f>IF(OR(B23="",C23=""),"",ROUNDUP(C23*(1+(全局设置!$B$5-1)*全局设置!$B$6),0))</f>
        <v/>
      </c>
      <c r="E23" s="6" t="str">
        <f>IFERROR(VLOOKUP(B23,敌人目录!$A$6:$AD$54,13,FALSE),"")</f>
        <v/>
      </c>
      <c r="F23" s="6" t="str">
        <f t="shared" si="0"/>
        <v/>
      </c>
      <c r="G23" s="6" t="str">
        <f>IF(F23="","",F23*全局设置!$B$7*全局设置!$F$14)</f>
        <v/>
      </c>
      <c r="H23" s="6" t="str">
        <f>IF(G23="","",G23*全局设置!$B$5)</f>
        <v/>
      </c>
      <c r="I23" s="9" t="str">
        <f>IF(AND(B23="",C23=""),"",IF(B23="","缺少敌人",IF(C23="","缺少数量",IF(OR(C23&lt;1,C23&gt;9999,C23&lt;&gt;INT(C23)),"数量无效",IF(COUNTIF($B$7:$B$24,B23)&gt;1,"重复敌人",IFERROR(IF(VLOOKUP(B23,敌人目录!$A$6:$AD$54,27,FALSE)="可回读","可回读","敌人参数错误"),"敌人不存在"))))))</f>
        <v/>
      </c>
    </row>
    <row r="24" spans="1:9" ht="24" customHeight="1">
      <c r="A24" s="32">
        <v>18</v>
      </c>
      <c r="B24" s="14"/>
      <c r="C24" s="14"/>
      <c r="D24" s="9" t="str">
        <f>IF(OR(B24="",C24=""),"",ROUNDUP(C24*(1+(全局设置!$B$5-1)*全局设置!$B$6),0))</f>
        <v/>
      </c>
      <c r="E24" s="6" t="str">
        <f>IFERROR(VLOOKUP(B24,敌人目录!$A$6:$AD$54,13,FALSE),"")</f>
        <v/>
      </c>
      <c r="F24" s="6" t="str">
        <f t="shared" si="0"/>
        <v/>
      </c>
      <c r="G24" s="6" t="str">
        <f>IF(F24="","",F24*全局设置!$B$7*全局设置!$F$14)</f>
        <v/>
      </c>
      <c r="H24" s="6" t="str">
        <f>IF(G24="","",G24*全局设置!$B$5)</f>
        <v/>
      </c>
      <c r="I24" s="9" t="str">
        <f>IF(AND(B24="",C24=""),"",IF(B24="","缺少敌人",IF(C24="","缺少数量",IF(OR(C24&lt;1,C24&gt;9999,C24&lt;&gt;INT(C24)),"数量无效",IF(COUNTIF($B$7:$B$24,B24)&gt;1,"重复敌人",IFERROR(IF(VLOOKUP(B24,敌人目录!$A$6:$AD$54,27,FALSE)="可回读","可回读","敌人参数错误"),"敌人不存在"))))))</f>
        <v/>
      </c>
    </row>
    <row r="25" spans="1:9" ht="24" customHeight="1">
      <c r="A25" s="12"/>
      <c r="B25" s="12"/>
      <c r="C25" s="12"/>
      <c r="D25" s="12"/>
      <c r="E25" s="12"/>
      <c r="F25" s="12"/>
      <c r="G25" s="12"/>
      <c r="H25" s="12"/>
      <c r="I25" s="12"/>
    </row>
    <row r="26" spans="1:9" ht="32.1" customHeight="1">
      <c r="A26" s="13" t="s">
        <v>134</v>
      </c>
      <c r="B26" s="9">
        <f>SUM(C7:C24)</f>
        <v>0</v>
      </c>
      <c r="C26" s="13" t="s">
        <v>135</v>
      </c>
      <c r="D26" s="9">
        <f>SUM(D7:D24)</f>
        <v>0</v>
      </c>
      <c r="E26" s="13" t="s">
        <v>59</v>
      </c>
      <c r="F26" s="9">
        <f>SUM(F7:F24)</f>
        <v>0</v>
      </c>
      <c r="G26" s="13" t="s">
        <v>48</v>
      </c>
      <c r="H26" s="9">
        <f>SUM(G7:G24)</f>
        <v>0</v>
      </c>
      <c r="I26" s="12"/>
    </row>
    <row r="27" spans="1:9" ht="32.1" customHeight="1">
      <c r="A27" s="22" t="s">
        <v>49</v>
      </c>
      <c r="B27" s="9">
        <f>SUM(H7:H24)</f>
        <v>0</v>
      </c>
      <c r="C27" s="46" t="s">
        <v>174</v>
      </c>
      <c r="D27" s="46" t="s">
        <v>174</v>
      </c>
      <c r="E27" s="46" t="s">
        <v>174</v>
      </c>
      <c r="F27" s="46" t="s">
        <v>174</v>
      </c>
      <c r="G27" s="46" t="s">
        <v>174</v>
      </c>
      <c r="H27" s="46" t="s">
        <v>174</v>
      </c>
      <c r="I27" s="46" t="s">
        <v>174</v>
      </c>
    </row>
    <row r="28" spans="1:9" ht="24" customHeight="1">
      <c r="A28" s="12"/>
      <c r="B28" s="12"/>
      <c r="C28" s="12"/>
      <c r="D28" s="12"/>
      <c r="E28" s="12"/>
      <c r="F28" s="12"/>
      <c r="G28" s="12"/>
      <c r="H28" s="12"/>
      <c r="I28" s="12"/>
    </row>
    <row r="29" spans="1:9" ht="24" customHeight="1">
      <c r="A29" s="12"/>
      <c r="B29" s="12"/>
      <c r="C29" s="12"/>
      <c r="D29" s="12"/>
      <c r="E29" s="12"/>
      <c r="F29" s="12"/>
      <c r="G29" s="12"/>
      <c r="H29" s="12"/>
      <c r="I29" s="12"/>
    </row>
    <row r="30" spans="1:9" ht="24" customHeight="1">
      <c r="A30" s="12"/>
      <c r="B30" s="12"/>
      <c r="C30" s="12"/>
      <c r="D30" s="12"/>
      <c r="E30" s="12"/>
      <c r="F30" s="12"/>
      <c r="G30" s="12"/>
      <c r="H30" s="12"/>
      <c r="I30" s="12"/>
    </row>
    <row r="31" spans="1:9" ht="38.1" customHeight="1">
      <c r="A31" s="44" t="s">
        <v>175</v>
      </c>
      <c r="B31" s="44" t="s">
        <v>175</v>
      </c>
      <c r="C31" s="44" t="s">
        <v>175</v>
      </c>
      <c r="D31" s="44" t="s">
        <v>175</v>
      </c>
      <c r="E31" s="44" t="s">
        <v>175</v>
      </c>
      <c r="F31" s="44" t="s">
        <v>175</v>
      </c>
      <c r="G31" s="44" t="s">
        <v>175</v>
      </c>
      <c r="H31" s="44" t="s">
        <v>175</v>
      </c>
      <c r="I31" s="44" t="s">
        <v>175</v>
      </c>
    </row>
    <row r="32" spans="1:9" ht="24" customHeight="1">
      <c r="A32" s="13" t="s">
        <v>112</v>
      </c>
      <c r="B32" s="45" t="s">
        <v>176</v>
      </c>
      <c r="C32" s="45" t="s">
        <v>176</v>
      </c>
      <c r="D32" s="13" t="s">
        <v>114</v>
      </c>
      <c r="E32" s="14">
        <v>0.22</v>
      </c>
      <c r="F32" s="13" t="s">
        <v>115</v>
      </c>
      <c r="G32" s="14">
        <v>1</v>
      </c>
      <c r="H32" s="13" t="s">
        <v>61</v>
      </c>
      <c r="I32" s="14">
        <v>300</v>
      </c>
    </row>
    <row r="33" spans="1:9" ht="24" customHeight="1">
      <c r="A33" s="13" t="s">
        <v>116</v>
      </c>
      <c r="B33" s="14" t="s">
        <v>117</v>
      </c>
      <c r="C33" s="14" t="s">
        <v>118</v>
      </c>
      <c r="D33" s="14" t="s">
        <v>119</v>
      </c>
      <c r="E33" s="14" t="s">
        <v>120</v>
      </c>
      <c r="F33" s="14" t="s">
        <v>121</v>
      </c>
      <c r="G33" s="14" t="s">
        <v>122</v>
      </c>
      <c r="H33" s="13" t="s">
        <v>123</v>
      </c>
      <c r="I33" s="9" t="str">
        <f>IF(COUNTA(B36:B53)=0,"待设计",IF(COUNTIF(I36:I53,"可回读")=COUNTA(B36:B53),"可回读","需修正"))</f>
        <v>待设计</v>
      </c>
    </row>
    <row r="34" spans="1:9" ht="33.950000000000003" customHeight="1">
      <c r="A34" s="41" t="s">
        <v>124</v>
      </c>
      <c r="B34" s="41" t="s">
        <v>124</v>
      </c>
      <c r="C34" s="41" t="s">
        <v>124</v>
      </c>
      <c r="D34" s="41" t="s">
        <v>124</v>
      </c>
      <c r="E34" s="41" t="s">
        <v>124</v>
      </c>
      <c r="F34" s="41" t="s">
        <v>124</v>
      </c>
      <c r="G34" s="41" t="s">
        <v>124</v>
      </c>
      <c r="H34" s="41" t="s">
        <v>124</v>
      </c>
      <c r="I34" s="41" t="s">
        <v>124</v>
      </c>
    </row>
    <row r="35" spans="1:9" ht="42" customHeight="1">
      <c r="A35" s="20" t="s">
        <v>125</v>
      </c>
      <c r="B35" s="20" t="s">
        <v>126</v>
      </c>
      <c r="C35" s="20" t="s">
        <v>56</v>
      </c>
      <c r="D35" s="20" t="s">
        <v>57</v>
      </c>
      <c r="E35" s="22" t="s">
        <v>127</v>
      </c>
      <c r="F35" s="22" t="s">
        <v>128</v>
      </c>
      <c r="G35" s="22" t="s">
        <v>129</v>
      </c>
      <c r="H35" s="22" t="s">
        <v>130</v>
      </c>
      <c r="I35" s="20" t="s">
        <v>131</v>
      </c>
    </row>
    <row r="36" spans="1:9" ht="24" customHeight="1">
      <c r="A36" s="32">
        <v>1</v>
      </c>
      <c r="B36" s="14"/>
      <c r="C36" s="14"/>
      <c r="D36" s="9" t="str">
        <f>IF(OR(B36="",C36=""),"",ROUNDUP(C36*(1+(全局设置!$B$5-1)*全局设置!$B$6),0))</f>
        <v/>
      </c>
      <c r="E36" s="6" t="str">
        <f>IFERROR(VLOOKUP(B36,敌人目录!$A$6:$AD$54,13,FALSE),"")</f>
        <v/>
      </c>
      <c r="F36" s="6" t="str">
        <f t="shared" ref="F36:F53" si="1">IF(D36="","",D36*E36)</f>
        <v/>
      </c>
      <c r="G36" s="6" t="str">
        <f>IF(F36="","",F36*全局设置!$B$7*全局设置!$F$14)</f>
        <v/>
      </c>
      <c r="H36" s="6" t="str">
        <f>IF(G36="","",G36*全局设置!$B$5)</f>
        <v/>
      </c>
      <c r="I36" s="9" t="str">
        <f>IF(AND(B36="",C36=""),"",IF(B36="","缺少敌人",IF(C36="","缺少数量",IF(OR(C36&lt;1,C36&gt;9999,C36&lt;&gt;INT(C36)),"数量无效",IF(COUNTIF($B$36:$B$53,B36)&gt;1,"重复敌人",IFERROR(IF(VLOOKUP(B36,敌人目录!$A$6:$AD$54,27,FALSE)="可回读","可回读","敌人参数错误"),"敌人不存在"))))))</f>
        <v/>
      </c>
    </row>
    <row r="37" spans="1:9" ht="24" customHeight="1">
      <c r="A37" s="32">
        <v>2</v>
      </c>
      <c r="B37" s="14"/>
      <c r="C37" s="14"/>
      <c r="D37" s="9" t="str">
        <f>IF(OR(B37="",C37=""),"",ROUNDUP(C37*(1+(全局设置!$B$5-1)*全局设置!$B$6),0))</f>
        <v/>
      </c>
      <c r="E37" s="6" t="str">
        <f>IFERROR(VLOOKUP(B37,敌人目录!$A$6:$AD$54,13,FALSE),"")</f>
        <v/>
      </c>
      <c r="F37" s="6" t="str">
        <f t="shared" si="1"/>
        <v/>
      </c>
      <c r="G37" s="6" t="str">
        <f>IF(F37="","",F37*全局设置!$B$7*全局设置!$F$14)</f>
        <v/>
      </c>
      <c r="H37" s="6" t="str">
        <f>IF(G37="","",G37*全局设置!$B$5)</f>
        <v/>
      </c>
      <c r="I37" s="9" t="str">
        <f>IF(AND(B37="",C37=""),"",IF(B37="","缺少敌人",IF(C37="","缺少数量",IF(OR(C37&lt;1,C37&gt;9999,C37&lt;&gt;INT(C37)),"数量无效",IF(COUNTIF($B$36:$B$53,B37)&gt;1,"重复敌人",IFERROR(IF(VLOOKUP(B37,敌人目录!$A$6:$AD$54,27,FALSE)="可回读","可回读","敌人参数错误"),"敌人不存在"))))))</f>
        <v/>
      </c>
    </row>
    <row r="38" spans="1:9" ht="24" customHeight="1">
      <c r="A38" s="32">
        <v>3</v>
      </c>
      <c r="B38" s="14"/>
      <c r="C38" s="14"/>
      <c r="D38" s="9" t="str">
        <f>IF(OR(B38="",C38=""),"",ROUNDUP(C38*(1+(全局设置!$B$5-1)*全局设置!$B$6),0))</f>
        <v/>
      </c>
      <c r="E38" s="6" t="str">
        <f>IFERROR(VLOOKUP(B38,敌人目录!$A$6:$AD$54,13,FALSE),"")</f>
        <v/>
      </c>
      <c r="F38" s="6" t="str">
        <f t="shared" si="1"/>
        <v/>
      </c>
      <c r="G38" s="6" t="str">
        <f>IF(F38="","",F38*全局设置!$B$7*全局设置!$F$14)</f>
        <v/>
      </c>
      <c r="H38" s="6" t="str">
        <f>IF(G38="","",G38*全局设置!$B$5)</f>
        <v/>
      </c>
      <c r="I38" s="9" t="str">
        <f>IF(AND(B38="",C38=""),"",IF(B38="","缺少敌人",IF(C38="","缺少数量",IF(OR(C38&lt;1,C38&gt;9999,C38&lt;&gt;INT(C38)),"数量无效",IF(COUNTIF($B$36:$B$53,B38)&gt;1,"重复敌人",IFERROR(IF(VLOOKUP(B38,敌人目录!$A$6:$AD$54,27,FALSE)="可回读","可回读","敌人参数错误"),"敌人不存在"))))))</f>
        <v/>
      </c>
    </row>
    <row r="39" spans="1:9" ht="24" customHeight="1">
      <c r="A39" s="32">
        <v>4</v>
      </c>
      <c r="B39" s="14"/>
      <c r="C39" s="14"/>
      <c r="D39" s="9" t="str">
        <f>IF(OR(B39="",C39=""),"",ROUNDUP(C39*(1+(全局设置!$B$5-1)*全局设置!$B$6),0))</f>
        <v/>
      </c>
      <c r="E39" s="6" t="str">
        <f>IFERROR(VLOOKUP(B39,敌人目录!$A$6:$AD$54,13,FALSE),"")</f>
        <v/>
      </c>
      <c r="F39" s="6" t="str">
        <f t="shared" si="1"/>
        <v/>
      </c>
      <c r="G39" s="6" t="str">
        <f>IF(F39="","",F39*全局设置!$B$7*全局设置!$F$14)</f>
        <v/>
      </c>
      <c r="H39" s="6" t="str">
        <f>IF(G39="","",G39*全局设置!$B$5)</f>
        <v/>
      </c>
      <c r="I39" s="9" t="str">
        <f>IF(AND(B39="",C39=""),"",IF(B39="","缺少敌人",IF(C39="","缺少数量",IF(OR(C39&lt;1,C39&gt;9999,C39&lt;&gt;INT(C39)),"数量无效",IF(COUNTIF($B$36:$B$53,B39)&gt;1,"重复敌人",IFERROR(IF(VLOOKUP(B39,敌人目录!$A$6:$AD$54,27,FALSE)="可回读","可回读","敌人参数错误"),"敌人不存在"))))))</f>
        <v/>
      </c>
    </row>
    <row r="40" spans="1:9" ht="24" customHeight="1">
      <c r="A40" s="32">
        <v>5</v>
      </c>
      <c r="B40" s="14"/>
      <c r="C40" s="14"/>
      <c r="D40" s="9" t="str">
        <f>IF(OR(B40="",C40=""),"",ROUNDUP(C40*(1+(全局设置!$B$5-1)*全局设置!$B$6),0))</f>
        <v/>
      </c>
      <c r="E40" s="6" t="str">
        <f>IFERROR(VLOOKUP(B40,敌人目录!$A$6:$AD$54,13,FALSE),"")</f>
        <v/>
      </c>
      <c r="F40" s="6" t="str">
        <f t="shared" si="1"/>
        <v/>
      </c>
      <c r="G40" s="6" t="str">
        <f>IF(F40="","",F40*全局设置!$B$7*全局设置!$F$14)</f>
        <v/>
      </c>
      <c r="H40" s="6" t="str">
        <f>IF(G40="","",G40*全局设置!$B$5)</f>
        <v/>
      </c>
      <c r="I40" s="9" t="str">
        <f>IF(AND(B40="",C40=""),"",IF(B40="","缺少敌人",IF(C40="","缺少数量",IF(OR(C40&lt;1,C40&gt;9999,C40&lt;&gt;INT(C40)),"数量无效",IF(COUNTIF($B$36:$B$53,B40)&gt;1,"重复敌人",IFERROR(IF(VLOOKUP(B40,敌人目录!$A$6:$AD$54,27,FALSE)="可回读","可回读","敌人参数错误"),"敌人不存在"))))))</f>
        <v/>
      </c>
    </row>
    <row r="41" spans="1:9" ht="24" customHeight="1">
      <c r="A41" s="32">
        <v>6</v>
      </c>
      <c r="B41" s="14"/>
      <c r="C41" s="14"/>
      <c r="D41" s="9" t="str">
        <f>IF(OR(B41="",C41=""),"",ROUNDUP(C41*(1+(全局设置!$B$5-1)*全局设置!$B$6),0))</f>
        <v/>
      </c>
      <c r="E41" s="6" t="str">
        <f>IFERROR(VLOOKUP(B41,敌人目录!$A$6:$AD$54,13,FALSE),"")</f>
        <v/>
      </c>
      <c r="F41" s="6" t="str">
        <f t="shared" si="1"/>
        <v/>
      </c>
      <c r="G41" s="6" t="str">
        <f>IF(F41="","",F41*全局设置!$B$7*全局设置!$F$14)</f>
        <v/>
      </c>
      <c r="H41" s="6" t="str">
        <f>IF(G41="","",G41*全局设置!$B$5)</f>
        <v/>
      </c>
      <c r="I41" s="9" t="str">
        <f>IF(AND(B41="",C41=""),"",IF(B41="","缺少敌人",IF(C41="","缺少数量",IF(OR(C41&lt;1,C41&gt;9999,C41&lt;&gt;INT(C41)),"数量无效",IF(COUNTIF($B$36:$B$53,B41)&gt;1,"重复敌人",IFERROR(IF(VLOOKUP(B41,敌人目录!$A$6:$AD$54,27,FALSE)="可回读","可回读","敌人参数错误"),"敌人不存在"))))))</f>
        <v/>
      </c>
    </row>
    <row r="42" spans="1:9" ht="24" customHeight="1">
      <c r="A42" s="32">
        <v>7</v>
      </c>
      <c r="B42" s="14"/>
      <c r="C42" s="14"/>
      <c r="D42" s="9" t="str">
        <f>IF(OR(B42="",C42=""),"",ROUNDUP(C42*(1+(全局设置!$B$5-1)*全局设置!$B$6),0))</f>
        <v/>
      </c>
      <c r="E42" s="6" t="str">
        <f>IFERROR(VLOOKUP(B42,敌人目录!$A$6:$AD$54,13,FALSE),"")</f>
        <v/>
      </c>
      <c r="F42" s="6" t="str">
        <f t="shared" si="1"/>
        <v/>
      </c>
      <c r="G42" s="6" t="str">
        <f>IF(F42="","",F42*全局设置!$B$7*全局设置!$F$14)</f>
        <v/>
      </c>
      <c r="H42" s="6" t="str">
        <f>IF(G42="","",G42*全局设置!$B$5)</f>
        <v/>
      </c>
      <c r="I42" s="9" t="str">
        <f>IF(AND(B42="",C42=""),"",IF(B42="","缺少敌人",IF(C42="","缺少数量",IF(OR(C42&lt;1,C42&gt;9999,C42&lt;&gt;INT(C42)),"数量无效",IF(COUNTIF($B$36:$B$53,B42)&gt;1,"重复敌人",IFERROR(IF(VLOOKUP(B42,敌人目录!$A$6:$AD$54,27,FALSE)="可回读","可回读","敌人参数错误"),"敌人不存在"))))))</f>
        <v/>
      </c>
    </row>
    <row r="43" spans="1:9" ht="24" customHeight="1">
      <c r="A43" s="32">
        <v>8</v>
      </c>
      <c r="B43" s="14"/>
      <c r="C43" s="14"/>
      <c r="D43" s="9" t="str">
        <f>IF(OR(B43="",C43=""),"",ROUNDUP(C43*(1+(全局设置!$B$5-1)*全局设置!$B$6),0))</f>
        <v/>
      </c>
      <c r="E43" s="6" t="str">
        <f>IFERROR(VLOOKUP(B43,敌人目录!$A$6:$AD$54,13,FALSE),"")</f>
        <v/>
      </c>
      <c r="F43" s="6" t="str">
        <f t="shared" si="1"/>
        <v/>
      </c>
      <c r="G43" s="6" t="str">
        <f>IF(F43="","",F43*全局设置!$B$7*全局设置!$F$14)</f>
        <v/>
      </c>
      <c r="H43" s="6" t="str">
        <f>IF(G43="","",G43*全局设置!$B$5)</f>
        <v/>
      </c>
      <c r="I43" s="9" t="str">
        <f>IF(AND(B43="",C43=""),"",IF(B43="","缺少敌人",IF(C43="","缺少数量",IF(OR(C43&lt;1,C43&gt;9999,C43&lt;&gt;INT(C43)),"数量无效",IF(COUNTIF($B$36:$B$53,B43)&gt;1,"重复敌人",IFERROR(IF(VLOOKUP(B43,敌人目录!$A$6:$AD$54,27,FALSE)="可回读","可回读","敌人参数错误"),"敌人不存在"))))))</f>
        <v/>
      </c>
    </row>
    <row r="44" spans="1:9" ht="24" customHeight="1">
      <c r="A44" s="32">
        <v>9</v>
      </c>
      <c r="B44" s="14"/>
      <c r="C44" s="14"/>
      <c r="D44" s="9" t="str">
        <f>IF(OR(B44="",C44=""),"",ROUNDUP(C44*(1+(全局设置!$B$5-1)*全局设置!$B$6),0))</f>
        <v/>
      </c>
      <c r="E44" s="6" t="str">
        <f>IFERROR(VLOOKUP(B44,敌人目录!$A$6:$AD$54,13,FALSE),"")</f>
        <v/>
      </c>
      <c r="F44" s="6" t="str">
        <f t="shared" si="1"/>
        <v/>
      </c>
      <c r="G44" s="6" t="str">
        <f>IF(F44="","",F44*全局设置!$B$7*全局设置!$F$14)</f>
        <v/>
      </c>
      <c r="H44" s="6" t="str">
        <f>IF(G44="","",G44*全局设置!$B$5)</f>
        <v/>
      </c>
      <c r="I44" s="9" t="str">
        <f>IF(AND(B44="",C44=""),"",IF(B44="","缺少敌人",IF(C44="","缺少数量",IF(OR(C44&lt;1,C44&gt;9999,C44&lt;&gt;INT(C44)),"数量无效",IF(COUNTIF($B$36:$B$53,B44)&gt;1,"重复敌人",IFERROR(IF(VLOOKUP(B44,敌人目录!$A$6:$AD$54,27,FALSE)="可回读","可回读","敌人参数错误"),"敌人不存在"))))))</f>
        <v/>
      </c>
    </row>
    <row r="45" spans="1:9" ht="24" customHeight="1">
      <c r="A45" s="32">
        <v>10</v>
      </c>
      <c r="B45" s="14"/>
      <c r="C45" s="14"/>
      <c r="D45" s="9" t="str">
        <f>IF(OR(B45="",C45=""),"",ROUNDUP(C45*(1+(全局设置!$B$5-1)*全局设置!$B$6),0))</f>
        <v/>
      </c>
      <c r="E45" s="6" t="str">
        <f>IFERROR(VLOOKUP(B45,敌人目录!$A$6:$AD$54,13,FALSE),"")</f>
        <v/>
      </c>
      <c r="F45" s="6" t="str">
        <f t="shared" si="1"/>
        <v/>
      </c>
      <c r="G45" s="6" t="str">
        <f>IF(F45="","",F45*全局设置!$B$7*全局设置!$F$14)</f>
        <v/>
      </c>
      <c r="H45" s="6" t="str">
        <f>IF(G45="","",G45*全局设置!$B$5)</f>
        <v/>
      </c>
      <c r="I45" s="9" t="str">
        <f>IF(AND(B45="",C45=""),"",IF(B45="","缺少敌人",IF(C45="","缺少数量",IF(OR(C45&lt;1,C45&gt;9999,C45&lt;&gt;INT(C45)),"数量无效",IF(COUNTIF($B$36:$B$53,B45)&gt;1,"重复敌人",IFERROR(IF(VLOOKUP(B45,敌人目录!$A$6:$AD$54,27,FALSE)="可回读","可回读","敌人参数错误"),"敌人不存在"))))))</f>
        <v/>
      </c>
    </row>
    <row r="46" spans="1:9" ht="24" customHeight="1">
      <c r="A46" s="32">
        <v>11</v>
      </c>
      <c r="B46" s="14"/>
      <c r="C46" s="14"/>
      <c r="D46" s="9" t="str">
        <f>IF(OR(B46="",C46=""),"",ROUNDUP(C46*(1+(全局设置!$B$5-1)*全局设置!$B$6),0))</f>
        <v/>
      </c>
      <c r="E46" s="6" t="str">
        <f>IFERROR(VLOOKUP(B46,敌人目录!$A$6:$AD$54,13,FALSE),"")</f>
        <v/>
      </c>
      <c r="F46" s="6" t="str">
        <f t="shared" si="1"/>
        <v/>
      </c>
      <c r="G46" s="6" t="str">
        <f>IF(F46="","",F46*全局设置!$B$7*全局设置!$F$14)</f>
        <v/>
      </c>
      <c r="H46" s="6" t="str">
        <f>IF(G46="","",G46*全局设置!$B$5)</f>
        <v/>
      </c>
      <c r="I46" s="9" t="str">
        <f>IF(AND(B46="",C46=""),"",IF(B46="","缺少敌人",IF(C46="","缺少数量",IF(OR(C46&lt;1,C46&gt;9999,C46&lt;&gt;INT(C46)),"数量无效",IF(COUNTIF($B$36:$B$53,B46)&gt;1,"重复敌人",IFERROR(IF(VLOOKUP(B46,敌人目录!$A$6:$AD$54,27,FALSE)="可回读","可回读","敌人参数错误"),"敌人不存在"))))))</f>
        <v/>
      </c>
    </row>
    <row r="47" spans="1:9" ht="24" customHeight="1">
      <c r="A47" s="32">
        <v>12</v>
      </c>
      <c r="B47" s="14"/>
      <c r="C47" s="14"/>
      <c r="D47" s="9" t="str">
        <f>IF(OR(B47="",C47=""),"",ROUNDUP(C47*(1+(全局设置!$B$5-1)*全局设置!$B$6),0))</f>
        <v/>
      </c>
      <c r="E47" s="6" t="str">
        <f>IFERROR(VLOOKUP(B47,敌人目录!$A$6:$AD$54,13,FALSE),"")</f>
        <v/>
      </c>
      <c r="F47" s="6" t="str">
        <f t="shared" si="1"/>
        <v/>
      </c>
      <c r="G47" s="6" t="str">
        <f>IF(F47="","",F47*全局设置!$B$7*全局设置!$F$14)</f>
        <v/>
      </c>
      <c r="H47" s="6" t="str">
        <f>IF(G47="","",G47*全局设置!$B$5)</f>
        <v/>
      </c>
      <c r="I47" s="9" t="str">
        <f>IF(AND(B47="",C47=""),"",IF(B47="","缺少敌人",IF(C47="","缺少数量",IF(OR(C47&lt;1,C47&gt;9999,C47&lt;&gt;INT(C47)),"数量无效",IF(COUNTIF($B$36:$B$53,B47)&gt;1,"重复敌人",IFERROR(IF(VLOOKUP(B47,敌人目录!$A$6:$AD$54,27,FALSE)="可回读","可回读","敌人参数错误"),"敌人不存在"))))))</f>
        <v/>
      </c>
    </row>
    <row r="48" spans="1:9" ht="24" customHeight="1">
      <c r="A48" s="32">
        <v>13</v>
      </c>
      <c r="B48" s="14"/>
      <c r="C48" s="14"/>
      <c r="D48" s="9" t="str">
        <f>IF(OR(B48="",C48=""),"",ROUNDUP(C48*(1+(全局设置!$B$5-1)*全局设置!$B$6),0))</f>
        <v/>
      </c>
      <c r="E48" s="6" t="str">
        <f>IFERROR(VLOOKUP(B48,敌人目录!$A$6:$AD$54,13,FALSE),"")</f>
        <v/>
      </c>
      <c r="F48" s="6" t="str">
        <f t="shared" si="1"/>
        <v/>
      </c>
      <c r="G48" s="6" t="str">
        <f>IF(F48="","",F48*全局设置!$B$7*全局设置!$F$14)</f>
        <v/>
      </c>
      <c r="H48" s="6" t="str">
        <f>IF(G48="","",G48*全局设置!$B$5)</f>
        <v/>
      </c>
      <c r="I48" s="9" t="str">
        <f>IF(AND(B48="",C48=""),"",IF(B48="","缺少敌人",IF(C48="","缺少数量",IF(OR(C48&lt;1,C48&gt;9999,C48&lt;&gt;INT(C48)),"数量无效",IF(COUNTIF($B$36:$B$53,B48)&gt;1,"重复敌人",IFERROR(IF(VLOOKUP(B48,敌人目录!$A$6:$AD$54,27,FALSE)="可回读","可回读","敌人参数错误"),"敌人不存在"))))))</f>
        <v/>
      </c>
    </row>
    <row r="49" spans="1:9" ht="24" customHeight="1">
      <c r="A49" s="32">
        <v>14</v>
      </c>
      <c r="B49" s="14"/>
      <c r="C49" s="14"/>
      <c r="D49" s="9" t="str">
        <f>IF(OR(B49="",C49=""),"",ROUNDUP(C49*(1+(全局设置!$B$5-1)*全局设置!$B$6),0))</f>
        <v/>
      </c>
      <c r="E49" s="6" t="str">
        <f>IFERROR(VLOOKUP(B49,敌人目录!$A$6:$AD$54,13,FALSE),"")</f>
        <v/>
      </c>
      <c r="F49" s="6" t="str">
        <f t="shared" si="1"/>
        <v/>
      </c>
      <c r="G49" s="6" t="str">
        <f>IF(F49="","",F49*全局设置!$B$7*全局设置!$F$14)</f>
        <v/>
      </c>
      <c r="H49" s="6" t="str">
        <f>IF(G49="","",G49*全局设置!$B$5)</f>
        <v/>
      </c>
      <c r="I49" s="9" t="str">
        <f>IF(AND(B49="",C49=""),"",IF(B49="","缺少敌人",IF(C49="","缺少数量",IF(OR(C49&lt;1,C49&gt;9999,C49&lt;&gt;INT(C49)),"数量无效",IF(COUNTIF($B$36:$B$53,B49)&gt;1,"重复敌人",IFERROR(IF(VLOOKUP(B49,敌人目录!$A$6:$AD$54,27,FALSE)="可回读","可回读","敌人参数错误"),"敌人不存在"))))))</f>
        <v/>
      </c>
    </row>
    <row r="50" spans="1:9" ht="24" customHeight="1">
      <c r="A50" s="32">
        <v>15</v>
      </c>
      <c r="B50" s="14"/>
      <c r="C50" s="14"/>
      <c r="D50" s="9" t="str">
        <f>IF(OR(B50="",C50=""),"",ROUNDUP(C50*(1+(全局设置!$B$5-1)*全局设置!$B$6),0))</f>
        <v/>
      </c>
      <c r="E50" s="6" t="str">
        <f>IFERROR(VLOOKUP(B50,敌人目录!$A$6:$AD$54,13,FALSE),"")</f>
        <v/>
      </c>
      <c r="F50" s="6" t="str">
        <f t="shared" si="1"/>
        <v/>
      </c>
      <c r="G50" s="6" t="str">
        <f>IF(F50="","",F50*全局设置!$B$7*全局设置!$F$14)</f>
        <v/>
      </c>
      <c r="H50" s="6" t="str">
        <f>IF(G50="","",G50*全局设置!$B$5)</f>
        <v/>
      </c>
      <c r="I50" s="9" t="str">
        <f>IF(AND(B50="",C50=""),"",IF(B50="","缺少敌人",IF(C50="","缺少数量",IF(OR(C50&lt;1,C50&gt;9999,C50&lt;&gt;INT(C50)),"数量无效",IF(COUNTIF($B$36:$B$53,B50)&gt;1,"重复敌人",IFERROR(IF(VLOOKUP(B50,敌人目录!$A$6:$AD$54,27,FALSE)="可回读","可回读","敌人参数错误"),"敌人不存在"))))))</f>
        <v/>
      </c>
    </row>
    <row r="51" spans="1:9" ht="24" customHeight="1">
      <c r="A51" s="32">
        <v>16</v>
      </c>
      <c r="B51" s="14"/>
      <c r="C51" s="14"/>
      <c r="D51" s="9" t="str">
        <f>IF(OR(B51="",C51=""),"",ROUNDUP(C51*(1+(全局设置!$B$5-1)*全局设置!$B$6),0))</f>
        <v/>
      </c>
      <c r="E51" s="6" t="str">
        <f>IFERROR(VLOOKUP(B51,敌人目录!$A$6:$AD$54,13,FALSE),"")</f>
        <v/>
      </c>
      <c r="F51" s="6" t="str">
        <f t="shared" si="1"/>
        <v/>
      </c>
      <c r="G51" s="6" t="str">
        <f>IF(F51="","",F51*全局设置!$B$7*全局设置!$F$14)</f>
        <v/>
      </c>
      <c r="H51" s="6" t="str">
        <f>IF(G51="","",G51*全局设置!$B$5)</f>
        <v/>
      </c>
      <c r="I51" s="9" t="str">
        <f>IF(AND(B51="",C51=""),"",IF(B51="","缺少敌人",IF(C51="","缺少数量",IF(OR(C51&lt;1,C51&gt;9999,C51&lt;&gt;INT(C51)),"数量无效",IF(COUNTIF($B$36:$B$53,B51)&gt;1,"重复敌人",IFERROR(IF(VLOOKUP(B51,敌人目录!$A$6:$AD$54,27,FALSE)="可回读","可回读","敌人参数错误"),"敌人不存在"))))))</f>
        <v/>
      </c>
    </row>
    <row r="52" spans="1:9" ht="24" customHeight="1">
      <c r="A52" s="32">
        <v>17</v>
      </c>
      <c r="B52" s="14"/>
      <c r="C52" s="14"/>
      <c r="D52" s="9" t="str">
        <f>IF(OR(B52="",C52=""),"",ROUNDUP(C52*(1+(全局设置!$B$5-1)*全局设置!$B$6),0))</f>
        <v/>
      </c>
      <c r="E52" s="6" t="str">
        <f>IFERROR(VLOOKUP(B52,敌人目录!$A$6:$AD$54,13,FALSE),"")</f>
        <v/>
      </c>
      <c r="F52" s="6" t="str">
        <f t="shared" si="1"/>
        <v/>
      </c>
      <c r="G52" s="6" t="str">
        <f>IF(F52="","",F52*全局设置!$B$7*全局设置!$F$14)</f>
        <v/>
      </c>
      <c r="H52" s="6" t="str">
        <f>IF(G52="","",G52*全局设置!$B$5)</f>
        <v/>
      </c>
      <c r="I52" s="9" t="str">
        <f>IF(AND(B52="",C52=""),"",IF(B52="","缺少敌人",IF(C52="","缺少数量",IF(OR(C52&lt;1,C52&gt;9999,C52&lt;&gt;INT(C52)),"数量无效",IF(COUNTIF($B$36:$B$53,B52)&gt;1,"重复敌人",IFERROR(IF(VLOOKUP(B52,敌人目录!$A$6:$AD$54,27,FALSE)="可回读","可回读","敌人参数错误"),"敌人不存在"))))))</f>
        <v/>
      </c>
    </row>
    <row r="53" spans="1:9" ht="24" customHeight="1">
      <c r="A53" s="32">
        <v>18</v>
      </c>
      <c r="B53" s="14"/>
      <c r="C53" s="14"/>
      <c r="D53" s="9" t="str">
        <f>IF(OR(B53="",C53=""),"",ROUNDUP(C53*(1+(全局设置!$B$5-1)*全局设置!$B$6),0))</f>
        <v/>
      </c>
      <c r="E53" s="6" t="str">
        <f>IFERROR(VLOOKUP(B53,敌人目录!$A$6:$AD$54,13,FALSE),"")</f>
        <v/>
      </c>
      <c r="F53" s="6" t="str">
        <f t="shared" si="1"/>
        <v/>
      </c>
      <c r="G53" s="6" t="str">
        <f>IF(F53="","",F53*全局设置!$B$7*全局设置!$F$14)</f>
        <v/>
      </c>
      <c r="H53" s="6" t="str">
        <f>IF(G53="","",G53*全局设置!$B$5)</f>
        <v/>
      </c>
      <c r="I53" s="9" t="str">
        <f>IF(AND(B53="",C53=""),"",IF(B53="","缺少敌人",IF(C53="","缺少数量",IF(OR(C53&lt;1,C53&gt;9999,C53&lt;&gt;INT(C53)),"数量无效",IF(COUNTIF($B$36:$B$53,B53)&gt;1,"重复敌人",IFERROR(IF(VLOOKUP(B53,敌人目录!$A$6:$AD$54,27,FALSE)="可回读","可回读","敌人参数错误"),"敌人不存在"))))))</f>
        <v/>
      </c>
    </row>
    <row r="54" spans="1:9" ht="24" customHeight="1">
      <c r="A54" s="12"/>
      <c r="B54" s="12"/>
      <c r="C54" s="12"/>
      <c r="D54" s="12"/>
      <c r="E54" s="12"/>
      <c r="F54" s="12"/>
      <c r="G54" s="12"/>
      <c r="H54" s="12"/>
      <c r="I54" s="12"/>
    </row>
    <row r="55" spans="1:9" ht="32.1" customHeight="1">
      <c r="A55" s="13" t="s">
        <v>134</v>
      </c>
      <c r="B55" s="9">
        <f>SUM(C36:C53)</f>
        <v>0</v>
      </c>
      <c r="C55" s="13" t="s">
        <v>135</v>
      </c>
      <c r="D55" s="9">
        <f>SUM(D36:D53)</f>
        <v>0</v>
      </c>
      <c r="E55" s="13" t="s">
        <v>59</v>
      </c>
      <c r="F55" s="9">
        <f>SUM(F36:F53)</f>
        <v>0</v>
      </c>
      <c r="G55" s="13" t="s">
        <v>48</v>
      </c>
      <c r="H55" s="9">
        <f>SUM(G36:G53)</f>
        <v>0</v>
      </c>
      <c r="I55" s="12"/>
    </row>
    <row r="56" spans="1:9" ht="32.1" customHeight="1">
      <c r="A56" s="22" t="s">
        <v>49</v>
      </c>
      <c r="B56" s="9">
        <f>SUM(H36:H53)</f>
        <v>0</v>
      </c>
      <c r="C56" s="46" t="s">
        <v>174</v>
      </c>
      <c r="D56" s="46" t="s">
        <v>174</v>
      </c>
      <c r="E56" s="46" t="s">
        <v>174</v>
      </c>
      <c r="F56" s="46" t="s">
        <v>174</v>
      </c>
      <c r="G56" s="46" t="s">
        <v>174</v>
      </c>
      <c r="H56" s="46" t="s">
        <v>174</v>
      </c>
      <c r="I56" s="46" t="s">
        <v>174</v>
      </c>
    </row>
    <row r="57" spans="1:9" ht="24" customHeight="1">
      <c r="A57" s="12"/>
      <c r="B57" s="12"/>
      <c r="C57" s="12"/>
      <c r="D57" s="12"/>
      <c r="E57" s="12"/>
      <c r="F57" s="12"/>
      <c r="G57" s="12"/>
      <c r="H57" s="12"/>
      <c r="I57" s="12"/>
    </row>
    <row r="58" spans="1:9" ht="24" customHeight="1">
      <c r="A58" s="12"/>
      <c r="B58" s="12"/>
      <c r="C58" s="12"/>
      <c r="D58" s="12"/>
      <c r="E58" s="12"/>
      <c r="F58" s="12"/>
      <c r="G58" s="12"/>
      <c r="H58" s="12"/>
      <c r="I58" s="12"/>
    </row>
    <row r="59" spans="1:9" ht="24" customHeight="1">
      <c r="A59" s="12"/>
      <c r="B59" s="12"/>
      <c r="C59" s="12"/>
      <c r="D59" s="12"/>
      <c r="E59" s="12"/>
      <c r="F59" s="12"/>
      <c r="G59" s="12"/>
      <c r="H59" s="12"/>
      <c r="I59" s="12"/>
    </row>
    <row r="60" spans="1:9" ht="38.1" customHeight="1">
      <c r="A60" s="47" t="s">
        <v>177</v>
      </c>
      <c r="B60" s="47" t="s">
        <v>177</v>
      </c>
      <c r="C60" s="47" t="s">
        <v>177</v>
      </c>
      <c r="D60" s="47" t="s">
        <v>177</v>
      </c>
      <c r="E60" s="47" t="s">
        <v>177</v>
      </c>
      <c r="F60" s="47" t="s">
        <v>177</v>
      </c>
      <c r="G60" s="47" t="s">
        <v>177</v>
      </c>
      <c r="H60" s="47" t="s">
        <v>177</v>
      </c>
      <c r="I60" s="47" t="s">
        <v>177</v>
      </c>
    </row>
    <row r="61" spans="1:9" ht="24" customHeight="1">
      <c r="A61" s="17" t="s">
        <v>112</v>
      </c>
      <c r="B61" s="45" t="s">
        <v>178</v>
      </c>
      <c r="C61" s="45" t="s">
        <v>178</v>
      </c>
      <c r="D61" s="17" t="s">
        <v>114</v>
      </c>
      <c r="E61" s="14">
        <v>0.22</v>
      </c>
      <c r="F61" s="17" t="s">
        <v>115</v>
      </c>
      <c r="G61" s="14">
        <v>1</v>
      </c>
      <c r="H61" s="17" t="s">
        <v>61</v>
      </c>
      <c r="I61" s="14">
        <v>300</v>
      </c>
    </row>
    <row r="62" spans="1:9" ht="24" customHeight="1">
      <c r="A62" s="17" t="s">
        <v>116</v>
      </c>
      <c r="B62" s="14" t="s">
        <v>117</v>
      </c>
      <c r="C62" s="14" t="s">
        <v>118</v>
      </c>
      <c r="D62" s="14" t="s">
        <v>119</v>
      </c>
      <c r="E62" s="14" t="s">
        <v>120</v>
      </c>
      <c r="F62" s="14" t="s">
        <v>121</v>
      </c>
      <c r="G62" s="14" t="s">
        <v>122</v>
      </c>
      <c r="H62" s="17" t="s">
        <v>123</v>
      </c>
      <c r="I62" s="9" t="str">
        <f>IF(COUNTA(B65:B82)=0,"待设计",IF(COUNTIF(I65:I82,"可回读")=COUNTA(B65:B82),"可回读","需修正"))</f>
        <v>待设计</v>
      </c>
    </row>
    <row r="63" spans="1:9" ht="33.950000000000003" customHeight="1">
      <c r="A63" s="48" t="s">
        <v>124</v>
      </c>
      <c r="B63" s="48" t="s">
        <v>124</v>
      </c>
      <c r="C63" s="48" t="s">
        <v>124</v>
      </c>
      <c r="D63" s="48" t="s">
        <v>124</v>
      </c>
      <c r="E63" s="48" t="s">
        <v>124</v>
      </c>
      <c r="F63" s="48" t="s">
        <v>124</v>
      </c>
      <c r="G63" s="48" t="s">
        <v>124</v>
      </c>
      <c r="H63" s="48" t="s">
        <v>124</v>
      </c>
      <c r="I63" s="48" t="s">
        <v>124</v>
      </c>
    </row>
    <row r="64" spans="1:9" ht="42" customHeight="1">
      <c r="A64" s="17" t="s">
        <v>125</v>
      </c>
      <c r="B64" s="17" t="s">
        <v>126</v>
      </c>
      <c r="C64" s="17" t="s">
        <v>56</v>
      </c>
      <c r="D64" s="17" t="s">
        <v>57</v>
      </c>
      <c r="E64" s="22" t="s">
        <v>127</v>
      </c>
      <c r="F64" s="22" t="s">
        <v>128</v>
      </c>
      <c r="G64" s="22" t="s">
        <v>129</v>
      </c>
      <c r="H64" s="22" t="s">
        <v>130</v>
      </c>
      <c r="I64" s="17" t="s">
        <v>131</v>
      </c>
    </row>
    <row r="65" spans="1:9" ht="24" customHeight="1">
      <c r="A65" s="32">
        <v>1</v>
      </c>
      <c r="B65" s="14"/>
      <c r="C65" s="14"/>
      <c r="D65" s="9" t="str">
        <f>IF(OR(B65="",C65=""),"",ROUNDUP(C65*(1+(全局设置!$B$5-1)*全局设置!$B$6),0))</f>
        <v/>
      </c>
      <c r="E65" s="6" t="str">
        <f>IFERROR(VLOOKUP(B65,敌人目录!$A$6:$AD$54,13,FALSE),"")</f>
        <v/>
      </c>
      <c r="F65" s="6" t="str">
        <f t="shared" ref="F65:F82" si="2">IF(D65="","",D65*E65)</f>
        <v/>
      </c>
      <c r="G65" s="6" t="str">
        <f>IF(F65="","",F65*全局设置!$B$7*全局设置!$F$14)</f>
        <v/>
      </c>
      <c r="H65" s="6" t="str">
        <f>IF(G65="","",G65*全局设置!$B$5)</f>
        <v/>
      </c>
      <c r="I65" s="9" t="str">
        <f>IF(AND(B65="",C65=""),"",IF(B65="","缺少敌人",IF(C65="","缺少数量",IF(OR(C65&lt;1,C65&gt;9999,C65&lt;&gt;INT(C65)),"数量无效",IF(COUNTIF($B$65:$B$82,B65)&gt;1,"重复敌人",IFERROR(IF(VLOOKUP(B65,敌人目录!$A$6:$AD$54,27,FALSE)="可回读","可回读","敌人参数错误"),"敌人不存在"))))))</f>
        <v/>
      </c>
    </row>
    <row r="66" spans="1:9" ht="24" customHeight="1">
      <c r="A66" s="32">
        <v>2</v>
      </c>
      <c r="B66" s="14"/>
      <c r="C66" s="14"/>
      <c r="D66" s="9" t="str">
        <f>IF(OR(B66="",C66=""),"",ROUNDUP(C66*(1+(全局设置!$B$5-1)*全局设置!$B$6),0))</f>
        <v/>
      </c>
      <c r="E66" s="6" t="str">
        <f>IFERROR(VLOOKUP(B66,敌人目录!$A$6:$AD$54,13,FALSE),"")</f>
        <v/>
      </c>
      <c r="F66" s="6" t="str">
        <f t="shared" si="2"/>
        <v/>
      </c>
      <c r="G66" s="6" t="str">
        <f>IF(F66="","",F66*全局设置!$B$7*全局设置!$F$14)</f>
        <v/>
      </c>
      <c r="H66" s="6" t="str">
        <f>IF(G66="","",G66*全局设置!$B$5)</f>
        <v/>
      </c>
      <c r="I66" s="9" t="str">
        <f>IF(AND(B66="",C66=""),"",IF(B66="","缺少敌人",IF(C66="","缺少数量",IF(OR(C66&lt;1,C66&gt;9999,C66&lt;&gt;INT(C66)),"数量无效",IF(COUNTIF($B$65:$B$82,B66)&gt;1,"重复敌人",IFERROR(IF(VLOOKUP(B66,敌人目录!$A$6:$AD$54,27,FALSE)="可回读","可回读","敌人参数错误"),"敌人不存在"))))))</f>
        <v/>
      </c>
    </row>
    <row r="67" spans="1:9" ht="24" customHeight="1">
      <c r="A67" s="32">
        <v>3</v>
      </c>
      <c r="B67" s="14"/>
      <c r="C67" s="14"/>
      <c r="D67" s="9" t="str">
        <f>IF(OR(B67="",C67=""),"",ROUNDUP(C67*(1+(全局设置!$B$5-1)*全局设置!$B$6),0))</f>
        <v/>
      </c>
      <c r="E67" s="6" t="str">
        <f>IFERROR(VLOOKUP(B67,敌人目录!$A$6:$AD$54,13,FALSE),"")</f>
        <v/>
      </c>
      <c r="F67" s="6" t="str">
        <f t="shared" si="2"/>
        <v/>
      </c>
      <c r="G67" s="6" t="str">
        <f>IF(F67="","",F67*全局设置!$B$7*全局设置!$F$14)</f>
        <v/>
      </c>
      <c r="H67" s="6" t="str">
        <f>IF(G67="","",G67*全局设置!$B$5)</f>
        <v/>
      </c>
      <c r="I67" s="9" t="str">
        <f>IF(AND(B67="",C67=""),"",IF(B67="","缺少敌人",IF(C67="","缺少数量",IF(OR(C67&lt;1,C67&gt;9999,C67&lt;&gt;INT(C67)),"数量无效",IF(COUNTIF($B$65:$B$82,B67)&gt;1,"重复敌人",IFERROR(IF(VLOOKUP(B67,敌人目录!$A$6:$AD$54,27,FALSE)="可回读","可回读","敌人参数错误"),"敌人不存在"))))))</f>
        <v/>
      </c>
    </row>
    <row r="68" spans="1:9" ht="24" customHeight="1">
      <c r="A68" s="32">
        <v>4</v>
      </c>
      <c r="B68" s="14"/>
      <c r="C68" s="14"/>
      <c r="D68" s="9" t="str">
        <f>IF(OR(B68="",C68=""),"",ROUNDUP(C68*(1+(全局设置!$B$5-1)*全局设置!$B$6),0))</f>
        <v/>
      </c>
      <c r="E68" s="6" t="str">
        <f>IFERROR(VLOOKUP(B68,敌人目录!$A$6:$AD$54,13,FALSE),"")</f>
        <v/>
      </c>
      <c r="F68" s="6" t="str">
        <f t="shared" si="2"/>
        <v/>
      </c>
      <c r="G68" s="6" t="str">
        <f>IF(F68="","",F68*全局设置!$B$7*全局设置!$F$14)</f>
        <v/>
      </c>
      <c r="H68" s="6" t="str">
        <f>IF(G68="","",G68*全局设置!$B$5)</f>
        <v/>
      </c>
      <c r="I68" s="9" t="str">
        <f>IF(AND(B68="",C68=""),"",IF(B68="","缺少敌人",IF(C68="","缺少数量",IF(OR(C68&lt;1,C68&gt;9999,C68&lt;&gt;INT(C68)),"数量无效",IF(COUNTIF($B$65:$B$82,B68)&gt;1,"重复敌人",IFERROR(IF(VLOOKUP(B68,敌人目录!$A$6:$AD$54,27,FALSE)="可回读","可回读","敌人参数错误"),"敌人不存在"))))))</f>
        <v/>
      </c>
    </row>
    <row r="69" spans="1:9" ht="24" customHeight="1">
      <c r="A69" s="32">
        <v>5</v>
      </c>
      <c r="B69" s="14"/>
      <c r="C69" s="14"/>
      <c r="D69" s="9" t="str">
        <f>IF(OR(B69="",C69=""),"",ROUNDUP(C69*(1+(全局设置!$B$5-1)*全局设置!$B$6),0))</f>
        <v/>
      </c>
      <c r="E69" s="6" t="str">
        <f>IFERROR(VLOOKUP(B69,敌人目录!$A$6:$AD$54,13,FALSE),"")</f>
        <v/>
      </c>
      <c r="F69" s="6" t="str">
        <f t="shared" si="2"/>
        <v/>
      </c>
      <c r="G69" s="6" t="str">
        <f>IF(F69="","",F69*全局设置!$B$7*全局设置!$F$14)</f>
        <v/>
      </c>
      <c r="H69" s="6" t="str">
        <f>IF(G69="","",G69*全局设置!$B$5)</f>
        <v/>
      </c>
      <c r="I69" s="9" t="str">
        <f>IF(AND(B69="",C69=""),"",IF(B69="","缺少敌人",IF(C69="","缺少数量",IF(OR(C69&lt;1,C69&gt;9999,C69&lt;&gt;INT(C69)),"数量无效",IF(COUNTIF($B$65:$B$82,B69)&gt;1,"重复敌人",IFERROR(IF(VLOOKUP(B69,敌人目录!$A$6:$AD$54,27,FALSE)="可回读","可回读","敌人参数错误"),"敌人不存在"))))))</f>
        <v/>
      </c>
    </row>
    <row r="70" spans="1:9" ht="24" customHeight="1">
      <c r="A70" s="32">
        <v>6</v>
      </c>
      <c r="B70" s="14"/>
      <c r="C70" s="14"/>
      <c r="D70" s="9" t="str">
        <f>IF(OR(B70="",C70=""),"",ROUNDUP(C70*(1+(全局设置!$B$5-1)*全局设置!$B$6),0))</f>
        <v/>
      </c>
      <c r="E70" s="6" t="str">
        <f>IFERROR(VLOOKUP(B70,敌人目录!$A$6:$AD$54,13,FALSE),"")</f>
        <v/>
      </c>
      <c r="F70" s="6" t="str">
        <f t="shared" si="2"/>
        <v/>
      </c>
      <c r="G70" s="6" t="str">
        <f>IF(F70="","",F70*全局设置!$B$7*全局设置!$F$14)</f>
        <v/>
      </c>
      <c r="H70" s="6" t="str">
        <f>IF(G70="","",G70*全局设置!$B$5)</f>
        <v/>
      </c>
      <c r="I70" s="9" t="str">
        <f>IF(AND(B70="",C70=""),"",IF(B70="","缺少敌人",IF(C70="","缺少数量",IF(OR(C70&lt;1,C70&gt;9999,C70&lt;&gt;INT(C70)),"数量无效",IF(COUNTIF($B$65:$B$82,B70)&gt;1,"重复敌人",IFERROR(IF(VLOOKUP(B70,敌人目录!$A$6:$AD$54,27,FALSE)="可回读","可回读","敌人参数错误"),"敌人不存在"))))))</f>
        <v/>
      </c>
    </row>
    <row r="71" spans="1:9" ht="24" customHeight="1">
      <c r="A71" s="32">
        <v>7</v>
      </c>
      <c r="B71" s="14"/>
      <c r="C71" s="14"/>
      <c r="D71" s="9" t="str">
        <f>IF(OR(B71="",C71=""),"",ROUNDUP(C71*(1+(全局设置!$B$5-1)*全局设置!$B$6),0))</f>
        <v/>
      </c>
      <c r="E71" s="6" t="str">
        <f>IFERROR(VLOOKUP(B71,敌人目录!$A$6:$AD$54,13,FALSE),"")</f>
        <v/>
      </c>
      <c r="F71" s="6" t="str">
        <f t="shared" si="2"/>
        <v/>
      </c>
      <c r="G71" s="6" t="str">
        <f>IF(F71="","",F71*全局设置!$B$7*全局设置!$F$14)</f>
        <v/>
      </c>
      <c r="H71" s="6" t="str">
        <f>IF(G71="","",G71*全局设置!$B$5)</f>
        <v/>
      </c>
      <c r="I71" s="9" t="str">
        <f>IF(AND(B71="",C71=""),"",IF(B71="","缺少敌人",IF(C71="","缺少数量",IF(OR(C71&lt;1,C71&gt;9999,C71&lt;&gt;INT(C71)),"数量无效",IF(COUNTIF($B$65:$B$82,B71)&gt;1,"重复敌人",IFERROR(IF(VLOOKUP(B71,敌人目录!$A$6:$AD$54,27,FALSE)="可回读","可回读","敌人参数错误"),"敌人不存在"))))))</f>
        <v/>
      </c>
    </row>
    <row r="72" spans="1:9" ht="24" customHeight="1">
      <c r="A72" s="32">
        <v>8</v>
      </c>
      <c r="B72" s="14"/>
      <c r="C72" s="14"/>
      <c r="D72" s="9" t="str">
        <f>IF(OR(B72="",C72=""),"",ROUNDUP(C72*(1+(全局设置!$B$5-1)*全局设置!$B$6),0))</f>
        <v/>
      </c>
      <c r="E72" s="6" t="str">
        <f>IFERROR(VLOOKUP(B72,敌人目录!$A$6:$AD$54,13,FALSE),"")</f>
        <v/>
      </c>
      <c r="F72" s="6" t="str">
        <f t="shared" si="2"/>
        <v/>
      </c>
      <c r="G72" s="6" t="str">
        <f>IF(F72="","",F72*全局设置!$B$7*全局设置!$F$14)</f>
        <v/>
      </c>
      <c r="H72" s="6" t="str">
        <f>IF(G72="","",G72*全局设置!$B$5)</f>
        <v/>
      </c>
      <c r="I72" s="9" t="str">
        <f>IF(AND(B72="",C72=""),"",IF(B72="","缺少敌人",IF(C72="","缺少数量",IF(OR(C72&lt;1,C72&gt;9999,C72&lt;&gt;INT(C72)),"数量无效",IF(COUNTIF($B$65:$B$82,B72)&gt;1,"重复敌人",IFERROR(IF(VLOOKUP(B72,敌人目录!$A$6:$AD$54,27,FALSE)="可回读","可回读","敌人参数错误"),"敌人不存在"))))))</f>
        <v/>
      </c>
    </row>
    <row r="73" spans="1:9" ht="24" customHeight="1">
      <c r="A73" s="32">
        <v>9</v>
      </c>
      <c r="B73" s="14"/>
      <c r="C73" s="14"/>
      <c r="D73" s="9" t="str">
        <f>IF(OR(B73="",C73=""),"",ROUNDUP(C73*(1+(全局设置!$B$5-1)*全局设置!$B$6),0))</f>
        <v/>
      </c>
      <c r="E73" s="6" t="str">
        <f>IFERROR(VLOOKUP(B73,敌人目录!$A$6:$AD$54,13,FALSE),"")</f>
        <v/>
      </c>
      <c r="F73" s="6" t="str">
        <f t="shared" si="2"/>
        <v/>
      </c>
      <c r="G73" s="6" t="str">
        <f>IF(F73="","",F73*全局设置!$B$7*全局设置!$F$14)</f>
        <v/>
      </c>
      <c r="H73" s="6" t="str">
        <f>IF(G73="","",G73*全局设置!$B$5)</f>
        <v/>
      </c>
      <c r="I73" s="9" t="str">
        <f>IF(AND(B73="",C73=""),"",IF(B73="","缺少敌人",IF(C73="","缺少数量",IF(OR(C73&lt;1,C73&gt;9999,C73&lt;&gt;INT(C73)),"数量无效",IF(COUNTIF($B$65:$B$82,B73)&gt;1,"重复敌人",IFERROR(IF(VLOOKUP(B73,敌人目录!$A$6:$AD$54,27,FALSE)="可回读","可回读","敌人参数错误"),"敌人不存在"))))))</f>
        <v/>
      </c>
    </row>
    <row r="74" spans="1:9" ht="24" customHeight="1">
      <c r="A74" s="32">
        <v>10</v>
      </c>
      <c r="B74" s="14"/>
      <c r="C74" s="14"/>
      <c r="D74" s="9" t="str">
        <f>IF(OR(B74="",C74=""),"",ROUNDUP(C74*(1+(全局设置!$B$5-1)*全局设置!$B$6),0))</f>
        <v/>
      </c>
      <c r="E74" s="6" t="str">
        <f>IFERROR(VLOOKUP(B74,敌人目录!$A$6:$AD$54,13,FALSE),"")</f>
        <v/>
      </c>
      <c r="F74" s="6" t="str">
        <f t="shared" si="2"/>
        <v/>
      </c>
      <c r="G74" s="6" t="str">
        <f>IF(F74="","",F74*全局设置!$B$7*全局设置!$F$14)</f>
        <v/>
      </c>
      <c r="H74" s="6" t="str">
        <f>IF(G74="","",G74*全局设置!$B$5)</f>
        <v/>
      </c>
      <c r="I74" s="9" t="str">
        <f>IF(AND(B74="",C74=""),"",IF(B74="","缺少敌人",IF(C74="","缺少数量",IF(OR(C74&lt;1,C74&gt;9999,C74&lt;&gt;INT(C74)),"数量无效",IF(COUNTIF($B$65:$B$82,B74)&gt;1,"重复敌人",IFERROR(IF(VLOOKUP(B74,敌人目录!$A$6:$AD$54,27,FALSE)="可回读","可回读","敌人参数错误"),"敌人不存在"))))))</f>
        <v/>
      </c>
    </row>
    <row r="75" spans="1:9" ht="24" customHeight="1">
      <c r="A75" s="32">
        <v>11</v>
      </c>
      <c r="B75" s="14"/>
      <c r="C75" s="14"/>
      <c r="D75" s="9" t="str">
        <f>IF(OR(B75="",C75=""),"",ROUNDUP(C75*(1+(全局设置!$B$5-1)*全局设置!$B$6),0))</f>
        <v/>
      </c>
      <c r="E75" s="6" t="str">
        <f>IFERROR(VLOOKUP(B75,敌人目录!$A$6:$AD$54,13,FALSE),"")</f>
        <v/>
      </c>
      <c r="F75" s="6" t="str">
        <f t="shared" si="2"/>
        <v/>
      </c>
      <c r="G75" s="6" t="str">
        <f>IF(F75="","",F75*全局设置!$B$7*全局设置!$F$14)</f>
        <v/>
      </c>
      <c r="H75" s="6" t="str">
        <f>IF(G75="","",G75*全局设置!$B$5)</f>
        <v/>
      </c>
      <c r="I75" s="9" t="str">
        <f>IF(AND(B75="",C75=""),"",IF(B75="","缺少敌人",IF(C75="","缺少数量",IF(OR(C75&lt;1,C75&gt;9999,C75&lt;&gt;INT(C75)),"数量无效",IF(COUNTIF($B$65:$B$82,B75)&gt;1,"重复敌人",IFERROR(IF(VLOOKUP(B75,敌人目录!$A$6:$AD$54,27,FALSE)="可回读","可回读","敌人参数错误"),"敌人不存在"))))))</f>
        <v/>
      </c>
    </row>
    <row r="76" spans="1:9" ht="24" customHeight="1">
      <c r="A76" s="32">
        <v>12</v>
      </c>
      <c r="B76" s="14"/>
      <c r="C76" s="14"/>
      <c r="D76" s="9" t="str">
        <f>IF(OR(B76="",C76=""),"",ROUNDUP(C76*(1+(全局设置!$B$5-1)*全局设置!$B$6),0))</f>
        <v/>
      </c>
      <c r="E76" s="6" t="str">
        <f>IFERROR(VLOOKUP(B76,敌人目录!$A$6:$AD$54,13,FALSE),"")</f>
        <v/>
      </c>
      <c r="F76" s="6" t="str">
        <f t="shared" si="2"/>
        <v/>
      </c>
      <c r="G76" s="6" t="str">
        <f>IF(F76="","",F76*全局设置!$B$7*全局设置!$F$14)</f>
        <v/>
      </c>
      <c r="H76" s="6" t="str">
        <f>IF(G76="","",G76*全局设置!$B$5)</f>
        <v/>
      </c>
      <c r="I76" s="9" t="str">
        <f>IF(AND(B76="",C76=""),"",IF(B76="","缺少敌人",IF(C76="","缺少数量",IF(OR(C76&lt;1,C76&gt;9999,C76&lt;&gt;INT(C76)),"数量无效",IF(COUNTIF($B$65:$B$82,B76)&gt;1,"重复敌人",IFERROR(IF(VLOOKUP(B76,敌人目录!$A$6:$AD$54,27,FALSE)="可回读","可回读","敌人参数错误"),"敌人不存在"))))))</f>
        <v/>
      </c>
    </row>
    <row r="77" spans="1:9" ht="24" customHeight="1">
      <c r="A77" s="32">
        <v>13</v>
      </c>
      <c r="B77" s="14"/>
      <c r="C77" s="14"/>
      <c r="D77" s="9" t="str">
        <f>IF(OR(B77="",C77=""),"",ROUNDUP(C77*(1+(全局设置!$B$5-1)*全局设置!$B$6),0))</f>
        <v/>
      </c>
      <c r="E77" s="6" t="str">
        <f>IFERROR(VLOOKUP(B77,敌人目录!$A$6:$AD$54,13,FALSE),"")</f>
        <v/>
      </c>
      <c r="F77" s="6" t="str">
        <f t="shared" si="2"/>
        <v/>
      </c>
      <c r="G77" s="6" t="str">
        <f>IF(F77="","",F77*全局设置!$B$7*全局设置!$F$14)</f>
        <v/>
      </c>
      <c r="H77" s="6" t="str">
        <f>IF(G77="","",G77*全局设置!$B$5)</f>
        <v/>
      </c>
      <c r="I77" s="9" t="str">
        <f>IF(AND(B77="",C77=""),"",IF(B77="","缺少敌人",IF(C77="","缺少数量",IF(OR(C77&lt;1,C77&gt;9999,C77&lt;&gt;INT(C77)),"数量无效",IF(COUNTIF($B$65:$B$82,B77)&gt;1,"重复敌人",IFERROR(IF(VLOOKUP(B77,敌人目录!$A$6:$AD$54,27,FALSE)="可回读","可回读","敌人参数错误"),"敌人不存在"))))))</f>
        <v/>
      </c>
    </row>
    <row r="78" spans="1:9" ht="24" customHeight="1">
      <c r="A78" s="32">
        <v>14</v>
      </c>
      <c r="B78" s="14"/>
      <c r="C78" s="14"/>
      <c r="D78" s="9" t="str">
        <f>IF(OR(B78="",C78=""),"",ROUNDUP(C78*(1+(全局设置!$B$5-1)*全局设置!$B$6),0))</f>
        <v/>
      </c>
      <c r="E78" s="6" t="str">
        <f>IFERROR(VLOOKUP(B78,敌人目录!$A$6:$AD$54,13,FALSE),"")</f>
        <v/>
      </c>
      <c r="F78" s="6" t="str">
        <f t="shared" si="2"/>
        <v/>
      </c>
      <c r="G78" s="6" t="str">
        <f>IF(F78="","",F78*全局设置!$B$7*全局设置!$F$14)</f>
        <v/>
      </c>
      <c r="H78" s="6" t="str">
        <f>IF(G78="","",G78*全局设置!$B$5)</f>
        <v/>
      </c>
      <c r="I78" s="9" t="str">
        <f>IF(AND(B78="",C78=""),"",IF(B78="","缺少敌人",IF(C78="","缺少数量",IF(OR(C78&lt;1,C78&gt;9999,C78&lt;&gt;INT(C78)),"数量无效",IF(COUNTIF($B$65:$B$82,B78)&gt;1,"重复敌人",IFERROR(IF(VLOOKUP(B78,敌人目录!$A$6:$AD$54,27,FALSE)="可回读","可回读","敌人参数错误"),"敌人不存在"))))))</f>
        <v/>
      </c>
    </row>
    <row r="79" spans="1:9" ht="24" customHeight="1">
      <c r="A79" s="32">
        <v>15</v>
      </c>
      <c r="B79" s="14"/>
      <c r="C79" s="14"/>
      <c r="D79" s="9" t="str">
        <f>IF(OR(B79="",C79=""),"",ROUNDUP(C79*(1+(全局设置!$B$5-1)*全局设置!$B$6),0))</f>
        <v/>
      </c>
      <c r="E79" s="6" t="str">
        <f>IFERROR(VLOOKUP(B79,敌人目录!$A$6:$AD$54,13,FALSE),"")</f>
        <v/>
      </c>
      <c r="F79" s="6" t="str">
        <f t="shared" si="2"/>
        <v/>
      </c>
      <c r="G79" s="6" t="str">
        <f>IF(F79="","",F79*全局设置!$B$7*全局设置!$F$14)</f>
        <v/>
      </c>
      <c r="H79" s="6" t="str">
        <f>IF(G79="","",G79*全局设置!$B$5)</f>
        <v/>
      </c>
      <c r="I79" s="9" t="str">
        <f>IF(AND(B79="",C79=""),"",IF(B79="","缺少敌人",IF(C79="","缺少数量",IF(OR(C79&lt;1,C79&gt;9999,C79&lt;&gt;INT(C79)),"数量无效",IF(COUNTIF($B$65:$B$82,B79)&gt;1,"重复敌人",IFERROR(IF(VLOOKUP(B79,敌人目录!$A$6:$AD$54,27,FALSE)="可回读","可回读","敌人参数错误"),"敌人不存在"))))))</f>
        <v/>
      </c>
    </row>
    <row r="80" spans="1:9" ht="24" customHeight="1">
      <c r="A80" s="32">
        <v>16</v>
      </c>
      <c r="B80" s="14"/>
      <c r="C80" s="14"/>
      <c r="D80" s="9" t="str">
        <f>IF(OR(B80="",C80=""),"",ROUNDUP(C80*(1+(全局设置!$B$5-1)*全局设置!$B$6),0))</f>
        <v/>
      </c>
      <c r="E80" s="6" t="str">
        <f>IFERROR(VLOOKUP(B80,敌人目录!$A$6:$AD$54,13,FALSE),"")</f>
        <v/>
      </c>
      <c r="F80" s="6" t="str">
        <f t="shared" si="2"/>
        <v/>
      </c>
      <c r="G80" s="6" t="str">
        <f>IF(F80="","",F80*全局设置!$B$7*全局设置!$F$14)</f>
        <v/>
      </c>
      <c r="H80" s="6" t="str">
        <f>IF(G80="","",G80*全局设置!$B$5)</f>
        <v/>
      </c>
      <c r="I80" s="9" t="str">
        <f>IF(AND(B80="",C80=""),"",IF(B80="","缺少敌人",IF(C80="","缺少数量",IF(OR(C80&lt;1,C80&gt;9999,C80&lt;&gt;INT(C80)),"数量无效",IF(COUNTIF($B$65:$B$82,B80)&gt;1,"重复敌人",IFERROR(IF(VLOOKUP(B80,敌人目录!$A$6:$AD$54,27,FALSE)="可回读","可回读","敌人参数错误"),"敌人不存在"))))))</f>
        <v/>
      </c>
    </row>
    <row r="81" spans="1:9" ht="24" customHeight="1">
      <c r="A81" s="32">
        <v>17</v>
      </c>
      <c r="B81" s="14"/>
      <c r="C81" s="14"/>
      <c r="D81" s="9" t="str">
        <f>IF(OR(B81="",C81=""),"",ROUNDUP(C81*(1+(全局设置!$B$5-1)*全局设置!$B$6),0))</f>
        <v/>
      </c>
      <c r="E81" s="6" t="str">
        <f>IFERROR(VLOOKUP(B81,敌人目录!$A$6:$AD$54,13,FALSE),"")</f>
        <v/>
      </c>
      <c r="F81" s="6" t="str">
        <f t="shared" si="2"/>
        <v/>
      </c>
      <c r="G81" s="6" t="str">
        <f>IF(F81="","",F81*全局设置!$B$7*全局设置!$F$14)</f>
        <v/>
      </c>
      <c r="H81" s="6" t="str">
        <f>IF(G81="","",G81*全局设置!$B$5)</f>
        <v/>
      </c>
      <c r="I81" s="9" t="str">
        <f>IF(AND(B81="",C81=""),"",IF(B81="","缺少敌人",IF(C81="","缺少数量",IF(OR(C81&lt;1,C81&gt;9999,C81&lt;&gt;INT(C81)),"数量无效",IF(COUNTIF($B$65:$B$82,B81)&gt;1,"重复敌人",IFERROR(IF(VLOOKUP(B81,敌人目录!$A$6:$AD$54,27,FALSE)="可回读","可回读","敌人参数错误"),"敌人不存在"))))))</f>
        <v/>
      </c>
    </row>
    <row r="82" spans="1:9" ht="24" customHeight="1">
      <c r="A82" s="32">
        <v>18</v>
      </c>
      <c r="B82" s="14"/>
      <c r="C82" s="14"/>
      <c r="D82" s="9" t="str">
        <f>IF(OR(B82="",C82=""),"",ROUNDUP(C82*(1+(全局设置!$B$5-1)*全局设置!$B$6),0))</f>
        <v/>
      </c>
      <c r="E82" s="6" t="str">
        <f>IFERROR(VLOOKUP(B82,敌人目录!$A$6:$AD$54,13,FALSE),"")</f>
        <v/>
      </c>
      <c r="F82" s="6" t="str">
        <f t="shared" si="2"/>
        <v/>
      </c>
      <c r="G82" s="6" t="str">
        <f>IF(F82="","",F82*全局设置!$B$7*全局设置!$F$14)</f>
        <v/>
      </c>
      <c r="H82" s="6" t="str">
        <f>IF(G82="","",G82*全局设置!$B$5)</f>
        <v/>
      </c>
      <c r="I82" s="9" t="str">
        <f>IF(AND(B82="",C82=""),"",IF(B82="","缺少敌人",IF(C82="","缺少数量",IF(OR(C82&lt;1,C82&gt;9999,C82&lt;&gt;INT(C82)),"数量无效",IF(COUNTIF($B$65:$B$82,B82)&gt;1,"重复敌人",IFERROR(IF(VLOOKUP(B82,敌人目录!$A$6:$AD$54,27,FALSE)="可回读","可回读","敌人参数错误"),"敌人不存在"))))))</f>
        <v/>
      </c>
    </row>
    <row r="83" spans="1:9" ht="24" customHeight="1">
      <c r="A83" s="12"/>
      <c r="B83" s="12"/>
      <c r="C83" s="12"/>
      <c r="D83" s="12"/>
      <c r="E83" s="12"/>
      <c r="F83" s="12"/>
      <c r="G83" s="12"/>
      <c r="H83" s="12"/>
      <c r="I83" s="12"/>
    </row>
    <row r="84" spans="1:9" ht="32.1" customHeight="1">
      <c r="A84" s="17" t="s">
        <v>134</v>
      </c>
      <c r="B84" s="9">
        <f>SUM(C65:C82)</f>
        <v>0</v>
      </c>
      <c r="C84" s="17" t="s">
        <v>135</v>
      </c>
      <c r="D84" s="9">
        <f>SUM(D65:D82)</f>
        <v>0</v>
      </c>
      <c r="E84" s="17" t="s">
        <v>59</v>
      </c>
      <c r="F84" s="9">
        <f>SUM(F65:F82)</f>
        <v>0</v>
      </c>
      <c r="G84" s="17" t="s">
        <v>48</v>
      </c>
      <c r="H84" s="9">
        <f>SUM(G65:G82)</f>
        <v>0</v>
      </c>
      <c r="I84" s="12"/>
    </row>
    <row r="85" spans="1:9" ht="32.1" customHeight="1">
      <c r="A85" s="17" t="s">
        <v>49</v>
      </c>
      <c r="B85" s="9">
        <f>SUM(H65:H82)</f>
        <v>0</v>
      </c>
      <c r="C85" s="46" t="s">
        <v>174</v>
      </c>
      <c r="D85" s="46" t="s">
        <v>174</v>
      </c>
      <c r="E85" s="46" t="s">
        <v>174</v>
      </c>
      <c r="F85" s="46" t="s">
        <v>174</v>
      </c>
      <c r="G85" s="46" t="s">
        <v>174</v>
      </c>
      <c r="H85" s="46" t="s">
        <v>174</v>
      </c>
      <c r="I85" s="46" t="s">
        <v>174</v>
      </c>
    </row>
    <row r="86" spans="1:9" ht="24" customHeight="1">
      <c r="A86" s="12"/>
      <c r="B86" s="12"/>
      <c r="C86" s="12"/>
      <c r="D86" s="12"/>
      <c r="E86" s="12"/>
      <c r="F86" s="12"/>
      <c r="G86" s="12"/>
      <c r="H86" s="12"/>
      <c r="I86" s="12"/>
    </row>
    <row r="87" spans="1:9" ht="24" customHeight="1">
      <c r="A87" s="12"/>
      <c r="B87" s="12"/>
      <c r="C87" s="12"/>
      <c r="D87" s="12"/>
      <c r="E87" s="12"/>
      <c r="F87" s="12"/>
      <c r="G87" s="12"/>
      <c r="H87" s="12"/>
      <c r="I87" s="12"/>
    </row>
    <row r="88" spans="1:9" ht="24" customHeight="1">
      <c r="A88" s="12"/>
      <c r="B88" s="12"/>
      <c r="C88" s="12"/>
      <c r="D88" s="12"/>
      <c r="E88" s="12"/>
      <c r="F88" s="12"/>
      <c r="G88" s="12"/>
      <c r="H88" s="12"/>
      <c r="I88" s="12"/>
    </row>
    <row r="89" spans="1:9" ht="38.1" customHeight="1">
      <c r="A89" s="47" t="s">
        <v>179</v>
      </c>
      <c r="B89" s="47" t="s">
        <v>179</v>
      </c>
      <c r="C89" s="47" t="s">
        <v>179</v>
      </c>
      <c r="D89" s="47" t="s">
        <v>179</v>
      </c>
      <c r="E89" s="47" t="s">
        <v>179</v>
      </c>
      <c r="F89" s="47" t="s">
        <v>179</v>
      </c>
      <c r="G89" s="47" t="s">
        <v>179</v>
      </c>
      <c r="H89" s="47" t="s">
        <v>179</v>
      </c>
      <c r="I89" s="47" t="s">
        <v>179</v>
      </c>
    </row>
    <row r="90" spans="1:9" ht="24" customHeight="1">
      <c r="A90" s="17" t="s">
        <v>112</v>
      </c>
      <c r="B90" s="45" t="s">
        <v>180</v>
      </c>
      <c r="C90" s="45" t="s">
        <v>180</v>
      </c>
      <c r="D90" s="17" t="s">
        <v>114</v>
      </c>
      <c r="E90" s="14">
        <v>0.22</v>
      </c>
      <c r="F90" s="17" t="s">
        <v>115</v>
      </c>
      <c r="G90" s="14">
        <v>1</v>
      </c>
      <c r="H90" s="17" t="s">
        <v>61</v>
      </c>
      <c r="I90" s="14">
        <v>300</v>
      </c>
    </row>
    <row r="91" spans="1:9" ht="24" customHeight="1">
      <c r="A91" s="17" t="s">
        <v>116</v>
      </c>
      <c r="B91" s="14" t="s">
        <v>117</v>
      </c>
      <c r="C91" s="14" t="s">
        <v>118</v>
      </c>
      <c r="D91" s="14" t="s">
        <v>119</v>
      </c>
      <c r="E91" s="14" t="s">
        <v>120</v>
      </c>
      <c r="F91" s="14" t="s">
        <v>121</v>
      </c>
      <c r="G91" s="14" t="s">
        <v>122</v>
      </c>
      <c r="H91" s="17" t="s">
        <v>123</v>
      </c>
      <c r="I91" s="9" t="str">
        <f>IF(COUNTA(B94:B111)=0,"待设计",IF(COUNTIF(I94:I111,"可回读")=COUNTA(B94:B111),"可回读","需修正"))</f>
        <v>待设计</v>
      </c>
    </row>
    <row r="92" spans="1:9" ht="33.950000000000003" customHeight="1">
      <c r="A92" s="48" t="s">
        <v>124</v>
      </c>
      <c r="B92" s="48" t="s">
        <v>124</v>
      </c>
      <c r="C92" s="48" t="s">
        <v>124</v>
      </c>
      <c r="D92" s="48" t="s">
        <v>124</v>
      </c>
      <c r="E92" s="48" t="s">
        <v>124</v>
      </c>
      <c r="F92" s="48" t="s">
        <v>124</v>
      </c>
      <c r="G92" s="48" t="s">
        <v>124</v>
      </c>
      <c r="H92" s="48" t="s">
        <v>124</v>
      </c>
      <c r="I92" s="48" t="s">
        <v>124</v>
      </c>
    </row>
    <row r="93" spans="1:9" ht="42" customHeight="1">
      <c r="A93" s="17" t="s">
        <v>125</v>
      </c>
      <c r="B93" s="17" t="s">
        <v>126</v>
      </c>
      <c r="C93" s="17" t="s">
        <v>56</v>
      </c>
      <c r="D93" s="17" t="s">
        <v>57</v>
      </c>
      <c r="E93" s="22" t="s">
        <v>127</v>
      </c>
      <c r="F93" s="22" t="s">
        <v>128</v>
      </c>
      <c r="G93" s="22" t="s">
        <v>129</v>
      </c>
      <c r="H93" s="22" t="s">
        <v>130</v>
      </c>
      <c r="I93" s="17" t="s">
        <v>131</v>
      </c>
    </row>
    <row r="94" spans="1:9" ht="24" customHeight="1">
      <c r="A94" s="32">
        <v>1</v>
      </c>
      <c r="B94" s="14"/>
      <c r="C94" s="14"/>
      <c r="D94" s="9" t="str">
        <f>IF(OR(B94="",C94=""),"",ROUNDUP(C94*(1+(全局设置!$B$5-1)*全局设置!$B$6),0))</f>
        <v/>
      </c>
      <c r="E94" s="6" t="str">
        <f>IFERROR(VLOOKUP(B94,敌人目录!$A$6:$AD$54,13,FALSE),"")</f>
        <v/>
      </c>
      <c r="F94" s="6" t="str">
        <f t="shared" ref="F94:F111" si="3">IF(D94="","",D94*E94)</f>
        <v/>
      </c>
      <c r="G94" s="6" t="str">
        <f>IF(F94="","",F94*全局设置!$B$7*全局设置!$F$14)</f>
        <v/>
      </c>
      <c r="H94" s="6" t="str">
        <f>IF(G94="","",G94*全局设置!$B$5)</f>
        <v/>
      </c>
      <c r="I94" s="9" t="str">
        <f>IF(AND(B94="",C94=""),"",IF(B94="","缺少敌人",IF(C94="","缺少数量",IF(OR(C94&lt;1,C94&gt;9999,C94&lt;&gt;INT(C94)),"数量无效",IF(COUNTIF($B$94:$B$111,B94)&gt;1,"重复敌人",IFERROR(IF(VLOOKUP(B94,敌人目录!$A$6:$AD$54,27,FALSE)="可回读","可回读","敌人参数错误"),"敌人不存在"))))))</f>
        <v/>
      </c>
    </row>
    <row r="95" spans="1:9" ht="24" customHeight="1">
      <c r="A95" s="32">
        <v>2</v>
      </c>
      <c r="B95" s="14"/>
      <c r="C95" s="14"/>
      <c r="D95" s="9" t="str">
        <f>IF(OR(B95="",C95=""),"",ROUNDUP(C95*(1+(全局设置!$B$5-1)*全局设置!$B$6),0))</f>
        <v/>
      </c>
      <c r="E95" s="6" t="str">
        <f>IFERROR(VLOOKUP(B95,敌人目录!$A$6:$AD$54,13,FALSE),"")</f>
        <v/>
      </c>
      <c r="F95" s="6" t="str">
        <f t="shared" si="3"/>
        <v/>
      </c>
      <c r="G95" s="6" t="str">
        <f>IF(F95="","",F95*全局设置!$B$7*全局设置!$F$14)</f>
        <v/>
      </c>
      <c r="H95" s="6" t="str">
        <f>IF(G95="","",G95*全局设置!$B$5)</f>
        <v/>
      </c>
      <c r="I95" s="9" t="str">
        <f>IF(AND(B95="",C95=""),"",IF(B95="","缺少敌人",IF(C95="","缺少数量",IF(OR(C95&lt;1,C95&gt;9999,C95&lt;&gt;INT(C95)),"数量无效",IF(COUNTIF($B$94:$B$111,B95)&gt;1,"重复敌人",IFERROR(IF(VLOOKUP(B95,敌人目录!$A$6:$AD$54,27,FALSE)="可回读","可回读","敌人参数错误"),"敌人不存在"))))))</f>
        <v/>
      </c>
    </row>
    <row r="96" spans="1:9" ht="24" customHeight="1">
      <c r="A96" s="32">
        <v>3</v>
      </c>
      <c r="B96" s="14"/>
      <c r="C96" s="14"/>
      <c r="D96" s="9" t="str">
        <f>IF(OR(B96="",C96=""),"",ROUNDUP(C96*(1+(全局设置!$B$5-1)*全局设置!$B$6),0))</f>
        <v/>
      </c>
      <c r="E96" s="6" t="str">
        <f>IFERROR(VLOOKUP(B96,敌人目录!$A$6:$AD$54,13,FALSE),"")</f>
        <v/>
      </c>
      <c r="F96" s="6" t="str">
        <f t="shared" si="3"/>
        <v/>
      </c>
      <c r="G96" s="6" t="str">
        <f>IF(F96="","",F96*全局设置!$B$7*全局设置!$F$14)</f>
        <v/>
      </c>
      <c r="H96" s="6" t="str">
        <f>IF(G96="","",G96*全局设置!$B$5)</f>
        <v/>
      </c>
      <c r="I96" s="9" t="str">
        <f>IF(AND(B96="",C96=""),"",IF(B96="","缺少敌人",IF(C96="","缺少数量",IF(OR(C96&lt;1,C96&gt;9999,C96&lt;&gt;INT(C96)),"数量无效",IF(COUNTIF($B$94:$B$111,B96)&gt;1,"重复敌人",IFERROR(IF(VLOOKUP(B96,敌人目录!$A$6:$AD$54,27,FALSE)="可回读","可回读","敌人参数错误"),"敌人不存在"))))))</f>
        <v/>
      </c>
    </row>
    <row r="97" spans="1:9" ht="24" customHeight="1">
      <c r="A97" s="32">
        <v>4</v>
      </c>
      <c r="B97" s="14"/>
      <c r="C97" s="14"/>
      <c r="D97" s="9" t="str">
        <f>IF(OR(B97="",C97=""),"",ROUNDUP(C97*(1+(全局设置!$B$5-1)*全局设置!$B$6),0))</f>
        <v/>
      </c>
      <c r="E97" s="6" t="str">
        <f>IFERROR(VLOOKUP(B97,敌人目录!$A$6:$AD$54,13,FALSE),"")</f>
        <v/>
      </c>
      <c r="F97" s="6" t="str">
        <f t="shared" si="3"/>
        <v/>
      </c>
      <c r="G97" s="6" t="str">
        <f>IF(F97="","",F97*全局设置!$B$7*全局设置!$F$14)</f>
        <v/>
      </c>
      <c r="H97" s="6" t="str">
        <f>IF(G97="","",G97*全局设置!$B$5)</f>
        <v/>
      </c>
      <c r="I97" s="9" t="str">
        <f>IF(AND(B97="",C97=""),"",IF(B97="","缺少敌人",IF(C97="","缺少数量",IF(OR(C97&lt;1,C97&gt;9999,C97&lt;&gt;INT(C97)),"数量无效",IF(COUNTIF($B$94:$B$111,B97)&gt;1,"重复敌人",IFERROR(IF(VLOOKUP(B97,敌人目录!$A$6:$AD$54,27,FALSE)="可回读","可回读","敌人参数错误"),"敌人不存在"))))))</f>
        <v/>
      </c>
    </row>
    <row r="98" spans="1:9" ht="24" customHeight="1">
      <c r="A98" s="32">
        <v>5</v>
      </c>
      <c r="B98" s="14"/>
      <c r="C98" s="14"/>
      <c r="D98" s="9" t="str">
        <f>IF(OR(B98="",C98=""),"",ROUNDUP(C98*(1+(全局设置!$B$5-1)*全局设置!$B$6),0))</f>
        <v/>
      </c>
      <c r="E98" s="6" t="str">
        <f>IFERROR(VLOOKUP(B98,敌人目录!$A$6:$AD$54,13,FALSE),"")</f>
        <v/>
      </c>
      <c r="F98" s="6" t="str">
        <f t="shared" si="3"/>
        <v/>
      </c>
      <c r="G98" s="6" t="str">
        <f>IF(F98="","",F98*全局设置!$B$7*全局设置!$F$14)</f>
        <v/>
      </c>
      <c r="H98" s="6" t="str">
        <f>IF(G98="","",G98*全局设置!$B$5)</f>
        <v/>
      </c>
      <c r="I98" s="9" t="str">
        <f>IF(AND(B98="",C98=""),"",IF(B98="","缺少敌人",IF(C98="","缺少数量",IF(OR(C98&lt;1,C98&gt;9999,C98&lt;&gt;INT(C98)),"数量无效",IF(COUNTIF($B$94:$B$111,B98)&gt;1,"重复敌人",IFERROR(IF(VLOOKUP(B98,敌人目录!$A$6:$AD$54,27,FALSE)="可回读","可回读","敌人参数错误"),"敌人不存在"))))))</f>
        <v/>
      </c>
    </row>
    <row r="99" spans="1:9" ht="24" customHeight="1">
      <c r="A99" s="32">
        <v>6</v>
      </c>
      <c r="B99" s="14"/>
      <c r="C99" s="14"/>
      <c r="D99" s="9" t="str">
        <f>IF(OR(B99="",C99=""),"",ROUNDUP(C99*(1+(全局设置!$B$5-1)*全局设置!$B$6),0))</f>
        <v/>
      </c>
      <c r="E99" s="6" t="str">
        <f>IFERROR(VLOOKUP(B99,敌人目录!$A$6:$AD$54,13,FALSE),"")</f>
        <v/>
      </c>
      <c r="F99" s="6" t="str">
        <f t="shared" si="3"/>
        <v/>
      </c>
      <c r="G99" s="6" t="str">
        <f>IF(F99="","",F99*全局设置!$B$7*全局设置!$F$14)</f>
        <v/>
      </c>
      <c r="H99" s="6" t="str">
        <f>IF(G99="","",G99*全局设置!$B$5)</f>
        <v/>
      </c>
      <c r="I99" s="9" t="str">
        <f>IF(AND(B99="",C99=""),"",IF(B99="","缺少敌人",IF(C99="","缺少数量",IF(OR(C99&lt;1,C99&gt;9999,C99&lt;&gt;INT(C99)),"数量无效",IF(COUNTIF($B$94:$B$111,B99)&gt;1,"重复敌人",IFERROR(IF(VLOOKUP(B99,敌人目录!$A$6:$AD$54,27,FALSE)="可回读","可回读","敌人参数错误"),"敌人不存在"))))))</f>
        <v/>
      </c>
    </row>
    <row r="100" spans="1:9" ht="24" customHeight="1">
      <c r="A100" s="32">
        <v>7</v>
      </c>
      <c r="B100" s="14"/>
      <c r="C100" s="14"/>
      <c r="D100" s="9" t="str">
        <f>IF(OR(B100="",C100=""),"",ROUNDUP(C100*(1+(全局设置!$B$5-1)*全局设置!$B$6),0))</f>
        <v/>
      </c>
      <c r="E100" s="6" t="str">
        <f>IFERROR(VLOOKUP(B100,敌人目录!$A$6:$AD$54,13,FALSE),"")</f>
        <v/>
      </c>
      <c r="F100" s="6" t="str">
        <f t="shared" si="3"/>
        <v/>
      </c>
      <c r="G100" s="6" t="str">
        <f>IF(F100="","",F100*全局设置!$B$7*全局设置!$F$14)</f>
        <v/>
      </c>
      <c r="H100" s="6" t="str">
        <f>IF(G100="","",G100*全局设置!$B$5)</f>
        <v/>
      </c>
      <c r="I100" s="9" t="str">
        <f>IF(AND(B100="",C100=""),"",IF(B100="","缺少敌人",IF(C100="","缺少数量",IF(OR(C100&lt;1,C100&gt;9999,C100&lt;&gt;INT(C100)),"数量无效",IF(COUNTIF($B$94:$B$111,B100)&gt;1,"重复敌人",IFERROR(IF(VLOOKUP(B100,敌人目录!$A$6:$AD$54,27,FALSE)="可回读","可回读","敌人参数错误"),"敌人不存在"))))))</f>
        <v/>
      </c>
    </row>
    <row r="101" spans="1:9" ht="24" customHeight="1">
      <c r="A101" s="32">
        <v>8</v>
      </c>
      <c r="B101" s="14"/>
      <c r="C101" s="14"/>
      <c r="D101" s="9" t="str">
        <f>IF(OR(B101="",C101=""),"",ROUNDUP(C101*(1+(全局设置!$B$5-1)*全局设置!$B$6),0))</f>
        <v/>
      </c>
      <c r="E101" s="6" t="str">
        <f>IFERROR(VLOOKUP(B101,敌人目录!$A$6:$AD$54,13,FALSE),"")</f>
        <v/>
      </c>
      <c r="F101" s="6" t="str">
        <f t="shared" si="3"/>
        <v/>
      </c>
      <c r="G101" s="6" t="str">
        <f>IF(F101="","",F101*全局设置!$B$7*全局设置!$F$14)</f>
        <v/>
      </c>
      <c r="H101" s="6" t="str">
        <f>IF(G101="","",G101*全局设置!$B$5)</f>
        <v/>
      </c>
      <c r="I101" s="9" t="str">
        <f>IF(AND(B101="",C101=""),"",IF(B101="","缺少敌人",IF(C101="","缺少数量",IF(OR(C101&lt;1,C101&gt;9999,C101&lt;&gt;INT(C101)),"数量无效",IF(COUNTIF($B$94:$B$111,B101)&gt;1,"重复敌人",IFERROR(IF(VLOOKUP(B101,敌人目录!$A$6:$AD$54,27,FALSE)="可回读","可回读","敌人参数错误"),"敌人不存在"))))))</f>
        <v/>
      </c>
    </row>
    <row r="102" spans="1:9" ht="24" customHeight="1">
      <c r="A102" s="32">
        <v>9</v>
      </c>
      <c r="B102" s="14"/>
      <c r="C102" s="14"/>
      <c r="D102" s="9" t="str">
        <f>IF(OR(B102="",C102=""),"",ROUNDUP(C102*(1+(全局设置!$B$5-1)*全局设置!$B$6),0))</f>
        <v/>
      </c>
      <c r="E102" s="6" t="str">
        <f>IFERROR(VLOOKUP(B102,敌人目录!$A$6:$AD$54,13,FALSE),"")</f>
        <v/>
      </c>
      <c r="F102" s="6" t="str">
        <f t="shared" si="3"/>
        <v/>
      </c>
      <c r="G102" s="6" t="str">
        <f>IF(F102="","",F102*全局设置!$B$7*全局设置!$F$14)</f>
        <v/>
      </c>
      <c r="H102" s="6" t="str">
        <f>IF(G102="","",G102*全局设置!$B$5)</f>
        <v/>
      </c>
      <c r="I102" s="9" t="str">
        <f>IF(AND(B102="",C102=""),"",IF(B102="","缺少敌人",IF(C102="","缺少数量",IF(OR(C102&lt;1,C102&gt;9999,C102&lt;&gt;INT(C102)),"数量无效",IF(COUNTIF($B$94:$B$111,B102)&gt;1,"重复敌人",IFERROR(IF(VLOOKUP(B102,敌人目录!$A$6:$AD$54,27,FALSE)="可回读","可回读","敌人参数错误"),"敌人不存在"))))))</f>
        <v/>
      </c>
    </row>
    <row r="103" spans="1:9" ht="24" customHeight="1">
      <c r="A103" s="32">
        <v>10</v>
      </c>
      <c r="B103" s="14"/>
      <c r="C103" s="14"/>
      <c r="D103" s="9" t="str">
        <f>IF(OR(B103="",C103=""),"",ROUNDUP(C103*(1+(全局设置!$B$5-1)*全局设置!$B$6),0))</f>
        <v/>
      </c>
      <c r="E103" s="6" t="str">
        <f>IFERROR(VLOOKUP(B103,敌人目录!$A$6:$AD$54,13,FALSE),"")</f>
        <v/>
      </c>
      <c r="F103" s="6" t="str">
        <f t="shared" si="3"/>
        <v/>
      </c>
      <c r="G103" s="6" t="str">
        <f>IF(F103="","",F103*全局设置!$B$7*全局设置!$F$14)</f>
        <v/>
      </c>
      <c r="H103" s="6" t="str">
        <f>IF(G103="","",G103*全局设置!$B$5)</f>
        <v/>
      </c>
      <c r="I103" s="9" t="str">
        <f>IF(AND(B103="",C103=""),"",IF(B103="","缺少敌人",IF(C103="","缺少数量",IF(OR(C103&lt;1,C103&gt;9999,C103&lt;&gt;INT(C103)),"数量无效",IF(COUNTIF($B$94:$B$111,B103)&gt;1,"重复敌人",IFERROR(IF(VLOOKUP(B103,敌人目录!$A$6:$AD$54,27,FALSE)="可回读","可回读","敌人参数错误"),"敌人不存在"))))))</f>
        <v/>
      </c>
    </row>
    <row r="104" spans="1:9" ht="24" customHeight="1">
      <c r="A104" s="32">
        <v>11</v>
      </c>
      <c r="B104" s="14"/>
      <c r="C104" s="14"/>
      <c r="D104" s="9" t="str">
        <f>IF(OR(B104="",C104=""),"",ROUNDUP(C104*(1+(全局设置!$B$5-1)*全局设置!$B$6),0))</f>
        <v/>
      </c>
      <c r="E104" s="6" t="str">
        <f>IFERROR(VLOOKUP(B104,敌人目录!$A$6:$AD$54,13,FALSE),"")</f>
        <v/>
      </c>
      <c r="F104" s="6" t="str">
        <f t="shared" si="3"/>
        <v/>
      </c>
      <c r="G104" s="6" t="str">
        <f>IF(F104="","",F104*全局设置!$B$7*全局设置!$F$14)</f>
        <v/>
      </c>
      <c r="H104" s="6" t="str">
        <f>IF(G104="","",G104*全局设置!$B$5)</f>
        <v/>
      </c>
      <c r="I104" s="9" t="str">
        <f>IF(AND(B104="",C104=""),"",IF(B104="","缺少敌人",IF(C104="","缺少数量",IF(OR(C104&lt;1,C104&gt;9999,C104&lt;&gt;INT(C104)),"数量无效",IF(COUNTIF($B$94:$B$111,B104)&gt;1,"重复敌人",IFERROR(IF(VLOOKUP(B104,敌人目录!$A$6:$AD$54,27,FALSE)="可回读","可回读","敌人参数错误"),"敌人不存在"))))))</f>
        <v/>
      </c>
    </row>
    <row r="105" spans="1:9" ht="24" customHeight="1">
      <c r="A105" s="32">
        <v>12</v>
      </c>
      <c r="B105" s="14"/>
      <c r="C105" s="14"/>
      <c r="D105" s="9" t="str">
        <f>IF(OR(B105="",C105=""),"",ROUNDUP(C105*(1+(全局设置!$B$5-1)*全局设置!$B$6),0))</f>
        <v/>
      </c>
      <c r="E105" s="6" t="str">
        <f>IFERROR(VLOOKUP(B105,敌人目录!$A$6:$AD$54,13,FALSE),"")</f>
        <v/>
      </c>
      <c r="F105" s="6" t="str">
        <f t="shared" si="3"/>
        <v/>
      </c>
      <c r="G105" s="6" t="str">
        <f>IF(F105="","",F105*全局设置!$B$7*全局设置!$F$14)</f>
        <v/>
      </c>
      <c r="H105" s="6" t="str">
        <f>IF(G105="","",G105*全局设置!$B$5)</f>
        <v/>
      </c>
      <c r="I105" s="9" t="str">
        <f>IF(AND(B105="",C105=""),"",IF(B105="","缺少敌人",IF(C105="","缺少数量",IF(OR(C105&lt;1,C105&gt;9999,C105&lt;&gt;INT(C105)),"数量无效",IF(COUNTIF($B$94:$B$111,B105)&gt;1,"重复敌人",IFERROR(IF(VLOOKUP(B105,敌人目录!$A$6:$AD$54,27,FALSE)="可回读","可回读","敌人参数错误"),"敌人不存在"))))))</f>
        <v/>
      </c>
    </row>
    <row r="106" spans="1:9" ht="24" customHeight="1">
      <c r="A106" s="32">
        <v>13</v>
      </c>
      <c r="B106" s="14"/>
      <c r="C106" s="14"/>
      <c r="D106" s="9" t="str">
        <f>IF(OR(B106="",C106=""),"",ROUNDUP(C106*(1+(全局设置!$B$5-1)*全局设置!$B$6),0))</f>
        <v/>
      </c>
      <c r="E106" s="6" t="str">
        <f>IFERROR(VLOOKUP(B106,敌人目录!$A$6:$AD$54,13,FALSE),"")</f>
        <v/>
      </c>
      <c r="F106" s="6" t="str">
        <f t="shared" si="3"/>
        <v/>
      </c>
      <c r="G106" s="6" t="str">
        <f>IF(F106="","",F106*全局设置!$B$7*全局设置!$F$14)</f>
        <v/>
      </c>
      <c r="H106" s="6" t="str">
        <f>IF(G106="","",G106*全局设置!$B$5)</f>
        <v/>
      </c>
      <c r="I106" s="9" t="str">
        <f>IF(AND(B106="",C106=""),"",IF(B106="","缺少敌人",IF(C106="","缺少数量",IF(OR(C106&lt;1,C106&gt;9999,C106&lt;&gt;INT(C106)),"数量无效",IF(COUNTIF($B$94:$B$111,B106)&gt;1,"重复敌人",IFERROR(IF(VLOOKUP(B106,敌人目录!$A$6:$AD$54,27,FALSE)="可回读","可回读","敌人参数错误"),"敌人不存在"))))))</f>
        <v/>
      </c>
    </row>
    <row r="107" spans="1:9" ht="24" customHeight="1">
      <c r="A107" s="32">
        <v>14</v>
      </c>
      <c r="B107" s="14"/>
      <c r="C107" s="14"/>
      <c r="D107" s="9" t="str">
        <f>IF(OR(B107="",C107=""),"",ROUNDUP(C107*(1+(全局设置!$B$5-1)*全局设置!$B$6),0))</f>
        <v/>
      </c>
      <c r="E107" s="6" t="str">
        <f>IFERROR(VLOOKUP(B107,敌人目录!$A$6:$AD$54,13,FALSE),"")</f>
        <v/>
      </c>
      <c r="F107" s="6" t="str">
        <f t="shared" si="3"/>
        <v/>
      </c>
      <c r="G107" s="6" t="str">
        <f>IF(F107="","",F107*全局设置!$B$7*全局设置!$F$14)</f>
        <v/>
      </c>
      <c r="H107" s="6" t="str">
        <f>IF(G107="","",G107*全局设置!$B$5)</f>
        <v/>
      </c>
      <c r="I107" s="9" t="str">
        <f>IF(AND(B107="",C107=""),"",IF(B107="","缺少敌人",IF(C107="","缺少数量",IF(OR(C107&lt;1,C107&gt;9999,C107&lt;&gt;INT(C107)),"数量无效",IF(COUNTIF($B$94:$B$111,B107)&gt;1,"重复敌人",IFERROR(IF(VLOOKUP(B107,敌人目录!$A$6:$AD$54,27,FALSE)="可回读","可回读","敌人参数错误"),"敌人不存在"))))))</f>
        <v/>
      </c>
    </row>
    <row r="108" spans="1:9" ht="24" customHeight="1">
      <c r="A108" s="32">
        <v>15</v>
      </c>
      <c r="B108" s="14"/>
      <c r="C108" s="14"/>
      <c r="D108" s="9" t="str">
        <f>IF(OR(B108="",C108=""),"",ROUNDUP(C108*(1+(全局设置!$B$5-1)*全局设置!$B$6),0))</f>
        <v/>
      </c>
      <c r="E108" s="6" t="str">
        <f>IFERROR(VLOOKUP(B108,敌人目录!$A$6:$AD$54,13,FALSE),"")</f>
        <v/>
      </c>
      <c r="F108" s="6" t="str">
        <f t="shared" si="3"/>
        <v/>
      </c>
      <c r="G108" s="6" t="str">
        <f>IF(F108="","",F108*全局设置!$B$7*全局设置!$F$14)</f>
        <v/>
      </c>
      <c r="H108" s="6" t="str">
        <f>IF(G108="","",G108*全局设置!$B$5)</f>
        <v/>
      </c>
      <c r="I108" s="9" t="str">
        <f>IF(AND(B108="",C108=""),"",IF(B108="","缺少敌人",IF(C108="","缺少数量",IF(OR(C108&lt;1,C108&gt;9999,C108&lt;&gt;INT(C108)),"数量无效",IF(COUNTIF($B$94:$B$111,B108)&gt;1,"重复敌人",IFERROR(IF(VLOOKUP(B108,敌人目录!$A$6:$AD$54,27,FALSE)="可回读","可回读","敌人参数错误"),"敌人不存在"))))))</f>
        <v/>
      </c>
    </row>
    <row r="109" spans="1:9" ht="24" customHeight="1">
      <c r="A109" s="32">
        <v>16</v>
      </c>
      <c r="B109" s="14"/>
      <c r="C109" s="14"/>
      <c r="D109" s="9" t="str">
        <f>IF(OR(B109="",C109=""),"",ROUNDUP(C109*(1+(全局设置!$B$5-1)*全局设置!$B$6),0))</f>
        <v/>
      </c>
      <c r="E109" s="6" t="str">
        <f>IFERROR(VLOOKUP(B109,敌人目录!$A$6:$AD$54,13,FALSE),"")</f>
        <v/>
      </c>
      <c r="F109" s="6" t="str">
        <f t="shared" si="3"/>
        <v/>
      </c>
      <c r="G109" s="6" t="str">
        <f>IF(F109="","",F109*全局设置!$B$7*全局设置!$F$14)</f>
        <v/>
      </c>
      <c r="H109" s="6" t="str">
        <f>IF(G109="","",G109*全局设置!$B$5)</f>
        <v/>
      </c>
      <c r="I109" s="9" t="str">
        <f>IF(AND(B109="",C109=""),"",IF(B109="","缺少敌人",IF(C109="","缺少数量",IF(OR(C109&lt;1,C109&gt;9999,C109&lt;&gt;INT(C109)),"数量无效",IF(COUNTIF($B$94:$B$111,B109)&gt;1,"重复敌人",IFERROR(IF(VLOOKUP(B109,敌人目录!$A$6:$AD$54,27,FALSE)="可回读","可回读","敌人参数错误"),"敌人不存在"))))))</f>
        <v/>
      </c>
    </row>
    <row r="110" spans="1:9" ht="24" customHeight="1">
      <c r="A110" s="32">
        <v>17</v>
      </c>
      <c r="B110" s="14"/>
      <c r="C110" s="14"/>
      <c r="D110" s="9" t="str">
        <f>IF(OR(B110="",C110=""),"",ROUNDUP(C110*(1+(全局设置!$B$5-1)*全局设置!$B$6),0))</f>
        <v/>
      </c>
      <c r="E110" s="6" t="str">
        <f>IFERROR(VLOOKUP(B110,敌人目录!$A$6:$AD$54,13,FALSE),"")</f>
        <v/>
      </c>
      <c r="F110" s="6" t="str">
        <f t="shared" si="3"/>
        <v/>
      </c>
      <c r="G110" s="6" t="str">
        <f>IF(F110="","",F110*全局设置!$B$7*全局设置!$F$14)</f>
        <v/>
      </c>
      <c r="H110" s="6" t="str">
        <f>IF(G110="","",G110*全局设置!$B$5)</f>
        <v/>
      </c>
      <c r="I110" s="9" t="str">
        <f>IF(AND(B110="",C110=""),"",IF(B110="","缺少敌人",IF(C110="","缺少数量",IF(OR(C110&lt;1,C110&gt;9999,C110&lt;&gt;INT(C110)),"数量无效",IF(COUNTIF($B$94:$B$111,B110)&gt;1,"重复敌人",IFERROR(IF(VLOOKUP(B110,敌人目录!$A$6:$AD$54,27,FALSE)="可回读","可回读","敌人参数错误"),"敌人不存在"))))))</f>
        <v/>
      </c>
    </row>
    <row r="111" spans="1:9" ht="24" customHeight="1">
      <c r="A111" s="32">
        <v>18</v>
      </c>
      <c r="B111" s="14"/>
      <c r="C111" s="14"/>
      <c r="D111" s="9" t="str">
        <f>IF(OR(B111="",C111=""),"",ROUNDUP(C111*(1+(全局设置!$B$5-1)*全局设置!$B$6),0))</f>
        <v/>
      </c>
      <c r="E111" s="6" t="str">
        <f>IFERROR(VLOOKUP(B111,敌人目录!$A$6:$AD$54,13,FALSE),"")</f>
        <v/>
      </c>
      <c r="F111" s="6" t="str">
        <f t="shared" si="3"/>
        <v/>
      </c>
      <c r="G111" s="6" t="str">
        <f>IF(F111="","",F111*全局设置!$B$7*全局设置!$F$14)</f>
        <v/>
      </c>
      <c r="H111" s="6" t="str">
        <f>IF(G111="","",G111*全局设置!$B$5)</f>
        <v/>
      </c>
      <c r="I111" s="9" t="str">
        <f>IF(AND(B111="",C111=""),"",IF(B111="","缺少敌人",IF(C111="","缺少数量",IF(OR(C111&lt;1,C111&gt;9999,C111&lt;&gt;INT(C111)),"数量无效",IF(COUNTIF($B$94:$B$111,B111)&gt;1,"重复敌人",IFERROR(IF(VLOOKUP(B111,敌人目录!$A$6:$AD$54,27,FALSE)="可回读","可回读","敌人参数错误"),"敌人不存在"))))))</f>
        <v/>
      </c>
    </row>
    <row r="112" spans="1:9" ht="24" customHeight="1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 ht="32.1" customHeight="1">
      <c r="A113" s="17" t="s">
        <v>134</v>
      </c>
      <c r="B113" s="9">
        <f>SUM(C94:C111)</f>
        <v>0</v>
      </c>
      <c r="C113" s="17" t="s">
        <v>135</v>
      </c>
      <c r="D113" s="9">
        <f>SUM(D94:D111)</f>
        <v>0</v>
      </c>
      <c r="E113" s="17" t="s">
        <v>59</v>
      </c>
      <c r="F113" s="9">
        <f>SUM(F94:F111)</f>
        <v>0</v>
      </c>
      <c r="G113" s="17" t="s">
        <v>48</v>
      </c>
      <c r="H113" s="9">
        <f>SUM(G94:G111)</f>
        <v>0</v>
      </c>
      <c r="I113" s="12"/>
    </row>
    <row r="114" spans="1:9" ht="32.1" customHeight="1">
      <c r="A114" s="17" t="s">
        <v>49</v>
      </c>
      <c r="B114" s="9">
        <f>SUM(H94:H111)</f>
        <v>0</v>
      </c>
      <c r="C114" s="46" t="s">
        <v>174</v>
      </c>
      <c r="D114" s="46" t="s">
        <v>174</v>
      </c>
      <c r="E114" s="46" t="s">
        <v>174</v>
      </c>
      <c r="F114" s="46" t="s">
        <v>174</v>
      </c>
      <c r="G114" s="46" t="s">
        <v>174</v>
      </c>
      <c r="H114" s="46" t="s">
        <v>174</v>
      </c>
      <c r="I114" s="46" t="s">
        <v>174</v>
      </c>
    </row>
    <row r="115" spans="1:9" ht="24" customHeight="1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9" ht="24" customHeight="1">
      <c r="A116" s="12"/>
      <c r="B116" s="12"/>
      <c r="C116" s="12"/>
      <c r="D116" s="12"/>
      <c r="E116" s="12"/>
      <c r="F116" s="12"/>
      <c r="G116" s="12"/>
      <c r="H116" s="12"/>
      <c r="I116" s="12"/>
    </row>
    <row r="117" spans="1:9" ht="24" customHeight="1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 ht="24" customHeight="1">
      <c r="A118" s="12"/>
      <c r="B118" s="12"/>
      <c r="C118" s="12"/>
      <c r="D118" s="12"/>
      <c r="E118" s="12"/>
      <c r="F118" s="12"/>
      <c r="G118" s="12"/>
      <c r="H118" s="12"/>
      <c r="I118" s="12"/>
    </row>
  </sheetData>
  <mergeCells count="16">
    <mergeCell ref="C114:I114"/>
    <mergeCell ref="A63:I63"/>
    <mergeCell ref="C85:I85"/>
    <mergeCell ref="A89:I89"/>
    <mergeCell ref="B90:C90"/>
    <mergeCell ref="A92:I92"/>
    <mergeCell ref="B32:C32"/>
    <mergeCell ref="A34:I34"/>
    <mergeCell ref="C56:I56"/>
    <mergeCell ref="A60:I60"/>
    <mergeCell ref="B61:C61"/>
    <mergeCell ref="A2:I2"/>
    <mergeCell ref="B3:C3"/>
    <mergeCell ref="A5:I5"/>
    <mergeCell ref="C27:I27"/>
    <mergeCell ref="A31:I31"/>
  </mergeCells>
  <phoneticPr fontId="15" type="noConversion"/>
  <conditionalFormatting sqref="I4">
    <cfRule type="containsText" dxfId="27" priority="7" operator="containsText" text="可回读"/>
    <cfRule type="containsText" dxfId="26" priority="8" operator="containsText" text="待设计"/>
    <cfRule type="containsText" dxfId="25" priority="9" operator="containsText" text="需修正"/>
  </conditionalFormatting>
  <conditionalFormatting sqref="I7:I24">
    <cfRule type="containsText" dxfId="24" priority="1" operator="containsText" text="可回读"/>
    <cfRule type="containsText" dxfId="23" priority="2" operator="containsText" text="缺少"/>
  </conditionalFormatting>
  <conditionalFormatting sqref="I33">
    <cfRule type="containsText" dxfId="22" priority="16" operator="containsText" text="可回读"/>
    <cfRule type="containsText" dxfId="21" priority="17" operator="containsText" text="待设计"/>
    <cfRule type="containsText" dxfId="20" priority="18" operator="containsText" text="需修正"/>
  </conditionalFormatting>
  <conditionalFormatting sqref="I36:I53">
    <cfRule type="containsText" dxfId="19" priority="10" operator="containsText" text="可回读"/>
    <cfRule type="containsText" dxfId="18" priority="11" operator="containsText" text="缺少"/>
  </conditionalFormatting>
  <conditionalFormatting sqref="I62">
    <cfRule type="containsText" dxfId="17" priority="26" operator="containsText" text="待设计"/>
    <cfRule type="containsText" dxfId="16" priority="25" operator="containsText" text="可回读"/>
    <cfRule type="containsText" dxfId="15" priority="27" operator="containsText" text="需修正"/>
  </conditionalFormatting>
  <conditionalFormatting sqref="I65:I82">
    <cfRule type="containsText" dxfId="14" priority="20" operator="containsText" text="缺少"/>
    <cfRule type="containsText" dxfId="13" priority="19" operator="containsText" text="可回读"/>
  </conditionalFormatting>
  <conditionalFormatting sqref="I91">
    <cfRule type="containsText" dxfId="12" priority="34" operator="containsText" text="可回读"/>
    <cfRule type="containsText" dxfId="11" priority="35" operator="containsText" text="待设计"/>
    <cfRule type="containsText" dxfId="10" priority="36" operator="containsText" text="需修正"/>
  </conditionalFormatting>
  <conditionalFormatting sqref="I94:I111">
    <cfRule type="containsText" dxfId="9" priority="28" operator="containsText" text="可回读"/>
    <cfRule type="containsText" dxfId="8" priority="29" operator="containsText" text="缺少"/>
  </conditionalFormatting>
  <dataValidations count="10">
    <dataValidation type="decimal" sqref="E3 E90 E61 E32" xr:uid="{00000000-0002-0000-0600-000000000000}">
      <formula1>0.025</formula1>
      <formula2>60</formula2>
    </dataValidation>
    <dataValidation type="whole" sqref="G3 G90 G61 G32" xr:uid="{00000000-0002-0000-0600-000001000000}">
      <formula1>1</formula1>
      <formula2>4</formula2>
    </dataValidation>
    <dataValidation type="whole" sqref="I32 I61 I90 I3" xr:uid="{00000000-0002-0000-0600-000002000000}">
      <formula1>1</formula1>
      <formula2>999</formula2>
    </dataValidation>
    <dataValidation type="list" sqref="B4 B91 B62 B33" xr:uid="{00000000-0002-0000-0600-000003000000}">
      <formula1>"点1·开启,点1·关闭"</formula1>
    </dataValidation>
    <dataValidation type="list" sqref="C4 C91 C62 C33" xr:uid="{00000000-0002-0000-0600-000004000000}">
      <formula1>"点2·开启,点2·关闭"</formula1>
    </dataValidation>
    <dataValidation type="list" sqref="D4 D91 D62 D33" xr:uid="{00000000-0002-0000-0600-000005000000}">
      <formula1>"点3·开启,点3·关闭"</formula1>
    </dataValidation>
    <dataValidation type="list" sqref="E4 E91 E62 E33" xr:uid="{00000000-0002-0000-0600-000006000000}">
      <formula1>"点4·开启,点4·关闭"</formula1>
    </dataValidation>
    <dataValidation type="list" sqref="F4 F91 F62 F33" xr:uid="{00000000-0002-0000-0600-000007000000}">
      <formula1>"点5·开启,点5·关闭"</formula1>
    </dataValidation>
    <dataValidation type="list" sqref="G4 G91 G62 G33" xr:uid="{00000000-0002-0000-0600-000008000000}">
      <formula1>"点6·开启,点6·关闭"</formula1>
    </dataValidation>
    <dataValidation type="whole" sqref="C7:C24 C94:C111 C65:C82 C36:C53" xr:uid="{00000000-0002-0000-0600-00000A000000}">
      <formula1>1</formula1>
      <formula2>9999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9000000}">
          <x14:formula1>
            <xm:f>'系统数据（勿改）'!$A$4:$A$52</xm:f>
          </x14:formula1>
          <xm:sqref>B7:B24 B94:B111 B65:B82 B36:B53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54"/>
  <sheetViews>
    <sheetView showGridLines="0" workbookViewId="0">
      <pane ySplit="5" topLeftCell="A6" activePane="bottomLeft" state="frozen"/>
      <selection pane="bottomLeft" activeCell="S38" sqref="S38"/>
    </sheetView>
  </sheetViews>
  <sheetFormatPr defaultRowHeight="14.25"/>
  <cols>
    <col min="1" max="1" width="26" customWidth="1"/>
    <col min="2" max="2" width="34" customWidth="1"/>
    <col min="3" max="3" width="25" customWidth="1"/>
    <col min="4" max="4" width="15" customWidth="1"/>
    <col min="5" max="5" width="10" customWidth="1"/>
    <col min="6" max="6" width="14" customWidth="1"/>
    <col min="7" max="8" width="11" customWidth="1"/>
    <col min="9" max="10" width="12" customWidth="1"/>
    <col min="11" max="11" width="11" customWidth="1"/>
    <col min="12" max="13" width="13" customWidth="1"/>
    <col min="14" max="14" width="16" customWidth="1"/>
    <col min="15" max="15" width="12" customWidth="1"/>
    <col min="16" max="16" width="15" customWidth="1"/>
    <col min="17" max="17" width="12" customWidth="1"/>
    <col min="18" max="18" width="14" customWidth="1"/>
    <col min="19" max="19" width="15" customWidth="1"/>
    <col min="20" max="21" width="12" customWidth="1"/>
    <col min="22" max="23" width="13" customWidth="1"/>
    <col min="24" max="24" width="15" customWidth="1"/>
    <col min="25" max="26" width="13" customWidth="1"/>
    <col min="27" max="27" width="15" customWidth="1"/>
    <col min="28" max="28" width="30" customWidth="1"/>
    <col min="29" max="30" width="58" customWidth="1"/>
  </cols>
  <sheetData>
    <row r="1" spans="1:30" ht="38.1" customHeight="1">
      <c r="A1" s="36" t="s">
        <v>181</v>
      </c>
      <c r="B1" s="36" t="s">
        <v>181</v>
      </c>
      <c r="C1" s="36" t="s">
        <v>181</v>
      </c>
      <c r="D1" s="36" t="s">
        <v>181</v>
      </c>
      <c r="E1" s="36" t="s">
        <v>181</v>
      </c>
      <c r="F1" s="36" t="s">
        <v>181</v>
      </c>
      <c r="G1" s="36" t="s">
        <v>181</v>
      </c>
      <c r="H1" s="36" t="s">
        <v>181</v>
      </c>
      <c r="I1" s="36" t="s">
        <v>181</v>
      </c>
      <c r="J1" s="36" t="s">
        <v>181</v>
      </c>
      <c r="K1" s="36" t="s">
        <v>181</v>
      </c>
      <c r="L1" s="36" t="s">
        <v>181</v>
      </c>
      <c r="M1" s="36" t="s">
        <v>181</v>
      </c>
      <c r="N1" s="36" t="s">
        <v>181</v>
      </c>
      <c r="O1" s="36" t="s">
        <v>181</v>
      </c>
      <c r="P1" s="36" t="s">
        <v>181</v>
      </c>
      <c r="Q1" s="36" t="s">
        <v>181</v>
      </c>
      <c r="R1" s="36" t="s">
        <v>181</v>
      </c>
      <c r="S1" s="36" t="s">
        <v>181</v>
      </c>
      <c r="T1" s="36" t="s">
        <v>181</v>
      </c>
      <c r="U1" s="36" t="s">
        <v>181</v>
      </c>
      <c r="V1" s="36" t="s">
        <v>181</v>
      </c>
      <c r="W1" s="36" t="s">
        <v>181</v>
      </c>
      <c r="X1" s="36" t="s">
        <v>181</v>
      </c>
      <c r="Y1" s="36" t="s">
        <v>181</v>
      </c>
      <c r="Z1" s="36" t="s">
        <v>181</v>
      </c>
      <c r="AA1" s="36" t="s">
        <v>181</v>
      </c>
      <c r="AB1" s="36" t="s">
        <v>181</v>
      </c>
      <c r="AC1" s="36" t="s">
        <v>181</v>
      </c>
      <c r="AD1" s="36" t="s">
        <v>181</v>
      </c>
    </row>
    <row r="2" spans="1:30" ht="42" customHeight="1">
      <c r="A2" s="43" t="s">
        <v>182</v>
      </c>
      <c r="B2" s="43" t="s">
        <v>182</v>
      </c>
      <c r="C2" s="43" t="s">
        <v>182</v>
      </c>
      <c r="D2" s="43" t="s">
        <v>182</v>
      </c>
      <c r="E2" s="43" t="s">
        <v>182</v>
      </c>
      <c r="F2" s="43" t="s">
        <v>182</v>
      </c>
      <c r="G2" s="43" t="s">
        <v>182</v>
      </c>
      <c r="H2" s="43" t="s">
        <v>182</v>
      </c>
      <c r="I2" s="43" t="s">
        <v>182</v>
      </c>
      <c r="J2" s="43" t="s">
        <v>182</v>
      </c>
      <c r="K2" s="43" t="s">
        <v>182</v>
      </c>
      <c r="L2" s="43" t="s">
        <v>182</v>
      </c>
      <c r="M2" s="43" t="s">
        <v>182</v>
      </c>
      <c r="N2" s="43" t="s">
        <v>182</v>
      </c>
      <c r="O2" s="43" t="s">
        <v>182</v>
      </c>
      <c r="P2" s="43" t="s">
        <v>182</v>
      </c>
      <c r="Q2" s="43" t="s">
        <v>182</v>
      </c>
      <c r="R2" s="43" t="s">
        <v>182</v>
      </c>
      <c r="S2" s="43" t="s">
        <v>182</v>
      </c>
      <c r="T2" s="43" t="s">
        <v>182</v>
      </c>
      <c r="U2" s="43" t="s">
        <v>182</v>
      </c>
      <c r="V2" s="43" t="s">
        <v>182</v>
      </c>
      <c r="W2" s="43" t="s">
        <v>182</v>
      </c>
      <c r="X2" s="43" t="s">
        <v>182</v>
      </c>
      <c r="Y2" s="43" t="s">
        <v>182</v>
      </c>
      <c r="Z2" s="43" t="s">
        <v>182</v>
      </c>
      <c r="AA2" s="43" t="s">
        <v>182</v>
      </c>
      <c r="AB2" s="43" t="s">
        <v>182</v>
      </c>
      <c r="AC2" s="43" t="s">
        <v>182</v>
      </c>
      <c r="AD2" s="43" t="s">
        <v>182</v>
      </c>
    </row>
    <row r="3" spans="1:3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27.95" customHeight="1">
      <c r="A4" s="49" t="s">
        <v>183</v>
      </c>
      <c r="B4" s="49" t="s">
        <v>183</v>
      </c>
      <c r="C4" s="49" t="s">
        <v>183</v>
      </c>
      <c r="D4" s="49" t="s">
        <v>183</v>
      </c>
      <c r="E4" s="49" t="s">
        <v>183</v>
      </c>
      <c r="F4" s="49" t="s">
        <v>183</v>
      </c>
      <c r="G4" s="50" t="s">
        <v>184</v>
      </c>
      <c r="H4" s="50" t="s">
        <v>184</v>
      </c>
      <c r="I4" s="50" t="s">
        <v>184</v>
      </c>
      <c r="J4" s="50" t="s">
        <v>184</v>
      </c>
      <c r="K4" s="50" t="s">
        <v>184</v>
      </c>
      <c r="L4" s="50" t="s">
        <v>184</v>
      </c>
      <c r="M4" s="19" t="s">
        <v>185</v>
      </c>
      <c r="N4" s="1" t="s">
        <v>186</v>
      </c>
      <c r="O4" s="51" t="s">
        <v>187</v>
      </c>
      <c r="P4" s="51" t="s">
        <v>187</v>
      </c>
      <c r="Q4" s="51" t="s">
        <v>187</v>
      </c>
      <c r="R4" s="51" t="s">
        <v>187</v>
      </c>
      <c r="S4" s="51" t="s">
        <v>187</v>
      </c>
      <c r="T4" s="51" t="s">
        <v>187</v>
      </c>
      <c r="U4" s="51" t="s">
        <v>187</v>
      </c>
      <c r="V4" s="52" t="s">
        <v>188</v>
      </c>
      <c r="W4" s="52" t="s">
        <v>188</v>
      </c>
      <c r="X4" s="52" t="s">
        <v>188</v>
      </c>
      <c r="Y4" s="52" t="s">
        <v>188</v>
      </c>
      <c r="Z4" s="52" t="s">
        <v>188</v>
      </c>
      <c r="AA4" s="53" t="s">
        <v>189</v>
      </c>
      <c r="AB4" s="53" t="s">
        <v>189</v>
      </c>
      <c r="AC4" s="53" t="s">
        <v>189</v>
      </c>
      <c r="AD4" s="53" t="s">
        <v>189</v>
      </c>
    </row>
    <row r="5" spans="1:30" ht="39.950000000000003" customHeight="1">
      <c r="A5" s="20" t="s">
        <v>190</v>
      </c>
      <c r="B5" s="20" t="s">
        <v>191</v>
      </c>
      <c r="C5" s="20" t="s">
        <v>54</v>
      </c>
      <c r="D5" s="20" t="s">
        <v>192</v>
      </c>
      <c r="E5" s="20" t="s">
        <v>193</v>
      </c>
      <c r="F5" s="20" t="s">
        <v>194</v>
      </c>
      <c r="G5" s="21" t="s">
        <v>195</v>
      </c>
      <c r="H5" s="21" t="s">
        <v>196</v>
      </c>
      <c r="I5" s="21" t="s">
        <v>197</v>
      </c>
      <c r="J5" s="21" t="s">
        <v>198</v>
      </c>
      <c r="K5" s="21" t="s">
        <v>199</v>
      </c>
      <c r="L5" s="21" t="s">
        <v>200</v>
      </c>
      <c r="M5" s="22" t="s">
        <v>127</v>
      </c>
      <c r="N5" s="13" t="s">
        <v>201</v>
      </c>
      <c r="O5" s="23" t="s">
        <v>202</v>
      </c>
      <c r="P5" s="23" t="s">
        <v>203</v>
      </c>
      <c r="Q5" s="23" t="s">
        <v>204</v>
      </c>
      <c r="R5" s="23" t="s">
        <v>205</v>
      </c>
      <c r="S5" s="23" t="s">
        <v>206</v>
      </c>
      <c r="T5" s="23" t="s">
        <v>207</v>
      </c>
      <c r="U5" s="23" t="s">
        <v>208</v>
      </c>
      <c r="V5" s="24" t="s">
        <v>209</v>
      </c>
      <c r="W5" s="24" t="s">
        <v>210</v>
      </c>
      <c r="X5" s="24" t="s">
        <v>211</v>
      </c>
      <c r="Y5" s="24" t="s">
        <v>212</v>
      </c>
      <c r="Z5" s="24" t="s">
        <v>213</v>
      </c>
      <c r="AA5" s="25" t="s">
        <v>214</v>
      </c>
      <c r="AB5" s="25" t="s">
        <v>215</v>
      </c>
      <c r="AC5" s="25" t="s">
        <v>216</v>
      </c>
      <c r="AD5" s="25" t="s">
        <v>217</v>
      </c>
    </row>
    <row r="6" spans="1:30" ht="24" customHeight="1">
      <c r="A6" s="9" t="s">
        <v>132</v>
      </c>
      <c r="B6" s="9" t="s">
        <v>218</v>
      </c>
      <c r="C6" s="9" t="s">
        <v>132</v>
      </c>
      <c r="D6" s="9" t="s">
        <v>219</v>
      </c>
      <c r="E6" s="9" t="s">
        <v>220</v>
      </c>
      <c r="F6" s="9" t="s">
        <v>221</v>
      </c>
      <c r="G6" s="26">
        <v>40</v>
      </c>
      <c r="H6" s="26">
        <v>10</v>
      </c>
      <c r="I6" s="26">
        <v>0</v>
      </c>
      <c r="J6" s="26">
        <v>0</v>
      </c>
      <c r="K6" s="28">
        <v>20</v>
      </c>
      <c r="L6" s="26">
        <v>1</v>
      </c>
      <c r="M6" s="27">
        <v>1</v>
      </c>
      <c r="N6" s="29">
        <f t="shared" ref="N6:N37" si="0">SUM(O6:Z6)</f>
        <v>5.0000000000000017E-2</v>
      </c>
      <c r="O6" s="30">
        <v>0.02</v>
      </c>
      <c r="P6" s="30">
        <v>2E-3</v>
      </c>
      <c r="Q6" s="30">
        <v>0.01</v>
      </c>
      <c r="R6" s="30">
        <v>0</v>
      </c>
      <c r="S6" s="30">
        <v>0</v>
      </c>
      <c r="T6" s="30">
        <v>0</v>
      </c>
      <c r="U6" s="30">
        <v>0</v>
      </c>
      <c r="V6" s="31">
        <v>4.0000000000000001E-3</v>
      </c>
      <c r="W6" s="31">
        <v>4.0000000000000001E-3</v>
      </c>
      <c r="X6" s="31">
        <v>4.0000000000000001E-3</v>
      </c>
      <c r="Y6" s="31">
        <v>4.0000000000000001E-3</v>
      </c>
      <c r="Z6" s="31">
        <v>2E-3</v>
      </c>
      <c r="AA6" s="9" t="str">
        <f t="shared" ref="AA6:AA37" si="1">IF(OR(G6&lt;1,G6&lt;&gt;INT(G6)),"生命无效",IF(OR(H6&lt;0,H6&lt;&gt;INT(H6)),"攻击无效",IF(OR(I6&lt;0,I6&lt;&gt;INT(I6)),"物防无效",IF(OR(J6&lt;0,J6&gt;100,J6&lt;&gt;INT(J6)),"法防无效",IF(OR(K6&lt;0,K6&gt;1000),"移速无效",IF(OR(L6&lt;1,L6&lt;&gt;INT(L6)),"Home伤害无效",IF(OR(M6&lt;0,M6&lt;&gt;INT(M6)),"息壤无效",IF(OR(MIN(O6:Z6)&lt;0,MAX(O6:Z6)&gt;1),"掉落概率无效","可回读"))))))))</f>
        <v>可回读</v>
      </c>
      <c r="AB6" s="9" t="s">
        <v>222</v>
      </c>
      <c r="AC6" s="9" t="s">
        <v>223</v>
      </c>
      <c r="AD6" s="9" t="s">
        <v>224</v>
      </c>
    </row>
    <row r="7" spans="1:30" ht="24" customHeight="1">
      <c r="A7" s="9" t="s">
        <v>133</v>
      </c>
      <c r="B7" s="9" t="s">
        <v>225</v>
      </c>
      <c r="C7" s="9" t="s">
        <v>133</v>
      </c>
      <c r="D7" s="9" t="s">
        <v>219</v>
      </c>
      <c r="E7" s="9" t="s">
        <v>220</v>
      </c>
      <c r="F7" s="9" t="s">
        <v>221</v>
      </c>
      <c r="G7" s="26">
        <v>140</v>
      </c>
      <c r="H7" s="26">
        <v>14</v>
      </c>
      <c r="I7" s="26">
        <v>3</v>
      </c>
      <c r="J7" s="26">
        <v>0</v>
      </c>
      <c r="K7" s="28">
        <v>20</v>
      </c>
      <c r="L7" s="26">
        <v>1</v>
      </c>
      <c r="M7" s="27">
        <v>2</v>
      </c>
      <c r="N7" s="29">
        <f t="shared" si="0"/>
        <v>5.0000000000000017E-2</v>
      </c>
      <c r="O7" s="30">
        <v>0.02</v>
      </c>
      <c r="P7" s="30">
        <v>2E-3</v>
      </c>
      <c r="Q7" s="30">
        <v>0.01</v>
      </c>
      <c r="R7" s="30">
        <v>0</v>
      </c>
      <c r="S7" s="30">
        <v>0</v>
      </c>
      <c r="T7" s="30">
        <v>0</v>
      </c>
      <c r="U7" s="30">
        <v>0</v>
      </c>
      <c r="V7" s="31">
        <v>4.0000000000000001E-3</v>
      </c>
      <c r="W7" s="31">
        <v>4.0000000000000001E-3</v>
      </c>
      <c r="X7" s="31">
        <v>4.0000000000000001E-3</v>
      </c>
      <c r="Y7" s="31">
        <v>4.0000000000000001E-3</v>
      </c>
      <c r="Z7" s="31">
        <v>2E-3</v>
      </c>
      <c r="AA7" s="9" t="str">
        <f t="shared" si="1"/>
        <v>可回读</v>
      </c>
      <c r="AB7" s="9" t="s">
        <v>222</v>
      </c>
      <c r="AC7" s="9" t="s">
        <v>226</v>
      </c>
      <c r="AD7" s="9" t="s">
        <v>227</v>
      </c>
    </row>
    <row r="8" spans="1:30" ht="24" customHeight="1">
      <c r="A8" s="9" t="s">
        <v>139</v>
      </c>
      <c r="B8" s="9" t="s">
        <v>228</v>
      </c>
      <c r="C8" s="9" t="s">
        <v>139</v>
      </c>
      <c r="D8" s="9" t="s">
        <v>219</v>
      </c>
      <c r="E8" s="9" t="s">
        <v>220</v>
      </c>
      <c r="F8" s="9" t="s">
        <v>221</v>
      </c>
      <c r="G8" s="26">
        <v>35</v>
      </c>
      <c r="H8" s="26">
        <v>10</v>
      </c>
      <c r="I8" s="26">
        <v>0</v>
      </c>
      <c r="J8" s="26">
        <v>0</v>
      </c>
      <c r="K8" s="28">
        <v>40</v>
      </c>
      <c r="L8" s="26">
        <v>1</v>
      </c>
      <c r="M8" s="27">
        <v>1</v>
      </c>
      <c r="N8" s="29">
        <f t="shared" si="0"/>
        <v>5.0000000000000017E-2</v>
      </c>
      <c r="O8" s="30">
        <v>0.02</v>
      </c>
      <c r="P8" s="30">
        <v>2E-3</v>
      </c>
      <c r="Q8" s="30">
        <v>0.01</v>
      </c>
      <c r="R8" s="30">
        <v>0</v>
      </c>
      <c r="S8" s="30">
        <v>0</v>
      </c>
      <c r="T8" s="30">
        <v>0</v>
      </c>
      <c r="U8" s="30">
        <v>0</v>
      </c>
      <c r="V8" s="31">
        <v>4.0000000000000001E-3</v>
      </c>
      <c r="W8" s="31">
        <v>4.0000000000000001E-3</v>
      </c>
      <c r="X8" s="31">
        <v>4.0000000000000001E-3</v>
      </c>
      <c r="Y8" s="31">
        <v>4.0000000000000001E-3</v>
      </c>
      <c r="Z8" s="31">
        <v>2E-3</v>
      </c>
      <c r="AA8" s="9" t="str">
        <f t="shared" si="1"/>
        <v>可回读</v>
      </c>
      <c r="AB8" s="9" t="s">
        <v>222</v>
      </c>
      <c r="AC8" s="9" t="s">
        <v>229</v>
      </c>
      <c r="AD8" s="9" t="s">
        <v>230</v>
      </c>
    </row>
    <row r="9" spans="1:30" ht="24" customHeight="1">
      <c r="A9" s="9" t="s">
        <v>142</v>
      </c>
      <c r="B9" s="9" t="s">
        <v>231</v>
      </c>
      <c r="C9" s="9" t="s">
        <v>142</v>
      </c>
      <c r="D9" s="9" t="s">
        <v>219</v>
      </c>
      <c r="E9" s="9" t="s">
        <v>220</v>
      </c>
      <c r="F9" s="9" t="s">
        <v>221</v>
      </c>
      <c r="G9" s="26">
        <v>30</v>
      </c>
      <c r="H9" s="26">
        <v>10</v>
      </c>
      <c r="I9" s="26">
        <v>0</v>
      </c>
      <c r="J9" s="26">
        <v>0</v>
      </c>
      <c r="K9" s="28">
        <v>18</v>
      </c>
      <c r="L9" s="26">
        <v>1</v>
      </c>
      <c r="M9" s="27">
        <v>1</v>
      </c>
      <c r="N9" s="29">
        <f t="shared" si="0"/>
        <v>5.0000000000000017E-2</v>
      </c>
      <c r="O9" s="30">
        <v>0.02</v>
      </c>
      <c r="P9" s="30">
        <v>2E-3</v>
      </c>
      <c r="Q9" s="30">
        <v>0.01</v>
      </c>
      <c r="R9" s="30">
        <v>0</v>
      </c>
      <c r="S9" s="30">
        <v>0</v>
      </c>
      <c r="T9" s="30">
        <v>0</v>
      </c>
      <c r="U9" s="30">
        <v>0</v>
      </c>
      <c r="V9" s="31">
        <v>4.0000000000000001E-3</v>
      </c>
      <c r="W9" s="31">
        <v>4.0000000000000001E-3</v>
      </c>
      <c r="X9" s="31">
        <v>4.0000000000000001E-3</v>
      </c>
      <c r="Y9" s="31">
        <v>4.0000000000000001E-3</v>
      </c>
      <c r="Z9" s="31">
        <v>2E-3</v>
      </c>
      <c r="AA9" s="9" t="str">
        <f t="shared" si="1"/>
        <v>可回读</v>
      </c>
      <c r="AB9" s="9" t="s">
        <v>222</v>
      </c>
      <c r="AC9" s="9" t="s">
        <v>232</v>
      </c>
      <c r="AD9" s="9" t="s">
        <v>233</v>
      </c>
    </row>
    <row r="10" spans="1:30" ht="24" customHeight="1">
      <c r="A10" s="9" t="s">
        <v>154</v>
      </c>
      <c r="B10" s="9" t="s">
        <v>234</v>
      </c>
      <c r="C10" s="9" t="s">
        <v>154</v>
      </c>
      <c r="D10" s="9" t="s">
        <v>219</v>
      </c>
      <c r="E10" s="9" t="s">
        <v>220</v>
      </c>
      <c r="F10" s="9" t="s">
        <v>221</v>
      </c>
      <c r="G10" s="26">
        <v>40</v>
      </c>
      <c r="H10" s="26">
        <v>10</v>
      </c>
      <c r="I10" s="26">
        <v>0</v>
      </c>
      <c r="J10" s="26">
        <v>0</v>
      </c>
      <c r="K10" s="28">
        <v>32</v>
      </c>
      <c r="L10" s="26">
        <v>1</v>
      </c>
      <c r="M10" s="27">
        <v>2</v>
      </c>
      <c r="N10" s="29">
        <f t="shared" si="0"/>
        <v>5.0000000000000017E-2</v>
      </c>
      <c r="O10" s="30">
        <v>0.02</v>
      </c>
      <c r="P10" s="30">
        <v>2E-3</v>
      </c>
      <c r="Q10" s="30">
        <v>0.01</v>
      </c>
      <c r="R10" s="30">
        <v>0</v>
      </c>
      <c r="S10" s="30">
        <v>0</v>
      </c>
      <c r="T10" s="30">
        <v>0</v>
      </c>
      <c r="U10" s="30">
        <v>0</v>
      </c>
      <c r="V10" s="31">
        <v>4.0000000000000001E-3</v>
      </c>
      <c r="W10" s="31">
        <v>4.0000000000000001E-3</v>
      </c>
      <c r="X10" s="31">
        <v>4.0000000000000001E-3</v>
      </c>
      <c r="Y10" s="31">
        <v>4.0000000000000001E-3</v>
      </c>
      <c r="Z10" s="31">
        <v>2E-3</v>
      </c>
      <c r="AA10" s="9" t="str">
        <f t="shared" si="1"/>
        <v>可回读</v>
      </c>
      <c r="AB10" s="9" t="s">
        <v>222</v>
      </c>
      <c r="AC10" s="9" t="s">
        <v>235</v>
      </c>
      <c r="AD10" s="9" t="s">
        <v>236</v>
      </c>
    </row>
    <row r="11" spans="1:30" ht="24" customHeight="1">
      <c r="A11" s="9" t="s">
        <v>159</v>
      </c>
      <c r="B11" s="9" t="s">
        <v>237</v>
      </c>
      <c r="C11" s="9" t="s">
        <v>159</v>
      </c>
      <c r="D11" s="9" t="s">
        <v>219</v>
      </c>
      <c r="E11" s="9" t="s">
        <v>220</v>
      </c>
      <c r="F11" s="9" t="s">
        <v>221</v>
      </c>
      <c r="G11" s="26">
        <v>200</v>
      </c>
      <c r="H11" s="26">
        <v>20</v>
      </c>
      <c r="I11" s="26">
        <v>5</v>
      </c>
      <c r="J11" s="26">
        <v>0</v>
      </c>
      <c r="K11" s="28">
        <v>15</v>
      </c>
      <c r="L11" s="26">
        <v>1</v>
      </c>
      <c r="M11" s="27">
        <v>2</v>
      </c>
      <c r="N11" s="29">
        <f t="shared" si="0"/>
        <v>5.0000000000000017E-2</v>
      </c>
      <c r="O11" s="30">
        <v>0.02</v>
      </c>
      <c r="P11" s="30">
        <v>2E-3</v>
      </c>
      <c r="Q11" s="30">
        <v>0.01</v>
      </c>
      <c r="R11" s="30">
        <v>0</v>
      </c>
      <c r="S11" s="30">
        <v>0</v>
      </c>
      <c r="T11" s="30">
        <v>0</v>
      </c>
      <c r="U11" s="30">
        <v>0</v>
      </c>
      <c r="V11" s="31">
        <v>4.0000000000000001E-3</v>
      </c>
      <c r="W11" s="31">
        <v>4.0000000000000001E-3</v>
      </c>
      <c r="X11" s="31">
        <v>4.0000000000000001E-3</v>
      </c>
      <c r="Y11" s="31">
        <v>4.0000000000000001E-3</v>
      </c>
      <c r="Z11" s="31">
        <v>2E-3</v>
      </c>
      <c r="AA11" s="9" t="str">
        <f t="shared" si="1"/>
        <v>可回读</v>
      </c>
      <c r="AB11" s="9" t="s">
        <v>222</v>
      </c>
      <c r="AC11" s="9" t="s">
        <v>238</v>
      </c>
      <c r="AD11" s="9" t="s">
        <v>239</v>
      </c>
    </row>
    <row r="12" spans="1:30" ht="24" customHeight="1">
      <c r="A12" s="9" t="s">
        <v>143</v>
      </c>
      <c r="B12" s="9" t="s">
        <v>240</v>
      </c>
      <c r="C12" s="9" t="s">
        <v>143</v>
      </c>
      <c r="D12" s="9" t="s">
        <v>219</v>
      </c>
      <c r="E12" s="9" t="s">
        <v>220</v>
      </c>
      <c r="F12" s="9" t="s">
        <v>221</v>
      </c>
      <c r="G12" s="26">
        <v>40</v>
      </c>
      <c r="H12" s="26">
        <v>25</v>
      </c>
      <c r="I12" s="26">
        <v>0</v>
      </c>
      <c r="J12" s="26">
        <v>0</v>
      </c>
      <c r="K12" s="28">
        <v>22</v>
      </c>
      <c r="L12" s="26">
        <v>1</v>
      </c>
      <c r="M12" s="27">
        <v>1</v>
      </c>
      <c r="N12" s="29">
        <f t="shared" si="0"/>
        <v>5.0000000000000017E-2</v>
      </c>
      <c r="O12" s="30">
        <v>0.02</v>
      </c>
      <c r="P12" s="30">
        <v>2E-3</v>
      </c>
      <c r="Q12" s="30">
        <v>0.01</v>
      </c>
      <c r="R12" s="30">
        <v>0</v>
      </c>
      <c r="S12" s="30">
        <v>0</v>
      </c>
      <c r="T12" s="30">
        <v>0</v>
      </c>
      <c r="U12" s="30">
        <v>0</v>
      </c>
      <c r="V12" s="31">
        <v>4.0000000000000001E-3</v>
      </c>
      <c r="W12" s="31">
        <v>4.0000000000000001E-3</v>
      </c>
      <c r="X12" s="31">
        <v>4.0000000000000001E-3</v>
      </c>
      <c r="Y12" s="31">
        <v>4.0000000000000001E-3</v>
      </c>
      <c r="Z12" s="31">
        <v>2E-3</v>
      </c>
      <c r="AA12" s="9" t="str">
        <f t="shared" si="1"/>
        <v>可回读</v>
      </c>
      <c r="AB12" s="9" t="s">
        <v>222</v>
      </c>
      <c r="AC12" s="9" t="s">
        <v>241</v>
      </c>
      <c r="AD12" s="9" t="s">
        <v>242</v>
      </c>
    </row>
    <row r="13" spans="1:30" ht="24" customHeight="1">
      <c r="A13" s="9" t="s">
        <v>148</v>
      </c>
      <c r="B13" s="9" t="s">
        <v>243</v>
      </c>
      <c r="C13" s="9" t="s">
        <v>148</v>
      </c>
      <c r="D13" s="9" t="s">
        <v>219</v>
      </c>
      <c r="E13" s="9" t="s">
        <v>220</v>
      </c>
      <c r="F13" s="9" t="s">
        <v>221</v>
      </c>
      <c r="G13" s="26">
        <v>150</v>
      </c>
      <c r="H13" s="26">
        <v>10</v>
      </c>
      <c r="I13" s="26">
        <v>5</v>
      </c>
      <c r="J13" s="26">
        <v>0</v>
      </c>
      <c r="K13" s="28">
        <v>20</v>
      </c>
      <c r="L13" s="26">
        <v>1</v>
      </c>
      <c r="M13" s="27">
        <v>2</v>
      </c>
      <c r="N13" s="29">
        <f t="shared" si="0"/>
        <v>5.0000000000000017E-2</v>
      </c>
      <c r="O13" s="30">
        <v>0.02</v>
      </c>
      <c r="P13" s="30">
        <v>2E-3</v>
      </c>
      <c r="Q13" s="30">
        <v>0.01</v>
      </c>
      <c r="R13" s="30">
        <v>0</v>
      </c>
      <c r="S13" s="30">
        <v>0</v>
      </c>
      <c r="T13" s="30">
        <v>0</v>
      </c>
      <c r="U13" s="30">
        <v>0</v>
      </c>
      <c r="V13" s="31">
        <v>4.0000000000000001E-3</v>
      </c>
      <c r="W13" s="31">
        <v>4.0000000000000001E-3</v>
      </c>
      <c r="X13" s="31">
        <v>4.0000000000000001E-3</v>
      </c>
      <c r="Y13" s="31">
        <v>4.0000000000000001E-3</v>
      </c>
      <c r="Z13" s="31">
        <v>2E-3</v>
      </c>
      <c r="AA13" s="9" t="str">
        <f t="shared" si="1"/>
        <v>可回读</v>
      </c>
      <c r="AB13" s="9" t="s">
        <v>222</v>
      </c>
      <c r="AC13" s="9" t="s">
        <v>244</v>
      </c>
      <c r="AD13" s="9" t="s">
        <v>245</v>
      </c>
    </row>
    <row r="14" spans="1:30" ht="24" customHeight="1">
      <c r="A14" s="9" t="s">
        <v>246</v>
      </c>
      <c r="B14" s="9" t="s">
        <v>247</v>
      </c>
      <c r="C14" s="9" t="s">
        <v>246</v>
      </c>
      <c r="D14" s="9" t="s">
        <v>219</v>
      </c>
      <c r="E14" s="9" t="s">
        <v>220</v>
      </c>
      <c r="F14" s="9" t="s">
        <v>248</v>
      </c>
      <c r="G14" s="26">
        <v>80</v>
      </c>
      <c r="H14" s="26">
        <v>10</v>
      </c>
      <c r="I14" s="26">
        <v>150</v>
      </c>
      <c r="J14" s="26">
        <v>0</v>
      </c>
      <c r="K14" s="28">
        <v>20</v>
      </c>
      <c r="L14" s="26">
        <v>1</v>
      </c>
      <c r="M14" s="27">
        <v>1</v>
      </c>
      <c r="N14" s="29">
        <f t="shared" si="0"/>
        <v>5.0000000000000017E-2</v>
      </c>
      <c r="O14" s="30">
        <v>0.02</v>
      </c>
      <c r="P14" s="30">
        <v>2E-3</v>
      </c>
      <c r="Q14" s="30">
        <v>0.01</v>
      </c>
      <c r="R14" s="30">
        <v>0</v>
      </c>
      <c r="S14" s="30">
        <v>0</v>
      </c>
      <c r="T14" s="30">
        <v>0</v>
      </c>
      <c r="U14" s="30">
        <v>0</v>
      </c>
      <c r="V14" s="31">
        <v>4.0000000000000001E-3</v>
      </c>
      <c r="W14" s="31">
        <v>4.0000000000000001E-3</v>
      </c>
      <c r="X14" s="31">
        <v>4.0000000000000001E-3</v>
      </c>
      <c r="Y14" s="31">
        <v>4.0000000000000001E-3</v>
      </c>
      <c r="Z14" s="31">
        <v>2E-3</v>
      </c>
      <c r="AA14" s="9" t="str">
        <f t="shared" si="1"/>
        <v>可回读</v>
      </c>
      <c r="AB14" s="9" t="s">
        <v>249</v>
      </c>
      <c r="AC14" s="9" t="s">
        <v>250</v>
      </c>
      <c r="AD14" s="9" t="s">
        <v>251</v>
      </c>
    </row>
    <row r="15" spans="1:30" ht="24" customHeight="1">
      <c r="A15" s="9" t="s">
        <v>252</v>
      </c>
      <c r="B15" s="9" t="s">
        <v>253</v>
      </c>
      <c r="C15" s="9" t="s">
        <v>252</v>
      </c>
      <c r="D15" s="9" t="s">
        <v>219</v>
      </c>
      <c r="E15" s="9" t="s">
        <v>220</v>
      </c>
      <c r="F15" s="9" t="s">
        <v>248</v>
      </c>
      <c r="G15" s="26">
        <v>280</v>
      </c>
      <c r="H15" s="26">
        <v>14</v>
      </c>
      <c r="I15" s="26">
        <v>150</v>
      </c>
      <c r="J15" s="26">
        <v>0</v>
      </c>
      <c r="K15" s="28">
        <v>20</v>
      </c>
      <c r="L15" s="26">
        <v>1</v>
      </c>
      <c r="M15" s="27">
        <v>2</v>
      </c>
      <c r="N15" s="29">
        <f t="shared" si="0"/>
        <v>5.0000000000000017E-2</v>
      </c>
      <c r="O15" s="30">
        <v>0.02</v>
      </c>
      <c r="P15" s="30">
        <v>2E-3</v>
      </c>
      <c r="Q15" s="30">
        <v>0.01</v>
      </c>
      <c r="R15" s="30">
        <v>0</v>
      </c>
      <c r="S15" s="30">
        <v>0</v>
      </c>
      <c r="T15" s="30">
        <v>0</v>
      </c>
      <c r="U15" s="30">
        <v>0</v>
      </c>
      <c r="V15" s="31">
        <v>4.0000000000000001E-3</v>
      </c>
      <c r="W15" s="31">
        <v>4.0000000000000001E-3</v>
      </c>
      <c r="X15" s="31">
        <v>4.0000000000000001E-3</v>
      </c>
      <c r="Y15" s="31">
        <v>4.0000000000000001E-3</v>
      </c>
      <c r="Z15" s="31">
        <v>2E-3</v>
      </c>
      <c r="AA15" s="9" t="str">
        <f t="shared" si="1"/>
        <v>可回读</v>
      </c>
      <c r="AB15" s="9" t="s">
        <v>249</v>
      </c>
      <c r="AC15" s="9" t="s">
        <v>254</v>
      </c>
      <c r="AD15" s="9" t="s">
        <v>255</v>
      </c>
    </row>
    <row r="16" spans="1:30" ht="24" customHeight="1">
      <c r="A16" s="9" t="s">
        <v>256</v>
      </c>
      <c r="B16" s="9" t="s">
        <v>257</v>
      </c>
      <c r="C16" s="9" t="s">
        <v>256</v>
      </c>
      <c r="D16" s="9" t="s">
        <v>219</v>
      </c>
      <c r="E16" s="9" t="s">
        <v>220</v>
      </c>
      <c r="F16" s="9" t="s">
        <v>248</v>
      </c>
      <c r="G16" s="26">
        <v>70</v>
      </c>
      <c r="H16" s="26">
        <v>10</v>
      </c>
      <c r="I16" s="26">
        <v>150</v>
      </c>
      <c r="J16" s="26">
        <v>0</v>
      </c>
      <c r="K16" s="28">
        <v>40</v>
      </c>
      <c r="L16" s="26">
        <v>1</v>
      </c>
      <c r="M16" s="27">
        <v>1</v>
      </c>
      <c r="N16" s="29">
        <f t="shared" si="0"/>
        <v>5.0000000000000017E-2</v>
      </c>
      <c r="O16" s="30">
        <v>0.02</v>
      </c>
      <c r="P16" s="30">
        <v>2E-3</v>
      </c>
      <c r="Q16" s="30">
        <v>0.01</v>
      </c>
      <c r="R16" s="30">
        <v>0</v>
      </c>
      <c r="S16" s="30">
        <v>0</v>
      </c>
      <c r="T16" s="30">
        <v>0</v>
      </c>
      <c r="U16" s="30">
        <v>0</v>
      </c>
      <c r="V16" s="31">
        <v>4.0000000000000001E-3</v>
      </c>
      <c r="W16" s="31">
        <v>4.0000000000000001E-3</v>
      </c>
      <c r="X16" s="31">
        <v>4.0000000000000001E-3</v>
      </c>
      <c r="Y16" s="31">
        <v>4.0000000000000001E-3</v>
      </c>
      <c r="Z16" s="31">
        <v>2E-3</v>
      </c>
      <c r="AA16" s="9" t="str">
        <f t="shared" si="1"/>
        <v>可回读</v>
      </c>
      <c r="AB16" s="9" t="s">
        <v>249</v>
      </c>
      <c r="AC16" s="9" t="s">
        <v>258</v>
      </c>
      <c r="AD16" s="9" t="s">
        <v>259</v>
      </c>
    </row>
    <row r="17" spans="1:30" ht="24" customHeight="1">
      <c r="A17" s="9" t="s">
        <v>260</v>
      </c>
      <c r="B17" s="9" t="s">
        <v>261</v>
      </c>
      <c r="C17" s="9" t="s">
        <v>260</v>
      </c>
      <c r="D17" s="9" t="s">
        <v>219</v>
      </c>
      <c r="E17" s="9" t="s">
        <v>220</v>
      </c>
      <c r="F17" s="9" t="s">
        <v>248</v>
      </c>
      <c r="G17" s="26">
        <v>60</v>
      </c>
      <c r="H17" s="26">
        <v>10</v>
      </c>
      <c r="I17" s="26">
        <v>150</v>
      </c>
      <c r="J17" s="26">
        <v>0</v>
      </c>
      <c r="K17" s="28">
        <v>18</v>
      </c>
      <c r="L17" s="26">
        <v>1</v>
      </c>
      <c r="M17" s="27">
        <v>1</v>
      </c>
      <c r="N17" s="29">
        <f t="shared" si="0"/>
        <v>5.0000000000000017E-2</v>
      </c>
      <c r="O17" s="30">
        <v>0.02</v>
      </c>
      <c r="P17" s="30">
        <v>2E-3</v>
      </c>
      <c r="Q17" s="30">
        <v>0.01</v>
      </c>
      <c r="R17" s="30">
        <v>0</v>
      </c>
      <c r="S17" s="30">
        <v>0</v>
      </c>
      <c r="T17" s="30">
        <v>0</v>
      </c>
      <c r="U17" s="30">
        <v>0</v>
      </c>
      <c r="V17" s="31">
        <v>4.0000000000000001E-3</v>
      </c>
      <c r="W17" s="31">
        <v>4.0000000000000001E-3</v>
      </c>
      <c r="X17" s="31">
        <v>4.0000000000000001E-3</v>
      </c>
      <c r="Y17" s="31">
        <v>4.0000000000000001E-3</v>
      </c>
      <c r="Z17" s="31">
        <v>2E-3</v>
      </c>
      <c r="AA17" s="9" t="str">
        <f t="shared" si="1"/>
        <v>可回读</v>
      </c>
      <c r="AB17" s="9" t="s">
        <v>249</v>
      </c>
      <c r="AC17" s="9" t="s">
        <v>262</v>
      </c>
      <c r="AD17" s="9" t="s">
        <v>263</v>
      </c>
    </row>
    <row r="18" spans="1:30" ht="24" customHeight="1">
      <c r="A18" s="9" t="s">
        <v>264</v>
      </c>
      <c r="B18" s="9" t="s">
        <v>265</v>
      </c>
      <c r="C18" s="9" t="s">
        <v>264</v>
      </c>
      <c r="D18" s="9" t="s">
        <v>219</v>
      </c>
      <c r="E18" s="9" t="s">
        <v>220</v>
      </c>
      <c r="F18" s="9" t="s">
        <v>248</v>
      </c>
      <c r="G18" s="26">
        <v>80</v>
      </c>
      <c r="H18" s="26">
        <v>10</v>
      </c>
      <c r="I18" s="26">
        <v>150</v>
      </c>
      <c r="J18" s="26">
        <v>0</v>
      </c>
      <c r="K18" s="28">
        <v>32</v>
      </c>
      <c r="L18" s="26">
        <v>1</v>
      </c>
      <c r="M18" s="27">
        <v>2</v>
      </c>
      <c r="N18" s="29">
        <f t="shared" si="0"/>
        <v>5.0000000000000017E-2</v>
      </c>
      <c r="O18" s="30">
        <v>0.02</v>
      </c>
      <c r="P18" s="30">
        <v>2E-3</v>
      </c>
      <c r="Q18" s="30">
        <v>0.01</v>
      </c>
      <c r="R18" s="30">
        <v>0</v>
      </c>
      <c r="S18" s="30">
        <v>0</v>
      </c>
      <c r="T18" s="30">
        <v>0</v>
      </c>
      <c r="U18" s="30">
        <v>0</v>
      </c>
      <c r="V18" s="31">
        <v>4.0000000000000001E-3</v>
      </c>
      <c r="W18" s="31">
        <v>4.0000000000000001E-3</v>
      </c>
      <c r="X18" s="31">
        <v>4.0000000000000001E-3</v>
      </c>
      <c r="Y18" s="31">
        <v>4.0000000000000001E-3</v>
      </c>
      <c r="Z18" s="31">
        <v>2E-3</v>
      </c>
      <c r="AA18" s="9" t="str">
        <f t="shared" si="1"/>
        <v>可回读</v>
      </c>
      <c r="AB18" s="9" t="s">
        <v>249</v>
      </c>
      <c r="AC18" s="9" t="s">
        <v>266</v>
      </c>
      <c r="AD18" s="9" t="s">
        <v>267</v>
      </c>
    </row>
    <row r="19" spans="1:30" ht="24" customHeight="1">
      <c r="A19" s="9" t="s">
        <v>268</v>
      </c>
      <c r="B19" s="9" t="s">
        <v>269</v>
      </c>
      <c r="C19" s="9" t="s">
        <v>268</v>
      </c>
      <c r="D19" s="9" t="s">
        <v>219</v>
      </c>
      <c r="E19" s="9" t="s">
        <v>220</v>
      </c>
      <c r="F19" s="9" t="s">
        <v>248</v>
      </c>
      <c r="G19" s="26">
        <v>400</v>
      </c>
      <c r="H19" s="26">
        <v>20</v>
      </c>
      <c r="I19" s="26">
        <v>150</v>
      </c>
      <c r="J19" s="26">
        <v>0</v>
      </c>
      <c r="K19" s="28">
        <v>15</v>
      </c>
      <c r="L19" s="26">
        <v>1</v>
      </c>
      <c r="M19" s="27">
        <v>2</v>
      </c>
      <c r="N19" s="29">
        <f t="shared" si="0"/>
        <v>5.0000000000000017E-2</v>
      </c>
      <c r="O19" s="30">
        <v>0.02</v>
      </c>
      <c r="P19" s="30">
        <v>2E-3</v>
      </c>
      <c r="Q19" s="30">
        <v>0.01</v>
      </c>
      <c r="R19" s="30">
        <v>0</v>
      </c>
      <c r="S19" s="30">
        <v>0</v>
      </c>
      <c r="T19" s="30">
        <v>0</v>
      </c>
      <c r="U19" s="30">
        <v>0</v>
      </c>
      <c r="V19" s="31">
        <v>4.0000000000000001E-3</v>
      </c>
      <c r="W19" s="31">
        <v>4.0000000000000001E-3</v>
      </c>
      <c r="X19" s="31">
        <v>4.0000000000000001E-3</v>
      </c>
      <c r="Y19" s="31">
        <v>4.0000000000000001E-3</v>
      </c>
      <c r="Z19" s="31">
        <v>2E-3</v>
      </c>
      <c r="AA19" s="9" t="str">
        <f t="shared" si="1"/>
        <v>可回读</v>
      </c>
      <c r="AB19" s="9" t="s">
        <v>249</v>
      </c>
      <c r="AC19" s="9" t="s">
        <v>270</v>
      </c>
      <c r="AD19" s="9" t="s">
        <v>271</v>
      </c>
    </row>
    <row r="20" spans="1:30" ht="24" customHeight="1">
      <c r="A20" s="9" t="s">
        <v>272</v>
      </c>
      <c r="B20" s="9" t="s">
        <v>273</v>
      </c>
      <c r="C20" s="9" t="s">
        <v>272</v>
      </c>
      <c r="D20" s="9" t="s">
        <v>219</v>
      </c>
      <c r="E20" s="9" t="s">
        <v>220</v>
      </c>
      <c r="F20" s="9" t="s">
        <v>248</v>
      </c>
      <c r="G20" s="26">
        <v>80</v>
      </c>
      <c r="H20" s="26">
        <v>25</v>
      </c>
      <c r="I20" s="26">
        <v>150</v>
      </c>
      <c r="J20" s="26">
        <v>0</v>
      </c>
      <c r="K20" s="28">
        <v>22</v>
      </c>
      <c r="L20" s="26">
        <v>1</v>
      </c>
      <c r="M20" s="27">
        <v>1</v>
      </c>
      <c r="N20" s="29">
        <f t="shared" si="0"/>
        <v>5.0000000000000017E-2</v>
      </c>
      <c r="O20" s="30">
        <v>0.02</v>
      </c>
      <c r="P20" s="30">
        <v>2E-3</v>
      </c>
      <c r="Q20" s="30">
        <v>0.01</v>
      </c>
      <c r="R20" s="30">
        <v>0</v>
      </c>
      <c r="S20" s="30">
        <v>0</v>
      </c>
      <c r="T20" s="30">
        <v>0</v>
      </c>
      <c r="U20" s="30">
        <v>0</v>
      </c>
      <c r="V20" s="31">
        <v>4.0000000000000001E-3</v>
      </c>
      <c r="W20" s="31">
        <v>4.0000000000000001E-3</v>
      </c>
      <c r="X20" s="31">
        <v>4.0000000000000001E-3</v>
      </c>
      <c r="Y20" s="31">
        <v>4.0000000000000001E-3</v>
      </c>
      <c r="Z20" s="31">
        <v>2E-3</v>
      </c>
      <c r="AA20" s="9" t="str">
        <f t="shared" si="1"/>
        <v>可回读</v>
      </c>
      <c r="AB20" s="9" t="s">
        <v>249</v>
      </c>
      <c r="AC20" s="9" t="s">
        <v>274</v>
      </c>
      <c r="AD20" s="9" t="s">
        <v>275</v>
      </c>
    </row>
    <row r="21" spans="1:30" ht="24" customHeight="1">
      <c r="A21" s="9" t="s">
        <v>276</v>
      </c>
      <c r="B21" s="9" t="s">
        <v>277</v>
      </c>
      <c r="C21" s="9" t="s">
        <v>276</v>
      </c>
      <c r="D21" s="9" t="s">
        <v>219</v>
      </c>
      <c r="E21" s="9" t="s">
        <v>220</v>
      </c>
      <c r="F21" s="9" t="s">
        <v>248</v>
      </c>
      <c r="G21" s="26">
        <v>300</v>
      </c>
      <c r="H21" s="26">
        <v>10</v>
      </c>
      <c r="I21" s="26">
        <v>150</v>
      </c>
      <c r="J21" s="26">
        <v>0</v>
      </c>
      <c r="K21" s="28">
        <v>20</v>
      </c>
      <c r="L21" s="26">
        <v>1</v>
      </c>
      <c r="M21" s="27">
        <v>2</v>
      </c>
      <c r="N21" s="29">
        <f t="shared" si="0"/>
        <v>5.0000000000000017E-2</v>
      </c>
      <c r="O21" s="30">
        <v>0.02</v>
      </c>
      <c r="P21" s="30">
        <v>2E-3</v>
      </c>
      <c r="Q21" s="30">
        <v>0.01</v>
      </c>
      <c r="R21" s="30">
        <v>0</v>
      </c>
      <c r="S21" s="30">
        <v>0</v>
      </c>
      <c r="T21" s="30">
        <v>0</v>
      </c>
      <c r="U21" s="30">
        <v>0</v>
      </c>
      <c r="V21" s="31">
        <v>4.0000000000000001E-3</v>
      </c>
      <c r="W21" s="31">
        <v>4.0000000000000001E-3</v>
      </c>
      <c r="X21" s="31">
        <v>4.0000000000000001E-3</v>
      </c>
      <c r="Y21" s="31">
        <v>4.0000000000000001E-3</v>
      </c>
      <c r="Z21" s="31">
        <v>2E-3</v>
      </c>
      <c r="AA21" s="9" t="str">
        <f t="shared" si="1"/>
        <v>可回读</v>
      </c>
      <c r="AB21" s="9" t="s">
        <v>249</v>
      </c>
      <c r="AC21" s="9" t="s">
        <v>278</v>
      </c>
      <c r="AD21" s="9" t="s">
        <v>279</v>
      </c>
    </row>
    <row r="22" spans="1:30" ht="24" customHeight="1">
      <c r="A22" s="9" t="s">
        <v>280</v>
      </c>
      <c r="B22" s="9" t="s">
        <v>281</v>
      </c>
      <c r="C22" s="9" t="s">
        <v>280</v>
      </c>
      <c r="D22" s="9" t="s">
        <v>280</v>
      </c>
      <c r="E22" s="9" t="s">
        <v>220</v>
      </c>
      <c r="F22" s="9" t="s">
        <v>248</v>
      </c>
      <c r="G22" s="26">
        <v>100</v>
      </c>
      <c r="H22" s="26">
        <v>10</v>
      </c>
      <c r="I22" s="26">
        <v>0</v>
      </c>
      <c r="J22" s="26">
        <v>0</v>
      </c>
      <c r="K22" s="28">
        <v>20</v>
      </c>
      <c r="L22" s="26">
        <v>1</v>
      </c>
      <c r="M22" s="27">
        <v>1</v>
      </c>
      <c r="N22" s="29">
        <f t="shared" si="0"/>
        <v>7.0000000000000021E-2</v>
      </c>
      <c r="O22" s="30">
        <v>0.02</v>
      </c>
      <c r="P22" s="30">
        <v>2E-3</v>
      </c>
      <c r="Q22" s="30">
        <v>0.01</v>
      </c>
      <c r="R22" s="30">
        <v>0</v>
      </c>
      <c r="S22" s="30">
        <v>0</v>
      </c>
      <c r="T22" s="30">
        <v>0.02</v>
      </c>
      <c r="U22" s="30">
        <v>0</v>
      </c>
      <c r="V22" s="31">
        <v>4.0000000000000001E-3</v>
      </c>
      <c r="W22" s="31">
        <v>4.0000000000000001E-3</v>
      </c>
      <c r="X22" s="31">
        <v>4.0000000000000001E-3</v>
      </c>
      <c r="Y22" s="31">
        <v>4.0000000000000001E-3</v>
      </c>
      <c r="Z22" s="31">
        <v>2E-3</v>
      </c>
      <c r="AA22" s="9" t="str">
        <f t="shared" si="1"/>
        <v>可回读</v>
      </c>
      <c r="AB22" s="9" t="s">
        <v>282</v>
      </c>
      <c r="AC22" s="9" t="s">
        <v>283</v>
      </c>
      <c r="AD22" s="9" t="s">
        <v>284</v>
      </c>
    </row>
    <row r="23" spans="1:30" ht="24" customHeight="1">
      <c r="A23" s="9" t="s">
        <v>285</v>
      </c>
      <c r="B23" s="9" t="s">
        <v>286</v>
      </c>
      <c r="C23" s="9" t="s">
        <v>285</v>
      </c>
      <c r="D23" s="9" t="s">
        <v>280</v>
      </c>
      <c r="E23" s="9" t="s">
        <v>220</v>
      </c>
      <c r="F23" s="9" t="s">
        <v>248</v>
      </c>
      <c r="G23" s="26">
        <v>200</v>
      </c>
      <c r="H23" s="26">
        <v>10</v>
      </c>
      <c r="I23" s="26">
        <v>0</v>
      </c>
      <c r="J23" s="26">
        <v>0</v>
      </c>
      <c r="K23" s="28">
        <v>20</v>
      </c>
      <c r="L23" s="26">
        <v>1</v>
      </c>
      <c r="M23" s="27">
        <v>1</v>
      </c>
      <c r="N23" s="29">
        <f t="shared" si="0"/>
        <v>7.0000000000000021E-2</v>
      </c>
      <c r="O23" s="30">
        <v>0.02</v>
      </c>
      <c r="P23" s="30">
        <v>2E-3</v>
      </c>
      <c r="Q23" s="30">
        <v>0.01</v>
      </c>
      <c r="R23" s="30">
        <v>0</v>
      </c>
      <c r="S23" s="30">
        <v>0</v>
      </c>
      <c r="T23" s="30">
        <v>0.02</v>
      </c>
      <c r="U23" s="30">
        <v>0</v>
      </c>
      <c r="V23" s="31">
        <v>4.0000000000000001E-3</v>
      </c>
      <c r="W23" s="31">
        <v>4.0000000000000001E-3</v>
      </c>
      <c r="X23" s="31">
        <v>4.0000000000000001E-3</v>
      </c>
      <c r="Y23" s="31">
        <v>4.0000000000000001E-3</v>
      </c>
      <c r="Z23" s="31">
        <v>2E-3</v>
      </c>
      <c r="AA23" s="9" t="str">
        <f t="shared" si="1"/>
        <v>可回读</v>
      </c>
      <c r="AB23" s="9" t="s">
        <v>282</v>
      </c>
      <c r="AC23" s="9" t="s">
        <v>287</v>
      </c>
      <c r="AD23" s="9" t="s">
        <v>288</v>
      </c>
    </row>
    <row r="24" spans="1:30" ht="24" customHeight="1">
      <c r="A24" s="9" t="s">
        <v>289</v>
      </c>
      <c r="B24" s="9" t="s">
        <v>290</v>
      </c>
      <c r="C24" s="9" t="s">
        <v>289</v>
      </c>
      <c r="D24" s="9" t="s">
        <v>280</v>
      </c>
      <c r="E24" s="9" t="s">
        <v>220</v>
      </c>
      <c r="F24" s="9" t="s">
        <v>248</v>
      </c>
      <c r="G24" s="26">
        <v>200</v>
      </c>
      <c r="H24" s="26">
        <v>10</v>
      </c>
      <c r="I24" s="26">
        <v>0</v>
      </c>
      <c r="J24" s="26">
        <v>0</v>
      </c>
      <c r="K24" s="28">
        <v>20</v>
      </c>
      <c r="L24" s="26">
        <v>1</v>
      </c>
      <c r="M24" s="27">
        <v>1</v>
      </c>
      <c r="N24" s="29">
        <f t="shared" si="0"/>
        <v>7.0000000000000021E-2</v>
      </c>
      <c r="O24" s="30">
        <v>0.02</v>
      </c>
      <c r="P24" s="30">
        <v>2E-3</v>
      </c>
      <c r="Q24" s="30">
        <v>0.01</v>
      </c>
      <c r="R24" s="30">
        <v>0</v>
      </c>
      <c r="S24" s="30">
        <v>0</v>
      </c>
      <c r="T24" s="30">
        <v>0.02</v>
      </c>
      <c r="U24" s="30">
        <v>0</v>
      </c>
      <c r="V24" s="31">
        <v>4.0000000000000001E-3</v>
      </c>
      <c r="W24" s="31">
        <v>4.0000000000000001E-3</v>
      </c>
      <c r="X24" s="31">
        <v>4.0000000000000001E-3</v>
      </c>
      <c r="Y24" s="31">
        <v>4.0000000000000001E-3</v>
      </c>
      <c r="Z24" s="31">
        <v>2E-3</v>
      </c>
      <c r="AA24" s="9" t="str">
        <f t="shared" si="1"/>
        <v>可回读</v>
      </c>
      <c r="AB24" s="9" t="s">
        <v>282</v>
      </c>
      <c r="AC24" s="9" t="s">
        <v>291</v>
      </c>
      <c r="AD24" s="9" t="s">
        <v>292</v>
      </c>
    </row>
    <row r="25" spans="1:30" ht="24" customHeight="1">
      <c r="A25" s="9" t="s">
        <v>293</v>
      </c>
      <c r="B25" s="9" t="s">
        <v>294</v>
      </c>
      <c r="C25" s="9" t="s">
        <v>293</v>
      </c>
      <c r="D25" s="9" t="s">
        <v>280</v>
      </c>
      <c r="E25" s="9" t="s">
        <v>220</v>
      </c>
      <c r="F25" s="9" t="s">
        <v>248</v>
      </c>
      <c r="G25" s="26">
        <v>300</v>
      </c>
      <c r="H25" s="26">
        <v>10</v>
      </c>
      <c r="I25" s="26">
        <v>50</v>
      </c>
      <c r="J25" s="26">
        <v>50</v>
      </c>
      <c r="K25" s="28">
        <v>20</v>
      </c>
      <c r="L25" s="26">
        <v>1</v>
      </c>
      <c r="M25" s="27">
        <v>1</v>
      </c>
      <c r="N25" s="29">
        <f t="shared" si="0"/>
        <v>7.0000000000000021E-2</v>
      </c>
      <c r="O25" s="30">
        <v>0.02</v>
      </c>
      <c r="P25" s="30">
        <v>2E-3</v>
      </c>
      <c r="Q25" s="30">
        <v>0.01</v>
      </c>
      <c r="R25" s="30">
        <v>0</v>
      </c>
      <c r="S25" s="30">
        <v>0</v>
      </c>
      <c r="T25" s="30">
        <v>0.02</v>
      </c>
      <c r="U25" s="30">
        <v>0</v>
      </c>
      <c r="V25" s="31">
        <v>4.0000000000000001E-3</v>
      </c>
      <c r="W25" s="31">
        <v>4.0000000000000001E-3</v>
      </c>
      <c r="X25" s="31">
        <v>4.0000000000000001E-3</v>
      </c>
      <c r="Y25" s="31">
        <v>4.0000000000000001E-3</v>
      </c>
      <c r="Z25" s="31">
        <v>2E-3</v>
      </c>
      <c r="AA25" s="9" t="str">
        <f t="shared" si="1"/>
        <v>可回读</v>
      </c>
      <c r="AB25" s="9" t="s">
        <v>282</v>
      </c>
      <c r="AC25" s="9" t="s">
        <v>295</v>
      </c>
      <c r="AD25" s="9" t="s">
        <v>296</v>
      </c>
    </row>
    <row r="26" spans="1:30" ht="24" customHeight="1">
      <c r="A26" s="9" t="s">
        <v>297</v>
      </c>
      <c r="B26" s="9" t="s">
        <v>298</v>
      </c>
      <c r="C26" s="9" t="s">
        <v>297</v>
      </c>
      <c r="D26" s="9" t="s">
        <v>280</v>
      </c>
      <c r="E26" s="9" t="s">
        <v>220</v>
      </c>
      <c r="F26" s="9" t="s">
        <v>248</v>
      </c>
      <c r="G26" s="26">
        <v>1000</v>
      </c>
      <c r="H26" s="26">
        <v>50</v>
      </c>
      <c r="I26" s="26">
        <v>0</v>
      </c>
      <c r="J26" s="26">
        <v>0</v>
      </c>
      <c r="K26" s="28">
        <v>20</v>
      </c>
      <c r="L26" s="26">
        <v>1</v>
      </c>
      <c r="M26" s="27">
        <v>1</v>
      </c>
      <c r="N26" s="29">
        <f t="shared" si="0"/>
        <v>7.0000000000000021E-2</v>
      </c>
      <c r="O26" s="30">
        <v>0.02</v>
      </c>
      <c r="P26" s="30">
        <v>2E-3</v>
      </c>
      <c r="Q26" s="30">
        <v>0.01</v>
      </c>
      <c r="R26" s="30">
        <v>0</v>
      </c>
      <c r="S26" s="30">
        <v>0</v>
      </c>
      <c r="T26" s="30">
        <v>0.02</v>
      </c>
      <c r="U26" s="30">
        <v>0</v>
      </c>
      <c r="V26" s="31">
        <v>4.0000000000000001E-3</v>
      </c>
      <c r="W26" s="31">
        <v>4.0000000000000001E-3</v>
      </c>
      <c r="X26" s="31">
        <v>4.0000000000000001E-3</v>
      </c>
      <c r="Y26" s="31">
        <v>4.0000000000000001E-3</v>
      </c>
      <c r="Z26" s="31">
        <v>2E-3</v>
      </c>
      <c r="AA26" s="9" t="str">
        <f t="shared" si="1"/>
        <v>可回读</v>
      </c>
      <c r="AB26" s="9" t="s">
        <v>282</v>
      </c>
      <c r="AC26" s="9" t="s">
        <v>299</v>
      </c>
      <c r="AD26" s="9" t="s">
        <v>300</v>
      </c>
    </row>
    <row r="27" spans="1:30" ht="24" customHeight="1">
      <c r="A27" s="9" t="s">
        <v>301</v>
      </c>
      <c r="B27" s="9" t="s">
        <v>302</v>
      </c>
      <c r="C27" s="9" t="s">
        <v>301</v>
      </c>
      <c r="D27" s="9" t="s">
        <v>280</v>
      </c>
      <c r="E27" s="9" t="s">
        <v>220</v>
      </c>
      <c r="F27" s="9" t="s">
        <v>248</v>
      </c>
      <c r="G27" s="26">
        <v>200</v>
      </c>
      <c r="H27" s="26">
        <v>10</v>
      </c>
      <c r="I27" s="26">
        <v>150</v>
      </c>
      <c r="J27" s="26">
        <v>0</v>
      </c>
      <c r="K27" s="28">
        <v>20</v>
      </c>
      <c r="L27" s="26">
        <v>1</v>
      </c>
      <c r="M27" s="27">
        <v>1</v>
      </c>
      <c r="N27" s="29">
        <f t="shared" si="0"/>
        <v>7.0000000000000021E-2</v>
      </c>
      <c r="O27" s="30">
        <v>0.02</v>
      </c>
      <c r="P27" s="30">
        <v>2E-3</v>
      </c>
      <c r="Q27" s="30">
        <v>0.01</v>
      </c>
      <c r="R27" s="30">
        <v>0</v>
      </c>
      <c r="S27" s="30">
        <v>0</v>
      </c>
      <c r="T27" s="30">
        <v>0.02</v>
      </c>
      <c r="U27" s="30">
        <v>0</v>
      </c>
      <c r="V27" s="31">
        <v>4.0000000000000001E-3</v>
      </c>
      <c r="W27" s="31">
        <v>4.0000000000000001E-3</v>
      </c>
      <c r="X27" s="31">
        <v>4.0000000000000001E-3</v>
      </c>
      <c r="Y27" s="31">
        <v>4.0000000000000001E-3</v>
      </c>
      <c r="Z27" s="31">
        <v>2E-3</v>
      </c>
      <c r="AA27" s="9" t="str">
        <f t="shared" si="1"/>
        <v>可回读</v>
      </c>
      <c r="AB27" s="9" t="s">
        <v>303</v>
      </c>
      <c r="AC27" s="9" t="s">
        <v>304</v>
      </c>
      <c r="AD27" s="9" t="s">
        <v>305</v>
      </c>
    </row>
    <row r="28" spans="1:30" ht="24" customHeight="1">
      <c r="A28" s="9" t="s">
        <v>306</v>
      </c>
      <c r="B28" s="9" t="s">
        <v>307</v>
      </c>
      <c r="C28" s="9" t="s">
        <v>306</v>
      </c>
      <c r="D28" s="9" t="s">
        <v>280</v>
      </c>
      <c r="E28" s="9" t="s">
        <v>220</v>
      </c>
      <c r="F28" s="9" t="s">
        <v>248</v>
      </c>
      <c r="G28" s="26">
        <v>400</v>
      </c>
      <c r="H28" s="26">
        <v>10</v>
      </c>
      <c r="I28" s="26">
        <v>150</v>
      </c>
      <c r="J28" s="26">
        <v>0</v>
      </c>
      <c r="K28" s="28">
        <v>20</v>
      </c>
      <c r="L28" s="26">
        <v>1</v>
      </c>
      <c r="M28" s="27">
        <v>1</v>
      </c>
      <c r="N28" s="29">
        <f t="shared" si="0"/>
        <v>7.0000000000000021E-2</v>
      </c>
      <c r="O28" s="30">
        <v>0.02</v>
      </c>
      <c r="P28" s="30">
        <v>2E-3</v>
      </c>
      <c r="Q28" s="30">
        <v>0.01</v>
      </c>
      <c r="R28" s="30">
        <v>0</v>
      </c>
      <c r="S28" s="30">
        <v>0</v>
      </c>
      <c r="T28" s="30">
        <v>0.02</v>
      </c>
      <c r="U28" s="30">
        <v>0</v>
      </c>
      <c r="V28" s="31">
        <v>4.0000000000000001E-3</v>
      </c>
      <c r="W28" s="31">
        <v>4.0000000000000001E-3</v>
      </c>
      <c r="X28" s="31">
        <v>4.0000000000000001E-3</v>
      </c>
      <c r="Y28" s="31">
        <v>4.0000000000000001E-3</v>
      </c>
      <c r="Z28" s="31">
        <v>2E-3</v>
      </c>
      <c r="AA28" s="9" t="str">
        <f t="shared" si="1"/>
        <v>可回读</v>
      </c>
      <c r="AB28" s="9" t="s">
        <v>303</v>
      </c>
      <c r="AC28" s="9" t="s">
        <v>308</v>
      </c>
      <c r="AD28" s="9" t="s">
        <v>309</v>
      </c>
    </row>
    <row r="29" spans="1:30" ht="24" customHeight="1">
      <c r="A29" s="9" t="s">
        <v>310</v>
      </c>
      <c r="B29" s="9" t="s">
        <v>311</v>
      </c>
      <c r="C29" s="9" t="s">
        <v>310</v>
      </c>
      <c r="D29" s="9" t="s">
        <v>280</v>
      </c>
      <c r="E29" s="9" t="s">
        <v>220</v>
      </c>
      <c r="F29" s="9" t="s">
        <v>248</v>
      </c>
      <c r="G29" s="26">
        <v>400</v>
      </c>
      <c r="H29" s="26">
        <v>10</v>
      </c>
      <c r="I29" s="26">
        <v>150</v>
      </c>
      <c r="J29" s="26">
        <v>0</v>
      </c>
      <c r="K29" s="28">
        <v>20</v>
      </c>
      <c r="L29" s="26">
        <v>1</v>
      </c>
      <c r="M29" s="27">
        <v>1</v>
      </c>
      <c r="N29" s="29">
        <f t="shared" si="0"/>
        <v>7.0000000000000021E-2</v>
      </c>
      <c r="O29" s="30">
        <v>0.02</v>
      </c>
      <c r="P29" s="30">
        <v>2E-3</v>
      </c>
      <c r="Q29" s="30">
        <v>0.01</v>
      </c>
      <c r="R29" s="30">
        <v>0</v>
      </c>
      <c r="S29" s="30">
        <v>0</v>
      </c>
      <c r="T29" s="30">
        <v>0.02</v>
      </c>
      <c r="U29" s="30">
        <v>0</v>
      </c>
      <c r="V29" s="31">
        <v>4.0000000000000001E-3</v>
      </c>
      <c r="W29" s="31">
        <v>4.0000000000000001E-3</v>
      </c>
      <c r="X29" s="31">
        <v>4.0000000000000001E-3</v>
      </c>
      <c r="Y29" s="31">
        <v>4.0000000000000001E-3</v>
      </c>
      <c r="Z29" s="31">
        <v>2E-3</v>
      </c>
      <c r="AA29" s="9" t="str">
        <f t="shared" si="1"/>
        <v>可回读</v>
      </c>
      <c r="AB29" s="9" t="s">
        <v>303</v>
      </c>
      <c r="AC29" s="9" t="s">
        <v>312</v>
      </c>
      <c r="AD29" s="9" t="s">
        <v>313</v>
      </c>
    </row>
    <row r="30" spans="1:30" ht="24" customHeight="1">
      <c r="A30" s="9" t="s">
        <v>314</v>
      </c>
      <c r="B30" s="9" t="s">
        <v>315</v>
      </c>
      <c r="C30" s="9" t="s">
        <v>314</v>
      </c>
      <c r="D30" s="9" t="s">
        <v>280</v>
      </c>
      <c r="E30" s="9" t="s">
        <v>220</v>
      </c>
      <c r="F30" s="9" t="s">
        <v>248</v>
      </c>
      <c r="G30" s="26">
        <v>600</v>
      </c>
      <c r="H30" s="26">
        <v>10</v>
      </c>
      <c r="I30" s="26">
        <v>150</v>
      </c>
      <c r="J30" s="26">
        <v>50</v>
      </c>
      <c r="K30" s="28">
        <v>20</v>
      </c>
      <c r="L30" s="26">
        <v>1</v>
      </c>
      <c r="M30" s="27">
        <v>1</v>
      </c>
      <c r="N30" s="29">
        <f t="shared" si="0"/>
        <v>7.0000000000000021E-2</v>
      </c>
      <c r="O30" s="30">
        <v>0.02</v>
      </c>
      <c r="P30" s="30">
        <v>2E-3</v>
      </c>
      <c r="Q30" s="30">
        <v>0.01</v>
      </c>
      <c r="R30" s="30">
        <v>0</v>
      </c>
      <c r="S30" s="30">
        <v>0</v>
      </c>
      <c r="T30" s="30">
        <v>0.02</v>
      </c>
      <c r="U30" s="30">
        <v>0</v>
      </c>
      <c r="V30" s="31">
        <v>4.0000000000000001E-3</v>
      </c>
      <c r="W30" s="31">
        <v>4.0000000000000001E-3</v>
      </c>
      <c r="X30" s="31">
        <v>4.0000000000000001E-3</v>
      </c>
      <c r="Y30" s="31">
        <v>4.0000000000000001E-3</v>
      </c>
      <c r="Z30" s="31">
        <v>2E-3</v>
      </c>
      <c r="AA30" s="9" t="str">
        <f t="shared" si="1"/>
        <v>可回读</v>
      </c>
      <c r="AB30" s="9" t="s">
        <v>303</v>
      </c>
      <c r="AC30" s="9" t="s">
        <v>316</v>
      </c>
      <c r="AD30" s="9" t="s">
        <v>317</v>
      </c>
    </row>
    <row r="31" spans="1:30" ht="24" customHeight="1">
      <c r="A31" s="9" t="s">
        <v>318</v>
      </c>
      <c r="B31" s="9" t="s">
        <v>319</v>
      </c>
      <c r="C31" s="9" t="s">
        <v>318</v>
      </c>
      <c r="D31" s="9" t="s">
        <v>280</v>
      </c>
      <c r="E31" s="9" t="s">
        <v>220</v>
      </c>
      <c r="F31" s="9" t="s">
        <v>248</v>
      </c>
      <c r="G31" s="26">
        <v>2000</v>
      </c>
      <c r="H31" s="26">
        <v>50</v>
      </c>
      <c r="I31" s="26">
        <v>150</v>
      </c>
      <c r="J31" s="26">
        <v>0</v>
      </c>
      <c r="K31" s="28">
        <v>20</v>
      </c>
      <c r="L31" s="26">
        <v>1</v>
      </c>
      <c r="M31" s="27">
        <v>1</v>
      </c>
      <c r="N31" s="29">
        <f t="shared" si="0"/>
        <v>7.0000000000000021E-2</v>
      </c>
      <c r="O31" s="30">
        <v>0.02</v>
      </c>
      <c r="P31" s="30">
        <v>2E-3</v>
      </c>
      <c r="Q31" s="30">
        <v>0.01</v>
      </c>
      <c r="R31" s="30">
        <v>0</v>
      </c>
      <c r="S31" s="30">
        <v>0</v>
      </c>
      <c r="T31" s="30">
        <v>0.02</v>
      </c>
      <c r="U31" s="30">
        <v>0</v>
      </c>
      <c r="V31" s="31">
        <v>4.0000000000000001E-3</v>
      </c>
      <c r="W31" s="31">
        <v>4.0000000000000001E-3</v>
      </c>
      <c r="X31" s="31">
        <v>4.0000000000000001E-3</v>
      </c>
      <c r="Y31" s="31">
        <v>4.0000000000000001E-3</v>
      </c>
      <c r="Z31" s="31">
        <v>2E-3</v>
      </c>
      <c r="AA31" s="9" t="str">
        <f t="shared" si="1"/>
        <v>可回读</v>
      </c>
      <c r="AB31" s="9" t="s">
        <v>303</v>
      </c>
      <c r="AC31" s="9" t="s">
        <v>320</v>
      </c>
      <c r="AD31" s="9" t="s">
        <v>321</v>
      </c>
    </row>
    <row r="32" spans="1:30" ht="24" customHeight="1">
      <c r="A32" s="9" t="s">
        <v>160</v>
      </c>
      <c r="B32" s="9" t="s">
        <v>322</v>
      </c>
      <c r="C32" s="9" t="s">
        <v>160</v>
      </c>
      <c r="D32" s="9" t="s">
        <v>323</v>
      </c>
      <c r="E32" s="9" t="s">
        <v>220</v>
      </c>
      <c r="F32" s="9" t="s">
        <v>221</v>
      </c>
      <c r="G32" s="26">
        <v>200</v>
      </c>
      <c r="H32" s="26">
        <v>28</v>
      </c>
      <c r="I32" s="26">
        <v>10</v>
      </c>
      <c r="J32" s="26">
        <v>0</v>
      </c>
      <c r="K32" s="28">
        <v>34</v>
      </c>
      <c r="L32" s="26">
        <v>2</v>
      </c>
      <c r="M32" s="27">
        <v>4</v>
      </c>
      <c r="N32" s="29">
        <f t="shared" si="0"/>
        <v>7.0000000000000021E-2</v>
      </c>
      <c r="O32" s="30">
        <v>0.02</v>
      </c>
      <c r="P32" s="30">
        <v>2E-3</v>
      </c>
      <c r="Q32" s="30">
        <v>0.01</v>
      </c>
      <c r="R32" s="30">
        <v>0.01</v>
      </c>
      <c r="S32" s="30">
        <v>0.01</v>
      </c>
      <c r="T32" s="30">
        <v>0</v>
      </c>
      <c r="U32" s="30">
        <v>0</v>
      </c>
      <c r="V32" s="31">
        <v>4.0000000000000001E-3</v>
      </c>
      <c r="W32" s="31">
        <v>4.0000000000000001E-3</v>
      </c>
      <c r="X32" s="31">
        <v>4.0000000000000001E-3</v>
      </c>
      <c r="Y32" s="31">
        <v>4.0000000000000001E-3</v>
      </c>
      <c r="Z32" s="31">
        <v>2E-3</v>
      </c>
      <c r="AA32" s="9" t="str">
        <f t="shared" si="1"/>
        <v>可回读</v>
      </c>
      <c r="AB32" s="9" t="s">
        <v>324</v>
      </c>
      <c r="AC32" s="9" t="s">
        <v>325</v>
      </c>
      <c r="AD32" s="9" t="s">
        <v>326</v>
      </c>
    </row>
    <row r="33" spans="1:30" ht="24" customHeight="1">
      <c r="A33" s="9" t="s">
        <v>327</v>
      </c>
      <c r="B33" s="9" t="s">
        <v>328</v>
      </c>
      <c r="C33" s="9" t="s">
        <v>327</v>
      </c>
      <c r="D33" s="9" t="s">
        <v>323</v>
      </c>
      <c r="E33" s="9" t="s">
        <v>329</v>
      </c>
      <c r="F33" s="9" t="s">
        <v>248</v>
      </c>
      <c r="G33" s="26">
        <v>350</v>
      </c>
      <c r="H33" s="26">
        <v>28</v>
      </c>
      <c r="I33" s="26">
        <v>15</v>
      </c>
      <c r="J33" s="26">
        <v>0</v>
      </c>
      <c r="K33" s="28">
        <v>34</v>
      </c>
      <c r="L33" s="26">
        <v>2</v>
      </c>
      <c r="M33" s="27">
        <v>4</v>
      </c>
      <c r="N33" s="29">
        <f t="shared" si="0"/>
        <v>7.0000000000000021E-2</v>
      </c>
      <c r="O33" s="30">
        <v>0.02</v>
      </c>
      <c r="P33" s="30">
        <v>2E-3</v>
      </c>
      <c r="Q33" s="30">
        <v>0.01</v>
      </c>
      <c r="R33" s="30">
        <v>0.01</v>
      </c>
      <c r="S33" s="30">
        <v>0.01</v>
      </c>
      <c r="T33" s="30">
        <v>0</v>
      </c>
      <c r="U33" s="30">
        <v>0</v>
      </c>
      <c r="V33" s="31">
        <v>4.0000000000000001E-3</v>
      </c>
      <c r="W33" s="31">
        <v>4.0000000000000001E-3</v>
      </c>
      <c r="X33" s="31">
        <v>4.0000000000000001E-3</v>
      </c>
      <c r="Y33" s="31">
        <v>4.0000000000000001E-3</v>
      </c>
      <c r="Z33" s="31">
        <v>2E-3</v>
      </c>
      <c r="AA33" s="9" t="str">
        <f t="shared" si="1"/>
        <v>可回读</v>
      </c>
      <c r="AB33" s="9" t="s">
        <v>324</v>
      </c>
      <c r="AC33" s="9" t="s">
        <v>330</v>
      </c>
      <c r="AD33" s="9" t="s">
        <v>331</v>
      </c>
    </row>
    <row r="34" spans="1:30" ht="24" customHeight="1">
      <c r="A34" s="9" t="s">
        <v>332</v>
      </c>
      <c r="B34" s="9" t="s">
        <v>333</v>
      </c>
      <c r="C34" s="9" t="s">
        <v>332</v>
      </c>
      <c r="D34" s="9" t="s">
        <v>323</v>
      </c>
      <c r="E34" s="9" t="s">
        <v>220</v>
      </c>
      <c r="F34" s="9" t="s">
        <v>248</v>
      </c>
      <c r="G34" s="26">
        <v>400</v>
      </c>
      <c r="H34" s="26">
        <v>24</v>
      </c>
      <c r="I34" s="26">
        <v>5</v>
      </c>
      <c r="J34" s="26">
        <v>0</v>
      </c>
      <c r="K34" s="28">
        <v>38</v>
      </c>
      <c r="L34" s="26">
        <v>2</v>
      </c>
      <c r="M34" s="27">
        <v>4</v>
      </c>
      <c r="N34" s="29">
        <f t="shared" si="0"/>
        <v>7.0000000000000021E-2</v>
      </c>
      <c r="O34" s="30">
        <v>0.02</v>
      </c>
      <c r="P34" s="30">
        <v>2E-3</v>
      </c>
      <c r="Q34" s="30">
        <v>0.01</v>
      </c>
      <c r="R34" s="30">
        <v>0.01</v>
      </c>
      <c r="S34" s="30">
        <v>0.01</v>
      </c>
      <c r="T34" s="30">
        <v>0</v>
      </c>
      <c r="U34" s="30">
        <v>0</v>
      </c>
      <c r="V34" s="31">
        <v>4.0000000000000001E-3</v>
      </c>
      <c r="W34" s="31">
        <v>4.0000000000000001E-3</v>
      </c>
      <c r="X34" s="31">
        <v>4.0000000000000001E-3</v>
      </c>
      <c r="Y34" s="31">
        <v>4.0000000000000001E-3</v>
      </c>
      <c r="Z34" s="31">
        <v>2E-3</v>
      </c>
      <c r="AA34" s="9" t="str">
        <f t="shared" si="1"/>
        <v>可回读</v>
      </c>
      <c r="AB34" s="9" t="s">
        <v>324</v>
      </c>
      <c r="AC34" s="9" t="s">
        <v>334</v>
      </c>
      <c r="AD34" s="9" t="s">
        <v>335</v>
      </c>
    </row>
    <row r="35" spans="1:30" ht="24" customHeight="1">
      <c r="A35" s="9" t="s">
        <v>336</v>
      </c>
      <c r="B35" s="9" t="s">
        <v>337</v>
      </c>
      <c r="C35" s="9" t="s">
        <v>336</v>
      </c>
      <c r="D35" s="9" t="s">
        <v>323</v>
      </c>
      <c r="E35" s="9" t="s">
        <v>220</v>
      </c>
      <c r="F35" s="9" t="s">
        <v>248</v>
      </c>
      <c r="G35" s="26">
        <v>200</v>
      </c>
      <c r="H35" s="26">
        <v>30</v>
      </c>
      <c r="I35" s="26">
        <v>0</v>
      </c>
      <c r="J35" s="26">
        <v>0</v>
      </c>
      <c r="K35" s="28">
        <v>100</v>
      </c>
      <c r="L35" s="26">
        <v>2</v>
      </c>
      <c r="M35" s="27">
        <v>5</v>
      </c>
      <c r="N35" s="29">
        <f t="shared" si="0"/>
        <v>7.0000000000000021E-2</v>
      </c>
      <c r="O35" s="30">
        <v>0.02</v>
      </c>
      <c r="P35" s="30">
        <v>2E-3</v>
      </c>
      <c r="Q35" s="30">
        <v>0.01</v>
      </c>
      <c r="R35" s="30">
        <v>0.01</v>
      </c>
      <c r="S35" s="30">
        <v>0.01</v>
      </c>
      <c r="T35" s="30">
        <v>0</v>
      </c>
      <c r="U35" s="30">
        <v>0</v>
      </c>
      <c r="V35" s="31">
        <v>4.0000000000000001E-3</v>
      </c>
      <c r="W35" s="31">
        <v>4.0000000000000001E-3</v>
      </c>
      <c r="X35" s="31">
        <v>4.0000000000000001E-3</v>
      </c>
      <c r="Y35" s="31">
        <v>4.0000000000000001E-3</v>
      </c>
      <c r="Z35" s="31">
        <v>2E-3</v>
      </c>
      <c r="AA35" s="9" t="str">
        <f t="shared" si="1"/>
        <v>可回读</v>
      </c>
      <c r="AB35" s="9" t="s">
        <v>324</v>
      </c>
      <c r="AC35" s="9" t="s">
        <v>338</v>
      </c>
      <c r="AD35" s="9" t="s">
        <v>339</v>
      </c>
    </row>
    <row r="36" spans="1:30" ht="24" customHeight="1">
      <c r="A36" s="9" t="s">
        <v>164</v>
      </c>
      <c r="B36" s="9" t="s">
        <v>340</v>
      </c>
      <c r="C36" s="9" t="s">
        <v>164</v>
      </c>
      <c r="D36" s="9" t="s">
        <v>323</v>
      </c>
      <c r="E36" s="9" t="s">
        <v>220</v>
      </c>
      <c r="F36" s="9" t="s">
        <v>221</v>
      </c>
      <c r="G36" s="26">
        <v>150</v>
      </c>
      <c r="H36" s="26">
        <v>20</v>
      </c>
      <c r="I36" s="26">
        <v>0</v>
      </c>
      <c r="J36" s="26">
        <v>0</v>
      </c>
      <c r="K36" s="28">
        <v>18</v>
      </c>
      <c r="L36" s="26">
        <v>2</v>
      </c>
      <c r="M36" s="27">
        <v>5</v>
      </c>
      <c r="N36" s="29">
        <f t="shared" si="0"/>
        <v>7.0000000000000021E-2</v>
      </c>
      <c r="O36" s="30">
        <v>0.02</v>
      </c>
      <c r="P36" s="30">
        <v>2E-3</v>
      </c>
      <c r="Q36" s="30">
        <v>0.01</v>
      </c>
      <c r="R36" s="30">
        <v>0.01</v>
      </c>
      <c r="S36" s="30">
        <v>0.01</v>
      </c>
      <c r="T36" s="30">
        <v>0</v>
      </c>
      <c r="U36" s="30">
        <v>0</v>
      </c>
      <c r="V36" s="31">
        <v>4.0000000000000001E-3</v>
      </c>
      <c r="W36" s="31">
        <v>4.0000000000000001E-3</v>
      </c>
      <c r="X36" s="31">
        <v>4.0000000000000001E-3</v>
      </c>
      <c r="Y36" s="31">
        <v>4.0000000000000001E-3</v>
      </c>
      <c r="Z36" s="31">
        <v>2E-3</v>
      </c>
      <c r="AA36" s="9" t="str">
        <f t="shared" si="1"/>
        <v>可回读</v>
      </c>
      <c r="AB36" s="9" t="s">
        <v>324</v>
      </c>
      <c r="AC36" s="9" t="s">
        <v>341</v>
      </c>
      <c r="AD36" s="9" t="s">
        <v>342</v>
      </c>
    </row>
    <row r="37" spans="1:30" ht="24" customHeight="1">
      <c r="A37" s="9" t="s">
        <v>171</v>
      </c>
      <c r="B37" s="9" t="s">
        <v>343</v>
      </c>
      <c r="C37" s="9" t="s">
        <v>171</v>
      </c>
      <c r="D37" s="9" t="s">
        <v>323</v>
      </c>
      <c r="E37" s="9" t="s">
        <v>220</v>
      </c>
      <c r="F37" s="9" t="s">
        <v>221</v>
      </c>
      <c r="G37" s="26">
        <v>200</v>
      </c>
      <c r="H37" s="26">
        <v>20</v>
      </c>
      <c r="I37" s="26">
        <v>0</v>
      </c>
      <c r="J37" s="26">
        <v>0</v>
      </c>
      <c r="K37" s="28">
        <v>16</v>
      </c>
      <c r="L37" s="26">
        <v>2</v>
      </c>
      <c r="M37" s="27">
        <v>5</v>
      </c>
      <c r="N37" s="29">
        <f t="shared" si="0"/>
        <v>7.0000000000000021E-2</v>
      </c>
      <c r="O37" s="30">
        <v>0.02</v>
      </c>
      <c r="P37" s="30">
        <v>2E-3</v>
      </c>
      <c r="Q37" s="30">
        <v>0.01</v>
      </c>
      <c r="R37" s="30">
        <v>0.01</v>
      </c>
      <c r="S37" s="30">
        <v>0.01</v>
      </c>
      <c r="T37" s="30">
        <v>0</v>
      </c>
      <c r="U37" s="30">
        <v>0</v>
      </c>
      <c r="V37" s="31">
        <v>4.0000000000000001E-3</v>
      </c>
      <c r="W37" s="31">
        <v>4.0000000000000001E-3</v>
      </c>
      <c r="X37" s="31">
        <v>4.0000000000000001E-3</v>
      </c>
      <c r="Y37" s="31">
        <v>4.0000000000000001E-3</v>
      </c>
      <c r="Z37" s="31">
        <v>2E-3</v>
      </c>
      <c r="AA37" s="9" t="str">
        <f t="shared" si="1"/>
        <v>可回读</v>
      </c>
      <c r="AB37" s="9" t="s">
        <v>324</v>
      </c>
      <c r="AC37" s="9" t="s">
        <v>344</v>
      </c>
      <c r="AD37" s="9" t="s">
        <v>345</v>
      </c>
    </row>
    <row r="38" spans="1:30" ht="24" customHeight="1">
      <c r="A38" s="9" t="s">
        <v>167</v>
      </c>
      <c r="B38" s="9" t="s">
        <v>346</v>
      </c>
      <c r="C38" s="9" t="s">
        <v>167</v>
      </c>
      <c r="D38" s="9" t="s">
        <v>323</v>
      </c>
      <c r="E38" s="9" t="s">
        <v>220</v>
      </c>
      <c r="F38" s="9" t="s">
        <v>221</v>
      </c>
      <c r="G38" s="26">
        <v>200</v>
      </c>
      <c r="H38" s="26">
        <v>35</v>
      </c>
      <c r="I38" s="26">
        <v>0</v>
      </c>
      <c r="J38" s="26">
        <v>0</v>
      </c>
      <c r="K38" s="28">
        <v>24</v>
      </c>
      <c r="L38" s="26">
        <v>2</v>
      </c>
      <c r="M38" s="27">
        <v>10</v>
      </c>
      <c r="N38" s="29">
        <f t="shared" ref="N38:N69" si="2">SUM(O38:Z38)</f>
        <v>7.0000000000000021E-2</v>
      </c>
      <c r="O38" s="30">
        <v>0.02</v>
      </c>
      <c r="P38" s="30">
        <v>2E-3</v>
      </c>
      <c r="Q38" s="30">
        <v>0.01</v>
      </c>
      <c r="R38" s="30">
        <v>0.01</v>
      </c>
      <c r="S38" s="30">
        <v>0.01</v>
      </c>
      <c r="T38" s="30">
        <v>0</v>
      </c>
      <c r="U38" s="30">
        <v>0</v>
      </c>
      <c r="V38" s="31">
        <v>4.0000000000000001E-3</v>
      </c>
      <c r="W38" s="31">
        <v>4.0000000000000001E-3</v>
      </c>
      <c r="X38" s="31">
        <v>4.0000000000000001E-3</v>
      </c>
      <c r="Y38" s="31">
        <v>4.0000000000000001E-3</v>
      </c>
      <c r="Z38" s="31">
        <v>2E-3</v>
      </c>
      <c r="AA38" s="9" t="str">
        <f t="shared" ref="AA38:AA69" si="3">IF(OR(G38&lt;1,G38&lt;&gt;INT(G38)),"生命无效",IF(OR(H38&lt;0,H38&lt;&gt;INT(H38)),"攻击无效",IF(OR(I38&lt;0,I38&lt;&gt;INT(I38)),"物防无效",IF(OR(J38&lt;0,J38&gt;100,J38&lt;&gt;INT(J38)),"法防无效",IF(OR(K38&lt;0,K38&gt;1000),"移速无效",IF(OR(L38&lt;1,L38&lt;&gt;INT(L38)),"Home伤害无效",IF(OR(M38&lt;0,M38&lt;&gt;INT(M38)),"息壤无效",IF(OR(MIN(O38:Z38)&lt;0,MAX(O38:Z38)&gt;1),"掉落概率无效","可回读"))))))))</f>
        <v>可回读</v>
      </c>
      <c r="AB38" s="9" t="s">
        <v>324</v>
      </c>
      <c r="AC38" s="9" t="s">
        <v>347</v>
      </c>
      <c r="AD38" s="9" t="s">
        <v>348</v>
      </c>
    </row>
    <row r="39" spans="1:30" ht="24" customHeight="1">
      <c r="A39" s="9" t="s">
        <v>349</v>
      </c>
      <c r="B39" s="9" t="s">
        <v>350</v>
      </c>
      <c r="C39" s="9" t="s">
        <v>349</v>
      </c>
      <c r="D39" s="9" t="s">
        <v>323</v>
      </c>
      <c r="E39" s="9" t="s">
        <v>220</v>
      </c>
      <c r="F39" s="9" t="s">
        <v>248</v>
      </c>
      <c r="G39" s="26">
        <v>100</v>
      </c>
      <c r="H39" s="26">
        <v>200</v>
      </c>
      <c r="I39" s="26">
        <v>20</v>
      </c>
      <c r="J39" s="26">
        <v>0</v>
      </c>
      <c r="K39" s="28">
        <v>80</v>
      </c>
      <c r="L39" s="26">
        <v>2</v>
      </c>
      <c r="M39" s="27">
        <v>10</v>
      </c>
      <c r="N39" s="29">
        <f t="shared" si="2"/>
        <v>7.0000000000000021E-2</v>
      </c>
      <c r="O39" s="30">
        <v>0.02</v>
      </c>
      <c r="P39" s="30">
        <v>2E-3</v>
      </c>
      <c r="Q39" s="30">
        <v>0.01</v>
      </c>
      <c r="R39" s="30">
        <v>0.01</v>
      </c>
      <c r="S39" s="30">
        <v>0.01</v>
      </c>
      <c r="T39" s="30">
        <v>0</v>
      </c>
      <c r="U39" s="30">
        <v>0</v>
      </c>
      <c r="V39" s="31">
        <v>4.0000000000000001E-3</v>
      </c>
      <c r="W39" s="31">
        <v>4.0000000000000001E-3</v>
      </c>
      <c r="X39" s="31">
        <v>4.0000000000000001E-3</v>
      </c>
      <c r="Y39" s="31">
        <v>4.0000000000000001E-3</v>
      </c>
      <c r="Z39" s="31">
        <v>2E-3</v>
      </c>
      <c r="AA39" s="9" t="str">
        <f t="shared" si="3"/>
        <v>可回读</v>
      </c>
      <c r="AB39" s="9" t="s">
        <v>324</v>
      </c>
      <c r="AC39" s="9" t="s">
        <v>351</v>
      </c>
      <c r="AD39" s="9" t="s">
        <v>352</v>
      </c>
    </row>
    <row r="40" spans="1:30" ht="24" customHeight="1">
      <c r="A40" s="9" t="s">
        <v>353</v>
      </c>
      <c r="B40" s="9" t="s">
        <v>354</v>
      </c>
      <c r="C40" s="9" t="s">
        <v>353</v>
      </c>
      <c r="D40" s="9" t="s">
        <v>323</v>
      </c>
      <c r="E40" s="9" t="s">
        <v>220</v>
      </c>
      <c r="F40" s="9" t="s">
        <v>248</v>
      </c>
      <c r="G40" s="26">
        <v>400</v>
      </c>
      <c r="H40" s="26">
        <v>28</v>
      </c>
      <c r="I40" s="26">
        <v>150</v>
      </c>
      <c r="J40" s="26">
        <v>0</v>
      </c>
      <c r="K40" s="28">
        <v>34</v>
      </c>
      <c r="L40" s="26">
        <v>2</v>
      </c>
      <c r="M40" s="27">
        <v>4</v>
      </c>
      <c r="N40" s="29">
        <f t="shared" si="2"/>
        <v>7.0000000000000021E-2</v>
      </c>
      <c r="O40" s="30">
        <v>0.02</v>
      </c>
      <c r="P40" s="30">
        <v>2E-3</v>
      </c>
      <c r="Q40" s="30">
        <v>0.01</v>
      </c>
      <c r="R40" s="30">
        <v>0.01</v>
      </c>
      <c r="S40" s="30">
        <v>0.01</v>
      </c>
      <c r="T40" s="30">
        <v>0</v>
      </c>
      <c r="U40" s="30">
        <v>0</v>
      </c>
      <c r="V40" s="31">
        <v>4.0000000000000001E-3</v>
      </c>
      <c r="W40" s="31">
        <v>4.0000000000000001E-3</v>
      </c>
      <c r="X40" s="31">
        <v>4.0000000000000001E-3</v>
      </c>
      <c r="Y40" s="31">
        <v>4.0000000000000001E-3</v>
      </c>
      <c r="Z40" s="31">
        <v>2E-3</v>
      </c>
      <c r="AA40" s="9" t="str">
        <f t="shared" si="3"/>
        <v>可回读</v>
      </c>
      <c r="AB40" s="9" t="s">
        <v>355</v>
      </c>
      <c r="AC40" s="9" t="s">
        <v>356</v>
      </c>
      <c r="AD40" s="9" t="s">
        <v>357</v>
      </c>
    </row>
    <row r="41" spans="1:30" ht="24" customHeight="1">
      <c r="A41" s="9" t="s">
        <v>358</v>
      </c>
      <c r="B41" s="9" t="s">
        <v>359</v>
      </c>
      <c r="C41" s="9" t="s">
        <v>358</v>
      </c>
      <c r="D41" s="9" t="s">
        <v>323</v>
      </c>
      <c r="E41" s="9" t="s">
        <v>329</v>
      </c>
      <c r="F41" s="9" t="s">
        <v>248</v>
      </c>
      <c r="G41" s="26">
        <v>700</v>
      </c>
      <c r="H41" s="26">
        <v>28</v>
      </c>
      <c r="I41" s="26">
        <v>150</v>
      </c>
      <c r="J41" s="26">
        <v>0</v>
      </c>
      <c r="K41" s="28">
        <v>34</v>
      </c>
      <c r="L41" s="26">
        <v>2</v>
      </c>
      <c r="M41" s="27">
        <v>4</v>
      </c>
      <c r="N41" s="29">
        <f t="shared" si="2"/>
        <v>7.0000000000000021E-2</v>
      </c>
      <c r="O41" s="30">
        <v>0.02</v>
      </c>
      <c r="P41" s="30">
        <v>2E-3</v>
      </c>
      <c r="Q41" s="30">
        <v>0.01</v>
      </c>
      <c r="R41" s="30">
        <v>0.01</v>
      </c>
      <c r="S41" s="30">
        <v>0.01</v>
      </c>
      <c r="T41" s="30">
        <v>0</v>
      </c>
      <c r="U41" s="30">
        <v>0</v>
      </c>
      <c r="V41" s="31">
        <v>4.0000000000000001E-3</v>
      </c>
      <c r="W41" s="31">
        <v>4.0000000000000001E-3</v>
      </c>
      <c r="X41" s="31">
        <v>4.0000000000000001E-3</v>
      </c>
      <c r="Y41" s="31">
        <v>4.0000000000000001E-3</v>
      </c>
      <c r="Z41" s="31">
        <v>2E-3</v>
      </c>
      <c r="AA41" s="9" t="str">
        <f t="shared" si="3"/>
        <v>可回读</v>
      </c>
      <c r="AB41" s="9" t="s">
        <v>355</v>
      </c>
      <c r="AC41" s="9" t="s">
        <v>360</v>
      </c>
      <c r="AD41" s="9" t="s">
        <v>361</v>
      </c>
    </row>
    <row r="42" spans="1:30" ht="24" customHeight="1">
      <c r="A42" s="9" t="s">
        <v>362</v>
      </c>
      <c r="B42" s="9" t="s">
        <v>363</v>
      </c>
      <c r="C42" s="9" t="s">
        <v>362</v>
      </c>
      <c r="D42" s="9" t="s">
        <v>323</v>
      </c>
      <c r="E42" s="9" t="s">
        <v>220</v>
      </c>
      <c r="F42" s="9" t="s">
        <v>248</v>
      </c>
      <c r="G42" s="26">
        <v>800</v>
      </c>
      <c r="H42" s="26">
        <v>24</v>
      </c>
      <c r="I42" s="26">
        <v>150</v>
      </c>
      <c r="J42" s="26">
        <v>0</v>
      </c>
      <c r="K42" s="28">
        <v>38</v>
      </c>
      <c r="L42" s="26">
        <v>2</v>
      </c>
      <c r="M42" s="27">
        <v>4</v>
      </c>
      <c r="N42" s="29">
        <f t="shared" si="2"/>
        <v>7.0000000000000021E-2</v>
      </c>
      <c r="O42" s="30">
        <v>0.02</v>
      </c>
      <c r="P42" s="30">
        <v>2E-3</v>
      </c>
      <c r="Q42" s="30">
        <v>0.01</v>
      </c>
      <c r="R42" s="30">
        <v>0.01</v>
      </c>
      <c r="S42" s="30">
        <v>0.01</v>
      </c>
      <c r="T42" s="30">
        <v>0</v>
      </c>
      <c r="U42" s="30">
        <v>0</v>
      </c>
      <c r="V42" s="31">
        <v>4.0000000000000001E-3</v>
      </c>
      <c r="W42" s="31">
        <v>4.0000000000000001E-3</v>
      </c>
      <c r="X42" s="31">
        <v>4.0000000000000001E-3</v>
      </c>
      <c r="Y42" s="31">
        <v>4.0000000000000001E-3</v>
      </c>
      <c r="Z42" s="31">
        <v>2E-3</v>
      </c>
      <c r="AA42" s="9" t="str">
        <f t="shared" si="3"/>
        <v>可回读</v>
      </c>
      <c r="AB42" s="9" t="s">
        <v>355</v>
      </c>
      <c r="AC42" s="9" t="s">
        <v>364</v>
      </c>
      <c r="AD42" s="9" t="s">
        <v>365</v>
      </c>
    </row>
    <row r="43" spans="1:30" ht="24" customHeight="1">
      <c r="A43" s="9" t="s">
        <v>366</v>
      </c>
      <c r="B43" s="9" t="s">
        <v>367</v>
      </c>
      <c r="C43" s="9" t="s">
        <v>366</v>
      </c>
      <c r="D43" s="9" t="s">
        <v>323</v>
      </c>
      <c r="E43" s="9" t="s">
        <v>220</v>
      </c>
      <c r="F43" s="9" t="s">
        <v>248</v>
      </c>
      <c r="G43" s="26">
        <v>400</v>
      </c>
      <c r="H43" s="26">
        <v>30</v>
      </c>
      <c r="I43" s="26">
        <v>150</v>
      </c>
      <c r="J43" s="26">
        <v>0</v>
      </c>
      <c r="K43" s="28">
        <v>100</v>
      </c>
      <c r="L43" s="26">
        <v>2</v>
      </c>
      <c r="M43" s="27">
        <v>5</v>
      </c>
      <c r="N43" s="29">
        <f t="shared" si="2"/>
        <v>7.0000000000000021E-2</v>
      </c>
      <c r="O43" s="30">
        <v>0.02</v>
      </c>
      <c r="P43" s="30">
        <v>2E-3</v>
      </c>
      <c r="Q43" s="30">
        <v>0.01</v>
      </c>
      <c r="R43" s="30">
        <v>0.01</v>
      </c>
      <c r="S43" s="30">
        <v>0.01</v>
      </c>
      <c r="T43" s="30">
        <v>0</v>
      </c>
      <c r="U43" s="30">
        <v>0</v>
      </c>
      <c r="V43" s="31">
        <v>4.0000000000000001E-3</v>
      </c>
      <c r="W43" s="31">
        <v>4.0000000000000001E-3</v>
      </c>
      <c r="X43" s="31">
        <v>4.0000000000000001E-3</v>
      </c>
      <c r="Y43" s="31">
        <v>4.0000000000000001E-3</v>
      </c>
      <c r="Z43" s="31">
        <v>2E-3</v>
      </c>
      <c r="AA43" s="9" t="str">
        <f t="shared" si="3"/>
        <v>可回读</v>
      </c>
      <c r="AB43" s="9" t="s">
        <v>355</v>
      </c>
      <c r="AC43" s="9" t="s">
        <v>368</v>
      </c>
      <c r="AD43" s="9" t="s">
        <v>369</v>
      </c>
    </row>
    <row r="44" spans="1:30" ht="24" customHeight="1">
      <c r="A44" s="9" t="s">
        <v>370</v>
      </c>
      <c r="B44" s="9" t="s">
        <v>371</v>
      </c>
      <c r="C44" s="9" t="s">
        <v>370</v>
      </c>
      <c r="D44" s="9" t="s">
        <v>323</v>
      </c>
      <c r="E44" s="9" t="s">
        <v>220</v>
      </c>
      <c r="F44" s="9" t="s">
        <v>248</v>
      </c>
      <c r="G44" s="26">
        <v>300</v>
      </c>
      <c r="H44" s="26">
        <v>20</v>
      </c>
      <c r="I44" s="26">
        <v>150</v>
      </c>
      <c r="J44" s="26">
        <v>0</v>
      </c>
      <c r="K44" s="28">
        <v>18</v>
      </c>
      <c r="L44" s="26">
        <v>2</v>
      </c>
      <c r="M44" s="27">
        <v>5</v>
      </c>
      <c r="N44" s="29">
        <f t="shared" si="2"/>
        <v>7.0000000000000021E-2</v>
      </c>
      <c r="O44" s="30">
        <v>0.02</v>
      </c>
      <c r="P44" s="30">
        <v>2E-3</v>
      </c>
      <c r="Q44" s="30">
        <v>0.01</v>
      </c>
      <c r="R44" s="30">
        <v>0.01</v>
      </c>
      <c r="S44" s="30">
        <v>0.01</v>
      </c>
      <c r="T44" s="30">
        <v>0</v>
      </c>
      <c r="U44" s="30">
        <v>0</v>
      </c>
      <c r="V44" s="31">
        <v>4.0000000000000001E-3</v>
      </c>
      <c r="W44" s="31">
        <v>4.0000000000000001E-3</v>
      </c>
      <c r="X44" s="31">
        <v>4.0000000000000001E-3</v>
      </c>
      <c r="Y44" s="31">
        <v>4.0000000000000001E-3</v>
      </c>
      <c r="Z44" s="31">
        <v>2E-3</v>
      </c>
      <c r="AA44" s="9" t="str">
        <f t="shared" si="3"/>
        <v>可回读</v>
      </c>
      <c r="AB44" s="9" t="s">
        <v>355</v>
      </c>
      <c r="AC44" s="9" t="s">
        <v>372</v>
      </c>
      <c r="AD44" s="9" t="s">
        <v>373</v>
      </c>
    </row>
    <row r="45" spans="1:30" ht="24" customHeight="1">
      <c r="A45" s="9" t="s">
        <v>374</v>
      </c>
      <c r="B45" s="9" t="s">
        <v>375</v>
      </c>
      <c r="C45" s="9" t="s">
        <v>374</v>
      </c>
      <c r="D45" s="9" t="s">
        <v>323</v>
      </c>
      <c r="E45" s="9" t="s">
        <v>220</v>
      </c>
      <c r="F45" s="9" t="s">
        <v>248</v>
      </c>
      <c r="G45" s="26">
        <v>400</v>
      </c>
      <c r="H45" s="26">
        <v>20</v>
      </c>
      <c r="I45" s="26">
        <v>150</v>
      </c>
      <c r="J45" s="26">
        <v>0</v>
      </c>
      <c r="K45" s="28">
        <v>16</v>
      </c>
      <c r="L45" s="26">
        <v>2</v>
      </c>
      <c r="M45" s="27">
        <v>5</v>
      </c>
      <c r="N45" s="29">
        <f t="shared" si="2"/>
        <v>7.0000000000000021E-2</v>
      </c>
      <c r="O45" s="30">
        <v>0.02</v>
      </c>
      <c r="P45" s="30">
        <v>2E-3</v>
      </c>
      <c r="Q45" s="30">
        <v>0.01</v>
      </c>
      <c r="R45" s="30">
        <v>0.01</v>
      </c>
      <c r="S45" s="30">
        <v>0.01</v>
      </c>
      <c r="T45" s="30">
        <v>0</v>
      </c>
      <c r="U45" s="30">
        <v>0</v>
      </c>
      <c r="V45" s="31">
        <v>4.0000000000000001E-3</v>
      </c>
      <c r="W45" s="31">
        <v>4.0000000000000001E-3</v>
      </c>
      <c r="X45" s="31">
        <v>4.0000000000000001E-3</v>
      </c>
      <c r="Y45" s="31">
        <v>4.0000000000000001E-3</v>
      </c>
      <c r="Z45" s="31">
        <v>2E-3</v>
      </c>
      <c r="AA45" s="9" t="str">
        <f t="shared" si="3"/>
        <v>可回读</v>
      </c>
      <c r="AB45" s="9" t="s">
        <v>355</v>
      </c>
      <c r="AC45" s="9" t="s">
        <v>376</v>
      </c>
      <c r="AD45" s="9" t="s">
        <v>377</v>
      </c>
    </row>
    <row r="46" spans="1:30" ht="24" customHeight="1">
      <c r="A46" s="9" t="s">
        <v>378</v>
      </c>
      <c r="B46" s="9" t="s">
        <v>379</v>
      </c>
      <c r="C46" s="9" t="s">
        <v>378</v>
      </c>
      <c r="D46" s="9" t="s">
        <v>323</v>
      </c>
      <c r="E46" s="9" t="s">
        <v>220</v>
      </c>
      <c r="F46" s="9" t="s">
        <v>248</v>
      </c>
      <c r="G46" s="26">
        <v>400</v>
      </c>
      <c r="H46" s="26">
        <v>35</v>
      </c>
      <c r="I46" s="26">
        <v>150</v>
      </c>
      <c r="J46" s="26">
        <v>0</v>
      </c>
      <c r="K46" s="28">
        <v>24</v>
      </c>
      <c r="L46" s="26">
        <v>2</v>
      </c>
      <c r="M46" s="27">
        <v>10</v>
      </c>
      <c r="N46" s="29">
        <f t="shared" si="2"/>
        <v>7.0000000000000021E-2</v>
      </c>
      <c r="O46" s="30">
        <v>0.02</v>
      </c>
      <c r="P46" s="30">
        <v>2E-3</v>
      </c>
      <c r="Q46" s="30">
        <v>0.01</v>
      </c>
      <c r="R46" s="30">
        <v>0.01</v>
      </c>
      <c r="S46" s="30">
        <v>0.01</v>
      </c>
      <c r="T46" s="30">
        <v>0</v>
      </c>
      <c r="U46" s="30">
        <v>0</v>
      </c>
      <c r="V46" s="31">
        <v>4.0000000000000001E-3</v>
      </c>
      <c r="W46" s="31">
        <v>4.0000000000000001E-3</v>
      </c>
      <c r="X46" s="31">
        <v>4.0000000000000001E-3</v>
      </c>
      <c r="Y46" s="31">
        <v>4.0000000000000001E-3</v>
      </c>
      <c r="Z46" s="31">
        <v>2E-3</v>
      </c>
      <c r="AA46" s="9" t="str">
        <f t="shared" si="3"/>
        <v>可回读</v>
      </c>
      <c r="AB46" s="9" t="s">
        <v>355</v>
      </c>
      <c r="AC46" s="9" t="s">
        <v>380</v>
      </c>
      <c r="AD46" s="9" t="s">
        <v>381</v>
      </c>
    </row>
    <row r="47" spans="1:30" ht="24" customHeight="1">
      <c r="A47" s="9" t="s">
        <v>382</v>
      </c>
      <c r="B47" s="9" t="s">
        <v>383</v>
      </c>
      <c r="C47" s="9" t="s">
        <v>382</v>
      </c>
      <c r="D47" s="9" t="s">
        <v>323</v>
      </c>
      <c r="E47" s="9" t="s">
        <v>220</v>
      </c>
      <c r="F47" s="9" t="s">
        <v>248</v>
      </c>
      <c r="G47" s="26">
        <v>200</v>
      </c>
      <c r="H47" s="26">
        <v>200</v>
      </c>
      <c r="I47" s="26">
        <v>150</v>
      </c>
      <c r="J47" s="26">
        <v>0</v>
      </c>
      <c r="K47" s="28">
        <v>80</v>
      </c>
      <c r="L47" s="26">
        <v>2</v>
      </c>
      <c r="M47" s="27">
        <v>10</v>
      </c>
      <c r="N47" s="29">
        <f t="shared" si="2"/>
        <v>7.0000000000000021E-2</v>
      </c>
      <c r="O47" s="30">
        <v>0.02</v>
      </c>
      <c r="P47" s="30">
        <v>2E-3</v>
      </c>
      <c r="Q47" s="30">
        <v>0.01</v>
      </c>
      <c r="R47" s="30">
        <v>0.01</v>
      </c>
      <c r="S47" s="30">
        <v>0.01</v>
      </c>
      <c r="T47" s="30">
        <v>0</v>
      </c>
      <c r="U47" s="30">
        <v>0</v>
      </c>
      <c r="V47" s="31">
        <v>4.0000000000000001E-3</v>
      </c>
      <c r="W47" s="31">
        <v>4.0000000000000001E-3</v>
      </c>
      <c r="X47" s="31">
        <v>4.0000000000000001E-3</v>
      </c>
      <c r="Y47" s="31">
        <v>4.0000000000000001E-3</v>
      </c>
      <c r="Z47" s="31">
        <v>2E-3</v>
      </c>
      <c r="AA47" s="9" t="str">
        <f t="shared" si="3"/>
        <v>可回读</v>
      </c>
      <c r="AB47" s="9" t="s">
        <v>355</v>
      </c>
      <c r="AC47" s="9" t="s">
        <v>384</v>
      </c>
      <c r="AD47" s="9" t="s">
        <v>385</v>
      </c>
    </row>
    <row r="48" spans="1:30" ht="24" customHeight="1">
      <c r="A48" s="9" t="s">
        <v>386</v>
      </c>
      <c r="B48" s="9" t="s">
        <v>387</v>
      </c>
      <c r="C48" s="9" t="s">
        <v>386</v>
      </c>
      <c r="D48" s="9" t="s">
        <v>388</v>
      </c>
      <c r="E48" s="9" t="s">
        <v>220</v>
      </c>
      <c r="F48" s="9" t="s">
        <v>248</v>
      </c>
      <c r="G48" s="26">
        <v>200</v>
      </c>
      <c r="H48" s="26">
        <v>40</v>
      </c>
      <c r="I48" s="26">
        <v>20</v>
      </c>
      <c r="J48" s="26">
        <v>80</v>
      </c>
      <c r="K48" s="28">
        <v>24</v>
      </c>
      <c r="L48" s="26">
        <v>3</v>
      </c>
      <c r="M48" s="27">
        <v>20</v>
      </c>
      <c r="N48" s="29">
        <f t="shared" si="2"/>
        <v>7.0000000000000021E-2</v>
      </c>
      <c r="O48" s="30">
        <v>0.02</v>
      </c>
      <c r="P48" s="30">
        <v>2E-3</v>
      </c>
      <c r="Q48" s="30">
        <v>0.01</v>
      </c>
      <c r="R48" s="30">
        <v>0.01</v>
      </c>
      <c r="S48" s="30">
        <v>0.01</v>
      </c>
      <c r="T48" s="30">
        <v>0</v>
      </c>
      <c r="U48" s="30">
        <v>0</v>
      </c>
      <c r="V48" s="31">
        <v>4.0000000000000001E-3</v>
      </c>
      <c r="W48" s="31">
        <v>4.0000000000000001E-3</v>
      </c>
      <c r="X48" s="31">
        <v>4.0000000000000001E-3</v>
      </c>
      <c r="Y48" s="31">
        <v>4.0000000000000001E-3</v>
      </c>
      <c r="Z48" s="31">
        <v>2E-3</v>
      </c>
      <c r="AA48" s="9" t="str">
        <f t="shared" si="3"/>
        <v>可回读</v>
      </c>
      <c r="AB48" s="9" t="s">
        <v>389</v>
      </c>
      <c r="AC48" s="9" t="s">
        <v>390</v>
      </c>
      <c r="AD48" s="9" t="s">
        <v>391</v>
      </c>
    </row>
    <row r="49" spans="1:30" ht="24" customHeight="1">
      <c r="A49" s="9" t="s">
        <v>392</v>
      </c>
      <c r="B49" s="9" t="s">
        <v>393</v>
      </c>
      <c r="C49" s="9" t="s">
        <v>392</v>
      </c>
      <c r="D49" s="9" t="s">
        <v>388</v>
      </c>
      <c r="E49" s="9" t="s">
        <v>329</v>
      </c>
      <c r="F49" s="9" t="s">
        <v>248</v>
      </c>
      <c r="G49" s="26">
        <v>300</v>
      </c>
      <c r="H49" s="26">
        <v>70</v>
      </c>
      <c r="I49" s="26">
        <v>40</v>
      </c>
      <c r="J49" s="26">
        <v>80</v>
      </c>
      <c r="K49" s="28">
        <v>24</v>
      </c>
      <c r="L49" s="26">
        <v>3</v>
      </c>
      <c r="M49" s="27">
        <v>40</v>
      </c>
      <c r="N49" s="29">
        <f t="shared" si="2"/>
        <v>7.0000000000000021E-2</v>
      </c>
      <c r="O49" s="30">
        <v>0.02</v>
      </c>
      <c r="P49" s="30">
        <v>2E-3</v>
      </c>
      <c r="Q49" s="30">
        <v>0.01</v>
      </c>
      <c r="R49" s="30">
        <v>0.01</v>
      </c>
      <c r="S49" s="30">
        <v>0.01</v>
      </c>
      <c r="T49" s="30">
        <v>0</v>
      </c>
      <c r="U49" s="30">
        <v>0</v>
      </c>
      <c r="V49" s="31">
        <v>4.0000000000000001E-3</v>
      </c>
      <c r="W49" s="31">
        <v>4.0000000000000001E-3</v>
      </c>
      <c r="X49" s="31">
        <v>4.0000000000000001E-3</v>
      </c>
      <c r="Y49" s="31">
        <v>4.0000000000000001E-3</v>
      </c>
      <c r="Z49" s="31">
        <v>2E-3</v>
      </c>
      <c r="AA49" s="9" t="str">
        <f t="shared" si="3"/>
        <v>可回读</v>
      </c>
      <c r="AB49" s="9" t="s">
        <v>389</v>
      </c>
      <c r="AC49" s="9" t="s">
        <v>394</v>
      </c>
      <c r="AD49" s="9" t="s">
        <v>395</v>
      </c>
    </row>
    <row r="50" spans="1:30" ht="24" customHeight="1">
      <c r="A50" s="9" t="s">
        <v>396</v>
      </c>
      <c r="B50" s="9" t="s">
        <v>397</v>
      </c>
      <c r="C50" s="9" t="s">
        <v>396</v>
      </c>
      <c r="D50" s="9" t="s">
        <v>388</v>
      </c>
      <c r="E50" s="9" t="s">
        <v>220</v>
      </c>
      <c r="F50" s="9" t="s">
        <v>248</v>
      </c>
      <c r="G50" s="26">
        <v>200</v>
      </c>
      <c r="H50" s="26">
        <v>50</v>
      </c>
      <c r="I50" s="26">
        <v>20</v>
      </c>
      <c r="J50" s="26">
        <v>80</v>
      </c>
      <c r="K50" s="28">
        <v>24</v>
      </c>
      <c r="L50" s="26">
        <v>3</v>
      </c>
      <c r="M50" s="27">
        <v>20</v>
      </c>
      <c r="N50" s="29">
        <f t="shared" si="2"/>
        <v>7.0000000000000021E-2</v>
      </c>
      <c r="O50" s="30">
        <v>0.02</v>
      </c>
      <c r="P50" s="30">
        <v>2E-3</v>
      </c>
      <c r="Q50" s="30">
        <v>0.01</v>
      </c>
      <c r="R50" s="30">
        <v>0.01</v>
      </c>
      <c r="S50" s="30">
        <v>0.01</v>
      </c>
      <c r="T50" s="30">
        <v>0</v>
      </c>
      <c r="U50" s="30">
        <v>0</v>
      </c>
      <c r="V50" s="31">
        <v>4.0000000000000001E-3</v>
      </c>
      <c r="W50" s="31">
        <v>4.0000000000000001E-3</v>
      </c>
      <c r="X50" s="31">
        <v>4.0000000000000001E-3</v>
      </c>
      <c r="Y50" s="31">
        <v>4.0000000000000001E-3</v>
      </c>
      <c r="Z50" s="31">
        <v>2E-3</v>
      </c>
      <c r="AA50" s="9" t="str">
        <f t="shared" si="3"/>
        <v>可回读</v>
      </c>
      <c r="AB50" s="9" t="s">
        <v>389</v>
      </c>
      <c r="AC50" s="9" t="s">
        <v>398</v>
      </c>
      <c r="AD50" s="9" t="s">
        <v>399</v>
      </c>
    </row>
    <row r="51" spans="1:30" ht="24" customHeight="1">
      <c r="A51" s="9" t="s">
        <v>400</v>
      </c>
      <c r="B51" s="9" t="s">
        <v>401</v>
      </c>
      <c r="C51" s="9" t="s">
        <v>400</v>
      </c>
      <c r="D51" s="9" t="s">
        <v>388</v>
      </c>
      <c r="E51" s="9" t="s">
        <v>329</v>
      </c>
      <c r="F51" s="9" t="s">
        <v>248</v>
      </c>
      <c r="G51" s="26">
        <v>300</v>
      </c>
      <c r="H51" s="26">
        <v>80</v>
      </c>
      <c r="I51" s="26">
        <v>20</v>
      </c>
      <c r="J51" s="26">
        <v>80</v>
      </c>
      <c r="K51" s="28">
        <v>24</v>
      </c>
      <c r="L51" s="26">
        <v>3</v>
      </c>
      <c r="M51" s="27">
        <v>40</v>
      </c>
      <c r="N51" s="29">
        <f t="shared" si="2"/>
        <v>7.0000000000000021E-2</v>
      </c>
      <c r="O51" s="30">
        <v>0.02</v>
      </c>
      <c r="P51" s="30">
        <v>2E-3</v>
      </c>
      <c r="Q51" s="30">
        <v>0.01</v>
      </c>
      <c r="R51" s="30">
        <v>0.01</v>
      </c>
      <c r="S51" s="30">
        <v>0.01</v>
      </c>
      <c r="T51" s="30">
        <v>0</v>
      </c>
      <c r="U51" s="30">
        <v>0</v>
      </c>
      <c r="V51" s="31">
        <v>4.0000000000000001E-3</v>
      </c>
      <c r="W51" s="31">
        <v>4.0000000000000001E-3</v>
      </c>
      <c r="X51" s="31">
        <v>4.0000000000000001E-3</v>
      </c>
      <c r="Y51" s="31">
        <v>4.0000000000000001E-3</v>
      </c>
      <c r="Z51" s="31">
        <v>2E-3</v>
      </c>
      <c r="AA51" s="9" t="str">
        <f t="shared" si="3"/>
        <v>可回读</v>
      </c>
      <c r="AB51" s="9" t="s">
        <v>389</v>
      </c>
      <c r="AC51" s="9" t="s">
        <v>402</v>
      </c>
      <c r="AD51" s="9" t="s">
        <v>403</v>
      </c>
    </row>
    <row r="52" spans="1:30" ht="24" customHeight="1">
      <c r="A52" s="9" t="s">
        <v>404</v>
      </c>
      <c r="B52" s="9" t="s">
        <v>405</v>
      </c>
      <c r="C52" s="9" t="s">
        <v>404</v>
      </c>
      <c r="D52" s="9" t="s">
        <v>388</v>
      </c>
      <c r="E52" s="9" t="s">
        <v>220</v>
      </c>
      <c r="F52" s="9" t="s">
        <v>248</v>
      </c>
      <c r="G52" s="26">
        <v>200</v>
      </c>
      <c r="H52" s="26">
        <v>50</v>
      </c>
      <c r="I52" s="26">
        <v>20</v>
      </c>
      <c r="J52" s="26">
        <v>80</v>
      </c>
      <c r="K52" s="28">
        <v>24</v>
      </c>
      <c r="L52" s="26">
        <v>3</v>
      </c>
      <c r="M52" s="27">
        <v>20</v>
      </c>
      <c r="N52" s="29">
        <f t="shared" si="2"/>
        <v>7.0000000000000021E-2</v>
      </c>
      <c r="O52" s="30">
        <v>0.02</v>
      </c>
      <c r="P52" s="30">
        <v>2E-3</v>
      </c>
      <c r="Q52" s="30">
        <v>0.01</v>
      </c>
      <c r="R52" s="30">
        <v>0.01</v>
      </c>
      <c r="S52" s="30">
        <v>0.01</v>
      </c>
      <c r="T52" s="30">
        <v>0</v>
      </c>
      <c r="U52" s="30">
        <v>0</v>
      </c>
      <c r="V52" s="31">
        <v>4.0000000000000001E-3</v>
      </c>
      <c r="W52" s="31">
        <v>4.0000000000000001E-3</v>
      </c>
      <c r="X52" s="31">
        <v>4.0000000000000001E-3</v>
      </c>
      <c r="Y52" s="31">
        <v>4.0000000000000001E-3</v>
      </c>
      <c r="Z52" s="31">
        <v>2E-3</v>
      </c>
      <c r="AA52" s="9" t="str">
        <f t="shared" si="3"/>
        <v>可回读</v>
      </c>
      <c r="AB52" s="9" t="s">
        <v>389</v>
      </c>
      <c r="AC52" s="9" t="s">
        <v>406</v>
      </c>
      <c r="AD52" s="9" t="s">
        <v>407</v>
      </c>
    </row>
    <row r="53" spans="1:30" ht="24" customHeight="1">
      <c r="A53" s="9" t="s">
        <v>168</v>
      </c>
      <c r="B53" s="9" t="s">
        <v>408</v>
      </c>
      <c r="C53" s="9" t="s">
        <v>168</v>
      </c>
      <c r="D53" s="9" t="s">
        <v>409</v>
      </c>
      <c r="E53" s="9" t="s">
        <v>220</v>
      </c>
      <c r="F53" s="9" t="s">
        <v>221</v>
      </c>
      <c r="G53" s="26">
        <v>1000</v>
      </c>
      <c r="H53" s="26">
        <v>100</v>
      </c>
      <c r="I53" s="26">
        <v>50</v>
      </c>
      <c r="J53" s="26">
        <v>0</v>
      </c>
      <c r="K53" s="28">
        <v>15</v>
      </c>
      <c r="L53" s="26">
        <v>3</v>
      </c>
      <c r="M53" s="27">
        <v>40</v>
      </c>
      <c r="N53" s="29">
        <f t="shared" si="2"/>
        <v>0.57000000000000006</v>
      </c>
      <c r="O53" s="30">
        <v>0.02</v>
      </c>
      <c r="P53" s="30">
        <v>2E-3</v>
      </c>
      <c r="Q53" s="30">
        <v>0.01</v>
      </c>
      <c r="R53" s="30">
        <v>0.01</v>
      </c>
      <c r="S53" s="30">
        <v>0.01</v>
      </c>
      <c r="T53" s="30">
        <v>0</v>
      </c>
      <c r="U53" s="30">
        <v>0.5</v>
      </c>
      <c r="V53" s="31">
        <v>4.0000000000000001E-3</v>
      </c>
      <c r="W53" s="31">
        <v>4.0000000000000001E-3</v>
      </c>
      <c r="X53" s="31">
        <v>4.0000000000000001E-3</v>
      </c>
      <c r="Y53" s="31">
        <v>4.0000000000000001E-3</v>
      </c>
      <c r="Z53" s="31">
        <v>2E-3</v>
      </c>
      <c r="AA53" s="9" t="str">
        <f t="shared" si="3"/>
        <v>可回读</v>
      </c>
      <c r="AB53" s="9" t="s">
        <v>410</v>
      </c>
      <c r="AC53" s="9" t="s">
        <v>411</v>
      </c>
      <c r="AD53" s="9" t="s">
        <v>412</v>
      </c>
    </row>
    <row r="54" spans="1:30" ht="24" customHeight="1">
      <c r="A54" s="9" t="s">
        <v>413</v>
      </c>
      <c r="B54" s="9" t="s">
        <v>414</v>
      </c>
      <c r="C54" s="9" t="s">
        <v>413</v>
      </c>
      <c r="D54" s="9" t="s">
        <v>409</v>
      </c>
      <c r="E54" s="9" t="s">
        <v>329</v>
      </c>
      <c r="F54" s="9" t="s">
        <v>248</v>
      </c>
      <c r="G54" s="26">
        <v>1800</v>
      </c>
      <c r="H54" s="26">
        <v>150</v>
      </c>
      <c r="I54" s="26">
        <v>75</v>
      </c>
      <c r="J54" s="26">
        <v>0</v>
      </c>
      <c r="K54" s="28">
        <v>15</v>
      </c>
      <c r="L54" s="26">
        <v>3</v>
      </c>
      <c r="M54" s="27">
        <v>80</v>
      </c>
      <c r="N54" s="29">
        <f t="shared" si="2"/>
        <v>0.57000000000000006</v>
      </c>
      <c r="O54" s="30">
        <v>0.02</v>
      </c>
      <c r="P54" s="30">
        <v>2E-3</v>
      </c>
      <c r="Q54" s="30">
        <v>0.01</v>
      </c>
      <c r="R54" s="30">
        <v>0.01</v>
      </c>
      <c r="S54" s="30">
        <v>0.01</v>
      </c>
      <c r="T54" s="30">
        <v>0</v>
      </c>
      <c r="U54" s="30">
        <v>0.5</v>
      </c>
      <c r="V54" s="31">
        <v>4.0000000000000001E-3</v>
      </c>
      <c r="W54" s="31">
        <v>4.0000000000000001E-3</v>
      </c>
      <c r="X54" s="31">
        <v>4.0000000000000001E-3</v>
      </c>
      <c r="Y54" s="31">
        <v>4.0000000000000001E-3</v>
      </c>
      <c r="Z54" s="31">
        <v>2E-3</v>
      </c>
      <c r="AA54" s="9" t="str">
        <f t="shared" si="3"/>
        <v>可回读</v>
      </c>
      <c r="AB54" s="9" t="s">
        <v>410</v>
      </c>
      <c r="AC54" s="9" t="s">
        <v>415</v>
      </c>
      <c r="AD54" s="9" t="s">
        <v>416</v>
      </c>
    </row>
  </sheetData>
  <mergeCells count="7">
    <mergeCell ref="A1:AD1"/>
    <mergeCell ref="A2:AD2"/>
    <mergeCell ref="A4:F4"/>
    <mergeCell ref="G4:L4"/>
    <mergeCell ref="O4:U4"/>
    <mergeCell ref="V4:Z4"/>
    <mergeCell ref="AA4:AD4"/>
  </mergeCells>
  <phoneticPr fontId="15" type="noConversion"/>
  <conditionalFormatting sqref="A6:AD54">
    <cfRule type="expression" dxfId="7" priority="3">
      <formula>$F6="否"</formula>
    </cfRule>
  </conditionalFormatting>
  <conditionalFormatting sqref="AA6:AA54">
    <cfRule type="containsText" dxfId="6" priority="1" operator="containsText" text="可回读"/>
    <cfRule type="containsText" dxfId="5" priority="2" operator="containsText" text="无效"/>
  </conditionalFormatting>
  <dataValidations count="8">
    <dataValidation type="whole" sqref="G6:G54" xr:uid="{00000000-0002-0000-0700-000000000000}">
      <formula1>1</formula1>
      <formula2>9999999</formula2>
    </dataValidation>
    <dataValidation type="whole" sqref="H6:H54" xr:uid="{00000000-0002-0000-0700-000001000000}">
      <formula1>0</formula1>
      <formula2>999999</formula2>
    </dataValidation>
    <dataValidation type="whole" sqref="I6:I54" xr:uid="{00000000-0002-0000-0700-000002000000}">
      <formula1>0</formula1>
      <formula2>9999</formula2>
    </dataValidation>
    <dataValidation type="whole" sqref="J6:J54" xr:uid="{00000000-0002-0000-0700-000003000000}">
      <formula1>0</formula1>
      <formula2>100</formula2>
    </dataValidation>
    <dataValidation type="decimal" sqref="K6:K54" xr:uid="{00000000-0002-0000-0700-000004000000}">
      <formula1>0</formula1>
      <formula2>1000</formula2>
    </dataValidation>
    <dataValidation type="whole" sqref="L6:L54" xr:uid="{00000000-0002-0000-0700-000005000000}">
      <formula1>1</formula1>
      <formula2>9999</formula2>
    </dataValidation>
    <dataValidation type="whole" sqref="M6:M54" xr:uid="{00000000-0002-0000-0700-000006000000}">
      <formula1>0</formula1>
      <formula2>999</formula2>
    </dataValidation>
    <dataValidation type="decimal" sqref="O6:Z54" xr:uid="{00000000-0002-0000-0700-000007000000}">
      <formula1>0</formula1>
      <formula2>1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53"/>
  <sheetViews>
    <sheetView showGridLines="0" workbookViewId="0">
      <selection sqref="A1:X1"/>
    </sheetView>
  </sheetViews>
  <sheetFormatPr defaultRowHeight="14.25"/>
  <cols>
    <col min="1" max="1" width="14" customWidth="1"/>
    <col min="2" max="2" width="34" customWidth="1"/>
    <col min="3" max="3" width="14" customWidth="1"/>
    <col min="4" max="4" width="16" customWidth="1"/>
    <col min="5" max="5" width="18" customWidth="1"/>
    <col min="6" max="6" width="16" customWidth="1"/>
    <col min="7" max="8" width="14" customWidth="1"/>
    <col min="9" max="9" width="20" customWidth="1"/>
    <col min="10" max="21" width="24" customWidth="1"/>
    <col min="22" max="22" width="26" customWidth="1"/>
    <col min="23" max="23" width="16" customWidth="1"/>
    <col min="24" max="24" width="60" customWidth="1"/>
  </cols>
  <sheetData>
    <row r="1" spans="1:24" ht="38.1" customHeight="1">
      <c r="A1" s="54" t="s">
        <v>417</v>
      </c>
      <c r="B1" s="54" t="s">
        <v>417</v>
      </c>
      <c r="C1" s="54" t="s">
        <v>417</v>
      </c>
      <c r="D1" s="54" t="s">
        <v>417</v>
      </c>
      <c r="E1" s="54" t="s">
        <v>417</v>
      </c>
      <c r="F1" s="54" t="s">
        <v>417</v>
      </c>
      <c r="G1" s="54" t="s">
        <v>417</v>
      </c>
      <c r="H1" s="54" t="s">
        <v>417</v>
      </c>
      <c r="I1" s="54" t="s">
        <v>417</v>
      </c>
      <c r="J1" s="54" t="s">
        <v>417</v>
      </c>
      <c r="K1" s="54" t="s">
        <v>417</v>
      </c>
      <c r="L1" s="54" t="s">
        <v>417</v>
      </c>
      <c r="M1" s="54" t="s">
        <v>417</v>
      </c>
      <c r="N1" s="54" t="s">
        <v>417</v>
      </c>
      <c r="O1" s="54" t="s">
        <v>417</v>
      </c>
      <c r="P1" s="54" t="s">
        <v>417</v>
      </c>
      <c r="Q1" s="54" t="s">
        <v>417</v>
      </c>
      <c r="R1" s="54" t="s">
        <v>417</v>
      </c>
      <c r="S1" s="54" t="s">
        <v>417</v>
      </c>
      <c r="T1" s="54" t="s">
        <v>417</v>
      </c>
      <c r="U1" s="54" t="s">
        <v>417</v>
      </c>
      <c r="V1" s="54" t="s">
        <v>417</v>
      </c>
      <c r="W1" s="54" t="s">
        <v>417</v>
      </c>
      <c r="X1" s="54" t="s">
        <v>417</v>
      </c>
    </row>
    <row r="2" spans="1:24" ht="24" customHeight="1">
      <c r="A2" s="9" t="s">
        <v>418</v>
      </c>
      <c r="B2" s="9">
        <v>2</v>
      </c>
      <c r="C2" s="9" t="s">
        <v>419</v>
      </c>
      <c r="D2" s="9" t="s">
        <v>420</v>
      </c>
      <c r="E2" s="9" t="s">
        <v>421</v>
      </c>
      <c r="F2" s="9" t="s">
        <v>107</v>
      </c>
      <c r="G2" s="9" t="s">
        <v>422</v>
      </c>
      <c r="H2" s="9">
        <v>49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24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42" customHeight="1">
      <c r="A4" s="34" t="s">
        <v>418</v>
      </c>
      <c r="B4" s="34" t="s">
        <v>423</v>
      </c>
      <c r="C4" s="34" t="s">
        <v>424</v>
      </c>
      <c r="D4" s="34" t="s">
        <v>425</v>
      </c>
      <c r="E4" s="34" t="s">
        <v>426</v>
      </c>
      <c r="F4" s="34" t="s">
        <v>427</v>
      </c>
      <c r="G4" s="34" t="s">
        <v>428</v>
      </c>
      <c r="H4" s="34" t="s">
        <v>429</v>
      </c>
      <c r="I4" s="34" t="s">
        <v>430</v>
      </c>
      <c r="J4" s="34" t="s">
        <v>431</v>
      </c>
      <c r="K4" s="34" t="s">
        <v>432</v>
      </c>
      <c r="L4" s="34" t="s">
        <v>433</v>
      </c>
      <c r="M4" s="34" t="s">
        <v>434</v>
      </c>
      <c r="N4" s="34" t="s">
        <v>435</v>
      </c>
      <c r="O4" s="34" t="s">
        <v>436</v>
      </c>
      <c r="P4" s="34" t="s">
        <v>437</v>
      </c>
      <c r="Q4" s="34" t="s">
        <v>438</v>
      </c>
      <c r="R4" s="34" t="s">
        <v>439</v>
      </c>
      <c r="S4" s="34" t="s">
        <v>440</v>
      </c>
      <c r="T4" s="34" t="s">
        <v>441</v>
      </c>
      <c r="U4" s="34" t="s">
        <v>442</v>
      </c>
      <c r="V4" s="34" t="s">
        <v>443</v>
      </c>
      <c r="W4" s="34" t="s">
        <v>444</v>
      </c>
      <c r="X4" s="34" t="s">
        <v>445</v>
      </c>
    </row>
    <row r="5" spans="1:24" ht="24" customHeight="1">
      <c r="A5" s="9">
        <v>2</v>
      </c>
      <c r="B5" s="9" t="str">
        <f>敌人目录!B6</f>
        <v>yuanshi_insect_basic</v>
      </c>
      <c r="C5" s="9">
        <f>敌人目录!G6</f>
        <v>40</v>
      </c>
      <c r="D5" s="9">
        <f>敌人目录!H6</f>
        <v>10</v>
      </c>
      <c r="E5" s="9">
        <f>敌人目录!I6</f>
        <v>0</v>
      </c>
      <c r="F5" s="9">
        <f>敌人目录!J6</f>
        <v>0</v>
      </c>
      <c r="G5" s="9">
        <f>敌人目录!K6</f>
        <v>20</v>
      </c>
      <c r="H5" s="9">
        <f>敌人目录!L6</f>
        <v>1</v>
      </c>
      <c r="I5" s="9">
        <f>敌人目录!M6</f>
        <v>1</v>
      </c>
      <c r="J5" s="35">
        <f>敌人目录!O6</f>
        <v>0.02</v>
      </c>
      <c r="K5" s="35">
        <f>敌人目录!P6</f>
        <v>2E-3</v>
      </c>
      <c r="L5" s="35">
        <f>敌人目录!Q6</f>
        <v>0.01</v>
      </c>
      <c r="M5" s="35">
        <f>敌人目录!R6</f>
        <v>0</v>
      </c>
      <c r="N5" s="35">
        <f>敌人目录!S6</f>
        <v>0</v>
      </c>
      <c r="O5" s="35">
        <f>敌人目录!T6</f>
        <v>0</v>
      </c>
      <c r="P5" s="35">
        <f>敌人目录!U6</f>
        <v>0</v>
      </c>
      <c r="Q5" s="35">
        <f>敌人目录!V6</f>
        <v>4.0000000000000001E-3</v>
      </c>
      <c r="R5" s="35">
        <f>敌人目录!W6</f>
        <v>4.0000000000000001E-3</v>
      </c>
      <c r="S5" s="35">
        <f>敌人目录!X6</f>
        <v>4.0000000000000001E-3</v>
      </c>
      <c r="T5" s="35">
        <f>敌人目录!Y6</f>
        <v>4.0000000000000001E-3</v>
      </c>
      <c r="U5" s="35">
        <f>敌人目录!Z6</f>
        <v>2E-3</v>
      </c>
      <c r="V5" s="29">
        <f>敌人目录!N6</f>
        <v>5.0000000000000017E-2</v>
      </c>
      <c r="W5" s="9" t="str">
        <f>敌人目录!AA6</f>
        <v>可回读</v>
      </c>
      <c r="X5" s="9" t="str">
        <f>敌人目录!AC6</f>
        <v>res://resources/config/enemies/yuanshi_insect_basic.tres</v>
      </c>
    </row>
    <row r="6" spans="1:24" ht="24" customHeight="1">
      <c r="A6" s="9">
        <v>2</v>
      </c>
      <c r="B6" s="9" t="str">
        <f>敌人目录!B7</f>
        <v>yuanshi_insect_shell</v>
      </c>
      <c r="C6" s="9">
        <f>敌人目录!G7</f>
        <v>140</v>
      </c>
      <c r="D6" s="9">
        <f>敌人目录!H7</f>
        <v>14</v>
      </c>
      <c r="E6" s="9">
        <f>敌人目录!I7</f>
        <v>3</v>
      </c>
      <c r="F6" s="9">
        <f>敌人目录!J7</f>
        <v>0</v>
      </c>
      <c r="G6" s="9">
        <f>敌人目录!K7</f>
        <v>20</v>
      </c>
      <c r="H6" s="9">
        <f>敌人目录!L7</f>
        <v>1</v>
      </c>
      <c r="I6" s="9">
        <f>敌人目录!M7</f>
        <v>2</v>
      </c>
      <c r="J6" s="35">
        <f>敌人目录!O7</f>
        <v>0.02</v>
      </c>
      <c r="K6" s="35">
        <f>敌人目录!P7</f>
        <v>2E-3</v>
      </c>
      <c r="L6" s="35">
        <f>敌人目录!Q7</f>
        <v>0.01</v>
      </c>
      <c r="M6" s="35">
        <f>敌人目录!R7</f>
        <v>0</v>
      </c>
      <c r="N6" s="35">
        <f>敌人目录!S7</f>
        <v>0</v>
      </c>
      <c r="O6" s="35">
        <f>敌人目录!T7</f>
        <v>0</v>
      </c>
      <c r="P6" s="35">
        <f>敌人目录!U7</f>
        <v>0</v>
      </c>
      <c r="Q6" s="35">
        <f>敌人目录!V7</f>
        <v>4.0000000000000001E-3</v>
      </c>
      <c r="R6" s="35">
        <f>敌人目录!W7</f>
        <v>4.0000000000000001E-3</v>
      </c>
      <c r="S6" s="35">
        <f>敌人目录!X7</f>
        <v>4.0000000000000001E-3</v>
      </c>
      <c r="T6" s="35">
        <f>敌人目录!Y7</f>
        <v>4.0000000000000001E-3</v>
      </c>
      <c r="U6" s="35">
        <f>敌人目录!Z7</f>
        <v>2E-3</v>
      </c>
      <c r="V6" s="29">
        <f>敌人目录!N7</f>
        <v>5.0000000000000017E-2</v>
      </c>
      <c r="W6" s="9" t="str">
        <f>敌人目录!AA7</f>
        <v>可回读</v>
      </c>
      <c r="X6" s="9" t="str">
        <f>敌人目录!AC7</f>
        <v>res://resources/config/enemies/yuanshi_insect_shell.tres</v>
      </c>
    </row>
    <row r="7" spans="1:24" ht="24" customHeight="1">
      <c r="A7" s="9">
        <v>2</v>
      </c>
      <c r="B7" s="9" t="str">
        <f>敌人目录!B8</f>
        <v>yuanshi_insect_fast</v>
      </c>
      <c r="C7" s="9">
        <f>敌人目录!G8</f>
        <v>35</v>
      </c>
      <c r="D7" s="9">
        <f>敌人目录!H8</f>
        <v>10</v>
      </c>
      <c r="E7" s="9">
        <f>敌人目录!I8</f>
        <v>0</v>
      </c>
      <c r="F7" s="9">
        <f>敌人目录!J8</f>
        <v>0</v>
      </c>
      <c r="G7" s="9">
        <f>敌人目录!K8</f>
        <v>40</v>
      </c>
      <c r="H7" s="9">
        <f>敌人目录!L8</f>
        <v>1</v>
      </c>
      <c r="I7" s="9">
        <f>敌人目录!M8</f>
        <v>1</v>
      </c>
      <c r="J7" s="35">
        <f>敌人目录!O8</f>
        <v>0.02</v>
      </c>
      <c r="K7" s="35">
        <f>敌人目录!P8</f>
        <v>2E-3</v>
      </c>
      <c r="L7" s="35">
        <f>敌人目录!Q8</f>
        <v>0.01</v>
      </c>
      <c r="M7" s="35">
        <f>敌人目录!R8</f>
        <v>0</v>
      </c>
      <c r="N7" s="35">
        <f>敌人目录!S8</f>
        <v>0</v>
      </c>
      <c r="O7" s="35">
        <f>敌人目录!T8</f>
        <v>0</v>
      </c>
      <c r="P7" s="35">
        <f>敌人目录!U8</f>
        <v>0</v>
      </c>
      <c r="Q7" s="35">
        <f>敌人目录!V8</f>
        <v>4.0000000000000001E-3</v>
      </c>
      <c r="R7" s="35">
        <f>敌人目录!W8</f>
        <v>4.0000000000000001E-3</v>
      </c>
      <c r="S7" s="35">
        <f>敌人目录!X8</f>
        <v>4.0000000000000001E-3</v>
      </c>
      <c r="T7" s="35">
        <f>敌人目录!Y8</f>
        <v>4.0000000000000001E-3</v>
      </c>
      <c r="U7" s="35">
        <f>敌人目录!Z8</f>
        <v>2E-3</v>
      </c>
      <c r="V7" s="29">
        <f>敌人目录!N8</f>
        <v>5.0000000000000017E-2</v>
      </c>
      <c r="W7" s="9" t="str">
        <f>敌人目录!AA8</f>
        <v>可回读</v>
      </c>
      <c r="X7" s="9" t="str">
        <f>敌人目录!AC8</f>
        <v>res://resources/config/enemies/yuanshi_insect_fast.tres</v>
      </c>
    </row>
    <row r="8" spans="1:24" ht="24" customHeight="1">
      <c r="A8" s="9">
        <v>2</v>
      </c>
      <c r="B8" s="9" t="str">
        <f>敌人目录!B9</f>
        <v>yuanshi_insect_bomber</v>
      </c>
      <c r="C8" s="9">
        <f>敌人目录!G9</f>
        <v>30</v>
      </c>
      <c r="D8" s="9">
        <f>敌人目录!H9</f>
        <v>10</v>
      </c>
      <c r="E8" s="9">
        <f>敌人目录!I9</f>
        <v>0</v>
      </c>
      <c r="F8" s="9">
        <f>敌人目录!J9</f>
        <v>0</v>
      </c>
      <c r="G8" s="9">
        <f>敌人目录!K9</f>
        <v>18</v>
      </c>
      <c r="H8" s="9">
        <f>敌人目录!L9</f>
        <v>1</v>
      </c>
      <c r="I8" s="9">
        <f>敌人目录!M9</f>
        <v>1</v>
      </c>
      <c r="J8" s="35">
        <f>敌人目录!O9</f>
        <v>0.02</v>
      </c>
      <c r="K8" s="35">
        <f>敌人目录!P9</f>
        <v>2E-3</v>
      </c>
      <c r="L8" s="35">
        <f>敌人目录!Q9</f>
        <v>0.01</v>
      </c>
      <c r="M8" s="35">
        <f>敌人目录!R9</f>
        <v>0</v>
      </c>
      <c r="N8" s="35">
        <f>敌人目录!S9</f>
        <v>0</v>
      </c>
      <c r="O8" s="35">
        <f>敌人目录!T9</f>
        <v>0</v>
      </c>
      <c r="P8" s="35">
        <f>敌人目录!U9</f>
        <v>0</v>
      </c>
      <c r="Q8" s="35">
        <f>敌人目录!V9</f>
        <v>4.0000000000000001E-3</v>
      </c>
      <c r="R8" s="35">
        <f>敌人目录!W9</f>
        <v>4.0000000000000001E-3</v>
      </c>
      <c r="S8" s="35">
        <f>敌人目录!X9</f>
        <v>4.0000000000000001E-3</v>
      </c>
      <c r="T8" s="35">
        <f>敌人目录!Y9</f>
        <v>4.0000000000000001E-3</v>
      </c>
      <c r="U8" s="35">
        <f>敌人目录!Z9</f>
        <v>2E-3</v>
      </c>
      <c r="V8" s="29">
        <f>敌人目录!N9</f>
        <v>5.0000000000000017E-2</v>
      </c>
      <c r="W8" s="9" t="str">
        <f>敌人目录!AA9</f>
        <v>可回读</v>
      </c>
      <c r="X8" s="9" t="str">
        <f>敌人目录!AC9</f>
        <v>res://resources/config/enemies/yuanshi_insect_bomber.tres</v>
      </c>
    </row>
    <row r="9" spans="1:24" ht="24" customHeight="1">
      <c r="A9" s="9">
        <v>2</v>
      </c>
      <c r="B9" s="9" t="str">
        <f>敌人目录!B10</f>
        <v>yuanshi_insect_purple_bomber</v>
      </c>
      <c r="C9" s="9">
        <f>敌人目录!G10</f>
        <v>40</v>
      </c>
      <c r="D9" s="9">
        <f>敌人目录!H10</f>
        <v>10</v>
      </c>
      <c r="E9" s="9">
        <f>敌人目录!I10</f>
        <v>0</v>
      </c>
      <c r="F9" s="9">
        <f>敌人目录!J10</f>
        <v>0</v>
      </c>
      <c r="G9" s="9">
        <f>敌人目录!K10</f>
        <v>32</v>
      </c>
      <c r="H9" s="9">
        <f>敌人目录!L10</f>
        <v>1</v>
      </c>
      <c r="I9" s="9">
        <f>敌人目录!M10</f>
        <v>2</v>
      </c>
      <c r="J9" s="35">
        <f>敌人目录!O10</f>
        <v>0.02</v>
      </c>
      <c r="K9" s="35">
        <f>敌人目录!P10</f>
        <v>2E-3</v>
      </c>
      <c r="L9" s="35">
        <f>敌人目录!Q10</f>
        <v>0.01</v>
      </c>
      <c r="M9" s="35">
        <f>敌人目录!R10</f>
        <v>0</v>
      </c>
      <c r="N9" s="35">
        <f>敌人目录!S10</f>
        <v>0</v>
      </c>
      <c r="O9" s="35">
        <f>敌人目录!T10</f>
        <v>0</v>
      </c>
      <c r="P9" s="35">
        <f>敌人目录!U10</f>
        <v>0</v>
      </c>
      <c r="Q9" s="35">
        <f>敌人目录!V10</f>
        <v>4.0000000000000001E-3</v>
      </c>
      <c r="R9" s="35">
        <f>敌人目录!W10</f>
        <v>4.0000000000000001E-3</v>
      </c>
      <c r="S9" s="35">
        <f>敌人目录!X10</f>
        <v>4.0000000000000001E-3</v>
      </c>
      <c r="T9" s="35">
        <f>敌人目录!Y10</f>
        <v>4.0000000000000001E-3</v>
      </c>
      <c r="U9" s="35">
        <f>敌人目录!Z10</f>
        <v>2E-3</v>
      </c>
      <c r="V9" s="29">
        <f>敌人目录!N10</f>
        <v>5.0000000000000017E-2</v>
      </c>
      <c r="W9" s="9" t="str">
        <f>敌人目录!AA10</f>
        <v>可回读</v>
      </c>
      <c r="X9" s="9" t="str">
        <f>敌人目录!AC10</f>
        <v>res://resources/config/enemies/yuanshi_insect_purple_bomber.tres</v>
      </c>
    </row>
    <row r="10" spans="1:24" ht="24" customHeight="1">
      <c r="A10" s="9">
        <v>2</v>
      </c>
      <c r="B10" s="9" t="str">
        <f>敌人目录!B11</f>
        <v>yuanshi_insect_green_shell</v>
      </c>
      <c r="C10" s="9">
        <f>敌人目录!G11</f>
        <v>200</v>
      </c>
      <c r="D10" s="9">
        <f>敌人目录!H11</f>
        <v>20</v>
      </c>
      <c r="E10" s="9">
        <f>敌人目录!I11</f>
        <v>5</v>
      </c>
      <c r="F10" s="9">
        <f>敌人目录!J11</f>
        <v>0</v>
      </c>
      <c r="G10" s="9">
        <f>敌人目录!K11</f>
        <v>15</v>
      </c>
      <c r="H10" s="9">
        <f>敌人目录!L11</f>
        <v>1</v>
      </c>
      <c r="I10" s="9">
        <f>敌人目录!M11</f>
        <v>2</v>
      </c>
      <c r="J10" s="35">
        <f>敌人目录!O11</f>
        <v>0.02</v>
      </c>
      <c r="K10" s="35">
        <f>敌人目录!P11</f>
        <v>2E-3</v>
      </c>
      <c r="L10" s="35">
        <f>敌人目录!Q11</f>
        <v>0.01</v>
      </c>
      <c r="M10" s="35">
        <f>敌人目录!R11</f>
        <v>0</v>
      </c>
      <c r="N10" s="35">
        <f>敌人目录!S11</f>
        <v>0</v>
      </c>
      <c r="O10" s="35">
        <f>敌人目录!T11</f>
        <v>0</v>
      </c>
      <c r="P10" s="35">
        <f>敌人目录!U11</f>
        <v>0</v>
      </c>
      <c r="Q10" s="35">
        <f>敌人目录!V11</f>
        <v>4.0000000000000001E-3</v>
      </c>
      <c r="R10" s="35">
        <f>敌人目录!W11</f>
        <v>4.0000000000000001E-3</v>
      </c>
      <c r="S10" s="35">
        <f>敌人目录!X11</f>
        <v>4.0000000000000001E-3</v>
      </c>
      <c r="T10" s="35">
        <f>敌人目录!Y11</f>
        <v>4.0000000000000001E-3</v>
      </c>
      <c r="U10" s="35">
        <f>敌人目录!Z11</f>
        <v>2E-3</v>
      </c>
      <c r="V10" s="29">
        <f>敌人目录!N11</f>
        <v>5.0000000000000017E-2</v>
      </c>
      <c r="W10" s="9" t="str">
        <f>敌人目录!AA11</f>
        <v>可回读</v>
      </c>
      <c r="X10" s="9" t="str">
        <f>敌人目录!AC11</f>
        <v>res://resources/config/enemies/yuanshi_insect_green_shell.tres</v>
      </c>
    </row>
    <row r="11" spans="1:24" ht="24" customHeight="1">
      <c r="A11" s="9">
        <v>2</v>
      </c>
      <c r="B11" s="9" t="str">
        <f>敌人目录!B12</f>
        <v>yuanshi_insect_fire_ranged</v>
      </c>
      <c r="C11" s="9">
        <f>敌人目录!G12</f>
        <v>40</v>
      </c>
      <c r="D11" s="9">
        <f>敌人目录!H12</f>
        <v>25</v>
      </c>
      <c r="E11" s="9">
        <f>敌人目录!I12</f>
        <v>0</v>
      </c>
      <c r="F11" s="9">
        <f>敌人目录!J12</f>
        <v>0</v>
      </c>
      <c r="G11" s="9">
        <f>敌人目录!K12</f>
        <v>22</v>
      </c>
      <c r="H11" s="9">
        <f>敌人目录!L12</f>
        <v>1</v>
      </c>
      <c r="I11" s="9">
        <f>敌人目录!M12</f>
        <v>1</v>
      </c>
      <c r="J11" s="35">
        <f>敌人目录!O12</f>
        <v>0.02</v>
      </c>
      <c r="K11" s="35">
        <f>敌人目录!P12</f>
        <v>2E-3</v>
      </c>
      <c r="L11" s="35">
        <f>敌人目录!Q12</f>
        <v>0.01</v>
      </c>
      <c r="M11" s="35">
        <f>敌人目录!R12</f>
        <v>0</v>
      </c>
      <c r="N11" s="35">
        <f>敌人目录!S12</f>
        <v>0</v>
      </c>
      <c r="O11" s="35">
        <f>敌人目录!T12</f>
        <v>0</v>
      </c>
      <c r="P11" s="35">
        <f>敌人目录!U12</f>
        <v>0</v>
      </c>
      <c r="Q11" s="35">
        <f>敌人目录!V12</f>
        <v>4.0000000000000001E-3</v>
      </c>
      <c r="R11" s="35">
        <f>敌人目录!W12</f>
        <v>4.0000000000000001E-3</v>
      </c>
      <c r="S11" s="35">
        <f>敌人目录!X12</f>
        <v>4.0000000000000001E-3</v>
      </c>
      <c r="T11" s="35">
        <f>敌人目录!Y12</f>
        <v>4.0000000000000001E-3</v>
      </c>
      <c r="U11" s="35">
        <f>敌人目录!Z12</f>
        <v>2E-3</v>
      </c>
      <c r="V11" s="29">
        <f>敌人目录!N12</f>
        <v>5.0000000000000017E-2</v>
      </c>
      <c r="W11" s="9" t="str">
        <f>敌人目录!AA12</f>
        <v>可回读</v>
      </c>
      <c r="X11" s="9" t="str">
        <f>敌人目录!AC12</f>
        <v>res://resources/config/enemies/yuanshi_insect_fire_ranged.tres</v>
      </c>
    </row>
    <row r="12" spans="1:24" ht="24" customHeight="1">
      <c r="A12" s="9">
        <v>2</v>
      </c>
      <c r="B12" s="9" t="str">
        <f>敌人目录!B13</f>
        <v>yuanshi_insect_guardian</v>
      </c>
      <c r="C12" s="9">
        <f>敌人目录!G13</f>
        <v>150</v>
      </c>
      <c r="D12" s="9">
        <f>敌人目录!H13</f>
        <v>10</v>
      </c>
      <c r="E12" s="9">
        <f>敌人目录!I13</f>
        <v>5</v>
      </c>
      <c r="F12" s="9">
        <f>敌人目录!J13</f>
        <v>0</v>
      </c>
      <c r="G12" s="9">
        <f>敌人目录!K13</f>
        <v>20</v>
      </c>
      <c r="H12" s="9">
        <f>敌人目录!L13</f>
        <v>1</v>
      </c>
      <c r="I12" s="9">
        <f>敌人目录!M13</f>
        <v>2</v>
      </c>
      <c r="J12" s="35">
        <f>敌人目录!O13</f>
        <v>0.02</v>
      </c>
      <c r="K12" s="35">
        <f>敌人目录!P13</f>
        <v>2E-3</v>
      </c>
      <c r="L12" s="35">
        <f>敌人目录!Q13</f>
        <v>0.01</v>
      </c>
      <c r="M12" s="35">
        <f>敌人目录!R13</f>
        <v>0</v>
      </c>
      <c r="N12" s="35">
        <f>敌人目录!S13</f>
        <v>0</v>
      </c>
      <c r="O12" s="35">
        <f>敌人目录!T13</f>
        <v>0</v>
      </c>
      <c r="P12" s="35">
        <f>敌人目录!U13</f>
        <v>0</v>
      </c>
      <c r="Q12" s="35">
        <f>敌人目录!V13</f>
        <v>4.0000000000000001E-3</v>
      </c>
      <c r="R12" s="35">
        <f>敌人目录!W13</f>
        <v>4.0000000000000001E-3</v>
      </c>
      <c r="S12" s="35">
        <f>敌人目录!X13</f>
        <v>4.0000000000000001E-3</v>
      </c>
      <c r="T12" s="35">
        <f>敌人目录!Y13</f>
        <v>4.0000000000000001E-3</v>
      </c>
      <c r="U12" s="35">
        <f>敌人目录!Z13</f>
        <v>2E-3</v>
      </c>
      <c r="V12" s="29">
        <f>敌人目录!N13</f>
        <v>5.0000000000000017E-2</v>
      </c>
      <c r="W12" s="9" t="str">
        <f>敌人目录!AA13</f>
        <v>可回读</v>
      </c>
      <c r="X12" s="9" t="str">
        <f>敌人目录!AC13</f>
        <v>res://resources/config/enemies/yuanshi_insect_guardian.tres</v>
      </c>
    </row>
    <row r="13" spans="1:24" ht="24" customHeight="1">
      <c r="A13" s="9">
        <v>2</v>
      </c>
      <c r="B13" s="9" t="str">
        <f>敌人目录!B14</f>
        <v>stone_eroded_yuanshi_insect_basic</v>
      </c>
      <c r="C13" s="9">
        <f>敌人目录!G14</f>
        <v>80</v>
      </c>
      <c r="D13" s="9">
        <f>敌人目录!H14</f>
        <v>10</v>
      </c>
      <c r="E13" s="9">
        <f>敌人目录!I14</f>
        <v>150</v>
      </c>
      <c r="F13" s="9">
        <f>敌人目录!J14</f>
        <v>0</v>
      </c>
      <c r="G13" s="9">
        <f>敌人目录!K14</f>
        <v>20</v>
      </c>
      <c r="H13" s="9">
        <f>敌人目录!L14</f>
        <v>1</v>
      </c>
      <c r="I13" s="9">
        <f>敌人目录!M14</f>
        <v>1</v>
      </c>
      <c r="J13" s="35">
        <f>敌人目录!O14</f>
        <v>0.02</v>
      </c>
      <c r="K13" s="35">
        <f>敌人目录!P14</f>
        <v>2E-3</v>
      </c>
      <c r="L13" s="35">
        <f>敌人目录!Q14</f>
        <v>0.01</v>
      </c>
      <c r="M13" s="35">
        <f>敌人目录!R14</f>
        <v>0</v>
      </c>
      <c r="N13" s="35">
        <f>敌人目录!S14</f>
        <v>0</v>
      </c>
      <c r="O13" s="35">
        <f>敌人目录!T14</f>
        <v>0</v>
      </c>
      <c r="P13" s="35">
        <f>敌人目录!U14</f>
        <v>0</v>
      </c>
      <c r="Q13" s="35">
        <f>敌人目录!V14</f>
        <v>4.0000000000000001E-3</v>
      </c>
      <c r="R13" s="35">
        <f>敌人目录!W14</f>
        <v>4.0000000000000001E-3</v>
      </c>
      <c r="S13" s="35">
        <f>敌人目录!X14</f>
        <v>4.0000000000000001E-3</v>
      </c>
      <c r="T13" s="35">
        <f>敌人目录!Y14</f>
        <v>4.0000000000000001E-3</v>
      </c>
      <c r="U13" s="35">
        <f>敌人目录!Z14</f>
        <v>2E-3</v>
      </c>
      <c r="V13" s="29">
        <f>敌人目录!N14</f>
        <v>5.0000000000000017E-2</v>
      </c>
      <c r="W13" s="9" t="str">
        <f>敌人目录!AA14</f>
        <v>可回读</v>
      </c>
      <c r="X13" s="9" t="str">
        <f>敌人目录!AC14</f>
        <v>res://resources/config/enemies/stone_eroded_yuanshi_insect_basic.tres</v>
      </c>
    </row>
    <row r="14" spans="1:24" ht="24" customHeight="1">
      <c r="A14" s="9">
        <v>2</v>
      </c>
      <c r="B14" s="9" t="str">
        <f>敌人目录!B15</f>
        <v>stone_eroded_yuanshi_insect_shell</v>
      </c>
      <c r="C14" s="9">
        <f>敌人目录!G15</f>
        <v>280</v>
      </c>
      <c r="D14" s="9">
        <f>敌人目录!H15</f>
        <v>14</v>
      </c>
      <c r="E14" s="9">
        <f>敌人目录!I15</f>
        <v>150</v>
      </c>
      <c r="F14" s="9">
        <f>敌人目录!J15</f>
        <v>0</v>
      </c>
      <c r="G14" s="9">
        <f>敌人目录!K15</f>
        <v>20</v>
      </c>
      <c r="H14" s="9">
        <f>敌人目录!L15</f>
        <v>1</v>
      </c>
      <c r="I14" s="9">
        <f>敌人目录!M15</f>
        <v>2</v>
      </c>
      <c r="J14" s="35">
        <f>敌人目录!O15</f>
        <v>0.02</v>
      </c>
      <c r="K14" s="35">
        <f>敌人目录!P15</f>
        <v>2E-3</v>
      </c>
      <c r="L14" s="35">
        <f>敌人目录!Q15</f>
        <v>0.01</v>
      </c>
      <c r="M14" s="35">
        <f>敌人目录!R15</f>
        <v>0</v>
      </c>
      <c r="N14" s="35">
        <f>敌人目录!S15</f>
        <v>0</v>
      </c>
      <c r="O14" s="35">
        <f>敌人目录!T15</f>
        <v>0</v>
      </c>
      <c r="P14" s="35">
        <f>敌人目录!U15</f>
        <v>0</v>
      </c>
      <c r="Q14" s="35">
        <f>敌人目录!V15</f>
        <v>4.0000000000000001E-3</v>
      </c>
      <c r="R14" s="35">
        <f>敌人目录!W15</f>
        <v>4.0000000000000001E-3</v>
      </c>
      <c r="S14" s="35">
        <f>敌人目录!X15</f>
        <v>4.0000000000000001E-3</v>
      </c>
      <c r="T14" s="35">
        <f>敌人目录!Y15</f>
        <v>4.0000000000000001E-3</v>
      </c>
      <c r="U14" s="35">
        <f>敌人目录!Z15</f>
        <v>2E-3</v>
      </c>
      <c r="V14" s="29">
        <f>敌人目录!N15</f>
        <v>5.0000000000000017E-2</v>
      </c>
      <c r="W14" s="9" t="str">
        <f>敌人目录!AA15</f>
        <v>可回读</v>
      </c>
      <c r="X14" s="9" t="str">
        <f>敌人目录!AC15</f>
        <v>res://resources/config/enemies/stone_eroded_yuanshi_insect_shell.tres</v>
      </c>
    </row>
    <row r="15" spans="1:24" ht="24" customHeight="1">
      <c r="A15" s="9">
        <v>2</v>
      </c>
      <c r="B15" s="9" t="str">
        <f>敌人目录!B16</f>
        <v>stone_eroded_yuanshi_insect_fast</v>
      </c>
      <c r="C15" s="9">
        <f>敌人目录!G16</f>
        <v>70</v>
      </c>
      <c r="D15" s="9">
        <f>敌人目录!H16</f>
        <v>10</v>
      </c>
      <c r="E15" s="9">
        <f>敌人目录!I16</f>
        <v>150</v>
      </c>
      <c r="F15" s="9">
        <f>敌人目录!J16</f>
        <v>0</v>
      </c>
      <c r="G15" s="9">
        <f>敌人目录!K16</f>
        <v>40</v>
      </c>
      <c r="H15" s="9">
        <f>敌人目录!L16</f>
        <v>1</v>
      </c>
      <c r="I15" s="9">
        <f>敌人目录!M16</f>
        <v>1</v>
      </c>
      <c r="J15" s="35">
        <f>敌人目录!O16</f>
        <v>0.02</v>
      </c>
      <c r="K15" s="35">
        <f>敌人目录!P16</f>
        <v>2E-3</v>
      </c>
      <c r="L15" s="35">
        <f>敌人目录!Q16</f>
        <v>0.01</v>
      </c>
      <c r="M15" s="35">
        <f>敌人目录!R16</f>
        <v>0</v>
      </c>
      <c r="N15" s="35">
        <f>敌人目录!S16</f>
        <v>0</v>
      </c>
      <c r="O15" s="35">
        <f>敌人目录!T16</f>
        <v>0</v>
      </c>
      <c r="P15" s="35">
        <f>敌人目录!U16</f>
        <v>0</v>
      </c>
      <c r="Q15" s="35">
        <f>敌人目录!V16</f>
        <v>4.0000000000000001E-3</v>
      </c>
      <c r="R15" s="35">
        <f>敌人目录!W16</f>
        <v>4.0000000000000001E-3</v>
      </c>
      <c r="S15" s="35">
        <f>敌人目录!X16</f>
        <v>4.0000000000000001E-3</v>
      </c>
      <c r="T15" s="35">
        <f>敌人目录!Y16</f>
        <v>4.0000000000000001E-3</v>
      </c>
      <c r="U15" s="35">
        <f>敌人目录!Z16</f>
        <v>2E-3</v>
      </c>
      <c r="V15" s="29">
        <f>敌人目录!N16</f>
        <v>5.0000000000000017E-2</v>
      </c>
      <c r="W15" s="9" t="str">
        <f>敌人目录!AA16</f>
        <v>可回读</v>
      </c>
      <c r="X15" s="9" t="str">
        <f>敌人目录!AC16</f>
        <v>res://resources/config/enemies/stone_eroded_yuanshi_insect_fast.tres</v>
      </c>
    </row>
    <row r="16" spans="1:24" ht="24" customHeight="1">
      <c r="A16" s="9">
        <v>2</v>
      </c>
      <c r="B16" s="9" t="str">
        <f>敌人目录!B17</f>
        <v>stone_eroded_yuanshi_insect_bomber</v>
      </c>
      <c r="C16" s="9">
        <f>敌人目录!G17</f>
        <v>60</v>
      </c>
      <c r="D16" s="9">
        <f>敌人目录!H17</f>
        <v>10</v>
      </c>
      <c r="E16" s="9">
        <f>敌人目录!I17</f>
        <v>150</v>
      </c>
      <c r="F16" s="9">
        <f>敌人目录!J17</f>
        <v>0</v>
      </c>
      <c r="G16" s="9">
        <f>敌人目录!K17</f>
        <v>18</v>
      </c>
      <c r="H16" s="9">
        <f>敌人目录!L17</f>
        <v>1</v>
      </c>
      <c r="I16" s="9">
        <f>敌人目录!M17</f>
        <v>1</v>
      </c>
      <c r="J16" s="35">
        <f>敌人目录!O17</f>
        <v>0.02</v>
      </c>
      <c r="K16" s="35">
        <f>敌人目录!P17</f>
        <v>2E-3</v>
      </c>
      <c r="L16" s="35">
        <f>敌人目录!Q17</f>
        <v>0.01</v>
      </c>
      <c r="M16" s="35">
        <f>敌人目录!R17</f>
        <v>0</v>
      </c>
      <c r="N16" s="35">
        <f>敌人目录!S17</f>
        <v>0</v>
      </c>
      <c r="O16" s="35">
        <f>敌人目录!T17</f>
        <v>0</v>
      </c>
      <c r="P16" s="35">
        <f>敌人目录!U17</f>
        <v>0</v>
      </c>
      <c r="Q16" s="35">
        <f>敌人目录!V17</f>
        <v>4.0000000000000001E-3</v>
      </c>
      <c r="R16" s="35">
        <f>敌人目录!W17</f>
        <v>4.0000000000000001E-3</v>
      </c>
      <c r="S16" s="35">
        <f>敌人目录!X17</f>
        <v>4.0000000000000001E-3</v>
      </c>
      <c r="T16" s="35">
        <f>敌人目录!Y17</f>
        <v>4.0000000000000001E-3</v>
      </c>
      <c r="U16" s="35">
        <f>敌人目录!Z17</f>
        <v>2E-3</v>
      </c>
      <c r="V16" s="29">
        <f>敌人目录!N17</f>
        <v>5.0000000000000017E-2</v>
      </c>
      <c r="W16" s="9" t="str">
        <f>敌人目录!AA17</f>
        <v>可回读</v>
      </c>
      <c r="X16" s="9" t="str">
        <f>敌人目录!AC17</f>
        <v>res://resources/config/enemies/stone_eroded_yuanshi_insect_bomber.tres</v>
      </c>
    </row>
    <row r="17" spans="1:24" ht="24" customHeight="1">
      <c r="A17" s="9">
        <v>2</v>
      </c>
      <c r="B17" s="9" t="str">
        <f>敌人目录!B18</f>
        <v>stone_eroded_yuanshi_insect_purple_bomber</v>
      </c>
      <c r="C17" s="9">
        <f>敌人目录!G18</f>
        <v>80</v>
      </c>
      <c r="D17" s="9">
        <f>敌人目录!H18</f>
        <v>10</v>
      </c>
      <c r="E17" s="9">
        <f>敌人目录!I18</f>
        <v>150</v>
      </c>
      <c r="F17" s="9">
        <f>敌人目录!J18</f>
        <v>0</v>
      </c>
      <c r="G17" s="9">
        <f>敌人目录!K18</f>
        <v>32</v>
      </c>
      <c r="H17" s="9">
        <f>敌人目录!L18</f>
        <v>1</v>
      </c>
      <c r="I17" s="9">
        <f>敌人目录!M18</f>
        <v>2</v>
      </c>
      <c r="J17" s="35">
        <f>敌人目录!O18</f>
        <v>0.02</v>
      </c>
      <c r="K17" s="35">
        <f>敌人目录!P18</f>
        <v>2E-3</v>
      </c>
      <c r="L17" s="35">
        <f>敌人目录!Q18</f>
        <v>0.01</v>
      </c>
      <c r="M17" s="35">
        <f>敌人目录!R18</f>
        <v>0</v>
      </c>
      <c r="N17" s="35">
        <f>敌人目录!S18</f>
        <v>0</v>
      </c>
      <c r="O17" s="35">
        <f>敌人目录!T18</f>
        <v>0</v>
      </c>
      <c r="P17" s="35">
        <f>敌人目录!U18</f>
        <v>0</v>
      </c>
      <c r="Q17" s="35">
        <f>敌人目录!V18</f>
        <v>4.0000000000000001E-3</v>
      </c>
      <c r="R17" s="35">
        <f>敌人目录!W18</f>
        <v>4.0000000000000001E-3</v>
      </c>
      <c r="S17" s="35">
        <f>敌人目录!X18</f>
        <v>4.0000000000000001E-3</v>
      </c>
      <c r="T17" s="35">
        <f>敌人目录!Y18</f>
        <v>4.0000000000000001E-3</v>
      </c>
      <c r="U17" s="35">
        <f>敌人目录!Z18</f>
        <v>2E-3</v>
      </c>
      <c r="V17" s="29">
        <f>敌人目录!N18</f>
        <v>5.0000000000000017E-2</v>
      </c>
      <c r="W17" s="9" t="str">
        <f>敌人目录!AA18</f>
        <v>可回读</v>
      </c>
      <c r="X17" s="9" t="str">
        <f>敌人目录!AC18</f>
        <v>res://resources/config/enemies/stone_eroded_yuanshi_insect_purple_bomber.tres</v>
      </c>
    </row>
    <row r="18" spans="1:24" ht="24" customHeight="1">
      <c r="A18" s="9">
        <v>2</v>
      </c>
      <c r="B18" s="9" t="str">
        <f>敌人目录!B19</f>
        <v>stone_eroded_yuanshi_insect_green_shell</v>
      </c>
      <c r="C18" s="9">
        <f>敌人目录!G19</f>
        <v>400</v>
      </c>
      <c r="D18" s="9">
        <f>敌人目录!H19</f>
        <v>20</v>
      </c>
      <c r="E18" s="9">
        <f>敌人目录!I19</f>
        <v>150</v>
      </c>
      <c r="F18" s="9">
        <f>敌人目录!J19</f>
        <v>0</v>
      </c>
      <c r="G18" s="9">
        <f>敌人目录!K19</f>
        <v>15</v>
      </c>
      <c r="H18" s="9">
        <f>敌人目录!L19</f>
        <v>1</v>
      </c>
      <c r="I18" s="9">
        <f>敌人目录!M19</f>
        <v>2</v>
      </c>
      <c r="J18" s="35">
        <f>敌人目录!O19</f>
        <v>0.02</v>
      </c>
      <c r="K18" s="35">
        <f>敌人目录!P19</f>
        <v>2E-3</v>
      </c>
      <c r="L18" s="35">
        <f>敌人目录!Q19</f>
        <v>0.01</v>
      </c>
      <c r="M18" s="35">
        <f>敌人目录!R19</f>
        <v>0</v>
      </c>
      <c r="N18" s="35">
        <f>敌人目录!S19</f>
        <v>0</v>
      </c>
      <c r="O18" s="35">
        <f>敌人目录!T19</f>
        <v>0</v>
      </c>
      <c r="P18" s="35">
        <f>敌人目录!U19</f>
        <v>0</v>
      </c>
      <c r="Q18" s="35">
        <f>敌人目录!V19</f>
        <v>4.0000000000000001E-3</v>
      </c>
      <c r="R18" s="35">
        <f>敌人目录!W19</f>
        <v>4.0000000000000001E-3</v>
      </c>
      <c r="S18" s="35">
        <f>敌人目录!X19</f>
        <v>4.0000000000000001E-3</v>
      </c>
      <c r="T18" s="35">
        <f>敌人目录!Y19</f>
        <v>4.0000000000000001E-3</v>
      </c>
      <c r="U18" s="35">
        <f>敌人目录!Z19</f>
        <v>2E-3</v>
      </c>
      <c r="V18" s="29">
        <f>敌人目录!N19</f>
        <v>5.0000000000000017E-2</v>
      </c>
      <c r="W18" s="9" t="str">
        <f>敌人目录!AA19</f>
        <v>可回读</v>
      </c>
      <c r="X18" s="9" t="str">
        <f>敌人目录!AC19</f>
        <v>res://resources/config/enemies/stone_eroded_yuanshi_insect_green_shell.tres</v>
      </c>
    </row>
    <row r="19" spans="1:24" ht="24" customHeight="1">
      <c r="A19" s="9">
        <v>2</v>
      </c>
      <c r="B19" s="9" t="str">
        <f>敌人目录!B20</f>
        <v>stone_eroded_yuanshi_insect_fire_ranged</v>
      </c>
      <c r="C19" s="9">
        <f>敌人目录!G20</f>
        <v>80</v>
      </c>
      <c r="D19" s="9">
        <f>敌人目录!H20</f>
        <v>25</v>
      </c>
      <c r="E19" s="9">
        <f>敌人目录!I20</f>
        <v>150</v>
      </c>
      <c r="F19" s="9">
        <f>敌人目录!J20</f>
        <v>0</v>
      </c>
      <c r="G19" s="9">
        <f>敌人目录!K20</f>
        <v>22</v>
      </c>
      <c r="H19" s="9">
        <f>敌人目录!L20</f>
        <v>1</v>
      </c>
      <c r="I19" s="9">
        <f>敌人目录!M20</f>
        <v>1</v>
      </c>
      <c r="J19" s="35">
        <f>敌人目录!O20</f>
        <v>0.02</v>
      </c>
      <c r="K19" s="35">
        <f>敌人目录!P20</f>
        <v>2E-3</v>
      </c>
      <c r="L19" s="35">
        <f>敌人目录!Q20</f>
        <v>0.01</v>
      </c>
      <c r="M19" s="35">
        <f>敌人目录!R20</f>
        <v>0</v>
      </c>
      <c r="N19" s="35">
        <f>敌人目录!S20</f>
        <v>0</v>
      </c>
      <c r="O19" s="35">
        <f>敌人目录!T20</f>
        <v>0</v>
      </c>
      <c r="P19" s="35">
        <f>敌人目录!U20</f>
        <v>0</v>
      </c>
      <c r="Q19" s="35">
        <f>敌人目录!V20</f>
        <v>4.0000000000000001E-3</v>
      </c>
      <c r="R19" s="35">
        <f>敌人目录!W20</f>
        <v>4.0000000000000001E-3</v>
      </c>
      <c r="S19" s="35">
        <f>敌人目录!X20</f>
        <v>4.0000000000000001E-3</v>
      </c>
      <c r="T19" s="35">
        <f>敌人目录!Y20</f>
        <v>4.0000000000000001E-3</v>
      </c>
      <c r="U19" s="35">
        <f>敌人目录!Z20</f>
        <v>2E-3</v>
      </c>
      <c r="V19" s="29">
        <f>敌人目录!N20</f>
        <v>5.0000000000000017E-2</v>
      </c>
      <c r="W19" s="9" t="str">
        <f>敌人目录!AA20</f>
        <v>可回读</v>
      </c>
      <c r="X19" s="9" t="str">
        <f>敌人目录!AC20</f>
        <v>res://resources/config/enemies/stone_eroded_yuanshi_insect_fire_ranged.tres</v>
      </c>
    </row>
    <row r="20" spans="1:24" ht="24" customHeight="1">
      <c r="A20" s="9">
        <v>2</v>
      </c>
      <c r="B20" s="9" t="str">
        <f>敌人目录!B21</f>
        <v>stone_eroded_yuanshi_insect_guardian</v>
      </c>
      <c r="C20" s="9">
        <f>敌人目录!G21</f>
        <v>300</v>
      </c>
      <c r="D20" s="9">
        <f>敌人目录!H21</f>
        <v>10</v>
      </c>
      <c r="E20" s="9">
        <f>敌人目录!I21</f>
        <v>150</v>
      </c>
      <c r="F20" s="9">
        <f>敌人目录!J21</f>
        <v>0</v>
      </c>
      <c r="G20" s="9">
        <f>敌人目录!K21</f>
        <v>20</v>
      </c>
      <c r="H20" s="9">
        <f>敌人目录!L21</f>
        <v>1</v>
      </c>
      <c r="I20" s="9">
        <f>敌人目录!M21</f>
        <v>2</v>
      </c>
      <c r="J20" s="35">
        <f>敌人目录!O21</f>
        <v>0.02</v>
      </c>
      <c r="K20" s="35">
        <f>敌人目录!P21</f>
        <v>2E-3</v>
      </c>
      <c r="L20" s="35">
        <f>敌人目录!Q21</f>
        <v>0.01</v>
      </c>
      <c r="M20" s="35">
        <f>敌人目录!R21</f>
        <v>0</v>
      </c>
      <c r="N20" s="35">
        <f>敌人目录!S21</f>
        <v>0</v>
      </c>
      <c r="O20" s="35">
        <f>敌人目录!T21</f>
        <v>0</v>
      </c>
      <c r="P20" s="35">
        <f>敌人目录!U21</f>
        <v>0</v>
      </c>
      <c r="Q20" s="35">
        <f>敌人目录!V21</f>
        <v>4.0000000000000001E-3</v>
      </c>
      <c r="R20" s="35">
        <f>敌人目录!W21</f>
        <v>4.0000000000000001E-3</v>
      </c>
      <c r="S20" s="35">
        <f>敌人目录!X21</f>
        <v>4.0000000000000001E-3</v>
      </c>
      <c r="T20" s="35">
        <f>敌人目录!Y21</f>
        <v>4.0000000000000001E-3</v>
      </c>
      <c r="U20" s="35">
        <f>敌人目录!Z21</f>
        <v>2E-3</v>
      </c>
      <c r="V20" s="29">
        <f>敌人目录!N21</f>
        <v>5.0000000000000017E-2</v>
      </c>
      <c r="W20" s="9" t="str">
        <f>敌人目录!AA21</f>
        <v>可回读</v>
      </c>
      <c r="X20" s="9" t="str">
        <f>敌人目录!AC21</f>
        <v>res://resources/config/enemies/stone_eroded_yuanshi_insect_guardian.tres</v>
      </c>
    </row>
    <row r="21" spans="1:24" ht="24" customHeight="1">
      <c r="A21" s="9">
        <v>2</v>
      </c>
      <c r="B21" s="9" t="str">
        <f>敌人目录!B22</f>
        <v>slime_basic</v>
      </c>
      <c r="C21" s="9">
        <f>敌人目录!G22</f>
        <v>100</v>
      </c>
      <c r="D21" s="9">
        <f>敌人目录!H22</f>
        <v>10</v>
      </c>
      <c r="E21" s="9">
        <f>敌人目录!I22</f>
        <v>0</v>
      </c>
      <c r="F21" s="9">
        <f>敌人目录!J22</f>
        <v>0</v>
      </c>
      <c r="G21" s="9">
        <f>敌人目录!K22</f>
        <v>20</v>
      </c>
      <c r="H21" s="9">
        <f>敌人目录!L22</f>
        <v>1</v>
      </c>
      <c r="I21" s="9">
        <f>敌人目录!M22</f>
        <v>1</v>
      </c>
      <c r="J21" s="35">
        <f>敌人目录!O22</f>
        <v>0.02</v>
      </c>
      <c r="K21" s="35">
        <f>敌人目录!P22</f>
        <v>2E-3</v>
      </c>
      <c r="L21" s="35">
        <f>敌人目录!Q22</f>
        <v>0.01</v>
      </c>
      <c r="M21" s="35">
        <f>敌人目录!R22</f>
        <v>0</v>
      </c>
      <c r="N21" s="35">
        <f>敌人目录!S22</f>
        <v>0</v>
      </c>
      <c r="O21" s="35">
        <f>敌人目录!T22</f>
        <v>0.02</v>
      </c>
      <c r="P21" s="35">
        <f>敌人目录!U22</f>
        <v>0</v>
      </c>
      <c r="Q21" s="35">
        <f>敌人目录!V22</f>
        <v>4.0000000000000001E-3</v>
      </c>
      <c r="R21" s="35">
        <f>敌人目录!W22</f>
        <v>4.0000000000000001E-3</v>
      </c>
      <c r="S21" s="35">
        <f>敌人目录!X22</f>
        <v>4.0000000000000001E-3</v>
      </c>
      <c r="T21" s="35">
        <f>敌人目录!Y22</f>
        <v>4.0000000000000001E-3</v>
      </c>
      <c r="U21" s="35">
        <f>敌人目录!Z22</f>
        <v>2E-3</v>
      </c>
      <c r="V21" s="29">
        <f>敌人目录!N22</f>
        <v>7.0000000000000021E-2</v>
      </c>
      <c r="W21" s="9" t="str">
        <f>敌人目录!AA22</f>
        <v>可回读</v>
      </c>
      <c r="X21" s="9" t="str">
        <f>敌人目录!AC22</f>
        <v>res://resources/config/enemies/slime.tres</v>
      </c>
    </row>
    <row r="22" spans="1:24" ht="24" customHeight="1">
      <c r="A22" s="9">
        <v>2</v>
      </c>
      <c r="B22" s="9" t="str">
        <f>敌人目录!B23</f>
        <v>slime_fire</v>
      </c>
      <c r="C22" s="9">
        <f>敌人目录!G23</f>
        <v>200</v>
      </c>
      <c r="D22" s="9">
        <f>敌人目录!H23</f>
        <v>10</v>
      </c>
      <c r="E22" s="9">
        <f>敌人目录!I23</f>
        <v>0</v>
      </c>
      <c r="F22" s="9">
        <f>敌人目录!J23</f>
        <v>0</v>
      </c>
      <c r="G22" s="9">
        <f>敌人目录!K23</f>
        <v>20</v>
      </c>
      <c r="H22" s="9">
        <f>敌人目录!L23</f>
        <v>1</v>
      </c>
      <c r="I22" s="9">
        <f>敌人目录!M23</f>
        <v>1</v>
      </c>
      <c r="J22" s="35">
        <f>敌人目录!O23</f>
        <v>0.02</v>
      </c>
      <c r="K22" s="35">
        <f>敌人目录!P23</f>
        <v>2E-3</v>
      </c>
      <c r="L22" s="35">
        <f>敌人目录!Q23</f>
        <v>0.01</v>
      </c>
      <c r="M22" s="35">
        <f>敌人目录!R23</f>
        <v>0</v>
      </c>
      <c r="N22" s="35">
        <f>敌人目录!S23</f>
        <v>0</v>
      </c>
      <c r="O22" s="35">
        <f>敌人目录!T23</f>
        <v>0.02</v>
      </c>
      <c r="P22" s="35">
        <f>敌人目录!U23</f>
        <v>0</v>
      </c>
      <c r="Q22" s="35">
        <f>敌人目录!V23</f>
        <v>4.0000000000000001E-3</v>
      </c>
      <c r="R22" s="35">
        <f>敌人目录!W23</f>
        <v>4.0000000000000001E-3</v>
      </c>
      <c r="S22" s="35">
        <f>敌人目录!X23</f>
        <v>4.0000000000000001E-3</v>
      </c>
      <c r="T22" s="35">
        <f>敌人目录!Y23</f>
        <v>4.0000000000000001E-3</v>
      </c>
      <c r="U22" s="35">
        <f>敌人目录!Z23</f>
        <v>2E-3</v>
      </c>
      <c r="V22" s="29">
        <f>敌人目录!N23</f>
        <v>7.0000000000000021E-2</v>
      </c>
      <c r="W22" s="9" t="str">
        <f>敌人目录!AA23</f>
        <v>可回读</v>
      </c>
      <c r="X22" s="9" t="str">
        <f>敌人目录!AC23</f>
        <v>res://resources/config/enemies/slime_fire.tres</v>
      </c>
    </row>
    <row r="23" spans="1:24" ht="24" customHeight="1">
      <c r="A23" s="9">
        <v>2</v>
      </c>
      <c r="B23" s="9" t="str">
        <f>敌人目录!B24</f>
        <v>slime_frost</v>
      </c>
      <c r="C23" s="9">
        <f>敌人目录!G24</f>
        <v>200</v>
      </c>
      <c r="D23" s="9">
        <f>敌人目录!H24</f>
        <v>10</v>
      </c>
      <c r="E23" s="9">
        <f>敌人目录!I24</f>
        <v>0</v>
      </c>
      <c r="F23" s="9">
        <f>敌人目录!J24</f>
        <v>0</v>
      </c>
      <c r="G23" s="9">
        <f>敌人目录!K24</f>
        <v>20</v>
      </c>
      <c r="H23" s="9">
        <f>敌人目录!L24</f>
        <v>1</v>
      </c>
      <c r="I23" s="9">
        <f>敌人目录!M24</f>
        <v>1</v>
      </c>
      <c r="J23" s="35">
        <f>敌人目录!O24</f>
        <v>0.02</v>
      </c>
      <c r="K23" s="35">
        <f>敌人目录!P24</f>
        <v>2E-3</v>
      </c>
      <c r="L23" s="35">
        <f>敌人目录!Q24</f>
        <v>0.01</v>
      </c>
      <c r="M23" s="35">
        <f>敌人目录!R24</f>
        <v>0</v>
      </c>
      <c r="N23" s="35">
        <f>敌人目录!S24</f>
        <v>0</v>
      </c>
      <c r="O23" s="35">
        <f>敌人目录!T24</f>
        <v>0.02</v>
      </c>
      <c r="P23" s="35">
        <f>敌人目录!U24</f>
        <v>0</v>
      </c>
      <c r="Q23" s="35">
        <f>敌人目录!V24</f>
        <v>4.0000000000000001E-3</v>
      </c>
      <c r="R23" s="35">
        <f>敌人目录!W24</f>
        <v>4.0000000000000001E-3</v>
      </c>
      <c r="S23" s="35">
        <f>敌人目录!X24</f>
        <v>4.0000000000000001E-3</v>
      </c>
      <c r="T23" s="35">
        <f>敌人目录!Y24</f>
        <v>4.0000000000000001E-3</v>
      </c>
      <c r="U23" s="35">
        <f>敌人目录!Z24</f>
        <v>2E-3</v>
      </c>
      <c r="V23" s="29">
        <f>敌人目录!N24</f>
        <v>7.0000000000000021E-2</v>
      </c>
      <c r="W23" s="9" t="str">
        <f>敌人目录!AA24</f>
        <v>可回读</v>
      </c>
      <c r="X23" s="9" t="str">
        <f>敌人目录!AC24</f>
        <v>res://resources/config/enemies/slime_frost.tres</v>
      </c>
    </row>
    <row r="24" spans="1:24" ht="24" customHeight="1">
      <c r="A24" s="9">
        <v>2</v>
      </c>
      <c r="B24" s="9" t="str">
        <f>敌人目录!B25</f>
        <v>slime_green</v>
      </c>
      <c r="C24" s="9">
        <f>敌人目录!G25</f>
        <v>300</v>
      </c>
      <c r="D24" s="9">
        <f>敌人目录!H25</f>
        <v>10</v>
      </c>
      <c r="E24" s="9">
        <f>敌人目录!I25</f>
        <v>50</v>
      </c>
      <c r="F24" s="9">
        <f>敌人目录!J25</f>
        <v>50</v>
      </c>
      <c r="G24" s="9">
        <f>敌人目录!K25</f>
        <v>20</v>
      </c>
      <c r="H24" s="9">
        <f>敌人目录!L25</f>
        <v>1</v>
      </c>
      <c r="I24" s="9">
        <f>敌人目录!M25</f>
        <v>1</v>
      </c>
      <c r="J24" s="35">
        <f>敌人目录!O25</f>
        <v>0.02</v>
      </c>
      <c r="K24" s="35">
        <f>敌人目录!P25</f>
        <v>2E-3</v>
      </c>
      <c r="L24" s="35">
        <f>敌人目录!Q25</f>
        <v>0.01</v>
      </c>
      <c r="M24" s="35">
        <f>敌人目录!R25</f>
        <v>0</v>
      </c>
      <c r="N24" s="35">
        <f>敌人目录!S25</f>
        <v>0</v>
      </c>
      <c r="O24" s="35">
        <f>敌人目录!T25</f>
        <v>0.02</v>
      </c>
      <c r="P24" s="35">
        <f>敌人目录!U25</f>
        <v>0</v>
      </c>
      <c r="Q24" s="35">
        <f>敌人目录!V25</f>
        <v>4.0000000000000001E-3</v>
      </c>
      <c r="R24" s="35">
        <f>敌人目录!W25</f>
        <v>4.0000000000000001E-3</v>
      </c>
      <c r="S24" s="35">
        <f>敌人目录!X25</f>
        <v>4.0000000000000001E-3</v>
      </c>
      <c r="T24" s="35">
        <f>敌人目录!Y25</f>
        <v>4.0000000000000001E-3</v>
      </c>
      <c r="U24" s="35">
        <f>敌人目录!Z25</f>
        <v>2E-3</v>
      </c>
      <c r="V24" s="29">
        <f>敌人目录!N25</f>
        <v>7.0000000000000021E-2</v>
      </c>
      <c r="W24" s="9" t="str">
        <f>敌人目录!AA25</f>
        <v>可回读</v>
      </c>
      <c r="X24" s="9" t="str">
        <f>敌人目录!AC25</f>
        <v>res://resources/config/enemies/slime_green.tres</v>
      </c>
    </row>
    <row r="25" spans="1:24" ht="24" customHeight="1">
      <c r="A25" s="9">
        <v>2</v>
      </c>
      <c r="B25" s="9" t="str">
        <f>敌人目录!B26</f>
        <v>slime_golden</v>
      </c>
      <c r="C25" s="9">
        <f>敌人目录!G26</f>
        <v>1000</v>
      </c>
      <c r="D25" s="9">
        <f>敌人目录!H26</f>
        <v>50</v>
      </c>
      <c r="E25" s="9">
        <f>敌人目录!I26</f>
        <v>0</v>
      </c>
      <c r="F25" s="9">
        <f>敌人目录!J26</f>
        <v>0</v>
      </c>
      <c r="G25" s="9">
        <f>敌人目录!K26</f>
        <v>20</v>
      </c>
      <c r="H25" s="9">
        <f>敌人目录!L26</f>
        <v>1</v>
      </c>
      <c r="I25" s="9">
        <f>敌人目录!M26</f>
        <v>1</v>
      </c>
      <c r="J25" s="35">
        <f>敌人目录!O26</f>
        <v>0.02</v>
      </c>
      <c r="K25" s="35">
        <f>敌人目录!P26</f>
        <v>2E-3</v>
      </c>
      <c r="L25" s="35">
        <f>敌人目录!Q26</f>
        <v>0.01</v>
      </c>
      <c r="M25" s="35">
        <f>敌人目录!R26</f>
        <v>0</v>
      </c>
      <c r="N25" s="35">
        <f>敌人目录!S26</f>
        <v>0</v>
      </c>
      <c r="O25" s="35">
        <f>敌人目录!T26</f>
        <v>0.02</v>
      </c>
      <c r="P25" s="35">
        <f>敌人目录!U26</f>
        <v>0</v>
      </c>
      <c r="Q25" s="35">
        <f>敌人目录!V26</f>
        <v>4.0000000000000001E-3</v>
      </c>
      <c r="R25" s="35">
        <f>敌人目录!W26</f>
        <v>4.0000000000000001E-3</v>
      </c>
      <c r="S25" s="35">
        <f>敌人目录!X26</f>
        <v>4.0000000000000001E-3</v>
      </c>
      <c r="T25" s="35">
        <f>敌人目录!Y26</f>
        <v>4.0000000000000001E-3</v>
      </c>
      <c r="U25" s="35">
        <f>敌人目录!Z26</f>
        <v>2E-3</v>
      </c>
      <c r="V25" s="29">
        <f>敌人目录!N26</f>
        <v>7.0000000000000021E-2</v>
      </c>
      <c r="W25" s="9" t="str">
        <f>敌人目录!AA26</f>
        <v>可回读</v>
      </c>
      <c r="X25" s="9" t="str">
        <f>敌人目录!AC26</f>
        <v>res://resources/config/enemies/slime_golden.tres</v>
      </c>
    </row>
    <row r="26" spans="1:24" ht="24" customHeight="1">
      <c r="A26" s="9">
        <v>2</v>
      </c>
      <c r="B26" s="9" t="str">
        <f>敌人目录!B27</f>
        <v>stone_eroded_slime</v>
      </c>
      <c r="C26" s="9">
        <f>敌人目录!G27</f>
        <v>200</v>
      </c>
      <c r="D26" s="9">
        <f>敌人目录!H27</f>
        <v>10</v>
      </c>
      <c r="E26" s="9">
        <f>敌人目录!I27</f>
        <v>150</v>
      </c>
      <c r="F26" s="9">
        <f>敌人目录!J27</f>
        <v>0</v>
      </c>
      <c r="G26" s="9">
        <f>敌人目录!K27</f>
        <v>20</v>
      </c>
      <c r="H26" s="9">
        <f>敌人目录!L27</f>
        <v>1</v>
      </c>
      <c r="I26" s="9">
        <f>敌人目录!M27</f>
        <v>1</v>
      </c>
      <c r="J26" s="35">
        <f>敌人目录!O27</f>
        <v>0.02</v>
      </c>
      <c r="K26" s="35">
        <f>敌人目录!P27</f>
        <v>2E-3</v>
      </c>
      <c r="L26" s="35">
        <f>敌人目录!Q27</f>
        <v>0.01</v>
      </c>
      <c r="M26" s="35">
        <f>敌人目录!R27</f>
        <v>0</v>
      </c>
      <c r="N26" s="35">
        <f>敌人目录!S27</f>
        <v>0</v>
      </c>
      <c r="O26" s="35">
        <f>敌人目录!T27</f>
        <v>0.02</v>
      </c>
      <c r="P26" s="35">
        <f>敌人目录!U27</f>
        <v>0</v>
      </c>
      <c r="Q26" s="35">
        <f>敌人目录!V27</f>
        <v>4.0000000000000001E-3</v>
      </c>
      <c r="R26" s="35">
        <f>敌人目录!W27</f>
        <v>4.0000000000000001E-3</v>
      </c>
      <c r="S26" s="35">
        <f>敌人目录!X27</f>
        <v>4.0000000000000001E-3</v>
      </c>
      <c r="T26" s="35">
        <f>敌人目录!Y27</f>
        <v>4.0000000000000001E-3</v>
      </c>
      <c r="U26" s="35">
        <f>敌人目录!Z27</f>
        <v>2E-3</v>
      </c>
      <c r="V26" s="29">
        <f>敌人目录!N27</f>
        <v>7.0000000000000021E-2</v>
      </c>
      <c r="W26" s="9" t="str">
        <f>敌人目录!AA27</f>
        <v>可回读</v>
      </c>
      <c r="X26" s="9" t="str">
        <f>敌人目录!AC27</f>
        <v>res://resources/config/enemies/stone_eroded_slime.tres</v>
      </c>
    </row>
    <row r="27" spans="1:24" ht="24" customHeight="1">
      <c r="A27" s="9">
        <v>2</v>
      </c>
      <c r="B27" s="9" t="str">
        <f>敌人目录!B28</f>
        <v>stone_eroded_slime_fire</v>
      </c>
      <c r="C27" s="9">
        <f>敌人目录!G28</f>
        <v>400</v>
      </c>
      <c r="D27" s="9">
        <f>敌人目录!H28</f>
        <v>10</v>
      </c>
      <c r="E27" s="9">
        <f>敌人目录!I28</f>
        <v>150</v>
      </c>
      <c r="F27" s="9">
        <f>敌人目录!J28</f>
        <v>0</v>
      </c>
      <c r="G27" s="9">
        <f>敌人目录!K28</f>
        <v>20</v>
      </c>
      <c r="H27" s="9">
        <f>敌人目录!L28</f>
        <v>1</v>
      </c>
      <c r="I27" s="9">
        <f>敌人目录!M28</f>
        <v>1</v>
      </c>
      <c r="J27" s="35">
        <f>敌人目录!O28</f>
        <v>0.02</v>
      </c>
      <c r="K27" s="35">
        <f>敌人目录!P28</f>
        <v>2E-3</v>
      </c>
      <c r="L27" s="35">
        <f>敌人目录!Q28</f>
        <v>0.01</v>
      </c>
      <c r="M27" s="35">
        <f>敌人目录!R28</f>
        <v>0</v>
      </c>
      <c r="N27" s="35">
        <f>敌人目录!S28</f>
        <v>0</v>
      </c>
      <c r="O27" s="35">
        <f>敌人目录!T28</f>
        <v>0.02</v>
      </c>
      <c r="P27" s="35">
        <f>敌人目录!U28</f>
        <v>0</v>
      </c>
      <c r="Q27" s="35">
        <f>敌人目录!V28</f>
        <v>4.0000000000000001E-3</v>
      </c>
      <c r="R27" s="35">
        <f>敌人目录!W28</f>
        <v>4.0000000000000001E-3</v>
      </c>
      <c r="S27" s="35">
        <f>敌人目录!X28</f>
        <v>4.0000000000000001E-3</v>
      </c>
      <c r="T27" s="35">
        <f>敌人目录!Y28</f>
        <v>4.0000000000000001E-3</v>
      </c>
      <c r="U27" s="35">
        <f>敌人目录!Z28</f>
        <v>2E-3</v>
      </c>
      <c r="V27" s="29">
        <f>敌人目录!N28</f>
        <v>7.0000000000000021E-2</v>
      </c>
      <c r="W27" s="9" t="str">
        <f>敌人目录!AA28</f>
        <v>可回读</v>
      </c>
      <c r="X27" s="9" t="str">
        <f>敌人目录!AC28</f>
        <v>res://resources/config/enemies/stone_eroded_slime_fire.tres</v>
      </c>
    </row>
    <row r="28" spans="1:24" ht="24" customHeight="1">
      <c r="A28" s="9">
        <v>2</v>
      </c>
      <c r="B28" s="9" t="str">
        <f>敌人目录!B29</f>
        <v>stone_eroded_slime_frost</v>
      </c>
      <c r="C28" s="9">
        <f>敌人目录!G29</f>
        <v>400</v>
      </c>
      <c r="D28" s="9">
        <f>敌人目录!H29</f>
        <v>10</v>
      </c>
      <c r="E28" s="9">
        <f>敌人目录!I29</f>
        <v>150</v>
      </c>
      <c r="F28" s="9">
        <f>敌人目录!J29</f>
        <v>0</v>
      </c>
      <c r="G28" s="9">
        <f>敌人目录!K29</f>
        <v>20</v>
      </c>
      <c r="H28" s="9">
        <f>敌人目录!L29</f>
        <v>1</v>
      </c>
      <c r="I28" s="9">
        <f>敌人目录!M29</f>
        <v>1</v>
      </c>
      <c r="J28" s="35">
        <f>敌人目录!O29</f>
        <v>0.02</v>
      </c>
      <c r="K28" s="35">
        <f>敌人目录!P29</f>
        <v>2E-3</v>
      </c>
      <c r="L28" s="35">
        <f>敌人目录!Q29</f>
        <v>0.01</v>
      </c>
      <c r="M28" s="35">
        <f>敌人目录!R29</f>
        <v>0</v>
      </c>
      <c r="N28" s="35">
        <f>敌人目录!S29</f>
        <v>0</v>
      </c>
      <c r="O28" s="35">
        <f>敌人目录!T29</f>
        <v>0.02</v>
      </c>
      <c r="P28" s="35">
        <f>敌人目录!U29</f>
        <v>0</v>
      </c>
      <c r="Q28" s="35">
        <f>敌人目录!V29</f>
        <v>4.0000000000000001E-3</v>
      </c>
      <c r="R28" s="35">
        <f>敌人目录!W29</f>
        <v>4.0000000000000001E-3</v>
      </c>
      <c r="S28" s="35">
        <f>敌人目录!X29</f>
        <v>4.0000000000000001E-3</v>
      </c>
      <c r="T28" s="35">
        <f>敌人目录!Y29</f>
        <v>4.0000000000000001E-3</v>
      </c>
      <c r="U28" s="35">
        <f>敌人目录!Z29</f>
        <v>2E-3</v>
      </c>
      <c r="V28" s="29">
        <f>敌人目录!N29</f>
        <v>7.0000000000000021E-2</v>
      </c>
      <c r="W28" s="9" t="str">
        <f>敌人目录!AA29</f>
        <v>可回读</v>
      </c>
      <c r="X28" s="9" t="str">
        <f>敌人目录!AC29</f>
        <v>res://resources/config/enemies/stone_eroded_slime_frost.tres</v>
      </c>
    </row>
    <row r="29" spans="1:24" ht="24" customHeight="1">
      <c r="A29" s="9">
        <v>2</v>
      </c>
      <c r="B29" s="9" t="str">
        <f>敌人目录!B30</f>
        <v>stone_eroded_slime_green</v>
      </c>
      <c r="C29" s="9">
        <f>敌人目录!G30</f>
        <v>600</v>
      </c>
      <c r="D29" s="9">
        <f>敌人目录!H30</f>
        <v>10</v>
      </c>
      <c r="E29" s="9">
        <f>敌人目录!I30</f>
        <v>150</v>
      </c>
      <c r="F29" s="9">
        <f>敌人目录!J30</f>
        <v>50</v>
      </c>
      <c r="G29" s="9">
        <f>敌人目录!K30</f>
        <v>20</v>
      </c>
      <c r="H29" s="9">
        <f>敌人目录!L30</f>
        <v>1</v>
      </c>
      <c r="I29" s="9">
        <f>敌人目录!M30</f>
        <v>1</v>
      </c>
      <c r="J29" s="35">
        <f>敌人目录!O30</f>
        <v>0.02</v>
      </c>
      <c r="K29" s="35">
        <f>敌人目录!P30</f>
        <v>2E-3</v>
      </c>
      <c r="L29" s="35">
        <f>敌人目录!Q30</f>
        <v>0.01</v>
      </c>
      <c r="M29" s="35">
        <f>敌人目录!R30</f>
        <v>0</v>
      </c>
      <c r="N29" s="35">
        <f>敌人目录!S30</f>
        <v>0</v>
      </c>
      <c r="O29" s="35">
        <f>敌人目录!T30</f>
        <v>0.02</v>
      </c>
      <c r="P29" s="35">
        <f>敌人目录!U30</f>
        <v>0</v>
      </c>
      <c r="Q29" s="35">
        <f>敌人目录!V30</f>
        <v>4.0000000000000001E-3</v>
      </c>
      <c r="R29" s="35">
        <f>敌人目录!W30</f>
        <v>4.0000000000000001E-3</v>
      </c>
      <c r="S29" s="35">
        <f>敌人目录!X30</f>
        <v>4.0000000000000001E-3</v>
      </c>
      <c r="T29" s="35">
        <f>敌人目录!Y30</f>
        <v>4.0000000000000001E-3</v>
      </c>
      <c r="U29" s="35">
        <f>敌人目录!Z30</f>
        <v>2E-3</v>
      </c>
      <c r="V29" s="29">
        <f>敌人目录!N30</f>
        <v>7.0000000000000021E-2</v>
      </c>
      <c r="W29" s="9" t="str">
        <f>敌人目录!AA30</f>
        <v>可回读</v>
      </c>
      <c r="X29" s="9" t="str">
        <f>敌人目录!AC30</f>
        <v>res://resources/config/enemies/stone_eroded_slime_green.tres</v>
      </c>
    </row>
    <row r="30" spans="1:24" ht="24" customHeight="1">
      <c r="A30" s="9">
        <v>2</v>
      </c>
      <c r="B30" s="9" t="str">
        <f>敌人目录!B31</f>
        <v>stone_eroded_slime_golden</v>
      </c>
      <c r="C30" s="9">
        <f>敌人目录!G31</f>
        <v>2000</v>
      </c>
      <c r="D30" s="9">
        <f>敌人目录!H31</f>
        <v>50</v>
      </c>
      <c r="E30" s="9">
        <f>敌人目录!I31</f>
        <v>150</v>
      </c>
      <c r="F30" s="9">
        <f>敌人目录!J31</f>
        <v>0</v>
      </c>
      <c r="G30" s="9">
        <f>敌人目录!K31</f>
        <v>20</v>
      </c>
      <c r="H30" s="9">
        <f>敌人目录!L31</f>
        <v>1</v>
      </c>
      <c r="I30" s="9">
        <f>敌人目录!M31</f>
        <v>1</v>
      </c>
      <c r="J30" s="35">
        <f>敌人目录!O31</f>
        <v>0.02</v>
      </c>
      <c r="K30" s="35">
        <f>敌人目录!P31</f>
        <v>2E-3</v>
      </c>
      <c r="L30" s="35">
        <f>敌人目录!Q31</f>
        <v>0.01</v>
      </c>
      <c r="M30" s="35">
        <f>敌人目录!R31</f>
        <v>0</v>
      </c>
      <c r="N30" s="35">
        <f>敌人目录!S31</f>
        <v>0</v>
      </c>
      <c r="O30" s="35">
        <f>敌人目录!T31</f>
        <v>0.02</v>
      </c>
      <c r="P30" s="35">
        <f>敌人目录!U31</f>
        <v>0</v>
      </c>
      <c r="Q30" s="35">
        <f>敌人目录!V31</f>
        <v>4.0000000000000001E-3</v>
      </c>
      <c r="R30" s="35">
        <f>敌人目录!W31</f>
        <v>4.0000000000000001E-3</v>
      </c>
      <c r="S30" s="35">
        <f>敌人目录!X31</f>
        <v>4.0000000000000001E-3</v>
      </c>
      <c r="T30" s="35">
        <f>敌人目录!Y31</f>
        <v>4.0000000000000001E-3</v>
      </c>
      <c r="U30" s="35">
        <f>敌人目录!Z31</f>
        <v>2E-3</v>
      </c>
      <c r="V30" s="29">
        <f>敌人目录!N31</f>
        <v>7.0000000000000021E-2</v>
      </c>
      <c r="W30" s="9" t="str">
        <f>敌人目录!AA31</f>
        <v>可回读</v>
      </c>
      <c r="X30" s="9" t="str">
        <f>敌人目录!AC31</f>
        <v>res://resources/config/enemies/stone_eroded_slime_golden.tres</v>
      </c>
    </row>
    <row r="31" spans="1:24" ht="24" customHeight="1">
      <c r="A31" s="9">
        <v>2</v>
      </c>
      <c r="B31" s="9" t="str">
        <f>敌人目录!B32</f>
        <v>capoo_knight</v>
      </c>
      <c r="C31" s="9">
        <f>敌人目录!G32</f>
        <v>200</v>
      </c>
      <c r="D31" s="9">
        <f>敌人目录!H32</f>
        <v>28</v>
      </c>
      <c r="E31" s="9">
        <f>敌人目录!I32</f>
        <v>10</v>
      </c>
      <c r="F31" s="9">
        <f>敌人目录!J32</f>
        <v>0</v>
      </c>
      <c r="G31" s="9">
        <f>敌人目录!K32</f>
        <v>34</v>
      </c>
      <c r="H31" s="9">
        <f>敌人目录!L32</f>
        <v>2</v>
      </c>
      <c r="I31" s="9">
        <f>敌人目录!M32</f>
        <v>4</v>
      </c>
      <c r="J31" s="35">
        <f>敌人目录!O32</f>
        <v>0.02</v>
      </c>
      <c r="K31" s="35">
        <f>敌人目录!P32</f>
        <v>2E-3</v>
      </c>
      <c r="L31" s="35">
        <f>敌人目录!Q32</f>
        <v>0.01</v>
      </c>
      <c r="M31" s="35">
        <f>敌人目录!R32</f>
        <v>0.01</v>
      </c>
      <c r="N31" s="35">
        <f>敌人目录!S32</f>
        <v>0.01</v>
      </c>
      <c r="O31" s="35">
        <f>敌人目录!T32</f>
        <v>0</v>
      </c>
      <c r="P31" s="35">
        <f>敌人目录!U32</f>
        <v>0</v>
      </c>
      <c r="Q31" s="35">
        <f>敌人目录!V32</f>
        <v>4.0000000000000001E-3</v>
      </c>
      <c r="R31" s="35">
        <f>敌人目录!W32</f>
        <v>4.0000000000000001E-3</v>
      </c>
      <c r="S31" s="35">
        <f>敌人目录!X32</f>
        <v>4.0000000000000001E-3</v>
      </c>
      <c r="T31" s="35">
        <f>敌人目录!Y32</f>
        <v>4.0000000000000001E-3</v>
      </c>
      <c r="U31" s="35">
        <f>敌人目录!Z32</f>
        <v>2E-3</v>
      </c>
      <c r="V31" s="29">
        <f>敌人目录!N32</f>
        <v>7.0000000000000021E-2</v>
      </c>
      <c r="W31" s="9" t="str">
        <f>敌人目录!AA32</f>
        <v>可回读</v>
      </c>
      <c r="X31" s="9" t="str">
        <f>敌人目录!AC32</f>
        <v>res://resources/config/enemies/capoo_knight.tres</v>
      </c>
    </row>
    <row r="32" spans="1:24" ht="24" customHeight="1">
      <c r="A32" s="9">
        <v>2</v>
      </c>
      <c r="B32" s="9" t="str">
        <f>敌人目录!B33</f>
        <v>capoo_knight_elite</v>
      </c>
      <c r="C32" s="9">
        <f>敌人目录!G33</f>
        <v>350</v>
      </c>
      <c r="D32" s="9">
        <f>敌人目录!H33</f>
        <v>28</v>
      </c>
      <c r="E32" s="9">
        <f>敌人目录!I33</f>
        <v>15</v>
      </c>
      <c r="F32" s="9">
        <f>敌人目录!J33</f>
        <v>0</v>
      </c>
      <c r="G32" s="9">
        <f>敌人目录!K33</f>
        <v>34</v>
      </c>
      <c r="H32" s="9">
        <f>敌人目录!L33</f>
        <v>2</v>
      </c>
      <c r="I32" s="9">
        <f>敌人目录!M33</f>
        <v>4</v>
      </c>
      <c r="J32" s="35">
        <f>敌人目录!O33</f>
        <v>0.02</v>
      </c>
      <c r="K32" s="35">
        <f>敌人目录!P33</f>
        <v>2E-3</v>
      </c>
      <c r="L32" s="35">
        <f>敌人目录!Q33</f>
        <v>0.01</v>
      </c>
      <c r="M32" s="35">
        <f>敌人目录!R33</f>
        <v>0.01</v>
      </c>
      <c r="N32" s="35">
        <f>敌人目录!S33</f>
        <v>0.01</v>
      </c>
      <c r="O32" s="35">
        <f>敌人目录!T33</f>
        <v>0</v>
      </c>
      <c r="P32" s="35">
        <f>敌人目录!U33</f>
        <v>0</v>
      </c>
      <c r="Q32" s="35">
        <f>敌人目录!V33</f>
        <v>4.0000000000000001E-3</v>
      </c>
      <c r="R32" s="35">
        <f>敌人目录!W33</f>
        <v>4.0000000000000001E-3</v>
      </c>
      <c r="S32" s="35">
        <f>敌人目录!X33</f>
        <v>4.0000000000000001E-3</v>
      </c>
      <c r="T32" s="35">
        <f>敌人目录!Y33</f>
        <v>4.0000000000000001E-3</v>
      </c>
      <c r="U32" s="35">
        <f>敌人目录!Z33</f>
        <v>2E-3</v>
      </c>
      <c r="V32" s="29">
        <f>敌人目录!N33</f>
        <v>7.0000000000000021E-2</v>
      </c>
      <c r="W32" s="9" t="str">
        <f>敌人目录!AA33</f>
        <v>可回读</v>
      </c>
      <c r="X32" s="9" t="str">
        <f>敌人目录!AC33</f>
        <v>res://resources/config/enemies/capoo_knight_elite.tres</v>
      </c>
    </row>
    <row r="33" spans="1:24" ht="24" customHeight="1">
      <c r="A33" s="9">
        <v>2</v>
      </c>
      <c r="B33" s="9" t="str">
        <f>敌人目录!B34</f>
        <v>capoo_swordsman</v>
      </c>
      <c r="C33" s="9">
        <f>敌人目录!G34</f>
        <v>400</v>
      </c>
      <c r="D33" s="9">
        <f>敌人目录!H34</f>
        <v>24</v>
      </c>
      <c r="E33" s="9">
        <f>敌人目录!I34</f>
        <v>5</v>
      </c>
      <c r="F33" s="9">
        <f>敌人目录!J34</f>
        <v>0</v>
      </c>
      <c r="G33" s="9">
        <f>敌人目录!K34</f>
        <v>38</v>
      </c>
      <c r="H33" s="9">
        <f>敌人目录!L34</f>
        <v>2</v>
      </c>
      <c r="I33" s="9">
        <f>敌人目录!M34</f>
        <v>4</v>
      </c>
      <c r="J33" s="35">
        <f>敌人目录!O34</f>
        <v>0.02</v>
      </c>
      <c r="K33" s="35">
        <f>敌人目录!P34</f>
        <v>2E-3</v>
      </c>
      <c r="L33" s="35">
        <f>敌人目录!Q34</f>
        <v>0.01</v>
      </c>
      <c r="M33" s="35">
        <f>敌人目录!R34</f>
        <v>0.01</v>
      </c>
      <c r="N33" s="35">
        <f>敌人目录!S34</f>
        <v>0.01</v>
      </c>
      <c r="O33" s="35">
        <f>敌人目录!T34</f>
        <v>0</v>
      </c>
      <c r="P33" s="35">
        <f>敌人目录!U34</f>
        <v>0</v>
      </c>
      <c r="Q33" s="35">
        <f>敌人目录!V34</f>
        <v>4.0000000000000001E-3</v>
      </c>
      <c r="R33" s="35">
        <f>敌人目录!W34</f>
        <v>4.0000000000000001E-3</v>
      </c>
      <c r="S33" s="35">
        <f>敌人目录!X34</f>
        <v>4.0000000000000001E-3</v>
      </c>
      <c r="T33" s="35">
        <f>敌人目录!Y34</f>
        <v>4.0000000000000001E-3</v>
      </c>
      <c r="U33" s="35">
        <f>敌人目录!Z34</f>
        <v>2E-3</v>
      </c>
      <c r="V33" s="29">
        <f>敌人目录!N34</f>
        <v>7.0000000000000021E-2</v>
      </c>
      <c r="W33" s="9" t="str">
        <f>敌人目录!AA34</f>
        <v>可回读</v>
      </c>
      <c r="X33" s="9" t="str">
        <f>敌人目录!AC34</f>
        <v>res://resources/config/enemies/capoo_swordsman.tres</v>
      </c>
    </row>
    <row r="34" spans="1:24" ht="24" customHeight="1">
      <c r="A34" s="9">
        <v>2</v>
      </c>
      <c r="B34" s="9" t="str">
        <f>敌人目录!B35</f>
        <v>capoo_smg</v>
      </c>
      <c r="C34" s="9">
        <f>敌人目录!G35</f>
        <v>200</v>
      </c>
      <c r="D34" s="9">
        <f>敌人目录!H35</f>
        <v>30</v>
      </c>
      <c r="E34" s="9">
        <f>敌人目录!I35</f>
        <v>0</v>
      </c>
      <c r="F34" s="9">
        <f>敌人目录!J35</f>
        <v>0</v>
      </c>
      <c r="G34" s="9">
        <f>敌人目录!K35</f>
        <v>100</v>
      </c>
      <c r="H34" s="9">
        <f>敌人目录!L35</f>
        <v>2</v>
      </c>
      <c r="I34" s="9">
        <f>敌人目录!M35</f>
        <v>5</v>
      </c>
      <c r="J34" s="35">
        <f>敌人目录!O35</f>
        <v>0.02</v>
      </c>
      <c r="K34" s="35">
        <f>敌人目录!P35</f>
        <v>2E-3</v>
      </c>
      <c r="L34" s="35">
        <f>敌人目录!Q35</f>
        <v>0.01</v>
      </c>
      <c r="M34" s="35">
        <f>敌人目录!R35</f>
        <v>0.01</v>
      </c>
      <c r="N34" s="35">
        <f>敌人目录!S35</f>
        <v>0.01</v>
      </c>
      <c r="O34" s="35">
        <f>敌人目录!T35</f>
        <v>0</v>
      </c>
      <c r="P34" s="35">
        <f>敌人目录!U35</f>
        <v>0</v>
      </c>
      <c r="Q34" s="35">
        <f>敌人目录!V35</f>
        <v>4.0000000000000001E-3</v>
      </c>
      <c r="R34" s="35">
        <f>敌人目录!W35</f>
        <v>4.0000000000000001E-3</v>
      </c>
      <c r="S34" s="35">
        <f>敌人目录!X35</f>
        <v>4.0000000000000001E-3</v>
      </c>
      <c r="T34" s="35">
        <f>敌人目录!Y35</f>
        <v>4.0000000000000001E-3</v>
      </c>
      <c r="U34" s="35">
        <f>敌人目录!Z35</f>
        <v>2E-3</v>
      </c>
      <c r="V34" s="29">
        <f>敌人目录!N35</f>
        <v>7.0000000000000021E-2</v>
      </c>
      <c r="W34" s="9" t="str">
        <f>敌人目录!AA35</f>
        <v>可回读</v>
      </c>
      <c r="X34" s="9" t="str">
        <f>敌人目录!AC35</f>
        <v>res://resources/config/enemies/capoo_smg.tres</v>
      </c>
    </row>
    <row r="35" spans="1:24" ht="24" customHeight="1">
      <c r="A35" s="9">
        <v>2</v>
      </c>
      <c r="B35" s="9" t="str">
        <f>敌人目录!B36</f>
        <v>capoo_ak47</v>
      </c>
      <c r="C35" s="9">
        <f>敌人目录!G36</f>
        <v>150</v>
      </c>
      <c r="D35" s="9">
        <f>敌人目录!H36</f>
        <v>20</v>
      </c>
      <c r="E35" s="9">
        <f>敌人目录!I36</f>
        <v>0</v>
      </c>
      <c r="F35" s="9">
        <f>敌人目录!J36</f>
        <v>0</v>
      </c>
      <c r="G35" s="9">
        <f>敌人目录!K36</f>
        <v>18</v>
      </c>
      <c r="H35" s="9">
        <f>敌人目录!L36</f>
        <v>2</v>
      </c>
      <c r="I35" s="9">
        <f>敌人目录!M36</f>
        <v>5</v>
      </c>
      <c r="J35" s="35">
        <f>敌人目录!O36</f>
        <v>0.02</v>
      </c>
      <c r="K35" s="35">
        <f>敌人目录!P36</f>
        <v>2E-3</v>
      </c>
      <c r="L35" s="35">
        <f>敌人目录!Q36</f>
        <v>0.01</v>
      </c>
      <c r="M35" s="35">
        <f>敌人目录!R36</f>
        <v>0.01</v>
      </c>
      <c r="N35" s="35">
        <f>敌人目录!S36</f>
        <v>0.01</v>
      </c>
      <c r="O35" s="35">
        <f>敌人目录!T36</f>
        <v>0</v>
      </c>
      <c r="P35" s="35">
        <f>敌人目录!U36</f>
        <v>0</v>
      </c>
      <c r="Q35" s="35">
        <f>敌人目录!V36</f>
        <v>4.0000000000000001E-3</v>
      </c>
      <c r="R35" s="35">
        <f>敌人目录!W36</f>
        <v>4.0000000000000001E-3</v>
      </c>
      <c r="S35" s="35">
        <f>敌人目录!X36</f>
        <v>4.0000000000000001E-3</v>
      </c>
      <c r="T35" s="35">
        <f>敌人目录!Y36</f>
        <v>4.0000000000000001E-3</v>
      </c>
      <c r="U35" s="35">
        <f>敌人目录!Z36</f>
        <v>2E-3</v>
      </c>
      <c r="V35" s="29">
        <f>敌人目录!N36</f>
        <v>7.0000000000000021E-2</v>
      </c>
      <c r="W35" s="9" t="str">
        <f>敌人目录!AA36</f>
        <v>可回读</v>
      </c>
      <c r="X35" s="9" t="str">
        <f>敌人目录!AC36</f>
        <v>res://resources/config/enemies/capoo_ak47.tres</v>
      </c>
    </row>
    <row r="36" spans="1:24" ht="24" customHeight="1">
      <c r="A36" s="9">
        <v>2</v>
      </c>
      <c r="B36" s="9" t="str">
        <f>敌人目录!B37</f>
        <v>capoo_rpg</v>
      </c>
      <c r="C36" s="9">
        <f>敌人目录!G37</f>
        <v>200</v>
      </c>
      <c r="D36" s="9">
        <f>敌人目录!H37</f>
        <v>20</v>
      </c>
      <c r="E36" s="9">
        <f>敌人目录!I37</f>
        <v>0</v>
      </c>
      <c r="F36" s="9">
        <f>敌人目录!J37</f>
        <v>0</v>
      </c>
      <c r="G36" s="9">
        <f>敌人目录!K37</f>
        <v>16</v>
      </c>
      <c r="H36" s="9">
        <f>敌人目录!L37</f>
        <v>2</v>
      </c>
      <c r="I36" s="9">
        <f>敌人目录!M37</f>
        <v>5</v>
      </c>
      <c r="J36" s="35">
        <f>敌人目录!O37</f>
        <v>0.02</v>
      </c>
      <c r="K36" s="35">
        <f>敌人目录!P37</f>
        <v>2E-3</v>
      </c>
      <c r="L36" s="35">
        <f>敌人目录!Q37</f>
        <v>0.01</v>
      </c>
      <c r="M36" s="35">
        <f>敌人目录!R37</f>
        <v>0.01</v>
      </c>
      <c r="N36" s="35">
        <f>敌人目录!S37</f>
        <v>0.01</v>
      </c>
      <c r="O36" s="35">
        <f>敌人目录!T37</f>
        <v>0</v>
      </c>
      <c r="P36" s="35">
        <f>敌人目录!U37</f>
        <v>0</v>
      </c>
      <c r="Q36" s="35">
        <f>敌人目录!V37</f>
        <v>4.0000000000000001E-3</v>
      </c>
      <c r="R36" s="35">
        <f>敌人目录!W37</f>
        <v>4.0000000000000001E-3</v>
      </c>
      <c r="S36" s="35">
        <f>敌人目录!X37</f>
        <v>4.0000000000000001E-3</v>
      </c>
      <c r="T36" s="35">
        <f>敌人目录!Y37</f>
        <v>4.0000000000000001E-3</v>
      </c>
      <c r="U36" s="35">
        <f>敌人目录!Z37</f>
        <v>2E-3</v>
      </c>
      <c r="V36" s="29">
        <f>敌人目录!N37</f>
        <v>7.0000000000000021E-2</v>
      </c>
      <c r="W36" s="9" t="str">
        <f>敌人目录!AA37</f>
        <v>可回读</v>
      </c>
      <c r="X36" s="9" t="str">
        <f>敌人目录!AC37</f>
        <v>res://resources/config/enemies/capoo_rpg.tres</v>
      </c>
    </row>
    <row r="37" spans="1:24" ht="24" customHeight="1">
      <c r="A37" s="9">
        <v>2</v>
      </c>
      <c r="B37" s="9" t="str">
        <f>敌人目录!B38</f>
        <v>capoo_mage</v>
      </c>
      <c r="C37" s="9">
        <f>敌人目录!G38</f>
        <v>200</v>
      </c>
      <c r="D37" s="9">
        <f>敌人目录!H38</f>
        <v>35</v>
      </c>
      <c r="E37" s="9">
        <f>敌人目录!I38</f>
        <v>0</v>
      </c>
      <c r="F37" s="9">
        <f>敌人目录!J38</f>
        <v>0</v>
      </c>
      <c r="G37" s="9">
        <f>敌人目录!K38</f>
        <v>24</v>
      </c>
      <c r="H37" s="9">
        <f>敌人目录!L38</f>
        <v>2</v>
      </c>
      <c r="I37" s="9">
        <f>敌人目录!M38</f>
        <v>10</v>
      </c>
      <c r="J37" s="35">
        <f>敌人目录!O38</f>
        <v>0.02</v>
      </c>
      <c r="K37" s="35">
        <f>敌人目录!P38</f>
        <v>2E-3</v>
      </c>
      <c r="L37" s="35">
        <f>敌人目录!Q38</f>
        <v>0.01</v>
      </c>
      <c r="M37" s="35">
        <f>敌人目录!R38</f>
        <v>0.01</v>
      </c>
      <c r="N37" s="35">
        <f>敌人目录!S38</f>
        <v>0.01</v>
      </c>
      <c r="O37" s="35">
        <f>敌人目录!T38</f>
        <v>0</v>
      </c>
      <c r="P37" s="35">
        <f>敌人目录!U38</f>
        <v>0</v>
      </c>
      <c r="Q37" s="35">
        <f>敌人目录!V38</f>
        <v>4.0000000000000001E-3</v>
      </c>
      <c r="R37" s="35">
        <f>敌人目录!W38</f>
        <v>4.0000000000000001E-3</v>
      </c>
      <c r="S37" s="35">
        <f>敌人目录!X38</f>
        <v>4.0000000000000001E-3</v>
      </c>
      <c r="T37" s="35">
        <f>敌人目录!Y38</f>
        <v>4.0000000000000001E-3</v>
      </c>
      <c r="U37" s="35">
        <f>敌人目录!Z38</f>
        <v>2E-3</v>
      </c>
      <c r="V37" s="29">
        <f>敌人目录!N38</f>
        <v>7.0000000000000021E-2</v>
      </c>
      <c r="W37" s="9" t="str">
        <f>敌人目录!AA38</f>
        <v>可回读</v>
      </c>
      <c r="X37" s="9" t="str">
        <f>敌人目录!AC38</f>
        <v>res://resources/config/enemies/capoo_mage.tres</v>
      </c>
    </row>
    <row r="38" spans="1:24" ht="24" customHeight="1">
      <c r="A38" s="9">
        <v>2</v>
      </c>
      <c r="B38" s="9" t="str">
        <f>敌人目录!B39</f>
        <v>capoo_sniper</v>
      </c>
      <c r="C38" s="9">
        <f>敌人目录!G39</f>
        <v>100</v>
      </c>
      <c r="D38" s="9">
        <f>敌人目录!H39</f>
        <v>200</v>
      </c>
      <c r="E38" s="9">
        <f>敌人目录!I39</f>
        <v>20</v>
      </c>
      <c r="F38" s="9">
        <f>敌人目录!J39</f>
        <v>0</v>
      </c>
      <c r="G38" s="9">
        <f>敌人目录!K39</f>
        <v>80</v>
      </c>
      <c r="H38" s="9">
        <f>敌人目录!L39</f>
        <v>2</v>
      </c>
      <c r="I38" s="9">
        <f>敌人目录!M39</f>
        <v>10</v>
      </c>
      <c r="J38" s="35">
        <f>敌人目录!O39</f>
        <v>0.02</v>
      </c>
      <c r="K38" s="35">
        <f>敌人目录!P39</f>
        <v>2E-3</v>
      </c>
      <c r="L38" s="35">
        <f>敌人目录!Q39</f>
        <v>0.01</v>
      </c>
      <c r="M38" s="35">
        <f>敌人目录!R39</f>
        <v>0.01</v>
      </c>
      <c r="N38" s="35">
        <f>敌人目录!S39</f>
        <v>0.01</v>
      </c>
      <c r="O38" s="35">
        <f>敌人目录!T39</f>
        <v>0</v>
      </c>
      <c r="P38" s="35">
        <f>敌人目录!U39</f>
        <v>0</v>
      </c>
      <c r="Q38" s="35">
        <f>敌人目录!V39</f>
        <v>4.0000000000000001E-3</v>
      </c>
      <c r="R38" s="35">
        <f>敌人目录!W39</f>
        <v>4.0000000000000001E-3</v>
      </c>
      <c r="S38" s="35">
        <f>敌人目录!X39</f>
        <v>4.0000000000000001E-3</v>
      </c>
      <c r="T38" s="35">
        <f>敌人目录!Y39</f>
        <v>4.0000000000000001E-3</v>
      </c>
      <c r="U38" s="35">
        <f>敌人目录!Z39</f>
        <v>2E-3</v>
      </c>
      <c r="V38" s="29">
        <f>敌人目录!N39</f>
        <v>7.0000000000000021E-2</v>
      </c>
      <c r="W38" s="9" t="str">
        <f>敌人目录!AA39</f>
        <v>可回读</v>
      </c>
      <c r="X38" s="9" t="str">
        <f>敌人目录!AC39</f>
        <v>res://resources/config/enemies/capoo_sniper.tres</v>
      </c>
    </row>
    <row r="39" spans="1:24" ht="24" customHeight="1">
      <c r="A39" s="9">
        <v>2</v>
      </c>
      <c r="B39" s="9" t="str">
        <f>敌人目录!B40</f>
        <v>stone_eroded_capoo_knight</v>
      </c>
      <c r="C39" s="9">
        <f>敌人目录!G40</f>
        <v>400</v>
      </c>
      <c r="D39" s="9">
        <f>敌人目录!H40</f>
        <v>28</v>
      </c>
      <c r="E39" s="9">
        <f>敌人目录!I40</f>
        <v>150</v>
      </c>
      <c r="F39" s="9">
        <f>敌人目录!J40</f>
        <v>0</v>
      </c>
      <c r="G39" s="9">
        <f>敌人目录!K40</f>
        <v>34</v>
      </c>
      <c r="H39" s="9">
        <f>敌人目录!L40</f>
        <v>2</v>
      </c>
      <c r="I39" s="9">
        <f>敌人目录!M40</f>
        <v>4</v>
      </c>
      <c r="J39" s="35">
        <f>敌人目录!O40</f>
        <v>0.02</v>
      </c>
      <c r="K39" s="35">
        <f>敌人目录!P40</f>
        <v>2E-3</v>
      </c>
      <c r="L39" s="35">
        <f>敌人目录!Q40</f>
        <v>0.01</v>
      </c>
      <c r="M39" s="35">
        <f>敌人目录!R40</f>
        <v>0.01</v>
      </c>
      <c r="N39" s="35">
        <f>敌人目录!S40</f>
        <v>0.01</v>
      </c>
      <c r="O39" s="35">
        <f>敌人目录!T40</f>
        <v>0</v>
      </c>
      <c r="P39" s="35">
        <f>敌人目录!U40</f>
        <v>0</v>
      </c>
      <c r="Q39" s="35">
        <f>敌人目录!V40</f>
        <v>4.0000000000000001E-3</v>
      </c>
      <c r="R39" s="35">
        <f>敌人目录!W40</f>
        <v>4.0000000000000001E-3</v>
      </c>
      <c r="S39" s="35">
        <f>敌人目录!X40</f>
        <v>4.0000000000000001E-3</v>
      </c>
      <c r="T39" s="35">
        <f>敌人目录!Y40</f>
        <v>4.0000000000000001E-3</v>
      </c>
      <c r="U39" s="35">
        <f>敌人目录!Z40</f>
        <v>2E-3</v>
      </c>
      <c r="V39" s="29">
        <f>敌人目录!N40</f>
        <v>7.0000000000000021E-2</v>
      </c>
      <c r="W39" s="9" t="str">
        <f>敌人目录!AA40</f>
        <v>可回读</v>
      </c>
      <c r="X39" s="9" t="str">
        <f>敌人目录!AC40</f>
        <v>res://resources/config/enemies/stone_eroded_capoo_knight.tres</v>
      </c>
    </row>
    <row r="40" spans="1:24" ht="24" customHeight="1">
      <c r="A40" s="9">
        <v>2</v>
      </c>
      <c r="B40" s="9" t="str">
        <f>敌人目录!B41</f>
        <v>stone_eroded_capoo_knight_elite</v>
      </c>
      <c r="C40" s="9">
        <f>敌人目录!G41</f>
        <v>700</v>
      </c>
      <c r="D40" s="9">
        <f>敌人目录!H41</f>
        <v>28</v>
      </c>
      <c r="E40" s="9">
        <f>敌人目录!I41</f>
        <v>150</v>
      </c>
      <c r="F40" s="9">
        <f>敌人目录!J41</f>
        <v>0</v>
      </c>
      <c r="G40" s="9">
        <f>敌人目录!K41</f>
        <v>34</v>
      </c>
      <c r="H40" s="9">
        <f>敌人目录!L41</f>
        <v>2</v>
      </c>
      <c r="I40" s="9">
        <f>敌人目录!M41</f>
        <v>4</v>
      </c>
      <c r="J40" s="35">
        <f>敌人目录!O41</f>
        <v>0.02</v>
      </c>
      <c r="K40" s="35">
        <f>敌人目录!P41</f>
        <v>2E-3</v>
      </c>
      <c r="L40" s="35">
        <f>敌人目录!Q41</f>
        <v>0.01</v>
      </c>
      <c r="M40" s="35">
        <f>敌人目录!R41</f>
        <v>0.01</v>
      </c>
      <c r="N40" s="35">
        <f>敌人目录!S41</f>
        <v>0.01</v>
      </c>
      <c r="O40" s="35">
        <f>敌人目录!T41</f>
        <v>0</v>
      </c>
      <c r="P40" s="35">
        <f>敌人目录!U41</f>
        <v>0</v>
      </c>
      <c r="Q40" s="35">
        <f>敌人目录!V41</f>
        <v>4.0000000000000001E-3</v>
      </c>
      <c r="R40" s="35">
        <f>敌人目录!W41</f>
        <v>4.0000000000000001E-3</v>
      </c>
      <c r="S40" s="35">
        <f>敌人目录!X41</f>
        <v>4.0000000000000001E-3</v>
      </c>
      <c r="T40" s="35">
        <f>敌人目录!Y41</f>
        <v>4.0000000000000001E-3</v>
      </c>
      <c r="U40" s="35">
        <f>敌人目录!Z41</f>
        <v>2E-3</v>
      </c>
      <c r="V40" s="29">
        <f>敌人目录!N41</f>
        <v>7.0000000000000021E-2</v>
      </c>
      <c r="W40" s="9" t="str">
        <f>敌人目录!AA41</f>
        <v>可回读</v>
      </c>
      <c r="X40" s="9" t="str">
        <f>敌人目录!AC41</f>
        <v>res://resources/config/enemies/stone_eroded_capoo_knight_elite.tres</v>
      </c>
    </row>
    <row r="41" spans="1:24" ht="24" customHeight="1">
      <c r="A41" s="9">
        <v>2</v>
      </c>
      <c r="B41" s="9" t="str">
        <f>敌人目录!B42</f>
        <v>stone_eroded_capoo_swordsman</v>
      </c>
      <c r="C41" s="9">
        <f>敌人目录!G42</f>
        <v>800</v>
      </c>
      <c r="D41" s="9">
        <f>敌人目录!H42</f>
        <v>24</v>
      </c>
      <c r="E41" s="9">
        <f>敌人目录!I42</f>
        <v>150</v>
      </c>
      <c r="F41" s="9">
        <f>敌人目录!J42</f>
        <v>0</v>
      </c>
      <c r="G41" s="9">
        <f>敌人目录!K42</f>
        <v>38</v>
      </c>
      <c r="H41" s="9">
        <f>敌人目录!L42</f>
        <v>2</v>
      </c>
      <c r="I41" s="9">
        <f>敌人目录!M42</f>
        <v>4</v>
      </c>
      <c r="J41" s="35">
        <f>敌人目录!O42</f>
        <v>0.02</v>
      </c>
      <c r="K41" s="35">
        <f>敌人目录!P42</f>
        <v>2E-3</v>
      </c>
      <c r="L41" s="35">
        <f>敌人目录!Q42</f>
        <v>0.01</v>
      </c>
      <c r="M41" s="35">
        <f>敌人目录!R42</f>
        <v>0.01</v>
      </c>
      <c r="N41" s="35">
        <f>敌人目录!S42</f>
        <v>0.01</v>
      </c>
      <c r="O41" s="35">
        <f>敌人目录!T42</f>
        <v>0</v>
      </c>
      <c r="P41" s="35">
        <f>敌人目录!U42</f>
        <v>0</v>
      </c>
      <c r="Q41" s="35">
        <f>敌人目录!V42</f>
        <v>4.0000000000000001E-3</v>
      </c>
      <c r="R41" s="35">
        <f>敌人目录!W42</f>
        <v>4.0000000000000001E-3</v>
      </c>
      <c r="S41" s="35">
        <f>敌人目录!X42</f>
        <v>4.0000000000000001E-3</v>
      </c>
      <c r="T41" s="35">
        <f>敌人目录!Y42</f>
        <v>4.0000000000000001E-3</v>
      </c>
      <c r="U41" s="35">
        <f>敌人目录!Z42</f>
        <v>2E-3</v>
      </c>
      <c r="V41" s="29">
        <f>敌人目录!N42</f>
        <v>7.0000000000000021E-2</v>
      </c>
      <c r="W41" s="9" t="str">
        <f>敌人目录!AA42</f>
        <v>可回读</v>
      </c>
      <c r="X41" s="9" t="str">
        <f>敌人目录!AC42</f>
        <v>res://resources/config/enemies/stone_eroded_capoo_swordsman.tres</v>
      </c>
    </row>
    <row r="42" spans="1:24" ht="24" customHeight="1">
      <c r="A42" s="9">
        <v>2</v>
      </c>
      <c r="B42" s="9" t="str">
        <f>敌人目录!B43</f>
        <v>stone_eroded_capoo_smg</v>
      </c>
      <c r="C42" s="9">
        <f>敌人目录!G43</f>
        <v>400</v>
      </c>
      <c r="D42" s="9">
        <f>敌人目录!H43</f>
        <v>30</v>
      </c>
      <c r="E42" s="9">
        <f>敌人目录!I43</f>
        <v>150</v>
      </c>
      <c r="F42" s="9">
        <f>敌人目录!J43</f>
        <v>0</v>
      </c>
      <c r="G42" s="9">
        <f>敌人目录!K43</f>
        <v>100</v>
      </c>
      <c r="H42" s="9">
        <f>敌人目录!L43</f>
        <v>2</v>
      </c>
      <c r="I42" s="9">
        <f>敌人目录!M43</f>
        <v>5</v>
      </c>
      <c r="J42" s="35">
        <f>敌人目录!O43</f>
        <v>0.02</v>
      </c>
      <c r="K42" s="35">
        <f>敌人目录!P43</f>
        <v>2E-3</v>
      </c>
      <c r="L42" s="35">
        <f>敌人目录!Q43</f>
        <v>0.01</v>
      </c>
      <c r="M42" s="35">
        <f>敌人目录!R43</f>
        <v>0.01</v>
      </c>
      <c r="N42" s="35">
        <f>敌人目录!S43</f>
        <v>0.01</v>
      </c>
      <c r="O42" s="35">
        <f>敌人目录!T43</f>
        <v>0</v>
      </c>
      <c r="P42" s="35">
        <f>敌人目录!U43</f>
        <v>0</v>
      </c>
      <c r="Q42" s="35">
        <f>敌人目录!V43</f>
        <v>4.0000000000000001E-3</v>
      </c>
      <c r="R42" s="35">
        <f>敌人目录!W43</f>
        <v>4.0000000000000001E-3</v>
      </c>
      <c r="S42" s="35">
        <f>敌人目录!X43</f>
        <v>4.0000000000000001E-3</v>
      </c>
      <c r="T42" s="35">
        <f>敌人目录!Y43</f>
        <v>4.0000000000000001E-3</v>
      </c>
      <c r="U42" s="35">
        <f>敌人目录!Z43</f>
        <v>2E-3</v>
      </c>
      <c r="V42" s="29">
        <f>敌人目录!N43</f>
        <v>7.0000000000000021E-2</v>
      </c>
      <c r="W42" s="9" t="str">
        <f>敌人目录!AA43</f>
        <v>可回读</v>
      </c>
      <c r="X42" s="9" t="str">
        <f>敌人目录!AC43</f>
        <v>res://resources/config/enemies/stone_eroded_capoo_smg.tres</v>
      </c>
    </row>
    <row r="43" spans="1:24" ht="24" customHeight="1">
      <c r="A43" s="9">
        <v>2</v>
      </c>
      <c r="B43" s="9" t="str">
        <f>敌人目录!B44</f>
        <v>stone_eroded_capoo_ak47</v>
      </c>
      <c r="C43" s="9">
        <f>敌人目录!G44</f>
        <v>300</v>
      </c>
      <c r="D43" s="9">
        <f>敌人目录!H44</f>
        <v>20</v>
      </c>
      <c r="E43" s="9">
        <f>敌人目录!I44</f>
        <v>150</v>
      </c>
      <c r="F43" s="9">
        <f>敌人目录!J44</f>
        <v>0</v>
      </c>
      <c r="G43" s="9">
        <f>敌人目录!K44</f>
        <v>18</v>
      </c>
      <c r="H43" s="9">
        <f>敌人目录!L44</f>
        <v>2</v>
      </c>
      <c r="I43" s="9">
        <f>敌人目录!M44</f>
        <v>5</v>
      </c>
      <c r="J43" s="35">
        <f>敌人目录!O44</f>
        <v>0.02</v>
      </c>
      <c r="K43" s="35">
        <f>敌人目录!P44</f>
        <v>2E-3</v>
      </c>
      <c r="L43" s="35">
        <f>敌人目录!Q44</f>
        <v>0.01</v>
      </c>
      <c r="M43" s="35">
        <f>敌人目录!R44</f>
        <v>0.01</v>
      </c>
      <c r="N43" s="35">
        <f>敌人目录!S44</f>
        <v>0.01</v>
      </c>
      <c r="O43" s="35">
        <f>敌人目录!T44</f>
        <v>0</v>
      </c>
      <c r="P43" s="35">
        <f>敌人目录!U44</f>
        <v>0</v>
      </c>
      <c r="Q43" s="35">
        <f>敌人目录!V44</f>
        <v>4.0000000000000001E-3</v>
      </c>
      <c r="R43" s="35">
        <f>敌人目录!W44</f>
        <v>4.0000000000000001E-3</v>
      </c>
      <c r="S43" s="35">
        <f>敌人目录!X44</f>
        <v>4.0000000000000001E-3</v>
      </c>
      <c r="T43" s="35">
        <f>敌人目录!Y44</f>
        <v>4.0000000000000001E-3</v>
      </c>
      <c r="U43" s="35">
        <f>敌人目录!Z44</f>
        <v>2E-3</v>
      </c>
      <c r="V43" s="29">
        <f>敌人目录!N44</f>
        <v>7.0000000000000021E-2</v>
      </c>
      <c r="W43" s="9" t="str">
        <f>敌人目录!AA44</f>
        <v>可回读</v>
      </c>
      <c r="X43" s="9" t="str">
        <f>敌人目录!AC44</f>
        <v>res://resources/config/enemies/stone_eroded_capoo_ak47.tres</v>
      </c>
    </row>
    <row r="44" spans="1:24" ht="24" customHeight="1">
      <c r="A44" s="9">
        <v>2</v>
      </c>
      <c r="B44" s="9" t="str">
        <f>敌人目录!B45</f>
        <v>stone_eroded_capoo_rpg</v>
      </c>
      <c r="C44" s="9">
        <f>敌人目录!G45</f>
        <v>400</v>
      </c>
      <c r="D44" s="9">
        <f>敌人目录!H45</f>
        <v>20</v>
      </c>
      <c r="E44" s="9">
        <f>敌人目录!I45</f>
        <v>150</v>
      </c>
      <c r="F44" s="9">
        <f>敌人目录!J45</f>
        <v>0</v>
      </c>
      <c r="G44" s="9">
        <f>敌人目录!K45</f>
        <v>16</v>
      </c>
      <c r="H44" s="9">
        <f>敌人目录!L45</f>
        <v>2</v>
      </c>
      <c r="I44" s="9">
        <f>敌人目录!M45</f>
        <v>5</v>
      </c>
      <c r="J44" s="35">
        <f>敌人目录!O45</f>
        <v>0.02</v>
      </c>
      <c r="K44" s="35">
        <f>敌人目录!P45</f>
        <v>2E-3</v>
      </c>
      <c r="L44" s="35">
        <f>敌人目录!Q45</f>
        <v>0.01</v>
      </c>
      <c r="M44" s="35">
        <f>敌人目录!R45</f>
        <v>0.01</v>
      </c>
      <c r="N44" s="35">
        <f>敌人目录!S45</f>
        <v>0.01</v>
      </c>
      <c r="O44" s="35">
        <f>敌人目录!T45</f>
        <v>0</v>
      </c>
      <c r="P44" s="35">
        <f>敌人目录!U45</f>
        <v>0</v>
      </c>
      <c r="Q44" s="35">
        <f>敌人目录!V45</f>
        <v>4.0000000000000001E-3</v>
      </c>
      <c r="R44" s="35">
        <f>敌人目录!W45</f>
        <v>4.0000000000000001E-3</v>
      </c>
      <c r="S44" s="35">
        <f>敌人目录!X45</f>
        <v>4.0000000000000001E-3</v>
      </c>
      <c r="T44" s="35">
        <f>敌人目录!Y45</f>
        <v>4.0000000000000001E-3</v>
      </c>
      <c r="U44" s="35">
        <f>敌人目录!Z45</f>
        <v>2E-3</v>
      </c>
      <c r="V44" s="29">
        <f>敌人目录!N45</f>
        <v>7.0000000000000021E-2</v>
      </c>
      <c r="W44" s="9" t="str">
        <f>敌人目录!AA45</f>
        <v>可回读</v>
      </c>
      <c r="X44" s="9" t="str">
        <f>敌人目录!AC45</f>
        <v>res://resources/config/enemies/stone_eroded_capoo_rpg.tres</v>
      </c>
    </row>
    <row r="45" spans="1:24" ht="24" customHeight="1">
      <c r="A45" s="9">
        <v>2</v>
      </c>
      <c r="B45" s="9" t="str">
        <f>敌人目录!B46</f>
        <v>stone_eroded_capoo_mage</v>
      </c>
      <c r="C45" s="9">
        <f>敌人目录!G46</f>
        <v>400</v>
      </c>
      <c r="D45" s="9">
        <f>敌人目录!H46</f>
        <v>35</v>
      </c>
      <c r="E45" s="9">
        <f>敌人目录!I46</f>
        <v>150</v>
      </c>
      <c r="F45" s="9">
        <f>敌人目录!J46</f>
        <v>0</v>
      </c>
      <c r="G45" s="9">
        <f>敌人目录!K46</f>
        <v>24</v>
      </c>
      <c r="H45" s="9">
        <f>敌人目录!L46</f>
        <v>2</v>
      </c>
      <c r="I45" s="9">
        <f>敌人目录!M46</f>
        <v>10</v>
      </c>
      <c r="J45" s="35">
        <f>敌人目录!O46</f>
        <v>0.02</v>
      </c>
      <c r="K45" s="35">
        <f>敌人目录!P46</f>
        <v>2E-3</v>
      </c>
      <c r="L45" s="35">
        <f>敌人目录!Q46</f>
        <v>0.01</v>
      </c>
      <c r="M45" s="35">
        <f>敌人目录!R46</f>
        <v>0.01</v>
      </c>
      <c r="N45" s="35">
        <f>敌人目录!S46</f>
        <v>0.01</v>
      </c>
      <c r="O45" s="35">
        <f>敌人目录!T46</f>
        <v>0</v>
      </c>
      <c r="P45" s="35">
        <f>敌人目录!U46</f>
        <v>0</v>
      </c>
      <c r="Q45" s="35">
        <f>敌人目录!V46</f>
        <v>4.0000000000000001E-3</v>
      </c>
      <c r="R45" s="35">
        <f>敌人目录!W46</f>
        <v>4.0000000000000001E-3</v>
      </c>
      <c r="S45" s="35">
        <f>敌人目录!X46</f>
        <v>4.0000000000000001E-3</v>
      </c>
      <c r="T45" s="35">
        <f>敌人目录!Y46</f>
        <v>4.0000000000000001E-3</v>
      </c>
      <c r="U45" s="35">
        <f>敌人目录!Z46</f>
        <v>2E-3</v>
      </c>
      <c r="V45" s="29">
        <f>敌人目录!N46</f>
        <v>7.0000000000000021E-2</v>
      </c>
      <c r="W45" s="9" t="str">
        <f>敌人目录!AA46</f>
        <v>可回读</v>
      </c>
      <c r="X45" s="9" t="str">
        <f>敌人目录!AC46</f>
        <v>res://resources/config/enemies/stone_eroded_capoo_mage.tres</v>
      </c>
    </row>
    <row r="46" spans="1:24" ht="24" customHeight="1">
      <c r="A46" s="9">
        <v>2</v>
      </c>
      <c r="B46" s="9" t="str">
        <f>敌人目录!B47</f>
        <v>stone_eroded_capoo_sniper</v>
      </c>
      <c r="C46" s="9">
        <f>敌人目录!G47</f>
        <v>200</v>
      </c>
      <c r="D46" s="9">
        <f>敌人目录!H47</f>
        <v>200</v>
      </c>
      <c r="E46" s="9">
        <f>敌人目录!I47</f>
        <v>150</v>
      </c>
      <c r="F46" s="9">
        <f>敌人目录!J47</f>
        <v>0</v>
      </c>
      <c r="G46" s="9">
        <f>敌人目录!K47</f>
        <v>80</v>
      </c>
      <c r="H46" s="9">
        <f>敌人目录!L47</f>
        <v>2</v>
      </c>
      <c r="I46" s="9">
        <f>敌人目录!M47</f>
        <v>10</v>
      </c>
      <c r="J46" s="35">
        <f>敌人目录!O47</f>
        <v>0.02</v>
      </c>
      <c r="K46" s="35">
        <f>敌人目录!P47</f>
        <v>2E-3</v>
      </c>
      <c r="L46" s="35">
        <f>敌人目录!Q47</f>
        <v>0.01</v>
      </c>
      <c r="M46" s="35">
        <f>敌人目录!R47</f>
        <v>0.01</v>
      </c>
      <c r="N46" s="35">
        <f>敌人目录!S47</f>
        <v>0.01</v>
      </c>
      <c r="O46" s="35">
        <f>敌人目录!T47</f>
        <v>0</v>
      </c>
      <c r="P46" s="35">
        <f>敌人目录!U47</f>
        <v>0</v>
      </c>
      <c r="Q46" s="35">
        <f>敌人目录!V47</f>
        <v>4.0000000000000001E-3</v>
      </c>
      <c r="R46" s="35">
        <f>敌人目录!W47</f>
        <v>4.0000000000000001E-3</v>
      </c>
      <c r="S46" s="35">
        <f>敌人目录!X47</f>
        <v>4.0000000000000001E-3</v>
      </c>
      <c r="T46" s="35">
        <f>敌人目录!Y47</f>
        <v>4.0000000000000001E-3</v>
      </c>
      <c r="U46" s="35">
        <f>敌人目录!Z47</f>
        <v>2E-3</v>
      </c>
      <c r="V46" s="29">
        <f>敌人目录!N47</f>
        <v>7.0000000000000021E-2</v>
      </c>
      <c r="W46" s="9" t="str">
        <f>敌人目录!AA47</f>
        <v>可回读</v>
      </c>
      <c r="X46" s="9" t="str">
        <f>敌人目录!AC47</f>
        <v>res://resources/config/enemies/stone_eroded_capoo_sniper.tres</v>
      </c>
    </row>
    <row r="47" spans="1:24" ht="24" customHeight="1">
      <c r="A47" s="9">
        <v>2</v>
      </c>
      <c r="B47" s="9" t="str">
        <f>敌人目录!B48</f>
        <v>fire_sorcerer</v>
      </c>
      <c r="C47" s="9">
        <f>敌人目录!G48</f>
        <v>200</v>
      </c>
      <c r="D47" s="9">
        <f>敌人目录!H48</f>
        <v>40</v>
      </c>
      <c r="E47" s="9">
        <f>敌人目录!I48</f>
        <v>20</v>
      </c>
      <c r="F47" s="9">
        <f>敌人目录!J48</f>
        <v>80</v>
      </c>
      <c r="G47" s="9">
        <f>敌人目录!K48</f>
        <v>24</v>
      </c>
      <c r="H47" s="9">
        <f>敌人目录!L48</f>
        <v>3</v>
      </c>
      <c r="I47" s="9">
        <f>敌人目录!M48</f>
        <v>20</v>
      </c>
      <c r="J47" s="35">
        <f>敌人目录!O48</f>
        <v>0.02</v>
      </c>
      <c r="K47" s="35">
        <f>敌人目录!P48</f>
        <v>2E-3</v>
      </c>
      <c r="L47" s="35">
        <f>敌人目录!Q48</f>
        <v>0.01</v>
      </c>
      <c r="M47" s="35">
        <f>敌人目录!R48</f>
        <v>0.01</v>
      </c>
      <c r="N47" s="35">
        <f>敌人目录!S48</f>
        <v>0.01</v>
      </c>
      <c r="O47" s="35">
        <f>敌人目录!T48</f>
        <v>0</v>
      </c>
      <c r="P47" s="35">
        <f>敌人目录!U48</f>
        <v>0</v>
      </c>
      <c r="Q47" s="35">
        <f>敌人目录!V48</f>
        <v>4.0000000000000001E-3</v>
      </c>
      <c r="R47" s="35">
        <f>敌人目录!W48</f>
        <v>4.0000000000000001E-3</v>
      </c>
      <c r="S47" s="35">
        <f>敌人目录!X48</f>
        <v>4.0000000000000001E-3</v>
      </c>
      <c r="T47" s="35">
        <f>敌人目录!Y48</f>
        <v>4.0000000000000001E-3</v>
      </c>
      <c r="U47" s="35">
        <f>敌人目录!Z48</f>
        <v>2E-3</v>
      </c>
      <c r="V47" s="29">
        <f>敌人目录!N48</f>
        <v>7.0000000000000021E-2</v>
      </c>
      <c r="W47" s="9" t="str">
        <f>敌人目录!AA48</f>
        <v>可回读</v>
      </c>
      <c r="X47" s="9" t="str">
        <f>敌人目录!AC48</f>
        <v>res://resources/config/enemies/fire_sorcerer.tres</v>
      </c>
    </row>
    <row r="48" spans="1:24" ht="24" customHeight="1">
      <c r="A48" s="9">
        <v>2</v>
      </c>
      <c r="B48" s="9" t="str">
        <f>敌人目录!B49</f>
        <v>fire_sorcerer_elite</v>
      </c>
      <c r="C48" s="9">
        <f>敌人目录!G49</f>
        <v>300</v>
      </c>
      <c r="D48" s="9">
        <f>敌人目录!H49</f>
        <v>70</v>
      </c>
      <c r="E48" s="9">
        <f>敌人目录!I49</f>
        <v>40</v>
      </c>
      <c r="F48" s="9">
        <f>敌人目录!J49</f>
        <v>80</v>
      </c>
      <c r="G48" s="9">
        <f>敌人目录!K49</f>
        <v>24</v>
      </c>
      <c r="H48" s="9">
        <f>敌人目录!L49</f>
        <v>3</v>
      </c>
      <c r="I48" s="9">
        <f>敌人目录!M49</f>
        <v>40</v>
      </c>
      <c r="J48" s="35">
        <f>敌人目录!O49</f>
        <v>0.02</v>
      </c>
      <c r="K48" s="35">
        <f>敌人目录!P49</f>
        <v>2E-3</v>
      </c>
      <c r="L48" s="35">
        <f>敌人目录!Q49</f>
        <v>0.01</v>
      </c>
      <c r="M48" s="35">
        <f>敌人目录!R49</f>
        <v>0.01</v>
      </c>
      <c r="N48" s="35">
        <f>敌人目录!S49</f>
        <v>0.01</v>
      </c>
      <c r="O48" s="35">
        <f>敌人目录!T49</f>
        <v>0</v>
      </c>
      <c r="P48" s="35">
        <f>敌人目录!U49</f>
        <v>0</v>
      </c>
      <c r="Q48" s="35">
        <f>敌人目录!V49</f>
        <v>4.0000000000000001E-3</v>
      </c>
      <c r="R48" s="35">
        <f>敌人目录!W49</f>
        <v>4.0000000000000001E-3</v>
      </c>
      <c r="S48" s="35">
        <f>敌人目录!X49</f>
        <v>4.0000000000000001E-3</v>
      </c>
      <c r="T48" s="35">
        <f>敌人目录!Y49</f>
        <v>4.0000000000000001E-3</v>
      </c>
      <c r="U48" s="35">
        <f>敌人目录!Z49</f>
        <v>2E-3</v>
      </c>
      <c r="V48" s="29">
        <f>敌人目录!N49</f>
        <v>7.0000000000000021E-2</v>
      </c>
      <c r="W48" s="9" t="str">
        <f>敌人目录!AA49</f>
        <v>可回读</v>
      </c>
      <c r="X48" s="9" t="str">
        <f>敌人目录!AC49</f>
        <v>res://resources/config/enemies/fire_sorcerer_elite.tres</v>
      </c>
    </row>
    <row r="49" spans="1:24" ht="24" customHeight="1">
      <c r="A49" s="9">
        <v>2</v>
      </c>
      <c r="B49" s="9" t="str">
        <f>敌人目录!B50</f>
        <v>frost_sorcerer</v>
      </c>
      <c r="C49" s="9">
        <f>敌人目录!G50</f>
        <v>200</v>
      </c>
      <c r="D49" s="9">
        <f>敌人目录!H50</f>
        <v>50</v>
      </c>
      <c r="E49" s="9">
        <f>敌人目录!I50</f>
        <v>20</v>
      </c>
      <c r="F49" s="9">
        <f>敌人目录!J50</f>
        <v>80</v>
      </c>
      <c r="G49" s="9">
        <f>敌人目录!K50</f>
        <v>24</v>
      </c>
      <c r="H49" s="9">
        <f>敌人目录!L50</f>
        <v>3</v>
      </c>
      <c r="I49" s="9">
        <f>敌人目录!M50</f>
        <v>20</v>
      </c>
      <c r="J49" s="35">
        <f>敌人目录!O50</f>
        <v>0.02</v>
      </c>
      <c r="K49" s="35">
        <f>敌人目录!P50</f>
        <v>2E-3</v>
      </c>
      <c r="L49" s="35">
        <f>敌人目录!Q50</f>
        <v>0.01</v>
      </c>
      <c r="M49" s="35">
        <f>敌人目录!R50</f>
        <v>0.01</v>
      </c>
      <c r="N49" s="35">
        <f>敌人目录!S50</f>
        <v>0.01</v>
      </c>
      <c r="O49" s="35">
        <f>敌人目录!T50</f>
        <v>0</v>
      </c>
      <c r="P49" s="35">
        <f>敌人目录!U50</f>
        <v>0</v>
      </c>
      <c r="Q49" s="35">
        <f>敌人目录!V50</f>
        <v>4.0000000000000001E-3</v>
      </c>
      <c r="R49" s="35">
        <f>敌人目录!W50</f>
        <v>4.0000000000000001E-3</v>
      </c>
      <c r="S49" s="35">
        <f>敌人目录!X50</f>
        <v>4.0000000000000001E-3</v>
      </c>
      <c r="T49" s="35">
        <f>敌人目录!Y50</f>
        <v>4.0000000000000001E-3</v>
      </c>
      <c r="U49" s="35">
        <f>敌人目录!Z50</f>
        <v>2E-3</v>
      </c>
      <c r="V49" s="29">
        <f>敌人目录!N50</f>
        <v>7.0000000000000021E-2</v>
      </c>
      <c r="W49" s="9" t="str">
        <f>敌人目录!AA50</f>
        <v>可回读</v>
      </c>
      <c r="X49" s="9" t="str">
        <f>敌人目录!AC50</f>
        <v>res://resources/config/enemies/frost_sorcerer.tres</v>
      </c>
    </row>
    <row r="50" spans="1:24" ht="24" customHeight="1">
      <c r="A50" s="9">
        <v>2</v>
      </c>
      <c r="B50" s="9" t="str">
        <f>敌人目录!B51</f>
        <v>frost_sorcerer_elite</v>
      </c>
      <c r="C50" s="9">
        <f>敌人目录!G51</f>
        <v>300</v>
      </c>
      <c r="D50" s="9">
        <f>敌人目录!H51</f>
        <v>80</v>
      </c>
      <c r="E50" s="9">
        <f>敌人目录!I51</f>
        <v>20</v>
      </c>
      <c r="F50" s="9">
        <f>敌人目录!J51</f>
        <v>80</v>
      </c>
      <c r="G50" s="9">
        <f>敌人目录!K51</f>
        <v>24</v>
      </c>
      <c r="H50" s="9">
        <f>敌人目录!L51</f>
        <v>3</v>
      </c>
      <c r="I50" s="9">
        <f>敌人目录!M51</f>
        <v>40</v>
      </c>
      <c r="J50" s="35">
        <f>敌人目录!O51</f>
        <v>0.02</v>
      </c>
      <c r="K50" s="35">
        <f>敌人目录!P51</f>
        <v>2E-3</v>
      </c>
      <c r="L50" s="35">
        <f>敌人目录!Q51</f>
        <v>0.01</v>
      </c>
      <c r="M50" s="35">
        <f>敌人目录!R51</f>
        <v>0.01</v>
      </c>
      <c r="N50" s="35">
        <f>敌人目录!S51</f>
        <v>0.01</v>
      </c>
      <c r="O50" s="35">
        <f>敌人目录!T51</f>
        <v>0</v>
      </c>
      <c r="P50" s="35">
        <f>敌人目录!U51</f>
        <v>0</v>
      </c>
      <c r="Q50" s="35">
        <f>敌人目录!V51</f>
        <v>4.0000000000000001E-3</v>
      </c>
      <c r="R50" s="35">
        <f>敌人目录!W51</f>
        <v>4.0000000000000001E-3</v>
      </c>
      <c r="S50" s="35">
        <f>敌人目录!X51</f>
        <v>4.0000000000000001E-3</v>
      </c>
      <c r="T50" s="35">
        <f>敌人目录!Y51</f>
        <v>4.0000000000000001E-3</v>
      </c>
      <c r="U50" s="35">
        <f>敌人目录!Z51</f>
        <v>2E-3</v>
      </c>
      <c r="V50" s="29">
        <f>敌人目录!N51</f>
        <v>7.0000000000000021E-2</v>
      </c>
      <c r="W50" s="9" t="str">
        <f>敌人目录!AA51</f>
        <v>可回读</v>
      </c>
      <c r="X50" s="9" t="str">
        <f>敌人目录!AC51</f>
        <v>res://resources/config/enemies/frost_sorcerer_elite.tres</v>
      </c>
    </row>
    <row r="51" spans="1:24" ht="24" customHeight="1">
      <c r="A51" s="9">
        <v>2</v>
      </c>
      <c r="B51" s="9" t="str">
        <f>敌人目录!B52</f>
        <v>lightning_sorcerer</v>
      </c>
      <c r="C51" s="9">
        <f>敌人目录!G52</f>
        <v>200</v>
      </c>
      <c r="D51" s="9">
        <f>敌人目录!H52</f>
        <v>50</v>
      </c>
      <c r="E51" s="9">
        <f>敌人目录!I52</f>
        <v>20</v>
      </c>
      <c r="F51" s="9">
        <f>敌人目录!J52</f>
        <v>80</v>
      </c>
      <c r="G51" s="9">
        <f>敌人目录!K52</f>
        <v>24</v>
      </c>
      <c r="H51" s="9">
        <f>敌人目录!L52</f>
        <v>3</v>
      </c>
      <c r="I51" s="9">
        <f>敌人目录!M52</f>
        <v>20</v>
      </c>
      <c r="J51" s="35">
        <f>敌人目录!O52</f>
        <v>0.02</v>
      </c>
      <c r="K51" s="35">
        <f>敌人目录!P52</f>
        <v>2E-3</v>
      </c>
      <c r="L51" s="35">
        <f>敌人目录!Q52</f>
        <v>0.01</v>
      </c>
      <c r="M51" s="35">
        <f>敌人目录!R52</f>
        <v>0.01</v>
      </c>
      <c r="N51" s="35">
        <f>敌人目录!S52</f>
        <v>0.01</v>
      </c>
      <c r="O51" s="35">
        <f>敌人目录!T52</f>
        <v>0</v>
      </c>
      <c r="P51" s="35">
        <f>敌人目录!U52</f>
        <v>0</v>
      </c>
      <c r="Q51" s="35">
        <f>敌人目录!V52</f>
        <v>4.0000000000000001E-3</v>
      </c>
      <c r="R51" s="35">
        <f>敌人目录!W52</f>
        <v>4.0000000000000001E-3</v>
      </c>
      <c r="S51" s="35">
        <f>敌人目录!X52</f>
        <v>4.0000000000000001E-3</v>
      </c>
      <c r="T51" s="35">
        <f>敌人目录!Y52</f>
        <v>4.0000000000000001E-3</v>
      </c>
      <c r="U51" s="35">
        <f>敌人目录!Z52</f>
        <v>2E-3</v>
      </c>
      <c r="V51" s="29">
        <f>敌人目录!N52</f>
        <v>7.0000000000000021E-2</v>
      </c>
      <c r="W51" s="9" t="str">
        <f>敌人目录!AA52</f>
        <v>可回读</v>
      </c>
      <c r="X51" s="9" t="str">
        <f>敌人目录!AC52</f>
        <v>res://resources/config/enemies/lightning_sorcerer.tres</v>
      </c>
    </row>
    <row r="52" spans="1:24" ht="24" customHeight="1">
      <c r="A52" s="9">
        <v>2</v>
      </c>
      <c r="B52" s="9" t="str">
        <f>敌人目录!B53</f>
        <v>stone_golem</v>
      </c>
      <c r="C52" s="9">
        <f>敌人目录!G53</f>
        <v>1000</v>
      </c>
      <c r="D52" s="9">
        <f>敌人目录!H53</f>
        <v>100</v>
      </c>
      <c r="E52" s="9">
        <f>敌人目录!I53</f>
        <v>50</v>
      </c>
      <c r="F52" s="9">
        <f>敌人目录!J53</f>
        <v>0</v>
      </c>
      <c r="G52" s="9">
        <f>敌人目录!K53</f>
        <v>15</v>
      </c>
      <c r="H52" s="9">
        <f>敌人目录!L53</f>
        <v>3</v>
      </c>
      <c r="I52" s="9">
        <f>敌人目录!M53</f>
        <v>40</v>
      </c>
      <c r="J52" s="35">
        <f>敌人目录!O53</f>
        <v>0.02</v>
      </c>
      <c r="K52" s="35">
        <f>敌人目录!P53</f>
        <v>2E-3</v>
      </c>
      <c r="L52" s="35">
        <f>敌人目录!Q53</f>
        <v>0.01</v>
      </c>
      <c r="M52" s="35">
        <f>敌人目录!R53</f>
        <v>0.01</v>
      </c>
      <c r="N52" s="35">
        <f>敌人目录!S53</f>
        <v>0.01</v>
      </c>
      <c r="O52" s="35">
        <f>敌人目录!T53</f>
        <v>0</v>
      </c>
      <c r="P52" s="35">
        <f>敌人目录!U53</f>
        <v>0.5</v>
      </c>
      <c r="Q52" s="35">
        <f>敌人目录!V53</f>
        <v>4.0000000000000001E-3</v>
      </c>
      <c r="R52" s="35">
        <f>敌人目录!W53</f>
        <v>4.0000000000000001E-3</v>
      </c>
      <c r="S52" s="35">
        <f>敌人目录!X53</f>
        <v>4.0000000000000001E-3</v>
      </c>
      <c r="T52" s="35">
        <f>敌人目录!Y53</f>
        <v>4.0000000000000001E-3</v>
      </c>
      <c r="U52" s="35">
        <f>敌人目录!Z53</f>
        <v>2E-3</v>
      </c>
      <c r="V52" s="29">
        <f>敌人目录!N53</f>
        <v>0.57000000000000006</v>
      </c>
      <c r="W52" s="9" t="str">
        <f>敌人目录!AA53</f>
        <v>可回读</v>
      </c>
      <c r="X52" s="9" t="str">
        <f>敌人目录!AC53</f>
        <v>res://resources/config/enemies/stone_golem.tres</v>
      </c>
    </row>
    <row r="53" spans="1:24" ht="24" customHeight="1">
      <c r="A53" s="9">
        <v>2</v>
      </c>
      <c r="B53" s="9" t="str">
        <f>敌人目录!B54</f>
        <v>stone_golem_elite</v>
      </c>
      <c r="C53" s="9">
        <f>敌人目录!G54</f>
        <v>1800</v>
      </c>
      <c r="D53" s="9">
        <f>敌人目录!H54</f>
        <v>150</v>
      </c>
      <c r="E53" s="9">
        <f>敌人目录!I54</f>
        <v>75</v>
      </c>
      <c r="F53" s="9">
        <f>敌人目录!J54</f>
        <v>0</v>
      </c>
      <c r="G53" s="9">
        <f>敌人目录!K54</f>
        <v>15</v>
      </c>
      <c r="H53" s="9">
        <f>敌人目录!L54</f>
        <v>3</v>
      </c>
      <c r="I53" s="9">
        <f>敌人目录!M54</f>
        <v>80</v>
      </c>
      <c r="J53" s="35">
        <f>敌人目录!O54</f>
        <v>0.02</v>
      </c>
      <c r="K53" s="35">
        <f>敌人目录!P54</f>
        <v>2E-3</v>
      </c>
      <c r="L53" s="35">
        <f>敌人目录!Q54</f>
        <v>0.01</v>
      </c>
      <c r="M53" s="35">
        <f>敌人目录!R54</f>
        <v>0.01</v>
      </c>
      <c r="N53" s="35">
        <f>敌人目录!S54</f>
        <v>0.01</v>
      </c>
      <c r="O53" s="35">
        <f>敌人目录!T54</f>
        <v>0</v>
      </c>
      <c r="P53" s="35">
        <f>敌人目录!U54</f>
        <v>0.5</v>
      </c>
      <c r="Q53" s="35">
        <f>敌人目录!V54</f>
        <v>4.0000000000000001E-3</v>
      </c>
      <c r="R53" s="35">
        <f>敌人目录!W54</f>
        <v>4.0000000000000001E-3</v>
      </c>
      <c r="S53" s="35">
        <f>敌人目录!X54</f>
        <v>4.0000000000000001E-3</v>
      </c>
      <c r="T53" s="35">
        <f>敌人目录!Y54</f>
        <v>4.0000000000000001E-3</v>
      </c>
      <c r="U53" s="35">
        <f>敌人目录!Z54</f>
        <v>2E-3</v>
      </c>
      <c r="V53" s="29">
        <f>敌人目录!N54</f>
        <v>0.57000000000000006</v>
      </c>
      <c r="W53" s="9" t="str">
        <f>敌人目录!AA54</f>
        <v>可回读</v>
      </c>
      <c r="X53" s="9" t="str">
        <f>敌人目录!AC54</f>
        <v>res://resources/config/enemies/stone_golem_elite.tres</v>
      </c>
    </row>
  </sheetData>
  <mergeCells count="1">
    <mergeCell ref="A1:X1"/>
  </mergeCells>
  <phoneticPr fontId="15" type="noConversion"/>
  <conditionalFormatting sqref="W5:W53">
    <cfRule type="containsText" dxfId="4" priority="1" operator="containsText" text="可回读"/>
    <cfRule type="containsText" dxfId="3" priority="2" operator="containsText" text="无效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92"/>
  <sheetViews>
    <sheetView showGridLines="0" workbookViewId="0">
      <selection sqref="A1:S1"/>
    </sheetView>
  </sheetViews>
  <sheetFormatPr defaultRowHeight="14.25"/>
  <cols>
    <col min="1" max="1" width="14" customWidth="1"/>
    <col min="2" max="2" width="24" customWidth="1"/>
    <col min="3" max="3" width="14" customWidth="1"/>
    <col min="4" max="4" width="12" customWidth="1"/>
    <col min="5" max="5" width="8" customWidth="1"/>
    <col min="6" max="6" width="12" customWidth="1"/>
    <col min="7" max="7" width="30" customWidth="1"/>
    <col min="8" max="8" width="18" customWidth="1"/>
    <col min="9" max="9" width="15" customWidth="1"/>
    <col min="10" max="10" width="20" customWidth="1"/>
    <col min="11" max="11" width="18" customWidth="1"/>
    <col min="12" max="13" width="58" customWidth="1"/>
    <col min="14" max="14" width="8" customWidth="1"/>
    <col min="15" max="15" width="28" customWidth="1"/>
    <col min="16" max="16" width="34" customWidth="1"/>
    <col min="17" max="17" width="10" customWidth="1"/>
    <col min="18" max="18" width="16" customWidth="1"/>
    <col min="19" max="19" width="14" customWidth="1"/>
  </cols>
  <sheetData>
    <row r="1" spans="1:19" ht="38.1" customHeight="1">
      <c r="A1" s="54" t="s">
        <v>446</v>
      </c>
      <c r="B1" s="54" t="s">
        <v>446</v>
      </c>
      <c r="C1" s="54" t="s">
        <v>446</v>
      </c>
      <c r="D1" s="54" t="s">
        <v>446</v>
      </c>
      <c r="E1" s="54" t="s">
        <v>446</v>
      </c>
      <c r="F1" s="54" t="s">
        <v>446</v>
      </c>
      <c r="G1" s="54" t="s">
        <v>446</v>
      </c>
      <c r="H1" s="54" t="s">
        <v>446</v>
      </c>
      <c r="I1" s="54" t="s">
        <v>446</v>
      </c>
      <c r="J1" s="54" t="s">
        <v>446</v>
      </c>
      <c r="K1" s="54" t="s">
        <v>446</v>
      </c>
      <c r="L1" s="54" t="s">
        <v>446</v>
      </c>
      <c r="M1" s="54" t="s">
        <v>446</v>
      </c>
      <c r="N1" s="54" t="s">
        <v>446</v>
      </c>
      <c r="O1" s="54" t="s">
        <v>446</v>
      </c>
      <c r="P1" s="54" t="s">
        <v>446</v>
      </c>
      <c r="Q1" s="54" t="s">
        <v>446</v>
      </c>
      <c r="R1" s="54" t="s">
        <v>446</v>
      </c>
      <c r="S1" s="54" t="s">
        <v>446</v>
      </c>
    </row>
    <row r="2" spans="1:19" ht="24" customHeight="1">
      <c r="A2" s="9" t="s">
        <v>418</v>
      </c>
      <c r="B2" s="9">
        <v>2</v>
      </c>
      <c r="C2" s="9" t="s">
        <v>447</v>
      </c>
      <c r="D2" s="9" t="s">
        <v>448</v>
      </c>
      <c r="E2" s="9" t="s">
        <v>421</v>
      </c>
      <c r="F2" s="9" t="s">
        <v>107</v>
      </c>
      <c r="G2" s="9" t="s">
        <v>449</v>
      </c>
      <c r="H2" s="9" t="s">
        <v>450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24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ht="42" customHeight="1">
      <c r="A4" s="34" t="s">
        <v>418</v>
      </c>
      <c r="B4" s="34" t="s">
        <v>447</v>
      </c>
      <c r="C4" s="34" t="s">
        <v>451</v>
      </c>
      <c r="D4" s="34" t="s">
        <v>452</v>
      </c>
      <c r="E4" s="34" t="s">
        <v>453</v>
      </c>
      <c r="F4" s="34" t="s">
        <v>454</v>
      </c>
      <c r="G4" s="34" t="s">
        <v>455</v>
      </c>
      <c r="H4" s="34" t="s">
        <v>456</v>
      </c>
      <c r="I4" s="34" t="s">
        <v>457</v>
      </c>
      <c r="J4" s="34" t="s">
        <v>458</v>
      </c>
      <c r="K4" s="34" t="s">
        <v>459</v>
      </c>
      <c r="L4" s="34" t="s">
        <v>460</v>
      </c>
      <c r="M4" s="34" t="s">
        <v>461</v>
      </c>
      <c r="N4" s="34" t="s">
        <v>462</v>
      </c>
      <c r="O4" s="34" t="s">
        <v>463</v>
      </c>
      <c r="P4" s="34" t="s">
        <v>423</v>
      </c>
      <c r="Q4" s="34" t="s">
        <v>464</v>
      </c>
      <c r="R4" s="34" t="s">
        <v>444</v>
      </c>
      <c r="S4" s="34" t="s">
        <v>465</v>
      </c>
    </row>
    <row r="5" spans="1:19" ht="24" customHeight="1">
      <c r="A5" s="9">
        <v>2</v>
      </c>
      <c r="B5" s="9" t="s">
        <v>448</v>
      </c>
      <c r="C5" s="9" t="s">
        <v>466</v>
      </c>
      <c r="D5" s="9">
        <v>1</v>
      </c>
      <c r="E5" s="9">
        <v>1</v>
      </c>
      <c r="F5" s="9">
        <v>1</v>
      </c>
      <c r="G5" s="9" t="str">
        <f>第1日!$B$3</f>
        <v>第1波 林地试探</v>
      </c>
      <c r="H5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5" s="9">
        <f>第1日!$E$3</f>
        <v>0.2</v>
      </c>
      <c r="J5" s="9">
        <f>第1日!$G$3</f>
        <v>1</v>
      </c>
      <c r="K5" s="9">
        <f>第1日!$I$3</f>
        <v>300</v>
      </c>
      <c r="L5" s="9" t="s">
        <v>467</v>
      </c>
      <c r="M5" s="9" t="s">
        <v>468</v>
      </c>
      <c r="N5" s="9">
        <v>1</v>
      </c>
      <c r="O5" s="9" t="str">
        <f>第1日!$B$7</f>
        <v>史莱姆</v>
      </c>
      <c r="P5" s="9" t="str">
        <f>IFERROR(VLOOKUP(O5,敌人目录!$A$6:$AD$54,2,FALSE),"")</f>
        <v>slime_basic</v>
      </c>
      <c r="Q5" s="9">
        <f>第1日!$C$7</f>
        <v>1300</v>
      </c>
      <c r="R5" s="9" t="str">
        <f>第1日!$I$7</f>
        <v>可回读</v>
      </c>
      <c r="S5" s="9" t="str">
        <f>第1日!$I$4</f>
        <v>可回读</v>
      </c>
    </row>
    <row r="6" spans="1:19" ht="24" customHeight="1">
      <c r="A6" s="9">
        <v>2</v>
      </c>
      <c r="B6" s="9" t="s">
        <v>448</v>
      </c>
      <c r="C6" s="9" t="s">
        <v>466</v>
      </c>
      <c r="D6" s="9">
        <v>1</v>
      </c>
      <c r="E6" s="9">
        <v>1</v>
      </c>
      <c r="F6" s="9">
        <v>1</v>
      </c>
      <c r="G6" s="9" t="str">
        <f>第1日!$B$3</f>
        <v>第1波 林地试探</v>
      </c>
      <c r="H6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6" s="9">
        <f>第1日!$E$3</f>
        <v>0.2</v>
      </c>
      <c r="J6" s="9">
        <f>第1日!$G$3</f>
        <v>1</v>
      </c>
      <c r="K6" s="9">
        <f>第1日!$I$3</f>
        <v>300</v>
      </c>
      <c r="L6" s="9" t="s">
        <v>467</v>
      </c>
      <c r="M6" s="9" t="s">
        <v>468</v>
      </c>
      <c r="N6" s="9">
        <v>2</v>
      </c>
      <c r="O6" s="9" t="str">
        <f>第1日!$B$8</f>
        <v>火焰史莱姆</v>
      </c>
      <c r="P6" s="9" t="str">
        <f>IFERROR(VLOOKUP(O6,敌人目录!$A$6:$AD$54,2,FALSE),"")</f>
        <v>slime_fire</v>
      </c>
      <c r="Q6" s="9">
        <f>第1日!$C$8</f>
        <v>400</v>
      </c>
      <c r="R6" s="9" t="str">
        <f>第1日!$I$8</f>
        <v>可回读</v>
      </c>
      <c r="S6" s="9" t="str">
        <f>第1日!$I$4</f>
        <v>可回读</v>
      </c>
    </row>
    <row r="7" spans="1:19" ht="24" customHeight="1">
      <c r="A7" s="9">
        <v>2</v>
      </c>
      <c r="B7" s="9" t="s">
        <v>448</v>
      </c>
      <c r="C7" s="9" t="s">
        <v>466</v>
      </c>
      <c r="D7" s="9">
        <v>1</v>
      </c>
      <c r="E7" s="9">
        <v>1</v>
      </c>
      <c r="F7" s="9">
        <v>1</v>
      </c>
      <c r="G7" s="9" t="str">
        <f>第1日!$B$3</f>
        <v>第1波 林地试探</v>
      </c>
      <c r="H7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7" s="9">
        <f>第1日!$E$3</f>
        <v>0.2</v>
      </c>
      <c r="J7" s="9">
        <f>第1日!$G$3</f>
        <v>1</v>
      </c>
      <c r="K7" s="9">
        <f>第1日!$I$3</f>
        <v>300</v>
      </c>
      <c r="L7" s="9" t="s">
        <v>467</v>
      </c>
      <c r="M7" s="9" t="s">
        <v>468</v>
      </c>
      <c r="N7" s="9">
        <v>3</v>
      </c>
      <c r="O7" s="9" t="str">
        <f>第1日!$B$9</f>
        <v>普通原石虫</v>
      </c>
      <c r="P7" s="9" t="str">
        <f>IFERROR(VLOOKUP(O7,敌人目录!$A$6:$AD$54,2,FALSE),"")</f>
        <v>yuanshi_insect_basic</v>
      </c>
      <c r="Q7" s="9">
        <f>第1日!$C$9</f>
        <v>500</v>
      </c>
      <c r="R7" s="9" t="str">
        <f>第1日!$I$9</f>
        <v>可回读</v>
      </c>
      <c r="S7" s="9" t="str">
        <f>第1日!$I$4</f>
        <v>可回读</v>
      </c>
    </row>
    <row r="8" spans="1:19" ht="24" customHeight="1">
      <c r="A8" s="9">
        <v>2</v>
      </c>
      <c r="B8" s="9" t="s">
        <v>448</v>
      </c>
      <c r="C8" s="9" t="s">
        <v>466</v>
      </c>
      <c r="D8" s="9">
        <v>1</v>
      </c>
      <c r="E8" s="9">
        <v>1</v>
      </c>
      <c r="F8" s="9">
        <v>1</v>
      </c>
      <c r="G8" s="9" t="str">
        <f>第1日!$B$3</f>
        <v>第1波 林地试探</v>
      </c>
      <c r="H8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8" s="9">
        <f>第1日!$E$3</f>
        <v>0.2</v>
      </c>
      <c r="J8" s="9">
        <f>第1日!$G$3</f>
        <v>1</v>
      </c>
      <c r="K8" s="9">
        <f>第1日!$I$3</f>
        <v>300</v>
      </c>
      <c r="L8" s="9" t="s">
        <v>467</v>
      </c>
      <c r="M8" s="9" t="s">
        <v>468</v>
      </c>
      <c r="N8" s="9">
        <v>4</v>
      </c>
      <c r="O8" s="9" t="str">
        <f>第1日!$B$10</f>
        <v>迅捷原石虫</v>
      </c>
      <c r="P8" s="9" t="str">
        <f>IFERROR(VLOOKUP(O8,敌人目录!$A$6:$AD$54,2,FALSE),"")</f>
        <v>yuanshi_insect_fast</v>
      </c>
      <c r="Q8" s="9">
        <f>第1日!$C$10</f>
        <v>300</v>
      </c>
      <c r="R8" s="9" t="str">
        <f>第1日!$I$10</f>
        <v>可回读</v>
      </c>
      <c r="S8" s="9" t="str">
        <f>第1日!$I$4</f>
        <v>可回读</v>
      </c>
    </row>
    <row r="9" spans="1:19" ht="24" customHeight="1">
      <c r="A9" s="9">
        <v>2</v>
      </c>
      <c r="B9" s="9" t="s">
        <v>448</v>
      </c>
      <c r="C9" s="9" t="s">
        <v>466</v>
      </c>
      <c r="D9" s="9">
        <v>1</v>
      </c>
      <c r="E9" s="9">
        <v>1</v>
      </c>
      <c r="F9" s="9">
        <v>1</v>
      </c>
      <c r="G9" s="9" t="str">
        <f>第1日!$B$3</f>
        <v>第1波 林地试探</v>
      </c>
      <c r="H9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9" s="9">
        <f>第1日!$E$3</f>
        <v>0.2</v>
      </c>
      <c r="J9" s="9">
        <f>第1日!$G$3</f>
        <v>1</v>
      </c>
      <c r="K9" s="9">
        <f>第1日!$I$3</f>
        <v>300</v>
      </c>
      <c r="L9" s="9" t="s">
        <v>467</v>
      </c>
      <c r="M9" s="9" t="s">
        <v>468</v>
      </c>
      <c r="N9" s="9">
        <v>5</v>
      </c>
      <c r="O9" s="9">
        <f>第1日!$B$11</f>
        <v>0</v>
      </c>
      <c r="P9" s="9" t="str">
        <f>IFERROR(VLOOKUP(O9,敌人目录!$A$6:$AD$54,2,FALSE),"")</f>
        <v/>
      </c>
      <c r="Q9" s="9">
        <f>第1日!$C$11</f>
        <v>0</v>
      </c>
      <c r="R9" s="9" t="str">
        <f>第1日!$I$11</f>
        <v/>
      </c>
      <c r="S9" s="9" t="str">
        <f>第1日!$I$4</f>
        <v>可回读</v>
      </c>
    </row>
    <row r="10" spans="1:19" ht="24" customHeight="1">
      <c r="A10" s="9">
        <v>2</v>
      </c>
      <c r="B10" s="9" t="s">
        <v>448</v>
      </c>
      <c r="C10" s="9" t="s">
        <v>466</v>
      </c>
      <c r="D10" s="9">
        <v>1</v>
      </c>
      <c r="E10" s="9">
        <v>1</v>
      </c>
      <c r="F10" s="9">
        <v>1</v>
      </c>
      <c r="G10" s="9" t="str">
        <f>第1日!$B$3</f>
        <v>第1波 林地试探</v>
      </c>
      <c r="H10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10" s="9">
        <f>第1日!$E$3</f>
        <v>0.2</v>
      </c>
      <c r="J10" s="9">
        <f>第1日!$G$3</f>
        <v>1</v>
      </c>
      <c r="K10" s="9">
        <f>第1日!$I$3</f>
        <v>300</v>
      </c>
      <c r="L10" s="9" t="s">
        <v>467</v>
      </c>
      <c r="M10" s="9" t="s">
        <v>468</v>
      </c>
      <c r="N10" s="9">
        <v>6</v>
      </c>
      <c r="O10" s="9">
        <f>第1日!$B$12</f>
        <v>0</v>
      </c>
      <c r="P10" s="9" t="str">
        <f>IFERROR(VLOOKUP(O10,敌人目录!$A$6:$AD$54,2,FALSE),"")</f>
        <v/>
      </c>
      <c r="Q10" s="9">
        <f>第1日!$C$12</f>
        <v>0</v>
      </c>
      <c r="R10" s="9" t="str">
        <f>第1日!$I$12</f>
        <v/>
      </c>
      <c r="S10" s="9" t="str">
        <f>第1日!$I$4</f>
        <v>可回读</v>
      </c>
    </row>
    <row r="11" spans="1:19" ht="24" customHeight="1">
      <c r="A11" s="9">
        <v>2</v>
      </c>
      <c r="B11" s="9" t="s">
        <v>448</v>
      </c>
      <c r="C11" s="9" t="s">
        <v>466</v>
      </c>
      <c r="D11" s="9">
        <v>1</v>
      </c>
      <c r="E11" s="9">
        <v>1</v>
      </c>
      <c r="F11" s="9">
        <v>1</v>
      </c>
      <c r="G11" s="9" t="str">
        <f>第1日!$B$3</f>
        <v>第1波 林地试探</v>
      </c>
      <c r="H11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11" s="9">
        <f>第1日!$E$3</f>
        <v>0.2</v>
      </c>
      <c r="J11" s="9">
        <f>第1日!$G$3</f>
        <v>1</v>
      </c>
      <c r="K11" s="9">
        <f>第1日!$I$3</f>
        <v>300</v>
      </c>
      <c r="L11" s="9" t="s">
        <v>467</v>
      </c>
      <c r="M11" s="9" t="s">
        <v>468</v>
      </c>
      <c r="N11" s="9">
        <v>7</v>
      </c>
      <c r="O11" s="9">
        <f>第1日!$B$13</f>
        <v>0</v>
      </c>
      <c r="P11" s="9" t="str">
        <f>IFERROR(VLOOKUP(O11,敌人目录!$A$6:$AD$54,2,FALSE),"")</f>
        <v/>
      </c>
      <c r="Q11" s="9">
        <f>第1日!$C$13</f>
        <v>0</v>
      </c>
      <c r="R11" s="9" t="str">
        <f>第1日!$I$13</f>
        <v/>
      </c>
      <c r="S11" s="9" t="str">
        <f>第1日!$I$4</f>
        <v>可回读</v>
      </c>
    </row>
    <row r="12" spans="1:19" ht="24" customHeight="1">
      <c r="A12" s="9">
        <v>2</v>
      </c>
      <c r="B12" s="9" t="s">
        <v>448</v>
      </c>
      <c r="C12" s="9" t="s">
        <v>466</v>
      </c>
      <c r="D12" s="9">
        <v>1</v>
      </c>
      <c r="E12" s="9">
        <v>1</v>
      </c>
      <c r="F12" s="9">
        <v>1</v>
      </c>
      <c r="G12" s="9" t="str">
        <f>第1日!$B$3</f>
        <v>第1波 林地试探</v>
      </c>
      <c r="H12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12" s="9">
        <f>第1日!$E$3</f>
        <v>0.2</v>
      </c>
      <c r="J12" s="9">
        <f>第1日!$G$3</f>
        <v>1</v>
      </c>
      <c r="K12" s="9">
        <f>第1日!$I$3</f>
        <v>300</v>
      </c>
      <c r="L12" s="9" t="s">
        <v>467</v>
      </c>
      <c r="M12" s="9" t="s">
        <v>468</v>
      </c>
      <c r="N12" s="9">
        <v>8</v>
      </c>
      <c r="O12" s="9">
        <f>第1日!$B$14</f>
        <v>0</v>
      </c>
      <c r="P12" s="9" t="str">
        <f>IFERROR(VLOOKUP(O12,敌人目录!$A$6:$AD$54,2,FALSE),"")</f>
        <v/>
      </c>
      <c r="Q12" s="9">
        <f>第1日!$C$14</f>
        <v>0</v>
      </c>
      <c r="R12" s="9" t="str">
        <f>第1日!$I$14</f>
        <v/>
      </c>
      <c r="S12" s="9" t="str">
        <f>第1日!$I$4</f>
        <v>可回读</v>
      </c>
    </row>
    <row r="13" spans="1:19" ht="24" customHeight="1">
      <c r="A13" s="9">
        <v>2</v>
      </c>
      <c r="B13" s="9" t="s">
        <v>448</v>
      </c>
      <c r="C13" s="9" t="s">
        <v>466</v>
      </c>
      <c r="D13" s="9">
        <v>1</v>
      </c>
      <c r="E13" s="9">
        <v>1</v>
      </c>
      <c r="F13" s="9">
        <v>1</v>
      </c>
      <c r="G13" s="9" t="str">
        <f>第1日!$B$3</f>
        <v>第1波 林地试探</v>
      </c>
      <c r="H13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13" s="9">
        <f>第1日!$E$3</f>
        <v>0.2</v>
      </c>
      <c r="J13" s="9">
        <f>第1日!$G$3</f>
        <v>1</v>
      </c>
      <c r="K13" s="9">
        <f>第1日!$I$3</f>
        <v>300</v>
      </c>
      <c r="L13" s="9" t="s">
        <v>467</v>
      </c>
      <c r="M13" s="9" t="s">
        <v>468</v>
      </c>
      <c r="N13" s="9">
        <v>9</v>
      </c>
      <c r="O13" s="9">
        <f>第1日!$B$15</f>
        <v>0</v>
      </c>
      <c r="P13" s="9" t="str">
        <f>IFERROR(VLOOKUP(O13,敌人目录!$A$6:$AD$54,2,FALSE),"")</f>
        <v/>
      </c>
      <c r="Q13" s="9">
        <f>第1日!$C$15</f>
        <v>0</v>
      </c>
      <c r="R13" s="9" t="str">
        <f>第1日!$I$15</f>
        <v/>
      </c>
      <c r="S13" s="9" t="str">
        <f>第1日!$I$4</f>
        <v>可回读</v>
      </c>
    </row>
    <row r="14" spans="1:19" ht="24" customHeight="1">
      <c r="A14" s="9">
        <v>2</v>
      </c>
      <c r="B14" s="9" t="s">
        <v>448</v>
      </c>
      <c r="C14" s="9" t="s">
        <v>466</v>
      </c>
      <c r="D14" s="9">
        <v>1</v>
      </c>
      <c r="E14" s="9">
        <v>1</v>
      </c>
      <c r="F14" s="9">
        <v>1</v>
      </c>
      <c r="G14" s="9" t="str">
        <f>第1日!$B$3</f>
        <v>第1波 林地试探</v>
      </c>
      <c r="H14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14" s="9">
        <f>第1日!$E$3</f>
        <v>0.2</v>
      </c>
      <c r="J14" s="9">
        <f>第1日!$G$3</f>
        <v>1</v>
      </c>
      <c r="K14" s="9">
        <f>第1日!$I$3</f>
        <v>300</v>
      </c>
      <c r="L14" s="9" t="s">
        <v>467</v>
      </c>
      <c r="M14" s="9" t="s">
        <v>468</v>
      </c>
      <c r="N14" s="9">
        <v>10</v>
      </c>
      <c r="O14" s="9">
        <f>第1日!$B$16</f>
        <v>0</v>
      </c>
      <c r="P14" s="9" t="str">
        <f>IFERROR(VLOOKUP(O14,敌人目录!$A$6:$AD$54,2,FALSE),"")</f>
        <v/>
      </c>
      <c r="Q14" s="9">
        <f>第1日!$C$16</f>
        <v>0</v>
      </c>
      <c r="R14" s="9" t="str">
        <f>第1日!$I$16</f>
        <v/>
      </c>
      <c r="S14" s="9" t="str">
        <f>第1日!$I$4</f>
        <v>可回读</v>
      </c>
    </row>
    <row r="15" spans="1:19" ht="24" customHeight="1">
      <c r="A15" s="9">
        <v>2</v>
      </c>
      <c r="B15" s="9" t="s">
        <v>448</v>
      </c>
      <c r="C15" s="9" t="s">
        <v>466</v>
      </c>
      <c r="D15" s="9">
        <v>1</v>
      </c>
      <c r="E15" s="9">
        <v>1</v>
      </c>
      <c r="F15" s="9">
        <v>1</v>
      </c>
      <c r="G15" s="9" t="str">
        <f>第1日!$B$3</f>
        <v>第1波 林地试探</v>
      </c>
      <c r="H15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15" s="9">
        <f>第1日!$E$3</f>
        <v>0.2</v>
      </c>
      <c r="J15" s="9">
        <f>第1日!$G$3</f>
        <v>1</v>
      </c>
      <c r="K15" s="9">
        <f>第1日!$I$3</f>
        <v>300</v>
      </c>
      <c r="L15" s="9" t="s">
        <v>467</v>
      </c>
      <c r="M15" s="9" t="s">
        <v>468</v>
      </c>
      <c r="N15" s="9">
        <v>11</v>
      </c>
      <c r="O15" s="9">
        <f>第1日!$B$17</f>
        <v>0</v>
      </c>
      <c r="P15" s="9" t="str">
        <f>IFERROR(VLOOKUP(O15,敌人目录!$A$6:$AD$54,2,FALSE),"")</f>
        <v/>
      </c>
      <c r="Q15" s="9">
        <f>第1日!$C$17</f>
        <v>0</v>
      </c>
      <c r="R15" s="9" t="str">
        <f>第1日!$I$17</f>
        <v/>
      </c>
      <c r="S15" s="9" t="str">
        <f>第1日!$I$4</f>
        <v>可回读</v>
      </c>
    </row>
    <row r="16" spans="1:19" ht="24" customHeight="1">
      <c r="A16" s="9">
        <v>2</v>
      </c>
      <c r="B16" s="9" t="s">
        <v>448</v>
      </c>
      <c r="C16" s="9" t="s">
        <v>466</v>
      </c>
      <c r="D16" s="9">
        <v>1</v>
      </c>
      <c r="E16" s="9">
        <v>1</v>
      </c>
      <c r="F16" s="9">
        <v>1</v>
      </c>
      <c r="G16" s="9" t="str">
        <f>第1日!$B$3</f>
        <v>第1波 林地试探</v>
      </c>
      <c r="H16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16" s="9">
        <f>第1日!$E$3</f>
        <v>0.2</v>
      </c>
      <c r="J16" s="9">
        <f>第1日!$G$3</f>
        <v>1</v>
      </c>
      <c r="K16" s="9">
        <f>第1日!$I$3</f>
        <v>300</v>
      </c>
      <c r="L16" s="9" t="s">
        <v>467</v>
      </c>
      <c r="M16" s="9" t="s">
        <v>468</v>
      </c>
      <c r="N16" s="9">
        <v>12</v>
      </c>
      <c r="O16" s="9">
        <f>第1日!$B$18</f>
        <v>0</v>
      </c>
      <c r="P16" s="9" t="str">
        <f>IFERROR(VLOOKUP(O16,敌人目录!$A$6:$AD$54,2,FALSE),"")</f>
        <v/>
      </c>
      <c r="Q16" s="9">
        <f>第1日!$C$18</f>
        <v>0</v>
      </c>
      <c r="R16" s="9" t="str">
        <f>第1日!$I$18</f>
        <v/>
      </c>
      <c r="S16" s="9" t="str">
        <f>第1日!$I$4</f>
        <v>可回读</v>
      </c>
    </row>
    <row r="17" spans="1:19" ht="24" customHeight="1">
      <c r="A17" s="9">
        <v>2</v>
      </c>
      <c r="B17" s="9" t="s">
        <v>448</v>
      </c>
      <c r="C17" s="9" t="s">
        <v>466</v>
      </c>
      <c r="D17" s="9">
        <v>1</v>
      </c>
      <c r="E17" s="9">
        <v>1</v>
      </c>
      <c r="F17" s="9">
        <v>1</v>
      </c>
      <c r="G17" s="9" t="str">
        <f>第1日!$B$3</f>
        <v>第1波 林地试探</v>
      </c>
      <c r="H17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17" s="9">
        <f>第1日!$E$3</f>
        <v>0.2</v>
      </c>
      <c r="J17" s="9">
        <f>第1日!$G$3</f>
        <v>1</v>
      </c>
      <c r="K17" s="9">
        <f>第1日!$I$3</f>
        <v>300</v>
      </c>
      <c r="L17" s="9" t="s">
        <v>467</v>
      </c>
      <c r="M17" s="9" t="s">
        <v>468</v>
      </c>
      <c r="N17" s="9">
        <v>13</v>
      </c>
      <c r="O17" s="9">
        <f>第1日!$B$19</f>
        <v>0</v>
      </c>
      <c r="P17" s="9" t="str">
        <f>IFERROR(VLOOKUP(O17,敌人目录!$A$6:$AD$54,2,FALSE),"")</f>
        <v/>
      </c>
      <c r="Q17" s="9">
        <f>第1日!$C$19</f>
        <v>0</v>
      </c>
      <c r="R17" s="9" t="str">
        <f>第1日!$I$19</f>
        <v/>
      </c>
      <c r="S17" s="9" t="str">
        <f>第1日!$I$4</f>
        <v>可回读</v>
      </c>
    </row>
    <row r="18" spans="1:19" ht="24" customHeight="1">
      <c r="A18" s="9">
        <v>2</v>
      </c>
      <c r="B18" s="9" t="s">
        <v>448</v>
      </c>
      <c r="C18" s="9" t="s">
        <v>466</v>
      </c>
      <c r="D18" s="9">
        <v>1</v>
      </c>
      <c r="E18" s="9">
        <v>1</v>
      </c>
      <c r="F18" s="9">
        <v>1</v>
      </c>
      <c r="G18" s="9" t="str">
        <f>第1日!$B$3</f>
        <v>第1波 林地试探</v>
      </c>
      <c r="H18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18" s="9">
        <f>第1日!$E$3</f>
        <v>0.2</v>
      </c>
      <c r="J18" s="9">
        <f>第1日!$G$3</f>
        <v>1</v>
      </c>
      <c r="K18" s="9">
        <f>第1日!$I$3</f>
        <v>300</v>
      </c>
      <c r="L18" s="9" t="s">
        <v>467</v>
      </c>
      <c r="M18" s="9" t="s">
        <v>468</v>
      </c>
      <c r="N18" s="9">
        <v>14</v>
      </c>
      <c r="O18" s="9">
        <f>第1日!$B$20</f>
        <v>0</v>
      </c>
      <c r="P18" s="9" t="str">
        <f>IFERROR(VLOOKUP(O18,敌人目录!$A$6:$AD$54,2,FALSE),"")</f>
        <v/>
      </c>
      <c r="Q18" s="9">
        <f>第1日!$C$20</f>
        <v>0</v>
      </c>
      <c r="R18" s="9" t="str">
        <f>第1日!$I$20</f>
        <v/>
      </c>
      <c r="S18" s="9" t="str">
        <f>第1日!$I$4</f>
        <v>可回读</v>
      </c>
    </row>
    <row r="19" spans="1:19" ht="24" customHeight="1">
      <c r="A19" s="9">
        <v>2</v>
      </c>
      <c r="B19" s="9" t="s">
        <v>448</v>
      </c>
      <c r="C19" s="9" t="s">
        <v>466</v>
      </c>
      <c r="D19" s="9">
        <v>1</v>
      </c>
      <c r="E19" s="9">
        <v>1</v>
      </c>
      <c r="F19" s="9">
        <v>1</v>
      </c>
      <c r="G19" s="9" t="str">
        <f>第1日!$B$3</f>
        <v>第1波 林地试探</v>
      </c>
      <c r="H19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19" s="9">
        <f>第1日!$E$3</f>
        <v>0.2</v>
      </c>
      <c r="J19" s="9">
        <f>第1日!$G$3</f>
        <v>1</v>
      </c>
      <c r="K19" s="9">
        <f>第1日!$I$3</f>
        <v>300</v>
      </c>
      <c r="L19" s="9" t="s">
        <v>467</v>
      </c>
      <c r="M19" s="9" t="s">
        <v>468</v>
      </c>
      <c r="N19" s="9">
        <v>15</v>
      </c>
      <c r="O19" s="9">
        <f>第1日!$B$21</f>
        <v>0</v>
      </c>
      <c r="P19" s="9" t="str">
        <f>IFERROR(VLOOKUP(O19,敌人目录!$A$6:$AD$54,2,FALSE),"")</f>
        <v/>
      </c>
      <c r="Q19" s="9">
        <f>第1日!$C$21</f>
        <v>0</v>
      </c>
      <c r="R19" s="9" t="str">
        <f>第1日!$I$21</f>
        <v/>
      </c>
      <c r="S19" s="9" t="str">
        <f>第1日!$I$4</f>
        <v>可回读</v>
      </c>
    </row>
    <row r="20" spans="1:19" ht="24" customHeight="1">
      <c r="A20" s="9">
        <v>2</v>
      </c>
      <c r="B20" s="9" t="s">
        <v>448</v>
      </c>
      <c r="C20" s="9" t="s">
        <v>466</v>
      </c>
      <c r="D20" s="9">
        <v>1</v>
      </c>
      <c r="E20" s="9">
        <v>1</v>
      </c>
      <c r="F20" s="9">
        <v>1</v>
      </c>
      <c r="G20" s="9" t="str">
        <f>第1日!$B$3</f>
        <v>第1波 林地试探</v>
      </c>
      <c r="H20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20" s="9">
        <f>第1日!$E$3</f>
        <v>0.2</v>
      </c>
      <c r="J20" s="9">
        <f>第1日!$G$3</f>
        <v>1</v>
      </c>
      <c r="K20" s="9">
        <f>第1日!$I$3</f>
        <v>300</v>
      </c>
      <c r="L20" s="9" t="s">
        <v>467</v>
      </c>
      <c r="M20" s="9" t="s">
        <v>468</v>
      </c>
      <c r="N20" s="9">
        <v>16</v>
      </c>
      <c r="O20" s="9">
        <f>第1日!$B$22</f>
        <v>0</v>
      </c>
      <c r="P20" s="9" t="str">
        <f>IFERROR(VLOOKUP(O20,敌人目录!$A$6:$AD$54,2,FALSE),"")</f>
        <v/>
      </c>
      <c r="Q20" s="9">
        <f>第1日!$C$22</f>
        <v>0</v>
      </c>
      <c r="R20" s="9" t="str">
        <f>第1日!$I$22</f>
        <v/>
      </c>
      <c r="S20" s="9" t="str">
        <f>第1日!$I$4</f>
        <v>可回读</v>
      </c>
    </row>
    <row r="21" spans="1:19" ht="24" customHeight="1">
      <c r="A21" s="9">
        <v>2</v>
      </c>
      <c r="B21" s="9" t="s">
        <v>448</v>
      </c>
      <c r="C21" s="9" t="s">
        <v>466</v>
      </c>
      <c r="D21" s="9">
        <v>1</v>
      </c>
      <c r="E21" s="9">
        <v>1</v>
      </c>
      <c r="F21" s="9">
        <v>1</v>
      </c>
      <c r="G21" s="9" t="str">
        <f>第1日!$B$3</f>
        <v>第1波 林地试探</v>
      </c>
      <c r="H21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21" s="9">
        <f>第1日!$E$3</f>
        <v>0.2</v>
      </c>
      <c r="J21" s="9">
        <f>第1日!$G$3</f>
        <v>1</v>
      </c>
      <c r="K21" s="9">
        <f>第1日!$I$3</f>
        <v>300</v>
      </c>
      <c r="L21" s="9" t="s">
        <v>467</v>
      </c>
      <c r="M21" s="9" t="s">
        <v>468</v>
      </c>
      <c r="N21" s="9">
        <v>17</v>
      </c>
      <c r="O21" s="9">
        <f>第1日!$B$23</f>
        <v>0</v>
      </c>
      <c r="P21" s="9" t="str">
        <f>IFERROR(VLOOKUP(O21,敌人目录!$A$6:$AD$54,2,FALSE),"")</f>
        <v/>
      </c>
      <c r="Q21" s="9">
        <f>第1日!$C$23</f>
        <v>0</v>
      </c>
      <c r="R21" s="9" t="str">
        <f>第1日!$I$23</f>
        <v/>
      </c>
      <c r="S21" s="9" t="str">
        <f>第1日!$I$4</f>
        <v>可回读</v>
      </c>
    </row>
    <row r="22" spans="1:19" ht="24" customHeight="1">
      <c r="A22" s="9">
        <v>2</v>
      </c>
      <c r="B22" s="9" t="s">
        <v>448</v>
      </c>
      <c r="C22" s="9" t="s">
        <v>466</v>
      </c>
      <c r="D22" s="9">
        <v>1</v>
      </c>
      <c r="E22" s="9">
        <v>1</v>
      </c>
      <c r="F22" s="9">
        <v>1</v>
      </c>
      <c r="G22" s="9" t="str">
        <f>第1日!$B$3</f>
        <v>第1波 林地试探</v>
      </c>
      <c r="H22" s="9">
        <f>IF(第1日!$B$4="点1·开启",1,0)+IF(第1日!$C$4="点2·开启",2,0)+IF(第1日!$D$4="点3·开启",4,0)+IF(第1日!$E$4="点4·开启",8,0)+IF(第1日!$F$4="点5·开启",16,0)+IF(第1日!$G$4="点6·开启",32,0)</f>
        <v>15</v>
      </c>
      <c r="I22" s="9">
        <f>第1日!$E$3</f>
        <v>0.2</v>
      </c>
      <c r="J22" s="9">
        <f>第1日!$G$3</f>
        <v>1</v>
      </c>
      <c r="K22" s="9">
        <f>第1日!$I$3</f>
        <v>300</v>
      </c>
      <c r="L22" s="9" t="s">
        <v>467</v>
      </c>
      <c r="M22" s="9" t="s">
        <v>468</v>
      </c>
      <c r="N22" s="9">
        <v>18</v>
      </c>
      <c r="O22" s="9">
        <f>第1日!$B$24</f>
        <v>0</v>
      </c>
      <c r="P22" s="9" t="str">
        <f>IFERROR(VLOOKUP(O22,敌人目录!$A$6:$AD$54,2,FALSE),"")</f>
        <v/>
      </c>
      <c r="Q22" s="9">
        <f>第1日!$C$24</f>
        <v>0</v>
      </c>
      <c r="R22" s="9" t="str">
        <f>第1日!$I$24</f>
        <v/>
      </c>
      <c r="S22" s="9" t="str">
        <f>第1日!$I$4</f>
        <v>可回读</v>
      </c>
    </row>
    <row r="23" spans="1:19" ht="24" customHeight="1">
      <c r="A23" s="9">
        <v>2</v>
      </c>
      <c r="B23" s="9" t="s">
        <v>448</v>
      </c>
      <c r="C23" s="9" t="s">
        <v>469</v>
      </c>
      <c r="D23" s="9">
        <v>2</v>
      </c>
      <c r="E23" s="9">
        <v>1</v>
      </c>
      <c r="F23" s="9">
        <v>2</v>
      </c>
      <c r="G23" s="9" t="str">
        <f>第1日!$B$32</f>
        <v>第2波 迅影与硬壳</v>
      </c>
      <c r="H23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23" s="9">
        <f>第1日!$E$32</f>
        <v>0.1</v>
      </c>
      <c r="J23" s="9">
        <f>第1日!$G$32</f>
        <v>1</v>
      </c>
      <c r="K23" s="9">
        <f>第1日!$I$32</f>
        <v>300</v>
      </c>
      <c r="L23" s="9" t="s">
        <v>467</v>
      </c>
      <c r="M23" s="9" t="s">
        <v>468</v>
      </c>
      <c r="N23" s="9">
        <v>1</v>
      </c>
      <c r="O23" s="9" t="str">
        <f>第1日!$B$36</f>
        <v>史莱姆</v>
      </c>
      <c r="P23" s="9" t="str">
        <f>IFERROR(VLOOKUP(O23,敌人目录!$A$6:$AD$54,2,FALSE),"")</f>
        <v>slime_basic</v>
      </c>
      <c r="Q23" s="9">
        <f>第1日!$C$36</f>
        <v>2000</v>
      </c>
      <c r="R23" s="9" t="str">
        <f>第1日!$I$36</f>
        <v>可回读</v>
      </c>
      <c r="S23" s="9" t="str">
        <f>第1日!$I$33</f>
        <v>可回读</v>
      </c>
    </row>
    <row r="24" spans="1:19" ht="24" customHeight="1">
      <c r="A24" s="9">
        <v>2</v>
      </c>
      <c r="B24" s="9" t="s">
        <v>448</v>
      </c>
      <c r="C24" s="9" t="s">
        <v>469</v>
      </c>
      <c r="D24" s="9">
        <v>2</v>
      </c>
      <c r="E24" s="9">
        <v>1</v>
      </c>
      <c r="F24" s="9">
        <v>2</v>
      </c>
      <c r="G24" s="9" t="str">
        <f>第1日!$B$32</f>
        <v>第2波 迅影与硬壳</v>
      </c>
      <c r="H24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24" s="9">
        <f>第1日!$E$32</f>
        <v>0.1</v>
      </c>
      <c r="J24" s="9">
        <f>第1日!$G$32</f>
        <v>1</v>
      </c>
      <c r="K24" s="9">
        <f>第1日!$I$32</f>
        <v>300</v>
      </c>
      <c r="L24" s="9" t="s">
        <v>467</v>
      </c>
      <c r="M24" s="9" t="s">
        <v>468</v>
      </c>
      <c r="N24" s="9">
        <v>2</v>
      </c>
      <c r="O24" s="9" t="str">
        <f>第1日!$B$37</f>
        <v>火焰史莱姆</v>
      </c>
      <c r="P24" s="9" t="str">
        <f>IFERROR(VLOOKUP(O24,敌人目录!$A$6:$AD$54,2,FALSE),"")</f>
        <v>slime_fire</v>
      </c>
      <c r="Q24" s="9">
        <f>第1日!$C$37</f>
        <v>400</v>
      </c>
      <c r="R24" s="9" t="str">
        <f>第1日!$I$37</f>
        <v>可回读</v>
      </c>
      <c r="S24" s="9" t="str">
        <f>第1日!$I$33</f>
        <v>可回读</v>
      </c>
    </row>
    <row r="25" spans="1:19" ht="24" customHeight="1">
      <c r="A25" s="9">
        <v>2</v>
      </c>
      <c r="B25" s="9" t="s">
        <v>448</v>
      </c>
      <c r="C25" s="9" t="s">
        <v>469</v>
      </c>
      <c r="D25" s="9">
        <v>2</v>
      </c>
      <c r="E25" s="9">
        <v>1</v>
      </c>
      <c r="F25" s="9">
        <v>2</v>
      </c>
      <c r="G25" s="9" t="str">
        <f>第1日!$B$32</f>
        <v>第2波 迅影与硬壳</v>
      </c>
      <c r="H25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25" s="9">
        <f>第1日!$E$32</f>
        <v>0.1</v>
      </c>
      <c r="J25" s="9">
        <f>第1日!$G$32</f>
        <v>1</v>
      </c>
      <c r="K25" s="9">
        <f>第1日!$I$32</f>
        <v>300</v>
      </c>
      <c r="L25" s="9" t="s">
        <v>467</v>
      </c>
      <c r="M25" s="9" t="s">
        <v>468</v>
      </c>
      <c r="N25" s="9">
        <v>3</v>
      </c>
      <c r="O25" s="9" t="str">
        <f>第1日!$B$38</f>
        <v>普通原石虫</v>
      </c>
      <c r="P25" s="9" t="str">
        <f>IFERROR(VLOOKUP(O25,敌人目录!$A$6:$AD$54,2,FALSE),"")</f>
        <v>yuanshi_insect_basic</v>
      </c>
      <c r="Q25" s="9">
        <f>第1日!$C$38</f>
        <v>500</v>
      </c>
      <c r="R25" s="9" t="str">
        <f>第1日!$I$38</f>
        <v>可回读</v>
      </c>
      <c r="S25" s="9" t="str">
        <f>第1日!$I$33</f>
        <v>可回读</v>
      </c>
    </row>
    <row r="26" spans="1:19" ht="24" customHeight="1">
      <c r="A26" s="9">
        <v>2</v>
      </c>
      <c r="B26" s="9" t="s">
        <v>448</v>
      </c>
      <c r="C26" s="9" t="s">
        <v>469</v>
      </c>
      <c r="D26" s="9">
        <v>2</v>
      </c>
      <c r="E26" s="9">
        <v>1</v>
      </c>
      <c r="F26" s="9">
        <v>2</v>
      </c>
      <c r="G26" s="9" t="str">
        <f>第1日!$B$32</f>
        <v>第2波 迅影与硬壳</v>
      </c>
      <c r="H26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26" s="9">
        <f>第1日!$E$32</f>
        <v>0.1</v>
      </c>
      <c r="J26" s="9">
        <f>第1日!$G$32</f>
        <v>1</v>
      </c>
      <c r="K26" s="9">
        <f>第1日!$I$32</f>
        <v>300</v>
      </c>
      <c r="L26" s="9" t="s">
        <v>467</v>
      </c>
      <c r="M26" s="9" t="s">
        <v>468</v>
      </c>
      <c r="N26" s="9">
        <v>4</v>
      </c>
      <c r="O26" s="9" t="str">
        <f>第1日!$B$39</f>
        <v>迅捷原石虫</v>
      </c>
      <c r="P26" s="9" t="str">
        <f>IFERROR(VLOOKUP(O26,敌人目录!$A$6:$AD$54,2,FALSE),"")</f>
        <v>yuanshi_insect_fast</v>
      </c>
      <c r="Q26" s="9">
        <f>第1日!$C$39</f>
        <v>300</v>
      </c>
      <c r="R26" s="9" t="str">
        <f>第1日!$I$39</f>
        <v>可回读</v>
      </c>
      <c r="S26" s="9" t="str">
        <f>第1日!$I$33</f>
        <v>可回读</v>
      </c>
    </row>
    <row r="27" spans="1:19" ht="24" customHeight="1">
      <c r="A27" s="9">
        <v>2</v>
      </c>
      <c r="B27" s="9" t="s">
        <v>448</v>
      </c>
      <c r="C27" s="9" t="s">
        <v>469</v>
      </c>
      <c r="D27" s="9">
        <v>2</v>
      </c>
      <c r="E27" s="9">
        <v>1</v>
      </c>
      <c r="F27" s="9">
        <v>2</v>
      </c>
      <c r="G27" s="9" t="str">
        <f>第1日!$B$32</f>
        <v>第2波 迅影与硬壳</v>
      </c>
      <c r="H27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27" s="9">
        <f>第1日!$E$32</f>
        <v>0.1</v>
      </c>
      <c r="J27" s="9">
        <f>第1日!$G$32</f>
        <v>1</v>
      </c>
      <c r="K27" s="9">
        <f>第1日!$I$32</f>
        <v>300</v>
      </c>
      <c r="L27" s="9" t="s">
        <v>467</v>
      </c>
      <c r="M27" s="9" t="s">
        <v>468</v>
      </c>
      <c r="N27" s="9">
        <v>5</v>
      </c>
      <c r="O27" s="9" t="str">
        <f>第1日!$B$40</f>
        <v>硬壳原石虫</v>
      </c>
      <c r="P27" s="9" t="str">
        <f>IFERROR(VLOOKUP(O27,敌人目录!$A$6:$AD$54,2,FALSE),"")</f>
        <v>yuanshi_insect_shell</v>
      </c>
      <c r="Q27" s="9">
        <f>第1日!$C$40</f>
        <v>200</v>
      </c>
      <c r="R27" s="9" t="str">
        <f>第1日!$I$40</f>
        <v>可回读</v>
      </c>
      <c r="S27" s="9" t="str">
        <f>第1日!$I$33</f>
        <v>可回读</v>
      </c>
    </row>
    <row r="28" spans="1:19" ht="24" customHeight="1">
      <c r="A28" s="9">
        <v>2</v>
      </c>
      <c r="B28" s="9" t="s">
        <v>448</v>
      </c>
      <c r="C28" s="9" t="s">
        <v>469</v>
      </c>
      <c r="D28" s="9">
        <v>2</v>
      </c>
      <c r="E28" s="9">
        <v>1</v>
      </c>
      <c r="F28" s="9">
        <v>2</v>
      </c>
      <c r="G28" s="9" t="str">
        <f>第1日!$B$32</f>
        <v>第2波 迅影与硬壳</v>
      </c>
      <c r="H28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28" s="9">
        <f>第1日!$E$32</f>
        <v>0.1</v>
      </c>
      <c r="J28" s="9">
        <f>第1日!$G$32</f>
        <v>1</v>
      </c>
      <c r="K28" s="9">
        <f>第1日!$I$32</f>
        <v>300</v>
      </c>
      <c r="L28" s="9" t="s">
        <v>467</v>
      </c>
      <c r="M28" s="9" t="s">
        <v>468</v>
      </c>
      <c r="N28" s="9">
        <v>6</v>
      </c>
      <c r="O28" s="9" t="str">
        <f>第1日!$B$41</f>
        <v>火焰弹原石虫</v>
      </c>
      <c r="P28" s="9" t="str">
        <f>IFERROR(VLOOKUP(O28,敌人目录!$A$6:$AD$54,2,FALSE),"")</f>
        <v>yuanshi_insect_fire_ranged</v>
      </c>
      <c r="Q28" s="9">
        <f>第1日!$C$41</f>
        <v>50</v>
      </c>
      <c r="R28" s="9" t="str">
        <f>第1日!$I$41</f>
        <v>可回读</v>
      </c>
      <c r="S28" s="9" t="str">
        <f>第1日!$I$33</f>
        <v>可回读</v>
      </c>
    </row>
    <row r="29" spans="1:19" ht="24" customHeight="1">
      <c r="A29" s="9">
        <v>2</v>
      </c>
      <c r="B29" s="9" t="s">
        <v>448</v>
      </c>
      <c r="C29" s="9" t="s">
        <v>469</v>
      </c>
      <c r="D29" s="9">
        <v>2</v>
      </c>
      <c r="E29" s="9">
        <v>1</v>
      </c>
      <c r="F29" s="9">
        <v>2</v>
      </c>
      <c r="G29" s="9" t="str">
        <f>第1日!$B$32</f>
        <v>第2波 迅影与硬壳</v>
      </c>
      <c r="H29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29" s="9">
        <f>第1日!$E$32</f>
        <v>0.1</v>
      </c>
      <c r="J29" s="9">
        <f>第1日!$G$32</f>
        <v>1</v>
      </c>
      <c r="K29" s="9">
        <f>第1日!$I$32</f>
        <v>300</v>
      </c>
      <c r="L29" s="9" t="s">
        <v>467</v>
      </c>
      <c r="M29" s="9" t="s">
        <v>468</v>
      </c>
      <c r="N29" s="9">
        <v>7</v>
      </c>
      <c r="O29" s="9" t="str">
        <f>第1日!$B$42</f>
        <v>寒冰史莱姆</v>
      </c>
      <c r="P29" s="9" t="str">
        <f>IFERROR(VLOOKUP(O29,敌人目录!$A$6:$AD$54,2,FALSE),"")</f>
        <v>slime_frost</v>
      </c>
      <c r="Q29" s="9">
        <f>第1日!$C$42</f>
        <v>400</v>
      </c>
      <c r="R29" s="9" t="str">
        <f>第1日!$I$42</f>
        <v>可回读</v>
      </c>
      <c r="S29" s="9" t="str">
        <f>第1日!$I$33</f>
        <v>可回读</v>
      </c>
    </row>
    <row r="30" spans="1:19" ht="24" customHeight="1">
      <c r="A30" s="9">
        <v>2</v>
      </c>
      <c r="B30" s="9" t="s">
        <v>448</v>
      </c>
      <c r="C30" s="9" t="s">
        <v>469</v>
      </c>
      <c r="D30" s="9">
        <v>2</v>
      </c>
      <c r="E30" s="9">
        <v>1</v>
      </c>
      <c r="F30" s="9">
        <v>2</v>
      </c>
      <c r="G30" s="9" t="str">
        <f>第1日!$B$32</f>
        <v>第2波 迅影与硬壳</v>
      </c>
      <c r="H30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30" s="9">
        <f>第1日!$E$32</f>
        <v>0.1</v>
      </c>
      <c r="J30" s="9">
        <f>第1日!$G$32</f>
        <v>1</v>
      </c>
      <c r="K30" s="9">
        <f>第1日!$I$32</f>
        <v>300</v>
      </c>
      <c r="L30" s="9" t="s">
        <v>467</v>
      </c>
      <c r="M30" s="9" t="s">
        <v>468</v>
      </c>
      <c r="N30" s="9">
        <v>8</v>
      </c>
      <c r="O30" s="9">
        <f>第1日!$B$43</f>
        <v>0</v>
      </c>
      <c r="P30" s="9" t="str">
        <f>IFERROR(VLOOKUP(O30,敌人目录!$A$6:$AD$54,2,FALSE),"")</f>
        <v/>
      </c>
      <c r="Q30" s="9">
        <f>第1日!$C$43</f>
        <v>0</v>
      </c>
      <c r="R30" s="9" t="str">
        <f>第1日!$I$43</f>
        <v/>
      </c>
      <c r="S30" s="9" t="str">
        <f>第1日!$I$33</f>
        <v>可回读</v>
      </c>
    </row>
    <row r="31" spans="1:19" ht="24" customHeight="1">
      <c r="A31" s="9">
        <v>2</v>
      </c>
      <c r="B31" s="9" t="s">
        <v>448</v>
      </c>
      <c r="C31" s="9" t="s">
        <v>469</v>
      </c>
      <c r="D31" s="9">
        <v>2</v>
      </c>
      <c r="E31" s="9">
        <v>1</v>
      </c>
      <c r="F31" s="9">
        <v>2</v>
      </c>
      <c r="G31" s="9" t="str">
        <f>第1日!$B$32</f>
        <v>第2波 迅影与硬壳</v>
      </c>
      <c r="H31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31" s="9">
        <f>第1日!$E$32</f>
        <v>0.1</v>
      </c>
      <c r="J31" s="9">
        <f>第1日!$G$32</f>
        <v>1</v>
      </c>
      <c r="K31" s="9">
        <f>第1日!$I$32</f>
        <v>300</v>
      </c>
      <c r="L31" s="9" t="s">
        <v>467</v>
      </c>
      <c r="M31" s="9" t="s">
        <v>468</v>
      </c>
      <c r="N31" s="9">
        <v>9</v>
      </c>
      <c r="O31" s="9">
        <f>第1日!$B$44</f>
        <v>0</v>
      </c>
      <c r="P31" s="9" t="str">
        <f>IFERROR(VLOOKUP(O31,敌人目录!$A$6:$AD$54,2,FALSE),"")</f>
        <v/>
      </c>
      <c r="Q31" s="9">
        <f>第1日!$C$44</f>
        <v>0</v>
      </c>
      <c r="R31" s="9" t="str">
        <f>第1日!$I$44</f>
        <v/>
      </c>
      <c r="S31" s="9" t="str">
        <f>第1日!$I$33</f>
        <v>可回读</v>
      </c>
    </row>
    <row r="32" spans="1:19" ht="24" customHeight="1">
      <c r="A32" s="9">
        <v>2</v>
      </c>
      <c r="B32" s="9" t="s">
        <v>448</v>
      </c>
      <c r="C32" s="9" t="s">
        <v>469</v>
      </c>
      <c r="D32" s="9">
        <v>2</v>
      </c>
      <c r="E32" s="9">
        <v>1</v>
      </c>
      <c r="F32" s="9">
        <v>2</v>
      </c>
      <c r="G32" s="9" t="str">
        <f>第1日!$B$32</f>
        <v>第2波 迅影与硬壳</v>
      </c>
      <c r="H32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32" s="9">
        <f>第1日!$E$32</f>
        <v>0.1</v>
      </c>
      <c r="J32" s="9">
        <f>第1日!$G$32</f>
        <v>1</v>
      </c>
      <c r="K32" s="9">
        <f>第1日!$I$32</f>
        <v>300</v>
      </c>
      <c r="L32" s="9" t="s">
        <v>467</v>
      </c>
      <c r="M32" s="9" t="s">
        <v>468</v>
      </c>
      <c r="N32" s="9">
        <v>10</v>
      </c>
      <c r="O32" s="9">
        <f>第1日!$B$45</f>
        <v>0</v>
      </c>
      <c r="P32" s="9" t="str">
        <f>IFERROR(VLOOKUP(O32,敌人目录!$A$6:$AD$54,2,FALSE),"")</f>
        <v/>
      </c>
      <c r="Q32" s="9">
        <f>第1日!$C$45</f>
        <v>0</v>
      </c>
      <c r="R32" s="9" t="str">
        <f>第1日!$I$45</f>
        <v/>
      </c>
      <c r="S32" s="9" t="str">
        <f>第1日!$I$33</f>
        <v>可回读</v>
      </c>
    </row>
    <row r="33" spans="1:19" ht="24" customHeight="1">
      <c r="A33" s="9">
        <v>2</v>
      </c>
      <c r="B33" s="9" t="s">
        <v>448</v>
      </c>
      <c r="C33" s="9" t="s">
        <v>469</v>
      </c>
      <c r="D33" s="9">
        <v>2</v>
      </c>
      <c r="E33" s="9">
        <v>1</v>
      </c>
      <c r="F33" s="9">
        <v>2</v>
      </c>
      <c r="G33" s="9" t="str">
        <f>第1日!$B$32</f>
        <v>第2波 迅影与硬壳</v>
      </c>
      <c r="H33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33" s="9">
        <f>第1日!$E$32</f>
        <v>0.1</v>
      </c>
      <c r="J33" s="9">
        <f>第1日!$G$32</f>
        <v>1</v>
      </c>
      <c r="K33" s="9">
        <f>第1日!$I$32</f>
        <v>300</v>
      </c>
      <c r="L33" s="9" t="s">
        <v>467</v>
      </c>
      <c r="M33" s="9" t="s">
        <v>468</v>
      </c>
      <c r="N33" s="9">
        <v>11</v>
      </c>
      <c r="O33" s="9">
        <f>第1日!$B$46</f>
        <v>0</v>
      </c>
      <c r="P33" s="9" t="str">
        <f>IFERROR(VLOOKUP(O33,敌人目录!$A$6:$AD$54,2,FALSE),"")</f>
        <v/>
      </c>
      <c r="Q33" s="9">
        <f>第1日!$C$46</f>
        <v>0</v>
      </c>
      <c r="R33" s="9" t="str">
        <f>第1日!$I$46</f>
        <v/>
      </c>
      <c r="S33" s="9" t="str">
        <f>第1日!$I$33</f>
        <v>可回读</v>
      </c>
    </row>
    <row r="34" spans="1:19" ht="24" customHeight="1">
      <c r="A34" s="9">
        <v>2</v>
      </c>
      <c r="B34" s="9" t="s">
        <v>448</v>
      </c>
      <c r="C34" s="9" t="s">
        <v>469</v>
      </c>
      <c r="D34" s="9">
        <v>2</v>
      </c>
      <c r="E34" s="9">
        <v>1</v>
      </c>
      <c r="F34" s="9">
        <v>2</v>
      </c>
      <c r="G34" s="9" t="str">
        <f>第1日!$B$32</f>
        <v>第2波 迅影与硬壳</v>
      </c>
      <c r="H34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34" s="9">
        <f>第1日!$E$32</f>
        <v>0.1</v>
      </c>
      <c r="J34" s="9">
        <f>第1日!$G$32</f>
        <v>1</v>
      </c>
      <c r="K34" s="9">
        <f>第1日!$I$32</f>
        <v>300</v>
      </c>
      <c r="L34" s="9" t="s">
        <v>467</v>
      </c>
      <c r="M34" s="9" t="s">
        <v>468</v>
      </c>
      <c r="N34" s="9">
        <v>12</v>
      </c>
      <c r="O34" s="9">
        <f>第1日!$B$47</f>
        <v>0</v>
      </c>
      <c r="P34" s="9" t="str">
        <f>IFERROR(VLOOKUP(O34,敌人目录!$A$6:$AD$54,2,FALSE),"")</f>
        <v/>
      </c>
      <c r="Q34" s="9">
        <f>第1日!$C$47</f>
        <v>0</v>
      </c>
      <c r="R34" s="9" t="str">
        <f>第1日!$I$47</f>
        <v/>
      </c>
      <c r="S34" s="9" t="str">
        <f>第1日!$I$33</f>
        <v>可回读</v>
      </c>
    </row>
    <row r="35" spans="1:19" ht="24" customHeight="1">
      <c r="A35" s="9">
        <v>2</v>
      </c>
      <c r="B35" s="9" t="s">
        <v>448</v>
      </c>
      <c r="C35" s="9" t="s">
        <v>469</v>
      </c>
      <c r="D35" s="9">
        <v>2</v>
      </c>
      <c r="E35" s="9">
        <v>1</v>
      </c>
      <c r="F35" s="9">
        <v>2</v>
      </c>
      <c r="G35" s="9" t="str">
        <f>第1日!$B$32</f>
        <v>第2波 迅影与硬壳</v>
      </c>
      <c r="H35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35" s="9">
        <f>第1日!$E$32</f>
        <v>0.1</v>
      </c>
      <c r="J35" s="9">
        <f>第1日!$G$32</f>
        <v>1</v>
      </c>
      <c r="K35" s="9">
        <f>第1日!$I$32</f>
        <v>300</v>
      </c>
      <c r="L35" s="9" t="s">
        <v>467</v>
      </c>
      <c r="M35" s="9" t="s">
        <v>468</v>
      </c>
      <c r="N35" s="9">
        <v>13</v>
      </c>
      <c r="O35" s="9">
        <f>第1日!$B$48</f>
        <v>0</v>
      </c>
      <c r="P35" s="9" t="str">
        <f>IFERROR(VLOOKUP(O35,敌人目录!$A$6:$AD$54,2,FALSE),"")</f>
        <v/>
      </c>
      <c r="Q35" s="9">
        <f>第1日!$C$48</f>
        <v>0</v>
      </c>
      <c r="R35" s="9" t="str">
        <f>第1日!$I$48</f>
        <v/>
      </c>
      <c r="S35" s="9" t="str">
        <f>第1日!$I$33</f>
        <v>可回读</v>
      </c>
    </row>
    <row r="36" spans="1:19" ht="24" customHeight="1">
      <c r="A36" s="9">
        <v>2</v>
      </c>
      <c r="B36" s="9" t="s">
        <v>448</v>
      </c>
      <c r="C36" s="9" t="s">
        <v>469</v>
      </c>
      <c r="D36" s="9">
        <v>2</v>
      </c>
      <c r="E36" s="9">
        <v>1</v>
      </c>
      <c r="F36" s="9">
        <v>2</v>
      </c>
      <c r="G36" s="9" t="str">
        <f>第1日!$B$32</f>
        <v>第2波 迅影与硬壳</v>
      </c>
      <c r="H36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36" s="9">
        <f>第1日!$E$32</f>
        <v>0.1</v>
      </c>
      <c r="J36" s="9">
        <f>第1日!$G$32</f>
        <v>1</v>
      </c>
      <c r="K36" s="9">
        <f>第1日!$I$32</f>
        <v>300</v>
      </c>
      <c r="L36" s="9" t="s">
        <v>467</v>
      </c>
      <c r="M36" s="9" t="s">
        <v>468</v>
      </c>
      <c r="N36" s="9">
        <v>14</v>
      </c>
      <c r="O36" s="9">
        <f>第1日!$B$49</f>
        <v>0</v>
      </c>
      <c r="P36" s="9" t="str">
        <f>IFERROR(VLOOKUP(O36,敌人目录!$A$6:$AD$54,2,FALSE),"")</f>
        <v/>
      </c>
      <c r="Q36" s="9">
        <f>第1日!$C$49</f>
        <v>0</v>
      </c>
      <c r="R36" s="9" t="str">
        <f>第1日!$I$49</f>
        <v/>
      </c>
      <c r="S36" s="9" t="str">
        <f>第1日!$I$33</f>
        <v>可回读</v>
      </c>
    </row>
    <row r="37" spans="1:19" ht="24" customHeight="1">
      <c r="A37" s="9">
        <v>2</v>
      </c>
      <c r="B37" s="9" t="s">
        <v>448</v>
      </c>
      <c r="C37" s="9" t="s">
        <v>469</v>
      </c>
      <c r="D37" s="9">
        <v>2</v>
      </c>
      <c r="E37" s="9">
        <v>1</v>
      </c>
      <c r="F37" s="9">
        <v>2</v>
      </c>
      <c r="G37" s="9" t="str">
        <f>第1日!$B$32</f>
        <v>第2波 迅影与硬壳</v>
      </c>
      <c r="H37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37" s="9">
        <f>第1日!$E$32</f>
        <v>0.1</v>
      </c>
      <c r="J37" s="9">
        <f>第1日!$G$32</f>
        <v>1</v>
      </c>
      <c r="K37" s="9">
        <f>第1日!$I$32</f>
        <v>300</v>
      </c>
      <c r="L37" s="9" t="s">
        <v>467</v>
      </c>
      <c r="M37" s="9" t="s">
        <v>468</v>
      </c>
      <c r="N37" s="9">
        <v>15</v>
      </c>
      <c r="O37" s="9">
        <f>第1日!$B$50</f>
        <v>0</v>
      </c>
      <c r="P37" s="9" t="str">
        <f>IFERROR(VLOOKUP(O37,敌人目录!$A$6:$AD$54,2,FALSE),"")</f>
        <v/>
      </c>
      <c r="Q37" s="9">
        <f>第1日!$C$50</f>
        <v>0</v>
      </c>
      <c r="R37" s="9" t="str">
        <f>第1日!$I$50</f>
        <v/>
      </c>
      <c r="S37" s="9" t="str">
        <f>第1日!$I$33</f>
        <v>可回读</v>
      </c>
    </row>
    <row r="38" spans="1:19" ht="24" customHeight="1">
      <c r="A38" s="9">
        <v>2</v>
      </c>
      <c r="B38" s="9" t="s">
        <v>448</v>
      </c>
      <c r="C38" s="9" t="s">
        <v>469</v>
      </c>
      <c r="D38" s="9">
        <v>2</v>
      </c>
      <c r="E38" s="9">
        <v>1</v>
      </c>
      <c r="F38" s="9">
        <v>2</v>
      </c>
      <c r="G38" s="9" t="str">
        <f>第1日!$B$32</f>
        <v>第2波 迅影与硬壳</v>
      </c>
      <c r="H38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38" s="9">
        <f>第1日!$E$32</f>
        <v>0.1</v>
      </c>
      <c r="J38" s="9">
        <f>第1日!$G$32</f>
        <v>1</v>
      </c>
      <c r="K38" s="9">
        <f>第1日!$I$32</f>
        <v>300</v>
      </c>
      <c r="L38" s="9" t="s">
        <v>467</v>
      </c>
      <c r="M38" s="9" t="s">
        <v>468</v>
      </c>
      <c r="N38" s="9">
        <v>16</v>
      </c>
      <c r="O38" s="9">
        <f>第1日!$B$51</f>
        <v>0</v>
      </c>
      <c r="P38" s="9" t="str">
        <f>IFERROR(VLOOKUP(O38,敌人目录!$A$6:$AD$54,2,FALSE),"")</f>
        <v/>
      </c>
      <c r="Q38" s="9">
        <f>第1日!$C$51</f>
        <v>0</v>
      </c>
      <c r="R38" s="9" t="str">
        <f>第1日!$I$51</f>
        <v/>
      </c>
      <c r="S38" s="9" t="str">
        <f>第1日!$I$33</f>
        <v>可回读</v>
      </c>
    </row>
    <row r="39" spans="1:19" ht="24" customHeight="1">
      <c r="A39" s="9">
        <v>2</v>
      </c>
      <c r="B39" s="9" t="s">
        <v>448</v>
      </c>
      <c r="C39" s="9" t="s">
        <v>469</v>
      </c>
      <c r="D39" s="9">
        <v>2</v>
      </c>
      <c r="E39" s="9">
        <v>1</v>
      </c>
      <c r="F39" s="9">
        <v>2</v>
      </c>
      <c r="G39" s="9" t="str">
        <f>第1日!$B$32</f>
        <v>第2波 迅影与硬壳</v>
      </c>
      <c r="H39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39" s="9">
        <f>第1日!$E$32</f>
        <v>0.1</v>
      </c>
      <c r="J39" s="9">
        <f>第1日!$G$32</f>
        <v>1</v>
      </c>
      <c r="K39" s="9">
        <f>第1日!$I$32</f>
        <v>300</v>
      </c>
      <c r="L39" s="9" t="s">
        <v>467</v>
      </c>
      <c r="M39" s="9" t="s">
        <v>468</v>
      </c>
      <c r="N39" s="9">
        <v>17</v>
      </c>
      <c r="O39" s="9">
        <f>第1日!$B$52</f>
        <v>0</v>
      </c>
      <c r="P39" s="9" t="str">
        <f>IFERROR(VLOOKUP(O39,敌人目录!$A$6:$AD$54,2,FALSE),"")</f>
        <v/>
      </c>
      <c r="Q39" s="9">
        <f>第1日!$C$52</f>
        <v>0</v>
      </c>
      <c r="R39" s="9" t="str">
        <f>第1日!$I$52</f>
        <v/>
      </c>
      <c r="S39" s="9" t="str">
        <f>第1日!$I$33</f>
        <v>可回读</v>
      </c>
    </row>
    <row r="40" spans="1:19" ht="24" customHeight="1">
      <c r="A40" s="9">
        <v>2</v>
      </c>
      <c r="B40" s="9" t="s">
        <v>448</v>
      </c>
      <c r="C40" s="9" t="s">
        <v>469</v>
      </c>
      <c r="D40" s="9">
        <v>2</v>
      </c>
      <c r="E40" s="9">
        <v>1</v>
      </c>
      <c r="F40" s="9">
        <v>2</v>
      </c>
      <c r="G40" s="9" t="str">
        <f>第1日!$B$32</f>
        <v>第2波 迅影与硬壳</v>
      </c>
      <c r="H40" s="9">
        <f>IF(第1日!$B$33="点1·开启",1,0)+IF(第1日!$C$33="点2·开启",2,0)+IF(第1日!$D$33="点3·开启",4,0)+IF(第1日!$E$33="点4·开启",8,0)+IF(第1日!$F$33="点5·开启",16,0)+IF(第1日!$G$33="点6·开启",32,0)</f>
        <v>15</v>
      </c>
      <c r="I40" s="9">
        <f>第1日!$E$32</f>
        <v>0.1</v>
      </c>
      <c r="J40" s="9">
        <f>第1日!$G$32</f>
        <v>1</v>
      </c>
      <c r="K40" s="9">
        <f>第1日!$I$32</f>
        <v>300</v>
      </c>
      <c r="L40" s="9" t="s">
        <v>467</v>
      </c>
      <c r="M40" s="9" t="s">
        <v>468</v>
      </c>
      <c r="N40" s="9">
        <v>18</v>
      </c>
      <c r="O40" s="9">
        <f>第1日!$B$53</f>
        <v>0</v>
      </c>
      <c r="P40" s="9" t="str">
        <f>IFERROR(VLOOKUP(O40,敌人目录!$A$6:$AD$54,2,FALSE),"")</f>
        <v/>
      </c>
      <c r="Q40" s="9">
        <f>第1日!$C$53</f>
        <v>0</v>
      </c>
      <c r="R40" s="9" t="str">
        <f>第1日!$I$53</f>
        <v/>
      </c>
      <c r="S40" s="9" t="str">
        <f>第1日!$I$33</f>
        <v>可回读</v>
      </c>
    </row>
    <row r="41" spans="1:19" ht="24" customHeight="1">
      <c r="A41" s="9">
        <v>2</v>
      </c>
      <c r="B41" s="9" t="s">
        <v>448</v>
      </c>
      <c r="C41" s="9" t="s">
        <v>470</v>
      </c>
      <c r="D41" s="9">
        <v>3</v>
      </c>
      <c r="E41" s="9">
        <v>1</v>
      </c>
      <c r="F41" s="9">
        <v>3</v>
      </c>
      <c r="G41" s="9" t="str">
        <f>第1日!$B$61</f>
        <v>第3波 火线初现</v>
      </c>
      <c r="H41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41" s="9">
        <f>第1日!$E$61</f>
        <v>0.1</v>
      </c>
      <c r="J41" s="9">
        <f>第1日!$G$61</f>
        <v>1</v>
      </c>
      <c r="K41" s="9">
        <f>第1日!$I$61</f>
        <v>300</v>
      </c>
      <c r="L41" s="9" t="s">
        <v>467</v>
      </c>
      <c r="M41" s="9" t="s">
        <v>468</v>
      </c>
      <c r="N41" s="9">
        <v>1</v>
      </c>
      <c r="O41" s="9" t="str">
        <f>第1日!$B$65</f>
        <v>守护者原石虫</v>
      </c>
      <c r="P41" s="9" t="str">
        <f>IFERROR(VLOOKUP(O41,敌人目录!$A$6:$AD$54,2,FALSE),"")</f>
        <v>yuanshi_insect_guardian</v>
      </c>
      <c r="Q41" s="9">
        <f>第1日!$C$65</f>
        <v>50</v>
      </c>
      <c r="R41" s="9" t="str">
        <f>第1日!$I$65</f>
        <v>可回读</v>
      </c>
      <c r="S41" s="9" t="str">
        <f>第1日!$I$62</f>
        <v>可回读</v>
      </c>
    </row>
    <row r="42" spans="1:19" ht="24" customHeight="1">
      <c r="A42" s="9">
        <v>2</v>
      </c>
      <c r="B42" s="9" t="s">
        <v>448</v>
      </c>
      <c r="C42" s="9" t="s">
        <v>470</v>
      </c>
      <c r="D42" s="9">
        <v>3</v>
      </c>
      <c r="E42" s="9">
        <v>1</v>
      </c>
      <c r="F42" s="9">
        <v>3</v>
      </c>
      <c r="G42" s="9" t="str">
        <f>第1日!$B$61</f>
        <v>第3波 火线初现</v>
      </c>
      <c r="H42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42" s="9">
        <f>第1日!$E$61</f>
        <v>0.1</v>
      </c>
      <c r="J42" s="9">
        <f>第1日!$G$61</f>
        <v>1</v>
      </c>
      <c r="K42" s="9">
        <f>第1日!$I$61</f>
        <v>300</v>
      </c>
      <c r="L42" s="9" t="s">
        <v>467</v>
      </c>
      <c r="M42" s="9" t="s">
        <v>468</v>
      </c>
      <c r="N42" s="9">
        <v>2</v>
      </c>
      <c r="O42" s="9" t="str">
        <f>第1日!$B$66</f>
        <v>普通原石虫</v>
      </c>
      <c r="P42" s="9" t="str">
        <f>IFERROR(VLOOKUP(O42,敌人目录!$A$6:$AD$54,2,FALSE),"")</f>
        <v>yuanshi_insect_basic</v>
      </c>
      <c r="Q42" s="9">
        <f>第1日!$C$66</f>
        <v>500</v>
      </c>
      <c r="R42" s="9" t="str">
        <f>第1日!$I$66</f>
        <v>可回读</v>
      </c>
      <c r="S42" s="9" t="str">
        <f>第1日!$I$62</f>
        <v>可回读</v>
      </c>
    </row>
    <row r="43" spans="1:19" ht="24" customHeight="1">
      <c r="A43" s="9">
        <v>2</v>
      </c>
      <c r="B43" s="9" t="s">
        <v>448</v>
      </c>
      <c r="C43" s="9" t="s">
        <v>470</v>
      </c>
      <c r="D43" s="9">
        <v>3</v>
      </c>
      <c r="E43" s="9">
        <v>1</v>
      </c>
      <c r="F43" s="9">
        <v>3</v>
      </c>
      <c r="G43" s="9" t="str">
        <f>第1日!$B$61</f>
        <v>第3波 火线初现</v>
      </c>
      <c r="H43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43" s="9">
        <f>第1日!$E$61</f>
        <v>0.1</v>
      </c>
      <c r="J43" s="9">
        <f>第1日!$G$61</f>
        <v>1</v>
      </c>
      <c r="K43" s="9">
        <f>第1日!$I$61</f>
        <v>300</v>
      </c>
      <c r="L43" s="9" t="s">
        <v>467</v>
      </c>
      <c r="M43" s="9" t="s">
        <v>468</v>
      </c>
      <c r="N43" s="9">
        <v>3</v>
      </c>
      <c r="O43" s="9" t="str">
        <f>第1日!$B$67</f>
        <v>硬壳原石虫</v>
      </c>
      <c r="P43" s="9" t="str">
        <f>IFERROR(VLOOKUP(O43,敌人目录!$A$6:$AD$54,2,FALSE),"")</f>
        <v>yuanshi_insect_shell</v>
      </c>
      <c r="Q43" s="9">
        <f>第1日!$C$67</f>
        <v>1000</v>
      </c>
      <c r="R43" s="9" t="str">
        <f>第1日!$I$67</f>
        <v>可回读</v>
      </c>
      <c r="S43" s="9" t="str">
        <f>第1日!$I$62</f>
        <v>可回读</v>
      </c>
    </row>
    <row r="44" spans="1:19" ht="24" customHeight="1">
      <c r="A44" s="9">
        <v>2</v>
      </c>
      <c r="B44" s="9" t="s">
        <v>448</v>
      </c>
      <c r="C44" s="9" t="s">
        <v>470</v>
      </c>
      <c r="D44" s="9">
        <v>3</v>
      </c>
      <c r="E44" s="9">
        <v>1</v>
      </c>
      <c r="F44" s="9">
        <v>3</v>
      </c>
      <c r="G44" s="9" t="str">
        <f>第1日!$B$61</f>
        <v>第3波 火线初现</v>
      </c>
      <c r="H44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44" s="9">
        <f>第1日!$E$61</f>
        <v>0.1</v>
      </c>
      <c r="J44" s="9">
        <f>第1日!$G$61</f>
        <v>1</v>
      </c>
      <c r="K44" s="9">
        <f>第1日!$I$61</f>
        <v>300</v>
      </c>
      <c r="L44" s="9" t="s">
        <v>467</v>
      </c>
      <c r="M44" s="9" t="s">
        <v>468</v>
      </c>
      <c r="N44" s="9">
        <v>4</v>
      </c>
      <c r="O44" s="9" t="str">
        <f>第1日!$B$68</f>
        <v>自爆原石虫</v>
      </c>
      <c r="P44" s="9" t="str">
        <f>IFERROR(VLOOKUP(O44,敌人目录!$A$6:$AD$54,2,FALSE),"")</f>
        <v>yuanshi_insect_bomber</v>
      </c>
      <c r="Q44" s="9">
        <f>第1日!$C$68</f>
        <v>400</v>
      </c>
      <c r="R44" s="9" t="str">
        <f>第1日!$I$68</f>
        <v>可回读</v>
      </c>
      <c r="S44" s="9" t="str">
        <f>第1日!$I$62</f>
        <v>可回读</v>
      </c>
    </row>
    <row r="45" spans="1:19" ht="24" customHeight="1">
      <c r="A45" s="9">
        <v>2</v>
      </c>
      <c r="B45" s="9" t="s">
        <v>448</v>
      </c>
      <c r="C45" s="9" t="s">
        <v>470</v>
      </c>
      <c r="D45" s="9">
        <v>3</v>
      </c>
      <c r="E45" s="9">
        <v>1</v>
      </c>
      <c r="F45" s="9">
        <v>3</v>
      </c>
      <c r="G45" s="9" t="str">
        <f>第1日!$B$61</f>
        <v>第3波 火线初现</v>
      </c>
      <c r="H45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45" s="9">
        <f>第1日!$E$61</f>
        <v>0.1</v>
      </c>
      <c r="J45" s="9">
        <f>第1日!$G$61</f>
        <v>1</v>
      </c>
      <c r="K45" s="9">
        <f>第1日!$I$61</f>
        <v>300</v>
      </c>
      <c r="L45" s="9" t="s">
        <v>467</v>
      </c>
      <c r="M45" s="9" t="s">
        <v>468</v>
      </c>
      <c r="N45" s="9">
        <v>5</v>
      </c>
      <c r="O45" s="9" t="str">
        <f>第1日!$B$69</f>
        <v>绿色史莱姆</v>
      </c>
      <c r="P45" s="9" t="str">
        <f>IFERROR(VLOOKUP(O45,敌人目录!$A$6:$AD$54,2,FALSE),"")</f>
        <v>slime_green</v>
      </c>
      <c r="Q45" s="9">
        <f>第1日!$C$69</f>
        <v>100</v>
      </c>
      <c r="R45" s="9" t="str">
        <f>第1日!$I$69</f>
        <v>可回读</v>
      </c>
      <c r="S45" s="9" t="str">
        <f>第1日!$I$62</f>
        <v>可回读</v>
      </c>
    </row>
    <row r="46" spans="1:19" ht="24" customHeight="1">
      <c r="A46" s="9">
        <v>2</v>
      </c>
      <c r="B46" s="9" t="s">
        <v>448</v>
      </c>
      <c r="C46" s="9" t="s">
        <v>470</v>
      </c>
      <c r="D46" s="9">
        <v>3</v>
      </c>
      <c r="E46" s="9">
        <v>1</v>
      </c>
      <c r="F46" s="9">
        <v>3</v>
      </c>
      <c r="G46" s="9" t="str">
        <f>第1日!$B$61</f>
        <v>第3波 火线初现</v>
      </c>
      <c r="H46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46" s="9">
        <f>第1日!$E$61</f>
        <v>0.1</v>
      </c>
      <c r="J46" s="9">
        <f>第1日!$G$61</f>
        <v>1</v>
      </c>
      <c r="K46" s="9">
        <f>第1日!$I$61</f>
        <v>300</v>
      </c>
      <c r="L46" s="9" t="s">
        <v>467</v>
      </c>
      <c r="M46" s="9" t="s">
        <v>468</v>
      </c>
      <c r="N46" s="9">
        <v>6</v>
      </c>
      <c r="O46" s="9" t="str">
        <f>第1日!$B$70</f>
        <v>寒冰史莱姆</v>
      </c>
      <c r="P46" s="9" t="str">
        <f>IFERROR(VLOOKUP(O46,敌人目录!$A$6:$AD$54,2,FALSE),"")</f>
        <v>slime_frost</v>
      </c>
      <c r="Q46" s="9">
        <f>第1日!$C$70</f>
        <v>400</v>
      </c>
      <c r="R46" s="9" t="str">
        <f>第1日!$I$70</f>
        <v>可回读</v>
      </c>
      <c r="S46" s="9" t="str">
        <f>第1日!$I$62</f>
        <v>可回读</v>
      </c>
    </row>
    <row r="47" spans="1:19" ht="24" customHeight="1">
      <c r="A47" s="9">
        <v>2</v>
      </c>
      <c r="B47" s="9" t="s">
        <v>448</v>
      </c>
      <c r="C47" s="9" t="s">
        <v>470</v>
      </c>
      <c r="D47" s="9">
        <v>3</v>
      </c>
      <c r="E47" s="9">
        <v>1</v>
      </c>
      <c r="F47" s="9">
        <v>3</v>
      </c>
      <c r="G47" s="9" t="str">
        <f>第1日!$B$61</f>
        <v>第3波 火线初现</v>
      </c>
      <c r="H47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47" s="9">
        <f>第1日!$E$61</f>
        <v>0.1</v>
      </c>
      <c r="J47" s="9">
        <f>第1日!$G$61</f>
        <v>1</v>
      </c>
      <c r="K47" s="9">
        <f>第1日!$I$61</f>
        <v>300</v>
      </c>
      <c r="L47" s="9" t="s">
        <v>467</v>
      </c>
      <c r="M47" s="9" t="s">
        <v>468</v>
      </c>
      <c r="N47" s="9">
        <v>7</v>
      </c>
      <c r="O47" s="9" t="str">
        <f>第1日!$B$71</f>
        <v>火焰弹原石虫</v>
      </c>
      <c r="P47" s="9" t="str">
        <f>IFERROR(VLOOKUP(O47,敌人目录!$A$6:$AD$54,2,FALSE),"")</f>
        <v>yuanshi_insect_fire_ranged</v>
      </c>
      <c r="Q47" s="9">
        <f>第1日!$C$71</f>
        <v>500</v>
      </c>
      <c r="R47" s="9" t="str">
        <f>第1日!$I$71</f>
        <v>可回读</v>
      </c>
      <c r="S47" s="9" t="str">
        <f>第1日!$I$62</f>
        <v>可回读</v>
      </c>
    </row>
    <row r="48" spans="1:19" ht="24" customHeight="1">
      <c r="A48" s="9">
        <v>2</v>
      </c>
      <c r="B48" s="9" t="s">
        <v>448</v>
      </c>
      <c r="C48" s="9" t="s">
        <v>470</v>
      </c>
      <c r="D48" s="9">
        <v>3</v>
      </c>
      <c r="E48" s="9">
        <v>1</v>
      </c>
      <c r="F48" s="9">
        <v>3</v>
      </c>
      <c r="G48" s="9" t="str">
        <f>第1日!$B$61</f>
        <v>第3波 火线初现</v>
      </c>
      <c r="H48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48" s="9">
        <f>第1日!$E$61</f>
        <v>0.1</v>
      </c>
      <c r="J48" s="9">
        <f>第1日!$G$61</f>
        <v>1</v>
      </c>
      <c r="K48" s="9">
        <f>第1日!$I$61</f>
        <v>300</v>
      </c>
      <c r="L48" s="9" t="s">
        <v>467</v>
      </c>
      <c r="M48" s="9" t="s">
        <v>468</v>
      </c>
      <c r="N48" s="9">
        <v>8</v>
      </c>
      <c r="O48" s="9" t="str">
        <f>第1日!$B$72</f>
        <v>史莱姆</v>
      </c>
      <c r="P48" s="9" t="str">
        <f>IFERROR(VLOOKUP(O48,敌人目录!$A$6:$AD$54,2,FALSE),"")</f>
        <v>slime_basic</v>
      </c>
      <c r="Q48" s="9">
        <f>第1日!$C$72</f>
        <v>1000</v>
      </c>
      <c r="R48" s="9" t="str">
        <f>第1日!$I$72</f>
        <v>可回读</v>
      </c>
      <c r="S48" s="9" t="str">
        <f>第1日!$I$62</f>
        <v>可回读</v>
      </c>
    </row>
    <row r="49" spans="1:19" ht="24" customHeight="1">
      <c r="A49" s="9">
        <v>2</v>
      </c>
      <c r="B49" s="9" t="s">
        <v>448</v>
      </c>
      <c r="C49" s="9" t="s">
        <v>470</v>
      </c>
      <c r="D49" s="9">
        <v>3</v>
      </c>
      <c r="E49" s="9">
        <v>1</v>
      </c>
      <c r="F49" s="9">
        <v>3</v>
      </c>
      <c r="G49" s="9" t="str">
        <f>第1日!$B$61</f>
        <v>第3波 火线初现</v>
      </c>
      <c r="H49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49" s="9">
        <f>第1日!$E$61</f>
        <v>0.1</v>
      </c>
      <c r="J49" s="9">
        <f>第1日!$G$61</f>
        <v>1</v>
      </c>
      <c r="K49" s="9">
        <f>第1日!$I$61</f>
        <v>300</v>
      </c>
      <c r="L49" s="9" t="s">
        <v>467</v>
      </c>
      <c r="M49" s="9" t="s">
        <v>468</v>
      </c>
      <c r="N49" s="9">
        <v>9</v>
      </c>
      <c r="O49" s="9">
        <f>第1日!$B$73</f>
        <v>0</v>
      </c>
      <c r="P49" s="9" t="str">
        <f>IFERROR(VLOOKUP(O49,敌人目录!$A$6:$AD$54,2,FALSE),"")</f>
        <v/>
      </c>
      <c r="Q49" s="9">
        <f>第1日!$C$73</f>
        <v>0</v>
      </c>
      <c r="R49" s="9" t="str">
        <f>第1日!$I$73</f>
        <v/>
      </c>
      <c r="S49" s="9" t="str">
        <f>第1日!$I$62</f>
        <v>可回读</v>
      </c>
    </row>
    <row r="50" spans="1:19" ht="24" customHeight="1">
      <c r="A50" s="9">
        <v>2</v>
      </c>
      <c r="B50" s="9" t="s">
        <v>448</v>
      </c>
      <c r="C50" s="9" t="s">
        <v>470</v>
      </c>
      <c r="D50" s="9">
        <v>3</v>
      </c>
      <c r="E50" s="9">
        <v>1</v>
      </c>
      <c r="F50" s="9">
        <v>3</v>
      </c>
      <c r="G50" s="9" t="str">
        <f>第1日!$B$61</f>
        <v>第3波 火线初现</v>
      </c>
      <c r="H50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50" s="9">
        <f>第1日!$E$61</f>
        <v>0.1</v>
      </c>
      <c r="J50" s="9">
        <f>第1日!$G$61</f>
        <v>1</v>
      </c>
      <c r="K50" s="9">
        <f>第1日!$I$61</f>
        <v>300</v>
      </c>
      <c r="L50" s="9" t="s">
        <v>467</v>
      </c>
      <c r="M50" s="9" t="s">
        <v>468</v>
      </c>
      <c r="N50" s="9">
        <v>10</v>
      </c>
      <c r="O50" s="9">
        <f>第1日!$B$74</f>
        <v>0</v>
      </c>
      <c r="P50" s="9" t="str">
        <f>IFERROR(VLOOKUP(O50,敌人目录!$A$6:$AD$54,2,FALSE),"")</f>
        <v/>
      </c>
      <c r="Q50" s="9">
        <f>第1日!$C$74</f>
        <v>0</v>
      </c>
      <c r="R50" s="9" t="str">
        <f>第1日!$I$74</f>
        <v/>
      </c>
      <c r="S50" s="9" t="str">
        <f>第1日!$I$62</f>
        <v>可回读</v>
      </c>
    </row>
    <row r="51" spans="1:19" ht="24" customHeight="1">
      <c r="A51" s="9">
        <v>2</v>
      </c>
      <c r="B51" s="9" t="s">
        <v>448</v>
      </c>
      <c r="C51" s="9" t="s">
        <v>470</v>
      </c>
      <c r="D51" s="9">
        <v>3</v>
      </c>
      <c r="E51" s="9">
        <v>1</v>
      </c>
      <c r="F51" s="9">
        <v>3</v>
      </c>
      <c r="G51" s="9" t="str">
        <f>第1日!$B$61</f>
        <v>第3波 火线初现</v>
      </c>
      <c r="H51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51" s="9">
        <f>第1日!$E$61</f>
        <v>0.1</v>
      </c>
      <c r="J51" s="9">
        <f>第1日!$G$61</f>
        <v>1</v>
      </c>
      <c r="K51" s="9">
        <f>第1日!$I$61</f>
        <v>300</v>
      </c>
      <c r="L51" s="9" t="s">
        <v>467</v>
      </c>
      <c r="M51" s="9" t="s">
        <v>468</v>
      </c>
      <c r="N51" s="9">
        <v>11</v>
      </c>
      <c r="O51" s="9">
        <f>第1日!$B$75</f>
        <v>0</v>
      </c>
      <c r="P51" s="9" t="str">
        <f>IFERROR(VLOOKUP(O51,敌人目录!$A$6:$AD$54,2,FALSE),"")</f>
        <v/>
      </c>
      <c r="Q51" s="9">
        <f>第1日!$C$75</f>
        <v>0</v>
      </c>
      <c r="R51" s="9" t="str">
        <f>第1日!$I$75</f>
        <v/>
      </c>
      <c r="S51" s="9" t="str">
        <f>第1日!$I$62</f>
        <v>可回读</v>
      </c>
    </row>
    <row r="52" spans="1:19" ht="24" customHeight="1">
      <c r="A52" s="9">
        <v>2</v>
      </c>
      <c r="B52" s="9" t="s">
        <v>448</v>
      </c>
      <c r="C52" s="9" t="s">
        <v>470</v>
      </c>
      <c r="D52" s="9">
        <v>3</v>
      </c>
      <c r="E52" s="9">
        <v>1</v>
      </c>
      <c r="F52" s="9">
        <v>3</v>
      </c>
      <c r="G52" s="9" t="str">
        <f>第1日!$B$61</f>
        <v>第3波 火线初现</v>
      </c>
      <c r="H52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52" s="9">
        <f>第1日!$E$61</f>
        <v>0.1</v>
      </c>
      <c r="J52" s="9">
        <f>第1日!$G$61</f>
        <v>1</v>
      </c>
      <c r="K52" s="9">
        <f>第1日!$I$61</f>
        <v>300</v>
      </c>
      <c r="L52" s="9" t="s">
        <v>467</v>
      </c>
      <c r="M52" s="9" t="s">
        <v>468</v>
      </c>
      <c r="N52" s="9">
        <v>12</v>
      </c>
      <c r="O52" s="9">
        <f>第1日!$B$76</f>
        <v>0</v>
      </c>
      <c r="P52" s="9" t="str">
        <f>IFERROR(VLOOKUP(O52,敌人目录!$A$6:$AD$54,2,FALSE),"")</f>
        <v/>
      </c>
      <c r="Q52" s="9">
        <f>第1日!$C$76</f>
        <v>0</v>
      </c>
      <c r="R52" s="9" t="str">
        <f>第1日!$I$76</f>
        <v/>
      </c>
      <c r="S52" s="9" t="str">
        <f>第1日!$I$62</f>
        <v>可回读</v>
      </c>
    </row>
    <row r="53" spans="1:19" ht="24" customHeight="1">
      <c r="A53" s="9">
        <v>2</v>
      </c>
      <c r="B53" s="9" t="s">
        <v>448</v>
      </c>
      <c r="C53" s="9" t="s">
        <v>470</v>
      </c>
      <c r="D53" s="9">
        <v>3</v>
      </c>
      <c r="E53" s="9">
        <v>1</v>
      </c>
      <c r="F53" s="9">
        <v>3</v>
      </c>
      <c r="G53" s="9" t="str">
        <f>第1日!$B$61</f>
        <v>第3波 火线初现</v>
      </c>
      <c r="H53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53" s="9">
        <f>第1日!$E$61</f>
        <v>0.1</v>
      </c>
      <c r="J53" s="9">
        <f>第1日!$G$61</f>
        <v>1</v>
      </c>
      <c r="K53" s="9">
        <f>第1日!$I$61</f>
        <v>300</v>
      </c>
      <c r="L53" s="9" t="s">
        <v>467</v>
      </c>
      <c r="M53" s="9" t="s">
        <v>468</v>
      </c>
      <c r="N53" s="9">
        <v>13</v>
      </c>
      <c r="O53" s="9">
        <f>第1日!$B$77</f>
        <v>0</v>
      </c>
      <c r="P53" s="9" t="str">
        <f>IFERROR(VLOOKUP(O53,敌人目录!$A$6:$AD$54,2,FALSE),"")</f>
        <v/>
      </c>
      <c r="Q53" s="9">
        <f>第1日!$C$77</f>
        <v>0</v>
      </c>
      <c r="R53" s="9" t="str">
        <f>第1日!$I$77</f>
        <v/>
      </c>
      <c r="S53" s="9" t="str">
        <f>第1日!$I$62</f>
        <v>可回读</v>
      </c>
    </row>
    <row r="54" spans="1:19" ht="24" customHeight="1">
      <c r="A54" s="9">
        <v>2</v>
      </c>
      <c r="B54" s="9" t="s">
        <v>448</v>
      </c>
      <c r="C54" s="9" t="s">
        <v>470</v>
      </c>
      <c r="D54" s="9">
        <v>3</v>
      </c>
      <c r="E54" s="9">
        <v>1</v>
      </c>
      <c r="F54" s="9">
        <v>3</v>
      </c>
      <c r="G54" s="9" t="str">
        <f>第1日!$B$61</f>
        <v>第3波 火线初现</v>
      </c>
      <c r="H54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54" s="9">
        <f>第1日!$E$61</f>
        <v>0.1</v>
      </c>
      <c r="J54" s="9">
        <f>第1日!$G$61</f>
        <v>1</v>
      </c>
      <c r="K54" s="9">
        <f>第1日!$I$61</f>
        <v>300</v>
      </c>
      <c r="L54" s="9" t="s">
        <v>467</v>
      </c>
      <c r="M54" s="9" t="s">
        <v>468</v>
      </c>
      <c r="N54" s="9">
        <v>14</v>
      </c>
      <c r="O54" s="9">
        <f>第1日!$B$78</f>
        <v>0</v>
      </c>
      <c r="P54" s="9" t="str">
        <f>IFERROR(VLOOKUP(O54,敌人目录!$A$6:$AD$54,2,FALSE),"")</f>
        <v/>
      </c>
      <c r="Q54" s="9">
        <f>第1日!$C$78</f>
        <v>0</v>
      </c>
      <c r="R54" s="9" t="str">
        <f>第1日!$I$78</f>
        <v/>
      </c>
      <c r="S54" s="9" t="str">
        <f>第1日!$I$62</f>
        <v>可回读</v>
      </c>
    </row>
    <row r="55" spans="1:19" ht="24" customHeight="1">
      <c r="A55" s="9">
        <v>2</v>
      </c>
      <c r="B55" s="9" t="s">
        <v>448</v>
      </c>
      <c r="C55" s="9" t="s">
        <v>470</v>
      </c>
      <c r="D55" s="9">
        <v>3</v>
      </c>
      <c r="E55" s="9">
        <v>1</v>
      </c>
      <c r="F55" s="9">
        <v>3</v>
      </c>
      <c r="G55" s="9" t="str">
        <f>第1日!$B$61</f>
        <v>第3波 火线初现</v>
      </c>
      <c r="H55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55" s="9">
        <f>第1日!$E$61</f>
        <v>0.1</v>
      </c>
      <c r="J55" s="9">
        <f>第1日!$G$61</f>
        <v>1</v>
      </c>
      <c r="K55" s="9">
        <f>第1日!$I$61</f>
        <v>300</v>
      </c>
      <c r="L55" s="9" t="s">
        <v>467</v>
      </c>
      <c r="M55" s="9" t="s">
        <v>468</v>
      </c>
      <c r="N55" s="9">
        <v>15</v>
      </c>
      <c r="O55" s="9">
        <f>第1日!$B$79</f>
        <v>0</v>
      </c>
      <c r="P55" s="9" t="str">
        <f>IFERROR(VLOOKUP(O55,敌人目录!$A$6:$AD$54,2,FALSE),"")</f>
        <v/>
      </c>
      <c r="Q55" s="9">
        <f>第1日!$C$79</f>
        <v>0</v>
      </c>
      <c r="R55" s="9" t="str">
        <f>第1日!$I$79</f>
        <v/>
      </c>
      <c r="S55" s="9" t="str">
        <f>第1日!$I$62</f>
        <v>可回读</v>
      </c>
    </row>
    <row r="56" spans="1:19" ht="24" customHeight="1">
      <c r="A56" s="9">
        <v>2</v>
      </c>
      <c r="B56" s="9" t="s">
        <v>448</v>
      </c>
      <c r="C56" s="9" t="s">
        <v>470</v>
      </c>
      <c r="D56" s="9">
        <v>3</v>
      </c>
      <c r="E56" s="9">
        <v>1</v>
      </c>
      <c r="F56" s="9">
        <v>3</v>
      </c>
      <c r="G56" s="9" t="str">
        <f>第1日!$B$61</f>
        <v>第3波 火线初现</v>
      </c>
      <c r="H56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56" s="9">
        <f>第1日!$E$61</f>
        <v>0.1</v>
      </c>
      <c r="J56" s="9">
        <f>第1日!$G$61</f>
        <v>1</v>
      </c>
      <c r="K56" s="9">
        <f>第1日!$I$61</f>
        <v>300</v>
      </c>
      <c r="L56" s="9" t="s">
        <v>467</v>
      </c>
      <c r="M56" s="9" t="s">
        <v>468</v>
      </c>
      <c r="N56" s="9">
        <v>16</v>
      </c>
      <c r="O56" s="9">
        <f>第1日!$B$80</f>
        <v>0</v>
      </c>
      <c r="P56" s="9" t="str">
        <f>IFERROR(VLOOKUP(O56,敌人目录!$A$6:$AD$54,2,FALSE),"")</f>
        <v/>
      </c>
      <c r="Q56" s="9">
        <f>第1日!$C$80</f>
        <v>0</v>
      </c>
      <c r="R56" s="9" t="str">
        <f>第1日!$I$80</f>
        <v/>
      </c>
      <c r="S56" s="9" t="str">
        <f>第1日!$I$62</f>
        <v>可回读</v>
      </c>
    </row>
    <row r="57" spans="1:19" ht="24" customHeight="1">
      <c r="A57" s="9">
        <v>2</v>
      </c>
      <c r="B57" s="9" t="s">
        <v>448</v>
      </c>
      <c r="C57" s="9" t="s">
        <v>470</v>
      </c>
      <c r="D57" s="9">
        <v>3</v>
      </c>
      <c r="E57" s="9">
        <v>1</v>
      </c>
      <c r="F57" s="9">
        <v>3</v>
      </c>
      <c r="G57" s="9" t="str">
        <f>第1日!$B$61</f>
        <v>第3波 火线初现</v>
      </c>
      <c r="H57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57" s="9">
        <f>第1日!$E$61</f>
        <v>0.1</v>
      </c>
      <c r="J57" s="9">
        <f>第1日!$G$61</f>
        <v>1</v>
      </c>
      <c r="K57" s="9">
        <f>第1日!$I$61</f>
        <v>300</v>
      </c>
      <c r="L57" s="9" t="s">
        <v>467</v>
      </c>
      <c r="M57" s="9" t="s">
        <v>468</v>
      </c>
      <c r="N57" s="9">
        <v>17</v>
      </c>
      <c r="O57" s="9">
        <f>第1日!$B$81</f>
        <v>0</v>
      </c>
      <c r="P57" s="9" t="str">
        <f>IFERROR(VLOOKUP(O57,敌人目录!$A$6:$AD$54,2,FALSE),"")</f>
        <v/>
      </c>
      <c r="Q57" s="9">
        <f>第1日!$C$81</f>
        <v>0</v>
      </c>
      <c r="R57" s="9" t="str">
        <f>第1日!$I$81</f>
        <v/>
      </c>
      <c r="S57" s="9" t="str">
        <f>第1日!$I$62</f>
        <v>可回读</v>
      </c>
    </row>
    <row r="58" spans="1:19" ht="24" customHeight="1">
      <c r="A58" s="9">
        <v>2</v>
      </c>
      <c r="B58" s="9" t="s">
        <v>448</v>
      </c>
      <c r="C58" s="9" t="s">
        <v>470</v>
      </c>
      <c r="D58" s="9">
        <v>3</v>
      </c>
      <c r="E58" s="9">
        <v>1</v>
      </c>
      <c r="F58" s="9">
        <v>3</v>
      </c>
      <c r="G58" s="9" t="str">
        <f>第1日!$B$61</f>
        <v>第3波 火线初现</v>
      </c>
      <c r="H58" s="9">
        <f>IF(第1日!$B$62="点1·开启",1,0)+IF(第1日!$C$62="点2·开启",2,0)+IF(第1日!$D$62="点3·开启",4,0)+IF(第1日!$E$62="点4·开启",8,0)+IF(第1日!$F$62="点5·开启",16,0)+IF(第1日!$G$62="点6·开启",32,0)</f>
        <v>63</v>
      </c>
      <c r="I58" s="9">
        <f>第1日!$E$61</f>
        <v>0.1</v>
      </c>
      <c r="J58" s="9">
        <f>第1日!$G$61</f>
        <v>1</v>
      </c>
      <c r="K58" s="9">
        <f>第1日!$I$61</f>
        <v>300</v>
      </c>
      <c r="L58" s="9" t="s">
        <v>467</v>
      </c>
      <c r="M58" s="9" t="s">
        <v>468</v>
      </c>
      <c r="N58" s="9">
        <v>18</v>
      </c>
      <c r="O58" s="9">
        <f>第1日!$B$82</f>
        <v>0</v>
      </c>
      <c r="P58" s="9" t="str">
        <f>IFERROR(VLOOKUP(O58,敌人目录!$A$6:$AD$54,2,FALSE),"")</f>
        <v/>
      </c>
      <c r="Q58" s="9">
        <f>第1日!$C$82</f>
        <v>0</v>
      </c>
      <c r="R58" s="9" t="str">
        <f>第1日!$I$82</f>
        <v/>
      </c>
      <c r="S58" s="9" t="str">
        <f>第1日!$I$62</f>
        <v>可回读</v>
      </c>
    </row>
    <row r="59" spans="1:19" ht="24" customHeight="1">
      <c r="A59" s="9">
        <v>2</v>
      </c>
      <c r="B59" s="9" t="s">
        <v>448</v>
      </c>
      <c r="C59" s="9" t="s">
        <v>471</v>
      </c>
      <c r="D59" s="9">
        <v>4</v>
      </c>
      <c r="E59" s="9">
        <v>1</v>
      </c>
      <c r="F59" s="9">
        <v>4</v>
      </c>
      <c r="G59" s="9" t="str">
        <f>第1日!$B$90</f>
        <v>第4波 林地合围</v>
      </c>
      <c r="H59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59" s="9">
        <f>第1日!$E$90</f>
        <v>0.1</v>
      </c>
      <c r="J59" s="9">
        <f>第1日!$G$90</f>
        <v>1</v>
      </c>
      <c r="K59" s="9">
        <f>第1日!$I$90</f>
        <v>300</v>
      </c>
      <c r="L59" s="9" t="s">
        <v>467</v>
      </c>
      <c r="M59" s="9" t="s">
        <v>468</v>
      </c>
      <c r="N59" s="9">
        <v>1</v>
      </c>
      <c r="O59" s="9">
        <f>第1日!$B$94</f>
        <v>0</v>
      </c>
      <c r="P59" s="9" t="str">
        <f>IFERROR(VLOOKUP(O59,敌人目录!$A$6:$AD$54,2,FALSE),"")</f>
        <v/>
      </c>
      <c r="Q59" s="9">
        <f>第1日!$C$94</f>
        <v>0</v>
      </c>
      <c r="R59" s="9" t="str">
        <f>第1日!$I$94</f>
        <v/>
      </c>
      <c r="S59" s="9" t="str">
        <f>第1日!$I$91</f>
        <v>待设计</v>
      </c>
    </row>
    <row r="60" spans="1:19" ht="24" customHeight="1">
      <c r="A60" s="9">
        <v>2</v>
      </c>
      <c r="B60" s="9" t="s">
        <v>448</v>
      </c>
      <c r="C60" s="9" t="s">
        <v>471</v>
      </c>
      <c r="D60" s="9">
        <v>4</v>
      </c>
      <c r="E60" s="9">
        <v>1</v>
      </c>
      <c r="F60" s="9">
        <v>4</v>
      </c>
      <c r="G60" s="9" t="str">
        <f>第1日!$B$90</f>
        <v>第4波 林地合围</v>
      </c>
      <c r="H60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60" s="9">
        <f>第1日!$E$90</f>
        <v>0.1</v>
      </c>
      <c r="J60" s="9">
        <f>第1日!$G$90</f>
        <v>1</v>
      </c>
      <c r="K60" s="9">
        <f>第1日!$I$90</f>
        <v>300</v>
      </c>
      <c r="L60" s="9" t="s">
        <v>467</v>
      </c>
      <c r="M60" s="9" t="s">
        <v>468</v>
      </c>
      <c r="N60" s="9">
        <v>2</v>
      </c>
      <c r="O60" s="9">
        <f>第1日!$B$95</f>
        <v>0</v>
      </c>
      <c r="P60" s="9" t="str">
        <f>IFERROR(VLOOKUP(O60,敌人目录!$A$6:$AD$54,2,FALSE),"")</f>
        <v/>
      </c>
      <c r="Q60" s="9">
        <f>第1日!$C$95</f>
        <v>0</v>
      </c>
      <c r="R60" s="9" t="str">
        <f>第1日!$I$95</f>
        <v/>
      </c>
      <c r="S60" s="9" t="str">
        <f>第1日!$I$91</f>
        <v>待设计</v>
      </c>
    </row>
    <row r="61" spans="1:19" ht="24" customHeight="1">
      <c r="A61" s="9">
        <v>2</v>
      </c>
      <c r="B61" s="9" t="s">
        <v>448</v>
      </c>
      <c r="C61" s="9" t="s">
        <v>471</v>
      </c>
      <c r="D61" s="9">
        <v>4</v>
      </c>
      <c r="E61" s="9">
        <v>1</v>
      </c>
      <c r="F61" s="9">
        <v>4</v>
      </c>
      <c r="G61" s="9" t="str">
        <f>第1日!$B$90</f>
        <v>第4波 林地合围</v>
      </c>
      <c r="H61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61" s="9">
        <f>第1日!$E$90</f>
        <v>0.1</v>
      </c>
      <c r="J61" s="9">
        <f>第1日!$G$90</f>
        <v>1</v>
      </c>
      <c r="K61" s="9">
        <f>第1日!$I$90</f>
        <v>300</v>
      </c>
      <c r="L61" s="9" t="s">
        <v>467</v>
      </c>
      <c r="M61" s="9" t="s">
        <v>468</v>
      </c>
      <c r="N61" s="9">
        <v>3</v>
      </c>
      <c r="O61" s="9">
        <f>第1日!$B$96</f>
        <v>0</v>
      </c>
      <c r="P61" s="9" t="str">
        <f>IFERROR(VLOOKUP(O61,敌人目录!$A$6:$AD$54,2,FALSE),"")</f>
        <v/>
      </c>
      <c r="Q61" s="9">
        <f>第1日!$C$96</f>
        <v>0</v>
      </c>
      <c r="R61" s="9" t="str">
        <f>第1日!$I$96</f>
        <v/>
      </c>
      <c r="S61" s="9" t="str">
        <f>第1日!$I$91</f>
        <v>待设计</v>
      </c>
    </row>
    <row r="62" spans="1:19" ht="24" customHeight="1">
      <c r="A62" s="9">
        <v>2</v>
      </c>
      <c r="B62" s="9" t="s">
        <v>448</v>
      </c>
      <c r="C62" s="9" t="s">
        <v>471</v>
      </c>
      <c r="D62" s="9">
        <v>4</v>
      </c>
      <c r="E62" s="9">
        <v>1</v>
      </c>
      <c r="F62" s="9">
        <v>4</v>
      </c>
      <c r="G62" s="9" t="str">
        <f>第1日!$B$90</f>
        <v>第4波 林地合围</v>
      </c>
      <c r="H62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62" s="9">
        <f>第1日!$E$90</f>
        <v>0.1</v>
      </c>
      <c r="J62" s="9">
        <f>第1日!$G$90</f>
        <v>1</v>
      </c>
      <c r="K62" s="9">
        <f>第1日!$I$90</f>
        <v>300</v>
      </c>
      <c r="L62" s="9" t="s">
        <v>467</v>
      </c>
      <c r="M62" s="9" t="s">
        <v>468</v>
      </c>
      <c r="N62" s="9">
        <v>4</v>
      </c>
      <c r="O62" s="9">
        <f>第1日!$B$97</f>
        <v>0</v>
      </c>
      <c r="P62" s="9" t="str">
        <f>IFERROR(VLOOKUP(O62,敌人目录!$A$6:$AD$54,2,FALSE),"")</f>
        <v/>
      </c>
      <c r="Q62" s="9">
        <f>第1日!$C$97</f>
        <v>0</v>
      </c>
      <c r="R62" s="9" t="str">
        <f>第1日!$I$97</f>
        <v/>
      </c>
      <c r="S62" s="9" t="str">
        <f>第1日!$I$91</f>
        <v>待设计</v>
      </c>
    </row>
    <row r="63" spans="1:19" ht="24" customHeight="1">
      <c r="A63" s="9">
        <v>2</v>
      </c>
      <c r="B63" s="9" t="s">
        <v>448</v>
      </c>
      <c r="C63" s="9" t="s">
        <v>471</v>
      </c>
      <c r="D63" s="9">
        <v>4</v>
      </c>
      <c r="E63" s="9">
        <v>1</v>
      </c>
      <c r="F63" s="9">
        <v>4</v>
      </c>
      <c r="G63" s="9" t="str">
        <f>第1日!$B$90</f>
        <v>第4波 林地合围</v>
      </c>
      <c r="H63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63" s="9">
        <f>第1日!$E$90</f>
        <v>0.1</v>
      </c>
      <c r="J63" s="9">
        <f>第1日!$G$90</f>
        <v>1</v>
      </c>
      <c r="K63" s="9">
        <f>第1日!$I$90</f>
        <v>300</v>
      </c>
      <c r="L63" s="9" t="s">
        <v>467</v>
      </c>
      <c r="M63" s="9" t="s">
        <v>468</v>
      </c>
      <c r="N63" s="9">
        <v>5</v>
      </c>
      <c r="O63" s="9">
        <f>第1日!$B$98</f>
        <v>0</v>
      </c>
      <c r="P63" s="9" t="str">
        <f>IFERROR(VLOOKUP(O63,敌人目录!$A$6:$AD$54,2,FALSE),"")</f>
        <v/>
      </c>
      <c r="Q63" s="9">
        <f>第1日!$C$98</f>
        <v>0</v>
      </c>
      <c r="R63" s="9" t="str">
        <f>第1日!$I$98</f>
        <v/>
      </c>
      <c r="S63" s="9" t="str">
        <f>第1日!$I$91</f>
        <v>待设计</v>
      </c>
    </row>
    <row r="64" spans="1:19" ht="24" customHeight="1">
      <c r="A64" s="9">
        <v>2</v>
      </c>
      <c r="B64" s="9" t="s">
        <v>448</v>
      </c>
      <c r="C64" s="9" t="s">
        <v>471</v>
      </c>
      <c r="D64" s="9">
        <v>4</v>
      </c>
      <c r="E64" s="9">
        <v>1</v>
      </c>
      <c r="F64" s="9">
        <v>4</v>
      </c>
      <c r="G64" s="9" t="str">
        <f>第1日!$B$90</f>
        <v>第4波 林地合围</v>
      </c>
      <c r="H64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64" s="9">
        <f>第1日!$E$90</f>
        <v>0.1</v>
      </c>
      <c r="J64" s="9">
        <f>第1日!$G$90</f>
        <v>1</v>
      </c>
      <c r="K64" s="9">
        <f>第1日!$I$90</f>
        <v>300</v>
      </c>
      <c r="L64" s="9" t="s">
        <v>467</v>
      </c>
      <c r="M64" s="9" t="s">
        <v>468</v>
      </c>
      <c r="N64" s="9">
        <v>6</v>
      </c>
      <c r="O64" s="9">
        <f>第1日!$B$99</f>
        <v>0</v>
      </c>
      <c r="P64" s="9" t="str">
        <f>IFERROR(VLOOKUP(O64,敌人目录!$A$6:$AD$54,2,FALSE),"")</f>
        <v/>
      </c>
      <c r="Q64" s="9">
        <f>第1日!$C$99</f>
        <v>0</v>
      </c>
      <c r="R64" s="9" t="str">
        <f>第1日!$I$99</f>
        <v/>
      </c>
      <c r="S64" s="9" t="str">
        <f>第1日!$I$91</f>
        <v>待设计</v>
      </c>
    </row>
    <row r="65" spans="1:19" ht="24" customHeight="1">
      <c r="A65" s="9">
        <v>2</v>
      </c>
      <c r="B65" s="9" t="s">
        <v>448</v>
      </c>
      <c r="C65" s="9" t="s">
        <v>471</v>
      </c>
      <c r="D65" s="9">
        <v>4</v>
      </c>
      <c r="E65" s="9">
        <v>1</v>
      </c>
      <c r="F65" s="9">
        <v>4</v>
      </c>
      <c r="G65" s="9" t="str">
        <f>第1日!$B$90</f>
        <v>第4波 林地合围</v>
      </c>
      <c r="H65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65" s="9">
        <f>第1日!$E$90</f>
        <v>0.1</v>
      </c>
      <c r="J65" s="9">
        <f>第1日!$G$90</f>
        <v>1</v>
      </c>
      <c r="K65" s="9">
        <f>第1日!$I$90</f>
        <v>300</v>
      </c>
      <c r="L65" s="9" t="s">
        <v>467</v>
      </c>
      <c r="M65" s="9" t="s">
        <v>468</v>
      </c>
      <c r="N65" s="9">
        <v>7</v>
      </c>
      <c r="O65" s="9">
        <f>第1日!$B$100</f>
        <v>0</v>
      </c>
      <c r="P65" s="9" t="str">
        <f>IFERROR(VLOOKUP(O65,敌人目录!$A$6:$AD$54,2,FALSE),"")</f>
        <v/>
      </c>
      <c r="Q65" s="9">
        <f>第1日!$C$100</f>
        <v>0</v>
      </c>
      <c r="R65" s="9" t="str">
        <f>第1日!$I$100</f>
        <v/>
      </c>
      <c r="S65" s="9" t="str">
        <f>第1日!$I$91</f>
        <v>待设计</v>
      </c>
    </row>
    <row r="66" spans="1:19" ht="24" customHeight="1">
      <c r="A66" s="9">
        <v>2</v>
      </c>
      <c r="B66" s="9" t="s">
        <v>448</v>
      </c>
      <c r="C66" s="9" t="s">
        <v>471</v>
      </c>
      <c r="D66" s="9">
        <v>4</v>
      </c>
      <c r="E66" s="9">
        <v>1</v>
      </c>
      <c r="F66" s="9">
        <v>4</v>
      </c>
      <c r="G66" s="9" t="str">
        <f>第1日!$B$90</f>
        <v>第4波 林地合围</v>
      </c>
      <c r="H66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66" s="9">
        <f>第1日!$E$90</f>
        <v>0.1</v>
      </c>
      <c r="J66" s="9">
        <f>第1日!$G$90</f>
        <v>1</v>
      </c>
      <c r="K66" s="9">
        <f>第1日!$I$90</f>
        <v>300</v>
      </c>
      <c r="L66" s="9" t="s">
        <v>467</v>
      </c>
      <c r="M66" s="9" t="s">
        <v>468</v>
      </c>
      <c r="N66" s="9">
        <v>8</v>
      </c>
      <c r="O66" s="9">
        <f>第1日!$B$101</f>
        <v>0</v>
      </c>
      <c r="P66" s="9" t="str">
        <f>IFERROR(VLOOKUP(O66,敌人目录!$A$6:$AD$54,2,FALSE),"")</f>
        <v/>
      </c>
      <c r="Q66" s="9">
        <f>第1日!$C$101</f>
        <v>0</v>
      </c>
      <c r="R66" s="9" t="str">
        <f>第1日!$I$101</f>
        <v/>
      </c>
      <c r="S66" s="9" t="str">
        <f>第1日!$I$91</f>
        <v>待设计</v>
      </c>
    </row>
    <row r="67" spans="1:19" ht="24" customHeight="1">
      <c r="A67" s="9">
        <v>2</v>
      </c>
      <c r="B67" s="9" t="s">
        <v>448</v>
      </c>
      <c r="C67" s="9" t="s">
        <v>471</v>
      </c>
      <c r="D67" s="9">
        <v>4</v>
      </c>
      <c r="E67" s="9">
        <v>1</v>
      </c>
      <c r="F67" s="9">
        <v>4</v>
      </c>
      <c r="G67" s="9" t="str">
        <f>第1日!$B$90</f>
        <v>第4波 林地合围</v>
      </c>
      <c r="H67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67" s="9">
        <f>第1日!$E$90</f>
        <v>0.1</v>
      </c>
      <c r="J67" s="9">
        <f>第1日!$G$90</f>
        <v>1</v>
      </c>
      <c r="K67" s="9">
        <f>第1日!$I$90</f>
        <v>300</v>
      </c>
      <c r="L67" s="9" t="s">
        <v>467</v>
      </c>
      <c r="M67" s="9" t="s">
        <v>468</v>
      </c>
      <c r="N67" s="9">
        <v>9</v>
      </c>
      <c r="O67" s="9">
        <f>第1日!$B$102</f>
        <v>0</v>
      </c>
      <c r="P67" s="9" t="str">
        <f>IFERROR(VLOOKUP(O67,敌人目录!$A$6:$AD$54,2,FALSE),"")</f>
        <v/>
      </c>
      <c r="Q67" s="9">
        <f>第1日!$C$102</f>
        <v>0</v>
      </c>
      <c r="R67" s="9" t="str">
        <f>第1日!$I$102</f>
        <v/>
      </c>
      <c r="S67" s="9" t="str">
        <f>第1日!$I$91</f>
        <v>待设计</v>
      </c>
    </row>
    <row r="68" spans="1:19" ht="24" customHeight="1">
      <c r="A68" s="9">
        <v>2</v>
      </c>
      <c r="B68" s="9" t="s">
        <v>448</v>
      </c>
      <c r="C68" s="9" t="s">
        <v>471</v>
      </c>
      <c r="D68" s="9">
        <v>4</v>
      </c>
      <c r="E68" s="9">
        <v>1</v>
      </c>
      <c r="F68" s="9">
        <v>4</v>
      </c>
      <c r="G68" s="9" t="str">
        <f>第1日!$B$90</f>
        <v>第4波 林地合围</v>
      </c>
      <c r="H68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68" s="9">
        <f>第1日!$E$90</f>
        <v>0.1</v>
      </c>
      <c r="J68" s="9">
        <f>第1日!$G$90</f>
        <v>1</v>
      </c>
      <c r="K68" s="9">
        <f>第1日!$I$90</f>
        <v>300</v>
      </c>
      <c r="L68" s="9" t="s">
        <v>467</v>
      </c>
      <c r="M68" s="9" t="s">
        <v>468</v>
      </c>
      <c r="N68" s="9">
        <v>10</v>
      </c>
      <c r="O68" s="9">
        <f>第1日!$B$103</f>
        <v>0</v>
      </c>
      <c r="P68" s="9" t="str">
        <f>IFERROR(VLOOKUP(O68,敌人目录!$A$6:$AD$54,2,FALSE),"")</f>
        <v/>
      </c>
      <c r="Q68" s="9">
        <f>第1日!$C$103</f>
        <v>0</v>
      </c>
      <c r="R68" s="9" t="str">
        <f>第1日!$I$103</f>
        <v/>
      </c>
      <c r="S68" s="9" t="str">
        <f>第1日!$I$91</f>
        <v>待设计</v>
      </c>
    </row>
    <row r="69" spans="1:19" ht="24" customHeight="1">
      <c r="A69" s="9">
        <v>2</v>
      </c>
      <c r="B69" s="9" t="s">
        <v>448</v>
      </c>
      <c r="C69" s="9" t="s">
        <v>471</v>
      </c>
      <c r="D69" s="9">
        <v>4</v>
      </c>
      <c r="E69" s="9">
        <v>1</v>
      </c>
      <c r="F69" s="9">
        <v>4</v>
      </c>
      <c r="G69" s="9" t="str">
        <f>第1日!$B$90</f>
        <v>第4波 林地合围</v>
      </c>
      <c r="H69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69" s="9">
        <f>第1日!$E$90</f>
        <v>0.1</v>
      </c>
      <c r="J69" s="9">
        <f>第1日!$G$90</f>
        <v>1</v>
      </c>
      <c r="K69" s="9">
        <f>第1日!$I$90</f>
        <v>300</v>
      </c>
      <c r="L69" s="9" t="s">
        <v>467</v>
      </c>
      <c r="M69" s="9" t="s">
        <v>468</v>
      </c>
      <c r="N69" s="9">
        <v>11</v>
      </c>
      <c r="O69" s="9">
        <f>第1日!$B$104</f>
        <v>0</v>
      </c>
      <c r="P69" s="9" t="str">
        <f>IFERROR(VLOOKUP(O69,敌人目录!$A$6:$AD$54,2,FALSE),"")</f>
        <v/>
      </c>
      <c r="Q69" s="9">
        <f>第1日!$C$104</f>
        <v>0</v>
      </c>
      <c r="R69" s="9" t="str">
        <f>第1日!$I$104</f>
        <v/>
      </c>
      <c r="S69" s="9" t="str">
        <f>第1日!$I$91</f>
        <v>待设计</v>
      </c>
    </row>
    <row r="70" spans="1:19" ht="24" customHeight="1">
      <c r="A70" s="9">
        <v>2</v>
      </c>
      <c r="B70" s="9" t="s">
        <v>448</v>
      </c>
      <c r="C70" s="9" t="s">
        <v>471</v>
      </c>
      <c r="D70" s="9">
        <v>4</v>
      </c>
      <c r="E70" s="9">
        <v>1</v>
      </c>
      <c r="F70" s="9">
        <v>4</v>
      </c>
      <c r="G70" s="9" t="str">
        <f>第1日!$B$90</f>
        <v>第4波 林地合围</v>
      </c>
      <c r="H70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70" s="9">
        <f>第1日!$E$90</f>
        <v>0.1</v>
      </c>
      <c r="J70" s="9">
        <f>第1日!$G$90</f>
        <v>1</v>
      </c>
      <c r="K70" s="9">
        <f>第1日!$I$90</f>
        <v>300</v>
      </c>
      <c r="L70" s="9" t="s">
        <v>467</v>
      </c>
      <c r="M70" s="9" t="s">
        <v>468</v>
      </c>
      <c r="N70" s="9">
        <v>12</v>
      </c>
      <c r="O70" s="9">
        <f>第1日!$B$105</f>
        <v>0</v>
      </c>
      <c r="P70" s="9" t="str">
        <f>IFERROR(VLOOKUP(O70,敌人目录!$A$6:$AD$54,2,FALSE),"")</f>
        <v/>
      </c>
      <c r="Q70" s="9">
        <f>第1日!$C$105</f>
        <v>0</v>
      </c>
      <c r="R70" s="9" t="str">
        <f>第1日!$I$105</f>
        <v/>
      </c>
      <c r="S70" s="9" t="str">
        <f>第1日!$I$91</f>
        <v>待设计</v>
      </c>
    </row>
    <row r="71" spans="1:19" ht="24" customHeight="1">
      <c r="A71" s="9">
        <v>2</v>
      </c>
      <c r="B71" s="9" t="s">
        <v>448</v>
      </c>
      <c r="C71" s="9" t="s">
        <v>471</v>
      </c>
      <c r="D71" s="9">
        <v>4</v>
      </c>
      <c r="E71" s="9">
        <v>1</v>
      </c>
      <c r="F71" s="9">
        <v>4</v>
      </c>
      <c r="G71" s="9" t="str">
        <f>第1日!$B$90</f>
        <v>第4波 林地合围</v>
      </c>
      <c r="H71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71" s="9">
        <f>第1日!$E$90</f>
        <v>0.1</v>
      </c>
      <c r="J71" s="9">
        <f>第1日!$G$90</f>
        <v>1</v>
      </c>
      <c r="K71" s="9">
        <f>第1日!$I$90</f>
        <v>300</v>
      </c>
      <c r="L71" s="9" t="s">
        <v>467</v>
      </c>
      <c r="M71" s="9" t="s">
        <v>468</v>
      </c>
      <c r="N71" s="9">
        <v>13</v>
      </c>
      <c r="O71" s="9">
        <f>第1日!$B$106</f>
        <v>0</v>
      </c>
      <c r="P71" s="9" t="str">
        <f>IFERROR(VLOOKUP(O71,敌人目录!$A$6:$AD$54,2,FALSE),"")</f>
        <v/>
      </c>
      <c r="Q71" s="9">
        <f>第1日!$C$106</f>
        <v>0</v>
      </c>
      <c r="R71" s="9" t="str">
        <f>第1日!$I$106</f>
        <v/>
      </c>
      <c r="S71" s="9" t="str">
        <f>第1日!$I$91</f>
        <v>待设计</v>
      </c>
    </row>
    <row r="72" spans="1:19" ht="24" customHeight="1">
      <c r="A72" s="9">
        <v>2</v>
      </c>
      <c r="B72" s="9" t="s">
        <v>448</v>
      </c>
      <c r="C72" s="9" t="s">
        <v>471</v>
      </c>
      <c r="D72" s="9">
        <v>4</v>
      </c>
      <c r="E72" s="9">
        <v>1</v>
      </c>
      <c r="F72" s="9">
        <v>4</v>
      </c>
      <c r="G72" s="9" t="str">
        <f>第1日!$B$90</f>
        <v>第4波 林地合围</v>
      </c>
      <c r="H72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72" s="9">
        <f>第1日!$E$90</f>
        <v>0.1</v>
      </c>
      <c r="J72" s="9">
        <f>第1日!$G$90</f>
        <v>1</v>
      </c>
      <c r="K72" s="9">
        <f>第1日!$I$90</f>
        <v>300</v>
      </c>
      <c r="L72" s="9" t="s">
        <v>467</v>
      </c>
      <c r="M72" s="9" t="s">
        <v>468</v>
      </c>
      <c r="N72" s="9">
        <v>14</v>
      </c>
      <c r="O72" s="9">
        <f>第1日!$B$107</f>
        <v>0</v>
      </c>
      <c r="P72" s="9" t="str">
        <f>IFERROR(VLOOKUP(O72,敌人目录!$A$6:$AD$54,2,FALSE),"")</f>
        <v/>
      </c>
      <c r="Q72" s="9">
        <f>第1日!$C$107</f>
        <v>0</v>
      </c>
      <c r="R72" s="9" t="str">
        <f>第1日!$I$107</f>
        <v/>
      </c>
      <c r="S72" s="9" t="str">
        <f>第1日!$I$91</f>
        <v>待设计</v>
      </c>
    </row>
    <row r="73" spans="1:19" ht="24" customHeight="1">
      <c r="A73" s="9">
        <v>2</v>
      </c>
      <c r="B73" s="9" t="s">
        <v>448</v>
      </c>
      <c r="C73" s="9" t="s">
        <v>471</v>
      </c>
      <c r="D73" s="9">
        <v>4</v>
      </c>
      <c r="E73" s="9">
        <v>1</v>
      </c>
      <c r="F73" s="9">
        <v>4</v>
      </c>
      <c r="G73" s="9" t="str">
        <f>第1日!$B$90</f>
        <v>第4波 林地合围</v>
      </c>
      <c r="H73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73" s="9">
        <f>第1日!$E$90</f>
        <v>0.1</v>
      </c>
      <c r="J73" s="9">
        <f>第1日!$G$90</f>
        <v>1</v>
      </c>
      <c r="K73" s="9">
        <f>第1日!$I$90</f>
        <v>300</v>
      </c>
      <c r="L73" s="9" t="s">
        <v>467</v>
      </c>
      <c r="M73" s="9" t="s">
        <v>468</v>
      </c>
      <c r="N73" s="9">
        <v>15</v>
      </c>
      <c r="O73" s="9">
        <f>第1日!$B$108</f>
        <v>0</v>
      </c>
      <c r="P73" s="9" t="str">
        <f>IFERROR(VLOOKUP(O73,敌人目录!$A$6:$AD$54,2,FALSE),"")</f>
        <v/>
      </c>
      <c r="Q73" s="9">
        <f>第1日!$C$108</f>
        <v>0</v>
      </c>
      <c r="R73" s="9" t="str">
        <f>第1日!$I$108</f>
        <v/>
      </c>
      <c r="S73" s="9" t="str">
        <f>第1日!$I$91</f>
        <v>待设计</v>
      </c>
    </row>
    <row r="74" spans="1:19" ht="24" customHeight="1">
      <c r="A74" s="9">
        <v>2</v>
      </c>
      <c r="B74" s="9" t="s">
        <v>448</v>
      </c>
      <c r="C74" s="9" t="s">
        <v>471</v>
      </c>
      <c r="D74" s="9">
        <v>4</v>
      </c>
      <c r="E74" s="9">
        <v>1</v>
      </c>
      <c r="F74" s="9">
        <v>4</v>
      </c>
      <c r="G74" s="9" t="str">
        <f>第1日!$B$90</f>
        <v>第4波 林地合围</v>
      </c>
      <c r="H74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74" s="9">
        <f>第1日!$E$90</f>
        <v>0.1</v>
      </c>
      <c r="J74" s="9">
        <f>第1日!$G$90</f>
        <v>1</v>
      </c>
      <c r="K74" s="9">
        <f>第1日!$I$90</f>
        <v>300</v>
      </c>
      <c r="L74" s="9" t="s">
        <v>467</v>
      </c>
      <c r="M74" s="9" t="s">
        <v>468</v>
      </c>
      <c r="N74" s="9">
        <v>16</v>
      </c>
      <c r="O74" s="9">
        <f>第1日!$B$109</f>
        <v>0</v>
      </c>
      <c r="P74" s="9" t="str">
        <f>IFERROR(VLOOKUP(O74,敌人目录!$A$6:$AD$54,2,FALSE),"")</f>
        <v/>
      </c>
      <c r="Q74" s="9">
        <f>第1日!$C$109</f>
        <v>0</v>
      </c>
      <c r="R74" s="9" t="str">
        <f>第1日!$I$109</f>
        <v/>
      </c>
      <c r="S74" s="9" t="str">
        <f>第1日!$I$91</f>
        <v>待设计</v>
      </c>
    </row>
    <row r="75" spans="1:19" ht="24" customHeight="1">
      <c r="A75" s="9">
        <v>2</v>
      </c>
      <c r="B75" s="9" t="s">
        <v>448</v>
      </c>
      <c r="C75" s="9" t="s">
        <v>471</v>
      </c>
      <c r="D75" s="9">
        <v>4</v>
      </c>
      <c r="E75" s="9">
        <v>1</v>
      </c>
      <c r="F75" s="9">
        <v>4</v>
      </c>
      <c r="G75" s="9" t="str">
        <f>第1日!$B$90</f>
        <v>第4波 林地合围</v>
      </c>
      <c r="H75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75" s="9">
        <f>第1日!$E$90</f>
        <v>0.1</v>
      </c>
      <c r="J75" s="9">
        <f>第1日!$G$90</f>
        <v>1</v>
      </c>
      <c r="K75" s="9">
        <f>第1日!$I$90</f>
        <v>300</v>
      </c>
      <c r="L75" s="9" t="s">
        <v>467</v>
      </c>
      <c r="M75" s="9" t="s">
        <v>468</v>
      </c>
      <c r="N75" s="9">
        <v>17</v>
      </c>
      <c r="O75" s="9">
        <f>第1日!$B$110</f>
        <v>0</v>
      </c>
      <c r="P75" s="9" t="str">
        <f>IFERROR(VLOOKUP(O75,敌人目录!$A$6:$AD$54,2,FALSE),"")</f>
        <v/>
      </c>
      <c r="Q75" s="9">
        <f>第1日!$C$110</f>
        <v>0</v>
      </c>
      <c r="R75" s="9" t="str">
        <f>第1日!$I$110</f>
        <v/>
      </c>
      <c r="S75" s="9" t="str">
        <f>第1日!$I$91</f>
        <v>待设计</v>
      </c>
    </row>
    <row r="76" spans="1:19" ht="24" customHeight="1">
      <c r="A76" s="9">
        <v>2</v>
      </c>
      <c r="B76" s="9" t="s">
        <v>448</v>
      </c>
      <c r="C76" s="9" t="s">
        <v>471</v>
      </c>
      <c r="D76" s="9">
        <v>4</v>
      </c>
      <c r="E76" s="9">
        <v>1</v>
      </c>
      <c r="F76" s="9">
        <v>4</v>
      </c>
      <c r="G76" s="9" t="str">
        <f>第1日!$B$90</f>
        <v>第4波 林地合围</v>
      </c>
      <c r="H76" s="9">
        <f>IF(第1日!$B$91="点1·开启",1,0)+IF(第1日!$C$91="点2·开启",2,0)+IF(第1日!$D$91="点3·开启",4,0)+IF(第1日!$E$91="点4·开启",8,0)+IF(第1日!$F$91="点5·开启",16,0)+IF(第1日!$G$91="点6·开启",32,0)</f>
        <v>63</v>
      </c>
      <c r="I76" s="9">
        <f>第1日!$E$90</f>
        <v>0.1</v>
      </c>
      <c r="J76" s="9">
        <f>第1日!$G$90</f>
        <v>1</v>
      </c>
      <c r="K76" s="9">
        <f>第1日!$I$90</f>
        <v>300</v>
      </c>
      <c r="L76" s="9" t="s">
        <v>467</v>
      </c>
      <c r="M76" s="9" t="s">
        <v>468</v>
      </c>
      <c r="N76" s="9">
        <v>18</v>
      </c>
      <c r="O76" s="9">
        <f>第1日!$B$111</f>
        <v>0</v>
      </c>
      <c r="P76" s="9" t="str">
        <f>IFERROR(VLOOKUP(O76,敌人目录!$A$6:$AD$54,2,FALSE),"")</f>
        <v/>
      </c>
      <c r="Q76" s="9">
        <f>第1日!$C$111</f>
        <v>0</v>
      </c>
      <c r="R76" s="9" t="str">
        <f>第1日!$I$111</f>
        <v/>
      </c>
      <c r="S76" s="9" t="str">
        <f>第1日!$I$91</f>
        <v>待设计</v>
      </c>
    </row>
    <row r="77" spans="1:19" ht="24" customHeight="1">
      <c r="A77" s="9">
        <v>2</v>
      </c>
      <c r="B77" s="9" t="s">
        <v>448</v>
      </c>
      <c r="C77" s="9" t="s">
        <v>472</v>
      </c>
      <c r="D77" s="9">
        <v>5</v>
      </c>
      <c r="E77" s="9">
        <v>2</v>
      </c>
      <c r="F77" s="9">
        <v>1</v>
      </c>
      <c r="G77" s="9" t="str">
        <f>第2日!$B$3</f>
        <v>第5波 沼泽先遣</v>
      </c>
      <c r="H77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77" s="9">
        <f>第2日!$E$3</f>
        <v>0.45</v>
      </c>
      <c r="J77" s="9">
        <f>第2日!$G$3</f>
        <v>1</v>
      </c>
      <c r="K77" s="9">
        <f>第2日!$I$3</f>
        <v>300</v>
      </c>
      <c r="L77" s="9" t="s">
        <v>473</v>
      </c>
      <c r="M77" s="9" t="s">
        <v>474</v>
      </c>
      <c r="N77" s="9">
        <v>1</v>
      </c>
      <c r="O77" s="9" t="str">
        <f>第2日!$B$7</f>
        <v>普通原石虫</v>
      </c>
      <c r="P77" s="9" t="str">
        <f>IFERROR(VLOOKUP(O77,敌人目录!$A$6:$AD$54,2,FALSE),"")</f>
        <v>yuanshi_insect_basic</v>
      </c>
      <c r="Q77" s="9">
        <f>第2日!$C$7</f>
        <v>28</v>
      </c>
      <c r="R77" s="9" t="str">
        <f>第2日!$I$7</f>
        <v>可回读</v>
      </c>
      <c r="S77" s="9" t="str">
        <f>第2日!$I$4</f>
        <v>可回读</v>
      </c>
    </row>
    <row r="78" spans="1:19" ht="24" customHeight="1">
      <c r="A78" s="9">
        <v>2</v>
      </c>
      <c r="B78" s="9" t="s">
        <v>448</v>
      </c>
      <c r="C78" s="9" t="s">
        <v>472</v>
      </c>
      <c r="D78" s="9">
        <v>5</v>
      </c>
      <c r="E78" s="9">
        <v>2</v>
      </c>
      <c r="F78" s="9">
        <v>1</v>
      </c>
      <c r="G78" s="9" t="str">
        <f>第2日!$B$3</f>
        <v>第5波 沼泽先遣</v>
      </c>
      <c r="H78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78" s="9">
        <f>第2日!$E$3</f>
        <v>0.45</v>
      </c>
      <c r="J78" s="9">
        <f>第2日!$G$3</f>
        <v>1</v>
      </c>
      <c r="K78" s="9">
        <f>第2日!$I$3</f>
        <v>300</v>
      </c>
      <c r="L78" s="9" t="s">
        <v>473</v>
      </c>
      <c r="M78" s="9" t="s">
        <v>474</v>
      </c>
      <c r="N78" s="9">
        <v>2</v>
      </c>
      <c r="O78" s="9" t="str">
        <f>第2日!$B$8</f>
        <v>迅捷原石虫</v>
      </c>
      <c r="P78" s="9" t="str">
        <f>IFERROR(VLOOKUP(O78,敌人目录!$A$6:$AD$54,2,FALSE),"")</f>
        <v>yuanshi_insect_fast</v>
      </c>
      <c r="Q78" s="9">
        <f>第2日!$C$8</f>
        <v>20</v>
      </c>
      <c r="R78" s="9" t="str">
        <f>第2日!$I$8</f>
        <v>可回读</v>
      </c>
      <c r="S78" s="9" t="str">
        <f>第2日!$I$4</f>
        <v>可回读</v>
      </c>
    </row>
    <row r="79" spans="1:19" ht="24" customHeight="1">
      <c r="A79" s="9">
        <v>2</v>
      </c>
      <c r="B79" s="9" t="s">
        <v>448</v>
      </c>
      <c r="C79" s="9" t="s">
        <v>472</v>
      </c>
      <c r="D79" s="9">
        <v>5</v>
      </c>
      <c r="E79" s="9">
        <v>2</v>
      </c>
      <c r="F79" s="9">
        <v>1</v>
      </c>
      <c r="G79" s="9" t="str">
        <f>第2日!$B$3</f>
        <v>第5波 沼泽先遣</v>
      </c>
      <c r="H79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79" s="9">
        <f>第2日!$E$3</f>
        <v>0.45</v>
      </c>
      <c r="J79" s="9">
        <f>第2日!$G$3</f>
        <v>1</v>
      </c>
      <c r="K79" s="9">
        <f>第2日!$I$3</f>
        <v>300</v>
      </c>
      <c r="L79" s="9" t="s">
        <v>473</v>
      </c>
      <c r="M79" s="9" t="s">
        <v>474</v>
      </c>
      <c r="N79" s="9">
        <v>3</v>
      </c>
      <c r="O79" s="9" t="str">
        <f>第2日!$B$9</f>
        <v>硬壳原石虫</v>
      </c>
      <c r="P79" s="9" t="str">
        <f>IFERROR(VLOOKUP(O79,敌人目录!$A$6:$AD$54,2,FALSE),"")</f>
        <v>yuanshi_insect_shell</v>
      </c>
      <c r="Q79" s="9">
        <f>第2日!$C$9</f>
        <v>12</v>
      </c>
      <c r="R79" s="9" t="str">
        <f>第2日!$I$9</f>
        <v>可回读</v>
      </c>
      <c r="S79" s="9" t="str">
        <f>第2日!$I$4</f>
        <v>可回读</v>
      </c>
    </row>
    <row r="80" spans="1:19" ht="24" customHeight="1">
      <c r="A80" s="9">
        <v>2</v>
      </c>
      <c r="B80" s="9" t="s">
        <v>448</v>
      </c>
      <c r="C80" s="9" t="s">
        <v>472</v>
      </c>
      <c r="D80" s="9">
        <v>5</v>
      </c>
      <c r="E80" s="9">
        <v>2</v>
      </c>
      <c r="F80" s="9">
        <v>1</v>
      </c>
      <c r="G80" s="9" t="str">
        <f>第2日!$B$3</f>
        <v>第5波 沼泽先遣</v>
      </c>
      <c r="H80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80" s="9">
        <f>第2日!$E$3</f>
        <v>0.45</v>
      </c>
      <c r="J80" s="9">
        <f>第2日!$G$3</f>
        <v>1</v>
      </c>
      <c r="K80" s="9">
        <f>第2日!$I$3</f>
        <v>300</v>
      </c>
      <c r="L80" s="9" t="s">
        <v>473</v>
      </c>
      <c r="M80" s="9" t="s">
        <v>474</v>
      </c>
      <c r="N80" s="9">
        <v>4</v>
      </c>
      <c r="O80" s="9" t="str">
        <f>第2日!$B$10</f>
        <v>自爆原石虫</v>
      </c>
      <c r="P80" s="9" t="str">
        <f>IFERROR(VLOOKUP(O80,敌人目录!$A$6:$AD$54,2,FALSE),"")</f>
        <v>yuanshi_insect_bomber</v>
      </c>
      <c r="Q80" s="9">
        <f>第2日!$C$10</f>
        <v>8</v>
      </c>
      <c r="R80" s="9" t="str">
        <f>第2日!$I$10</f>
        <v>可回读</v>
      </c>
      <c r="S80" s="9" t="str">
        <f>第2日!$I$4</f>
        <v>可回读</v>
      </c>
    </row>
    <row r="81" spans="1:19" ht="24" customHeight="1">
      <c r="A81" s="9">
        <v>2</v>
      </c>
      <c r="B81" s="9" t="s">
        <v>448</v>
      </c>
      <c r="C81" s="9" t="s">
        <v>472</v>
      </c>
      <c r="D81" s="9">
        <v>5</v>
      </c>
      <c r="E81" s="9">
        <v>2</v>
      </c>
      <c r="F81" s="9">
        <v>1</v>
      </c>
      <c r="G81" s="9" t="str">
        <f>第2日!$B$3</f>
        <v>第5波 沼泽先遣</v>
      </c>
      <c r="H81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81" s="9">
        <f>第2日!$E$3</f>
        <v>0.45</v>
      </c>
      <c r="J81" s="9">
        <f>第2日!$G$3</f>
        <v>1</v>
      </c>
      <c r="K81" s="9">
        <f>第2日!$I$3</f>
        <v>300</v>
      </c>
      <c r="L81" s="9" t="s">
        <v>473</v>
      </c>
      <c r="M81" s="9" t="s">
        <v>474</v>
      </c>
      <c r="N81" s="9">
        <v>5</v>
      </c>
      <c r="O81" s="9" t="str">
        <f>第2日!$B$11</f>
        <v>火焰弹原石虫</v>
      </c>
      <c r="P81" s="9" t="str">
        <f>IFERROR(VLOOKUP(O81,敌人目录!$A$6:$AD$54,2,FALSE),"")</f>
        <v>yuanshi_insect_fire_ranged</v>
      </c>
      <c r="Q81" s="9">
        <f>第2日!$C$11</f>
        <v>8</v>
      </c>
      <c r="R81" s="9" t="str">
        <f>第2日!$I$11</f>
        <v>可回读</v>
      </c>
      <c r="S81" s="9" t="str">
        <f>第2日!$I$4</f>
        <v>可回读</v>
      </c>
    </row>
    <row r="82" spans="1:19" ht="24" customHeight="1">
      <c r="A82" s="9">
        <v>2</v>
      </c>
      <c r="B82" s="9" t="s">
        <v>448</v>
      </c>
      <c r="C82" s="9" t="s">
        <v>472</v>
      </c>
      <c r="D82" s="9">
        <v>5</v>
      </c>
      <c r="E82" s="9">
        <v>2</v>
      </c>
      <c r="F82" s="9">
        <v>1</v>
      </c>
      <c r="G82" s="9" t="str">
        <f>第2日!$B$3</f>
        <v>第5波 沼泽先遣</v>
      </c>
      <c r="H82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82" s="9">
        <f>第2日!$E$3</f>
        <v>0.45</v>
      </c>
      <c r="J82" s="9">
        <f>第2日!$G$3</f>
        <v>1</v>
      </c>
      <c r="K82" s="9">
        <f>第2日!$I$3</f>
        <v>300</v>
      </c>
      <c r="L82" s="9" t="s">
        <v>473</v>
      </c>
      <c r="M82" s="9" t="s">
        <v>474</v>
      </c>
      <c r="N82" s="9">
        <v>6</v>
      </c>
      <c r="O82" s="9" t="str">
        <f>第2日!$B$12</f>
        <v>守护者原石虫</v>
      </c>
      <c r="P82" s="9" t="str">
        <f>IFERROR(VLOOKUP(O82,敌人目录!$A$6:$AD$54,2,FALSE),"")</f>
        <v>yuanshi_insect_guardian</v>
      </c>
      <c r="Q82" s="9">
        <f>第2日!$C$12</f>
        <v>4</v>
      </c>
      <c r="R82" s="9" t="str">
        <f>第2日!$I$12</f>
        <v>可回读</v>
      </c>
      <c r="S82" s="9" t="str">
        <f>第2日!$I$4</f>
        <v>可回读</v>
      </c>
    </row>
    <row r="83" spans="1:19" ht="24" customHeight="1">
      <c r="A83" s="9">
        <v>2</v>
      </c>
      <c r="B83" s="9" t="s">
        <v>448</v>
      </c>
      <c r="C83" s="9" t="s">
        <v>472</v>
      </c>
      <c r="D83" s="9">
        <v>5</v>
      </c>
      <c r="E83" s="9">
        <v>2</v>
      </c>
      <c r="F83" s="9">
        <v>1</v>
      </c>
      <c r="G83" s="9" t="str">
        <f>第2日!$B$3</f>
        <v>第5波 沼泽先遣</v>
      </c>
      <c r="H83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83" s="9">
        <f>第2日!$E$3</f>
        <v>0.45</v>
      </c>
      <c r="J83" s="9">
        <f>第2日!$G$3</f>
        <v>1</v>
      </c>
      <c r="K83" s="9">
        <f>第2日!$I$3</f>
        <v>300</v>
      </c>
      <c r="L83" s="9" t="s">
        <v>473</v>
      </c>
      <c r="M83" s="9" t="s">
        <v>474</v>
      </c>
      <c r="N83" s="9">
        <v>7</v>
      </c>
      <c r="O83" s="9">
        <f>第2日!$B$13</f>
        <v>0</v>
      </c>
      <c r="P83" s="9" t="str">
        <f>IFERROR(VLOOKUP(O83,敌人目录!$A$6:$AD$54,2,FALSE),"")</f>
        <v/>
      </c>
      <c r="Q83" s="9">
        <f>第2日!$C$13</f>
        <v>0</v>
      </c>
      <c r="R83" s="9" t="str">
        <f>第2日!$I$13</f>
        <v/>
      </c>
      <c r="S83" s="9" t="str">
        <f>第2日!$I$4</f>
        <v>可回读</v>
      </c>
    </row>
    <row r="84" spans="1:19" ht="24" customHeight="1">
      <c r="A84" s="9">
        <v>2</v>
      </c>
      <c r="B84" s="9" t="s">
        <v>448</v>
      </c>
      <c r="C84" s="9" t="s">
        <v>472</v>
      </c>
      <c r="D84" s="9">
        <v>5</v>
      </c>
      <c r="E84" s="9">
        <v>2</v>
      </c>
      <c r="F84" s="9">
        <v>1</v>
      </c>
      <c r="G84" s="9" t="str">
        <f>第2日!$B$3</f>
        <v>第5波 沼泽先遣</v>
      </c>
      <c r="H84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84" s="9">
        <f>第2日!$E$3</f>
        <v>0.45</v>
      </c>
      <c r="J84" s="9">
        <f>第2日!$G$3</f>
        <v>1</v>
      </c>
      <c r="K84" s="9">
        <f>第2日!$I$3</f>
        <v>300</v>
      </c>
      <c r="L84" s="9" t="s">
        <v>473</v>
      </c>
      <c r="M84" s="9" t="s">
        <v>474</v>
      </c>
      <c r="N84" s="9">
        <v>8</v>
      </c>
      <c r="O84" s="9">
        <f>第2日!$B$14</f>
        <v>0</v>
      </c>
      <c r="P84" s="9" t="str">
        <f>IFERROR(VLOOKUP(O84,敌人目录!$A$6:$AD$54,2,FALSE),"")</f>
        <v/>
      </c>
      <c r="Q84" s="9">
        <f>第2日!$C$14</f>
        <v>0</v>
      </c>
      <c r="R84" s="9" t="str">
        <f>第2日!$I$14</f>
        <v/>
      </c>
      <c r="S84" s="9" t="str">
        <f>第2日!$I$4</f>
        <v>可回读</v>
      </c>
    </row>
    <row r="85" spans="1:19" ht="24" customHeight="1">
      <c r="A85" s="9">
        <v>2</v>
      </c>
      <c r="B85" s="9" t="s">
        <v>448</v>
      </c>
      <c r="C85" s="9" t="s">
        <v>472</v>
      </c>
      <c r="D85" s="9">
        <v>5</v>
      </c>
      <c r="E85" s="9">
        <v>2</v>
      </c>
      <c r="F85" s="9">
        <v>1</v>
      </c>
      <c r="G85" s="9" t="str">
        <f>第2日!$B$3</f>
        <v>第5波 沼泽先遣</v>
      </c>
      <c r="H85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85" s="9">
        <f>第2日!$E$3</f>
        <v>0.45</v>
      </c>
      <c r="J85" s="9">
        <f>第2日!$G$3</f>
        <v>1</v>
      </c>
      <c r="K85" s="9">
        <f>第2日!$I$3</f>
        <v>300</v>
      </c>
      <c r="L85" s="9" t="s">
        <v>473</v>
      </c>
      <c r="M85" s="9" t="s">
        <v>474</v>
      </c>
      <c r="N85" s="9">
        <v>9</v>
      </c>
      <c r="O85" s="9">
        <f>第2日!$B$15</f>
        <v>0</v>
      </c>
      <c r="P85" s="9" t="str">
        <f>IFERROR(VLOOKUP(O85,敌人目录!$A$6:$AD$54,2,FALSE),"")</f>
        <v/>
      </c>
      <c r="Q85" s="9">
        <f>第2日!$C$15</f>
        <v>0</v>
      </c>
      <c r="R85" s="9" t="str">
        <f>第2日!$I$15</f>
        <v/>
      </c>
      <c r="S85" s="9" t="str">
        <f>第2日!$I$4</f>
        <v>可回读</v>
      </c>
    </row>
    <row r="86" spans="1:19" ht="24" customHeight="1">
      <c r="A86" s="9">
        <v>2</v>
      </c>
      <c r="B86" s="9" t="s">
        <v>448</v>
      </c>
      <c r="C86" s="9" t="s">
        <v>472</v>
      </c>
      <c r="D86" s="9">
        <v>5</v>
      </c>
      <c r="E86" s="9">
        <v>2</v>
      </c>
      <c r="F86" s="9">
        <v>1</v>
      </c>
      <c r="G86" s="9" t="str">
        <f>第2日!$B$3</f>
        <v>第5波 沼泽先遣</v>
      </c>
      <c r="H86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86" s="9">
        <f>第2日!$E$3</f>
        <v>0.45</v>
      </c>
      <c r="J86" s="9">
        <f>第2日!$G$3</f>
        <v>1</v>
      </c>
      <c r="K86" s="9">
        <f>第2日!$I$3</f>
        <v>300</v>
      </c>
      <c r="L86" s="9" t="s">
        <v>473</v>
      </c>
      <c r="M86" s="9" t="s">
        <v>474</v>
      </c>
      <c r="N86" s="9">
        <v>10</v>
      </c>
      <c r="O86" s="9">
        <f>第2日!$B$16</f>
        <v>0</v>
      </c>
      <c r="P86" s="9" t="str">
        <f>IFERROR(VLOOKUP(O86,敌人目录!$A$6:$AD$54,2,FALSE),"")</f>
        <v/>
      </c>
      <c r="Q86" s="9">
        <f>第2日!$C$16</f>
        <v>0</v>
      </c>
      <c r="R86" s="9" t="str">
        <f>第2日!$I$16</f>
        <v/>
      </c>
      <c r="S86" s="9" t="str">
        <f>第2日!$I$4</f>
        <v>可回读</v>
      </c>
    </row>
    <row r="87" spans="1:19" ht="24" customHeight="1">
      <c r="A87" s="9">
        <v>2</v>
      </c>
      <c r="B87" s="9" t="s">
        <v>448</v>
      </c>
      <c r="C87" s="9" t="s">
        <v>472</v>
      </c>
      <c r="D87" s="9">
        <v>5</v>
      </c>
      <c r="E87" s="9">
        <v>2</v>
      </c>
      <c r="F87" s="9">
        <v>1</v>
      </c>
      <c r="G87" s="9" t="str">
        <f>第2日!$B$3</f>
        <v>第5波 沼泽先遣</v>
      </c>
      <c r="H87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87" s="9">
        <f>第2日!$E$3</f>
        <v>0.45</v>
      </c>
      <c r="J87" s="9">
        <f>第2日!$G$3</f>
        <v>1</v>
      </c>
      <c r="K87" s="9">
        <f>第2日!$I$3</f>
        <v>300</v>
      </c>
      <c r="L87" s="9" t="s">
        <v>473</v>
      </c>
      <c r="M87" s="9" t="s">
        <v>474</v>
      </c>
      <c r="N87" s="9">
        <v>11</v>
      </c>
      <c r="O87" s="9">
        <f>第2日!$B$17</f>
        <v>0</v>
      </c>
      <c r="P87" s="9" t="str">
        <f>IFERROR(VLOOKUP(O87,敌人目录!$A$6:$AD$54,2,FALSE),"")</f>
        <v/>
      </c>
      <c r="Q87" s="9">
        <f>第2日!$C$17</f>
        <v>0</v>
      </c>
      <c r="R87" s="9" t="str">
        <f>第2日!$I$17</f>
        <v/>
      </c>
      <c r="S87" s="9" t="str">
        <f>第2日!$I$4</f>
        <v>可回读</v>
      </c>
    </row>
    <row r="88" spans="1:19" ht="24" customHeight="1">
      <c r="A88" s="9">
        <v>2</v>
      </c>
      <c r="B88" s="9" t="s">
        <v>448</v>
      </c>
      <c r="C88" s="9" t="s">
        <v>472</v>
      </c>
      <c r="D88" s="9">
        <v>5</v>
      </c>
      <c r="E88" s="9">
        <v>2</v>
      </c>
      <c r="F88" s="9">
        <v>1</v>
      </c>
      <c r="G88" s="9" t="str">
        <f>第2日!$B$3</f>
        <v>第5波 沼泽先遣</v>
      </c>
      <c r="H88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88" s="9">
        <f>第2日!$E$3</f>
        <v>0.45</v>
      </c>
      <c r="J88" s="9">
        <f>第2日!$G$3</f>
        <v>1</v>
      </c>
      <c r="K88" s="9">
        <f>第2日!$I$3</f>
        <v>300</v>
      </c>
      <c r="L88" s="9" t="s">
        <v>473</v>
      </c>
      <c r="M88" s="9" t="s">
        <v>474</v>
      </c>
      <c r="N88" s="9">
        <v>12</v>
      </c>
      <c r="O88" s="9">
        <f>第2日!$B$18</f>
        <v>0</v>
      </c>
      <c r="P88" s="9" t="str">
        <f>IFERROR(VLOOKUP(O88,敌人目录!$A$6:$AD$54,2,FALSE),"")</f>
        <v/>
      </c>
      <c r="Q88" s="9">
        <f>第2日!$C$18</f>
        <v>0</v>
      </c>
      <c r="R88" s="9" t="str">
        <f>第2日!$I$18</f>
        <v/>
      </c>
      <c r="S88" s="9" t="str">
        <f>第2日!$I$4</f>
        <v>可回读</v>
      </c>
    </row>
    <row r="89" spans="1:19" ht="24" customHeight="1">
      <c r="A89" s="9">
        <v>2</v>
      </c>
      <c r="B89" s="9" t="s">
        <v>448</v>
      </c>
      <c r="C89" s="9" t="s">
        <v>472</v>
      </c>
      <c r="D89" s="9">
        <v>5</v>
      </c>
      <c r="E89" s="9">
        <v>2</v>
      </c>
      <c r="F89" s="9">
        <v>1</v>
      </c>
      <c r="G89" s="9" t="str">
        <f>第2日!$B$3</f>
        <v>第5波 沼泽先遣</v>
      </c>
      <c r="H89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89" s="9">
        <f>第2日!$E$3</f>
        <v>0.45</v>
      </c>
      <c r="J89" s="9">
        <f>第2日!$G$3</f>
        <v>1</v>
      </c>
      <c r="K89" s="9">
        <f>第2日!$I$3</f>
        <v>300</v>
      </c>
      <c r="L89" s="9" t="s">
        <v>473</v>
      </c>
      <c r="M89" s="9" t="s">
        <v>474</v>
      </c>
      <c r="N89" s="9">
        <v>13</v>
      </c>
      <c r="O89" s="9">
        <f>第2日!$B$19</f>
        <v>0</v>
      </c>
      <c r="P89" s="9" t="str">
        <f>IFERROR(VLOOKUP(O89,敌人目录!$A$6:$AD$54,2,FALSE),"")</f>
        <v/>
      </c>
      <c r="Q89" s="9">
        <f>第2日!$C$19</f>
        <v>0</v>
      </c>
      <c r="R89" s="9" t="str">
        <f>第2日!$I$19</f>
        <v/>
      </c>
      <c r="S89" s="9" t="str">
        <f>第2日!$I$4</f>
        <v>可回读</v>
      </c>
    </row>
    <row r="90" spans="1:19" ht="24" customHeight="1">
      <c r="A90" s="9">
        <v>2</v>
      </c>
      <c r="B90" s="9" t="s">
        <v>448</v>
      </c>
      <c r="C90" s="9" t="s">
        <v>472</v>
      </c>
      <c r="D90" s="9">
        <v>5</v>
      </c>
      <c r="E90" s="9">
        <v>2</v>
      </c>
      <c r="F90" s="9">
        <v>1</v>
      </c>
      <c r="G90" s="9" t="str">
        <f>第2日!$B$3</f>
        <v>第5波 沼泽先遣</v>
      </c>
      <c r="H90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90" s="9">
        <f>第2日!$E$3</f>
        <v>0.45</v>
      </c>
      <c r="J90" s="9">
        <f>第2日!$G$3</f>
        <v>1</v>
      </c>
      <c r="K90" s="9">
        <f>第2日!$I$3</f>
        <v>300</v>
      </c>
      <c r="L90" s="9" t="s">
        <v>473</v>
      </c>
      <c r="M90" s="9" t="s">
        <v>474</v>
      </c>
      <c r="N90" s="9">
        <v>14</v>
      </c>
      <c r="O90" s="9">
        <f>第2日!$B$20</f>
        <v>0</v>
      </c>
      <c r="P90" s="9" t="str">
        <f>IFERROR(VLOOKUP(O90,敌人目录!$A$6:$AD$54,2,FALSE),"")</f>
        <v/>
      </c>
      <c r="Q90" s="9">
        <f>第2日!$C$20</f>
        <v>0</v>
      </c>
      <c r="R90" s="9" t="str">
        <f>第2日!$I$20</f>
        <v/>
      </c>
      <c r="S90" s="9" t="str">
        <f>第2日!$I$4</f>
        <v>可回读</v>
      </c>
    </row>
    <row r="91" spans="1:19" ht="24" customHeight="1">
      <c r="A91" s="9">
        <v>2</v>
      </c>
      <c r="B91" s="9" t="s">
        <v>448</v>
      </c>
      <c r="C91" s="9" t="s">
        <v>472</v>
      </c>
      <c r="D91" s="9">
        <v>5</v>
      </c>
      <c r="E91" s="9">
        <v>2</v>
      </c>
      <c r="F91" s="9">
        <v>1</v>
      </c>
      <c r="G91" s="9" t="str">
        <f>第2日!$B$3</f>
        <v>第5波 沼泽先遣</v>
      </c>
      <c r="H91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91" s="9">
        <f>第2日!$E$3</f>
        <v>0.45</v>
      </c>
      <c r="J91" s="9">
        <f>第2日!$G$3</f>
        <v>1</v>
      </c>
      <c r="K91" s="9">
        <f>第2日!$I$3</f>
        <v>300</v>
      </c>
      <c r="L91" s="9" t="s">
        <v>473</v>
      </c>
      <c r="M91" s="9" t="s">
        <v>474</v>
      </c>
      <c r="N91" s="9">
        <v>15</v>
      </c>
      <c r="O91" s="9">
        <f>第2日!$B$21</f>
        <v>0</v>
      </c>
      <c r="P91" s="9" t="str">
        <f>IFERROR(VLOOKUP(O91,敌人目录!$A$6:$AD$54,2,FALSE),"")</f>
        <v/>
      </c>
      <c r="Q91" s="9">
        <f>第2日!$C$21</f>
        <v>0</v>
      </c>
      <c r="R91" s="9" t="str">
        <f>第2日!$I$21</f>
        <v/>
      </c>
      <c r="S91" s="9" t="str">
        <f>第2日!$I$4</f>
        <v>可回读</v>
      </c>
    </row>
    <row r="92" spans="1:19" ht="24" customHeight="1">
      <c r="A92" s="9">
        <v>2</v>
      </c>
      <c r="B92" s="9" t="s">
        <v>448</v>
      </c>
      <c r="C92" s="9" t="s">
        <v>472</v>
      </c>
      <c r="D92" s="9">
        <v>5</v>
      </c>
      <c r="E92" s="9">
        <v>2</v>
      </c>
      <c r="F92" s="9">
        <v>1</v>
      </c>
      <c r="G92" s="9" t="str">
        <f>第2日!$B$3</f>
        <v>第5波 沼泽先遣</v>
      </c>
      <c r="H92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92" s="9">
        <f>第2日!$E$3</f>
        <v>0.45</v>
      </c>
      <c r="J92" s="9">
        <f>第2日!$G$3</f>
        <v>1</v>
      </c>
      <c r="K92" s="9">
        <f>第2日!$I$3</f>
        <v>300</v>
      </c>
      <c r="L92" s="9" t="s">
        <v>473</v>
      </c>
      <c r="M92" s="9" t="s">
        <v>474</v>
      </c>
      <c r="N92" s="9">
        <v>16</v>
      </c>
      <c r="O92" s="9">
        <f>第2日!$B$22</f>
        <v>0</v>
      </c>
      <c r="P92" s="9" t="str">
        <f>IFERROR(VLOOKUP(O92,敌人目录!$A$6:$AD$54,2,FALSE),"")</f>
        <v/>
      </c>
      <c r="Q92" s="9">
        <f>第2日!$C$22</f>
        <v>0</v>
      </c>
      <c r="R92" s="9" t="str">
        <f>第2日!$I$22</f>
        <v/>
      </c>
      <c r="S92" s="9" t="str">
        <f>第2日!$I$4</f>
        <v>可回读</v>
      </c>
    </row>
    <row r="93" spans="1:19" ht="24" customHeight="1">
      <c r="A93" s="9">
        <v>2</v>
      </c>
      <c r="B93" s="9" t="s">
        <v>448</v>
      </c>
      <c r="C93" s="9" t="s">
        <v>472</v>
      </c>
      <c r="D93" s="9">
        <v>5</v>
      </c>
      <c r="E93" s="9">
        <v>2</v>
      </c>
      <c r="F93" s="9">
        <v>1</v>
      </c>
      <c r="G93" s="9" t="str">
        <f>第2日!$B$3</f>
        <v>第5波 沼泽先遣</v>
      </c>
      <c r="H93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93" s="9">
        <f>第2日!$E$3</f>
        <v>0.45</v>
      </c>
      <c r="J93" s="9">
        <f>第2日!$G$3</f>
        <v>1</v>
      </c>
      <c r="K93" s="9">
        <f>第2日!$I$3</f>
        <v>300</v>
      </c>
      <c r="L93" s="9" t="s">
        <v>473</v>
      </c>
      <c r="M93" s="9" t="s">
        <v>474</v>
      </c>
      <c r="N93" s="9">
        <v>17</v>
      </c>
      <c r="O93" s="9">
        <f>第2日!$B$23</f>
        <v>0</v>
      </c>
      <c r="P93" s="9" t="str">
        <f>IFERROR(VLOOKUP(O93,敌人目录!$A$6:$AD$54,2,FALSE),"")</f>
        <v/>
      </c>
      <c r="Q93" s="9">
        <f>第2日!$C$23</f>
        <v>0</v>
      </c>
      <c r="R93" s="9" t="str">
        <f>第2日!$I$23</f>
        <v/>
      </c>
      <c r="S93" s="9" t="str">
        <f>第2日!$I$4</f>
        <v>可回读</v>
      </c>
    </row>
    <row r="94" spans="1:19" ht="24" customHeight="1">
      <c r="A94" s="9">
        <v>2</v>
      </c>
      <c r="B94" s="9" t="s">
        <v>448</v>
      </c>
      <c r="C94" s="9" t="s">
        <v>472</v>
      </c>
      <c r="D94" s="9">
        <v>5</v>
      </c>
      <c r="E94" s="9">
        <v>2</v>
      </c>
      <c r="F94" s="9">
        <v>1</v>
      </c>
      <c r="G94" s="9" t="str">
        <f>第2日!$B$3</f>
        <v>第5波 沼泽先遣</v>
      </c>
      <c r="H94" s="9">
        <f>IF(第2日!$B$4="点1·开启",1,0)+IF(第2日!$C$4="点2·开启",2,0)+IF(第2日!$D$4="点3·开启",4,0)+IF(第2日!$E$4="点4·开启",8,0)+IF(第2日!$F$4="点5·开启",16,0)+IF(第2日!$G$4="点6·开启",32,0)</f>
        <v>63</v>
      </c>
      <c r="I94" s="9">
        <f>第2日!$E$3</f>
        <v>0.45</v>
      </c>
      <c r="J94" s="9">
        <f>第2日!$G$3</f>
        <v>1</v>
      </c>
      <c r="K94" s="9">
        <f>第2日!$I$3</f>
        <v>300</v>
      </c>
      <c r="L94" s="9" t="s">
        <v>473</v>
      </c>
      <c r="M94" s="9" t="s">
        <v>474</v>
      </c>
      <c r="N94" s="9">
        <v>18</v>
      </c>
      <c r="O94" s="9">
        <f>第2日!$B$24</f>
        <v>0</v>
      </c>
      <c r="P94" s="9" t="str">
        <f>IFERROR(VLOOKUP(O94,敌人目录!$A$6:$AD$54,2,FALSE),"")</f>
        <v/>
      </c>
      <c r="Q94" s="9">
        <f>第2日!$C$24</f>
        <v>0</v>
      </c>
      <c r="R94" s="9" t="str">
        <f>第2日!$I$24</f>
        <v/>
      </c>
      <c r="S94" s="9" t="str">
        <f>第2日!$I$4</f>
        <v>可回读</v>
      </c>
    </row>
    <row r="95" spans="1:19" ht="24" customHeight="1">
      <c r="A95" s="9">
        <v>2</v>
      </c>
      <c r="B95" s="9" t="s">
        <v>448</v>
      </c>
      <c r="C95" s="9" t="s">
        <v>475</v>
      </c>
      <c r="D95" s="9">
        <v>6</v>
      </c>
      <c r="E95" s="9">
        <v>2</v>
      </c>
      <c r="F95" s="9">
        <v>2</v>
      </c>
      <c r="G95" s="9" t="str">
        <f>第2日!$B$32</f>
        <v>第6波 守护阵列</v>
      </c>
      <c r="H95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95" s="9">
        <f>第2日!$E$32</f>
        <v>0.4</v>
      </c>
      <c r="J95" s="9">
        <f>第2日!$G$32</f>
        <v>1</v>
      </c>
      <c r="K95" s="9">
        <f>第2日!$I$32</f>
        <v>300</v>
      </c>
      <c r="L95" s="9" t="s">
        <v>473</v>
      </c>
      <c r="M95" s="9" t="s">
        <v>474</v>
      </c>
      <c r="N95" s="9">
        <v>1</v>
      </c>
      <c r="O95" s="9" t="str">
        <f>第2日!$B$36</f>
        <v>普通原石虫</v>
      </c>
      <c r="P95" s="9" t="str">
        <f>IFERROR(VLOOKUP(O95,敌人目录!$A$6:$AD$54,2,FALSE),"")</f>
        <v>yuanshi_insect_basic</v>
      </c>
      <c r="Q95" s="9">
        <f>第2日!$C$36</f>
        <v>28</v>
      </c>
      <c r="R95" s="9" t="str">
        <f>第2日!$I$36</f>
        <v>可回读</v>
      </c>
      <c r="S95" s="9" t="str">
        <f>第2日!$I$33</f>
        <v>可回读</v>
      </c>
    </row>
    <row r="96" spans="1:19" ht="24" customHeight="1">
      <c r="A96" s="9">
        <v>2</v>
      </c>
      <c r="B96" s="9" t="s">
        <v>448</v>
      </c>
      <c r="C96" s="9" t="s">
        <v>475</v>
      </c>
      <c r="D96" s="9">
        <v>6</v>
      </c>
      <c r="E96" s="9">
        <v>2</v>
      </c>
      <c r="F96" s="9">
        <v>2</v>
      </c>
      <c r="G96" s="9" t="str">
        <f>第2日!$B$32</f>
        <v>第6波 守护阵列</v>
      </c>
      <c r="H96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96" s="9">
        <f>第2日!$E$32</f>
        <v>0.4</v>
      </c>
      <c r="J96" s="9">
        <f>第2日!$G$32</f>
        <v>1</v>
      </c>
      <c r="K96" s="9">
        <f>第2日!$I$32</f>
        <v>300</v>
      </c>
      <c r="L96" s="9" t="s">
        <v>473</v>
      </c>
      <c r="M96" s="9" t="s">
        <v>474</v>
      </c>
      <c r="N96" s="9">
        <v>2</v>
      </c>
      <c r="O96" s="9" t="str">
        <f>第2日!$B$37</f>
        <v>迅捷原石虫</v>
      </c>
      <c r="P96" s="9" t="str">
        <f>IFERROR(VLOOKUP(O96,敌人目录!$A$6:$AD$54,2,FALSE),"")</f>
        <v>yuanshi_insect_fast</v>
      </c>
      <c r="Q96" s="9">
        <f>第2日!$C$37</f>
        <v>24</v>
      </c>
      <c r="R96" s="9" t="str">
        <f>第2日!$I$37</f>
        <v>可回读</v>
      </c>
      <c r="S96" s="9" t="str">
        <f>第2日!$I$33</f>
        <v>可回读</v>
      </c>
    </row>
    <row r="97" spans="1:19" ht="24" customHeight="1">
      <c r="A97" s="9">
        <v>2</v>
      </c>
      <c r="B97" s="9" t="s">
        <v>448</v>
      </c>
      <c r="C97" s="9" t="s">
        <v>475</v>
      </c>
      <c r="D97" s="9">
        <v>6</v>
      </c>
      <c r="E97" s="9">
        <v>2</v>
      </c>
      <c r="F97" s="9">
        <v>2</v>
      </c>
      <c r="G97" s="9" t="str">
        <f>第2日!$B$32</f>
        <v>第6波 守护阵列</v>
      </c>
      <c r="H97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97" s="9">
        <f>第2日!$E$32</f>
        <v>0.4</v>
      </c>
      <c r="J97" s="9">
        <f>第2日!$G$32</f>
        <v>1</v>
      </c>
      <c r="K97" s="9">
        <f>第2日!$I$32</f>
        <v>300</v>
      </c>
      <c r="L97" s="9" t="s">
        <v>473</v>
      </c>
      <c r="M97" s="9" t="s">
        <v>474</v>
      </c>
      <c r="N97" s="9">
        <v>3</v>
      </c>
      <c r="O97" s="9" t="str">
        <f>第2日!$B$38</f>
        <v>硬壳原石虫</v>
      </c>
      <c r="P97" s="9" t="str">
        <f>IFERROR(VLOOKUP(O97,敌人目录!$A$6:$AD$54,2,FALSE),"")</f>
        <v>yuanshi_insect_shell</v>
      </c>
      <c r="Q97" s="9">
        <f>第2日!$C$38</f>
        <v>12</v>
      </c>
      <c r="R97" s="9" t="str">
        <f>第2日!$I$38</f>
        <v>可回读</v>
      </c>
      <c r="S97" s="9" t="str">
        <f>第2日!$I$33</f>
        <v>可回读</v>
      </c>
    </row>
    <row r="98" spans="1:19" ht="24" customHeight="1">
      <c r="A98" s="9">
        <v>2</v>
      </c>
      <c r="B98" s="9" t="s">
        <v>448</v>
      </c>
      <c r="C98" s="9" t="s">
        <v>475</v>
      </c>
      <c r="D98" s="9">
        <v>6</v>
      </c>
      <c r="E98" s="9">
        <v>2</v>
      </c>
      <c r="F98" s="9">
        <v>2</v>
      </c>
      <c r="G98" s="9" t="str">
        <f>第2日!$B$32</f>
        <v>第6波 守护阵列</v>
      </c>
      <c r="H98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98" s="9">
        <f>第2日!$E$32</f>
        <v>0.4</v>
      </c>
      <c r="J98" s="9">
        <f>第2日!$G$32</f>
        <v>1</v>
      </c>
      <c r="K98" s="9">
        <f>第2日!$I$32</f>
        <v>300</v>
      </c>
      <c r="L98" s="9" t="s">
        <v>473</v>
      </c>
      <c r="M98" s="9" t="s">
        <v>474</v>
      </c>
      <c r="N98" s="9">
        <v>4</v>
      </c>
      <c r="O98" s="9" t="str">
        <f>第2日!$B$39</f>
        <v>自爆原石虫</v>
      </c>
      <c r="P98" s="9" t="str">
        <f>IFERROR(VLOOKUP(O98,敌人目录!$A$6:$AD$54,2,FALSE),"")</f>
        <v>yuanshi_insect_bomber</v>
      </c>
      <c r="Q98" s="9">
        <f>第2日!$C$39</f>
        <v>12</v>
      </c>
      <c r="R98" s="9" t="str">
        <f>第2日!$I$39</f>
        <v>可回读</v>
      </c>
      <c r="S98" s="9" t="str">
        <f>第2日!$I$33</f>
        <v>可回读</v>
      </c>
    </row>
    <row r="99" spans="1:19" ht="24" customHeight="1">
      <c r="A99" s="9">
        <v>2</v>
      </c>
      <c r="B99" s="9" t="s">
        <v>448</v>
      </c>
      <c r="C99" s="9" t="s">
        <v>475</v>
      </c>
      <c r="D99" s="9">
        <v>6</v>
      </c>
      <c r="E99" s="9">
        <v>2</v>
      </c>
      <c r="F99" s="9">
        <v>2</v>
      </c>
      <c r="G99" s="9" t="str">
        <f>第2日!$B$32</f>
        <v>第6波 守护阵列</v>
      </c>
      <c r="H99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99" s="9">
        <f>第2日!$E$32</f>
        <v>0.4</v>
      </c>
      <c r="J99" s="9">
        <f>第2日!$G$32</f>
        <v>1</v>
      </c>
      <c r="K99" s="9">
        <f>第2日!$I$32</f>
        <v>300</v>
      </c>
      <c r="L99" s="9" t="s">
        <v>473</v>
      </c>
      <c r="M99" s="9" t="s">
        <v>474</v>
      </c>
      <c r="N99" s="9">
        <v>5</v>
      </c>
      <c r="O99" s="9" t="str">
        <f>第2日!$B$40</f>
        <v>火焰弹原石虫</v>
      </c>
      <c r="P99" s="9" t="str">
        <f>IFERROR(VLOOKUP(O99,敌人目录!$A$6:$AD$54,2,FALSE),"")</f>
        <v>yuanshi_insect_fire_ranged</v>
      </c>
      <c r="Q99" s="9">
        <f>第2日!$C$40</f>
        <v>12</v>
      </c>
      <c r="R99" s="9" t="str">
        <f>第2日!$I$40</f>
        <v>可回读</v>
      </c>
      <c r="S99" s="9" t="str">
        <f>第2日!$I$33</f>
        <v>可回读</v>
      </c>
    </row>
    <row r="100" spans="1:19" ht="24" customHeight="1">
      <c r="A100" s="9">
        <v>2</v>
      </c>
      <c r="B100" s="9" t="s">
        <v>448</v>
      </c>
      <c r="C100" s="9" t="s">
        <v>475</v>
      </c>
      <c r="D100" s="9">
        <v>6</v>
      </c>
      <c r="E100" s="9">
        <v>2</v>
      </c>
      <c r="F100" s="9">
        <v>2</v>
      </c>
      <c r="G100" s="9" t="str">
        <f>第2日!$B$32</f>
        <v>第6波 守护阵列</v>
      </c>
      <c r="H100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00" s="9">
        <f>第2日!$E$32</f>
        <v>0.4</v>
      </c>
      <c r="J100" s="9">
        <f>第2日!$G$32</f>
        <v>1</v>
      </c>
      <c r="K100" s="9">
        <f>第2日!$I$32</f>
        <v>300</v>
      </c>
      <c r="L100" s="9" t="s">
        <v>473</v>
      </c>
      <c r="M100" s="9" t="s">
        <v>474</v>
      </c>
      <c r="N100" s="9">
        <v>6</v>
      </c>
      <c r="O100" s="9" t="str">
        <f>第2日!$B$41</f>
        <v>守护者原石虫</v>
      </c>
      <c r="P100" s="9" t="str">
        <f>IFERROR(VLOOKUP(O100,敌人目录!$A$6:$AD$54,2,FALSE),"")</f>
        <v>yuanshi_insect_guardian</v>
      </c>
      <c r="Q100" s="9">
        <f>第2日!$C$41</f>
        <v>8</v>
      </c>
      <c r="R100" s="9" t="str">
        <f>第2日!$I$41</f>
        <v>可回读</v>
      </c>
      <c r="S100" s="9" t="str">
        <f>第2日!$I$33</f>
        <v>可回读</v>
      </c>
    </row>
    <row r="101" spans="1:19" ht="24" customHeight="1">
      <c r="A101" s="9">
        <v>2</v>
      </c>
      <c r="B101" s="9" t="s">
        <v>448</v>
      </c>
      <c r="C101" s="9" t="s">
        <v>475</v>
      </c>
      <c r="D101" s="9">
        <v>6</v>
      </c>
      <c r="E101" s="9">
        <v>2</v>
      </c>
      <c r="F101" s="9">
        <v>2</v>
      </c>
      <c r="G101" s="9" t="str">
        <f>第2日!$B$32</f>
        <v>第6波 守护阵列</v>
      </c>
      <c r="H101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01" s="9">
        <f>第2日!$E$32</f>
        <v>0.4</v>
      </c>
      <c r="J101" s="9">
        <f>第2日!$G$32</f>
        <v>1</v>
      </c>
      <c r="K101" s="9">
        <f>第2日!$I$32</f>
        <v>300</v>
      </c>
      <c r="L101" s="9" t="s">
        <v>473</v>
      </c>
      <c r="M101" s="9" t="s">
        <v>474</v>
      </c>
      <c r="N101" s="9">
        <v>7</v>
      </c>
      <c r="O101" s="9">
        <f>第2日!$B$42</f>
        <v>0</v>
      </c>
      <c r="P101" s="9" t="str">
        <f>IFERROR(VLOOKUP(O101,敌人目录!$A$6:$AD$54,2,FALSE),"")</f>
        <v/>
      </c>
      <c r="Q101" s="9">
        <f>第2日!$C$42</f>
        <v>0</v>
      </c>
      <c r="R101" s="9" t="str">
        <f>第2日!$I$42</f>
        <v/>
      </c>
      <c r="S101" s="9" t="str">
        <f>第2日!$I$33</f>
        <v>可回读</v>
      </c>
    </row>
    <row r="102" spans="1:19" ht="24" customHeight="1">
      <c r="A102" s="9">
        <v>2</v>
      </c>
      <c r="B102" s="9" t="s">
        <v>448</v>
      </c>
      <c r="C102" s="9" t="s">
        <v>475</v>
      </c>
      <c r="D102" s="9">
        <v>6</v>
      </c>
      <c r="E102" s="9">
        <v>2</v>
      </c>
      <c r="F102" s="9">
        <v>2</v>
      </c>
      <c r="G102" s="9" t="str">
        <f>第2日!$B$32</f>
        <v>第6波 守护阵列</v>
      </c>
      <c r="H102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02" s="9">
        <f>第2日!$E$32</f>
        <v>0.4</v>
      </c>
      <c r="J102" s="9">
        <f>第2日!$G$32</f>
        <v>1</v>
      </c>
      <c r="K102" s="9">
        <f>第2日!$I$32</f>
        <v>300</v>
      </c>
      <c r="L102" s="9" t="s">
        <v>473</v>
      </c>
      <c r="M102" s="9" t="s">
        <v>474</v>
      </c>
      <c r="N102" s="9">
        <v>8</v>
      </c>
      <c r="O102" s="9">
        <f>第2日!$B$43</f>
        <v>0</v>
      </c>
      <c r="P102" s="9" t="str">
        <f>IFERROR(VLOOKUP(O102,敌人目录!$A$6:$AD$54,2,FALSE),"")</f>
        <v/>
      </c>
      <c r="Q102" s="9">
        <f>第2日!$C$43</f>
        <v>0</v>
      </c>
      <c r="R102" s="9" t="str">
        <f>第2日!$I$43</f>
        <v/>
      </c>
      <c r="S102" s="9" t="str">
        <f>第2日!$I$33</f>
        <v>可回读</v>
      </c>
    </row>
    <row r="103" spans="1:19" ht="24" customHeight="1">
      <c r="A103" s="9">
        <v>2</v>
      </c>
      <c r="B103" s="9" t="s">
        <v>448</v>
      </c>
      <c r="C103" s="9" t="s">
        <v>475</v>
      </c>
      <c r="D103" s="9">
        <v>6</v>
      </c>
      <c r="E103" s="9">
        <v>2</v>
      </c>
      <c r="F103" s="9">
        <v>2</v>
      </c>
      <c r="G103" s="9" t="str">
        <f>第2日!$B$32</f>
        <v>第6波 守护阵列</v>
      </c>
      <c r="H103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03" s="9">
        <f>第2日!$E$32</f>
        <v>0.4</v>
      </c>
      <c r="J103" s="9">
        <f>第2日!$G$32</f>
        <v>1</v>
      </c>
      <c r="K103" s="9">
        <f>第2日!$I$32</f>
        <v>300</v>
      </c>
      <c r="L103" s="9" t="s">
        <v>473</v>
      </c>
      <c r="M103" s="9" t="s">
        <v>474</v>
      </c>
      <c r="N103" s="9">
        <v>9</v>
      </c>
      <c r="O103" s="9">
        <f>第2日!$B$44</f>
        <v>0</v>
      </c>
      <c r="P103" s="9" t="str">
        <f>IFERROR(VLOOKUP(O103,敌人目录!$A$6:$AD$54,2,FALSE),"")</f>
        <v/>
      </c>
      <c r="Q103" s="9">
        <f>第2日!$C$44</f>
        <v>0</v>
      </c>
      <c r="R103" s="9" t="str">
        <f>第2日!$I$44</f>
        <v/>
      </c>
      <c r="S103" s="9" t="str">
        <f>第2日!$I$33</f>
        <v>可回读</v>
      </c>
    </row>
    <row r="104" spans="1:19" ht="24" customHeight="1">
      <c r="A104" s="9">
        <v>2</v>
      </c>
      <c r="B104" s="9" t="s">
        <v>448</v>
      </c>
      <c r="C104" s="9" t="s">
        <v>475</v>
      </c>
      <c r="D104" s="9">
        <v>6</v>
      </c>
      <c r="E104" s="9">
        <v>2</v>
      </c>
      <c r="F104" s="9">
        <v>2</v>
      </c>
      <c r="G104" s="9" t="str">
        <f>第2日!$B$32</f>
        <v>第6波 守护阵列</v>
      </c>
      <c r="H104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04" s="9">
        <f>第2日!$E$32</f>
        <v>0.4</v>
      </c>
      <c r="J104" s="9">
        <f>第2日!$G$32</f>
        <v>1</v>
      </c>
      <c r="K104" s="9">
        <f>第2日!$I$32</f>
        <v>300</v>
      </c>
      <c r="L104" s="9" t="s">
        <v>473</v>
      </c>
      <c r="M104" s="9" t="s">
        <v>474</v>
      </c>
      <c r="N104" s="9">
        <v>10</v>
      </c>
      <c r="O104" s="9">
        <f>第2日!$B$45</f>
        <v>0</v>
      </c>
      <c r="P104" s="9" t="str">
        <f>IFERROR(VLOOKUP(O104,敌人目录!$A$6:$AD$54,2,FALSE),"")</f>
        <v/>
      </c>
      <c r="Q104" s="9">
        <f>第2日!$C$45</f>
        <v>0</v>
      </c>
      <c r="R104" s="9" t="str">
        <f>第2日!$I$45</f>
        <v/>
      </c>
      <c r="S104" s="9" t="str">
        <f>第2日!$I$33</f>
        <v>可回读</v>
      </c>
    </row>
    <row r="105" spans="1:19" ht="24" customHeight="1">
      <c r="A105" s="9">
        <v>2</v>
      </c>
      <c r="B105" s="9" t="s">
        <v>448</v>
      </c>
      <c r="C105" s="9" t="s">
        <v>475</v>
      </c>
      <c r="D105" s="9">
        <v>6</v>
      </c>
      <c r="E105" s="9">
        <v>2</v>
      </c>
      <c r="F105" s="9">
        <v>2</v>
      </c>
      <c r="G105" s="9" t="str">
        <f>第2日!$B$32</f>
        <v>第6波 守护阵列</v>
      </c>
      <c r="H105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05" s="9">
        <f>第2日!$E$32</f>
        <v>0.4</v>
      </c>
      <c r="J105" s="9">
        <f>第2日!$G$32</f>
        <v>1</v>
      </c>
      <c r="K105" s="9">
        <f>第2日!$I$32</f>
        <v>300</v>
      </c>
      <c r="L105" s="9" t="s">
        <v>473</v>
      </c>
      <c r="M105" s="9" t="s">
        <v>474</v>
      </c>
      <c r="N105" s="9">
        <v>11</v>
      </c>
      <c r="O105" s="9">
        <f>第2日!$B$46</f>
        <v>0</v>
      </c>
      <c r="P105" s="9" t="str">
        <f>IFERROR(VLOOKUP(O105,敌人目录!$A$6:$AD$54,2,FALSE),"")</f>
        <v/>
      </c>
      <c r="Q105" s="9">
        <f>第2日!$C$46</f>
        <v>0</v>
      </c>
      <c r="R105" s="9" t="str">
        <f>第2日!$I$46</f>
        <v/>
      </c>
      <c r="S105" s="9" t="str">
        <f>第2日!$I$33</f>
        <v>可回读</v>
      </c>
    </row>
    <row r="106" spans="1:19" ht="24" customHeight="1">
      <c r="A106" s="9">
        <v>2</v>
      </c>
      <c r="B106" s="9" t="s">
        <v>448</v>
      </c>
      <c r="C106" s="9" t="s">
        <v>475</v>
      </c>
      <c r="D106" s="9">
        <v>6</v>
      </c>
      <c r="E106" s="9">
        <v>2</v>
      </c>
      <c r="F106" s="9">
        <v>2</v>
      </c>
      <c r="G106" s="9" t="str">
        <f>第2日!$B$32</f>
        <v>第6波 守护阵列</v>
      </c>
      <c r="H106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06" s="9">
        <f>第2日!$E$32</f>
        <v>0.4</v>
      </c>
      <c r="J106" s="9">
        <f>第2日!$G$32</f>
        <v>1</v>
      </c>
      <c r="K106" s="9">
        <f>第2日!$I$32</f>
        <v>300</v>
      </c>
      <c r="L106" s="9" t="s">
        <v>473</v>
      </c>
      <c r="M106" s="9" t="s">
        <v>474</v>
      </c>
      <c r="N106" s="9">
        <v>12</v>
      </c>
      <c r="O106" s="9">
        <f>第2日!$B$47</f>
        <v>0</v>
      </c>
      <c r="P106" s="9" t="str">
        <f>IFERROR(VLOOKUP(O106,敌人目录!$A$6:$AD$54,2,FALSE),"")</f>
        <v/>
      </c>
      <c r="Q106" s="9">
        <f>第2日!$C$47</f>
        <v>0</v>
      </c>
      <c r="R106" s="9" t="str">
        <f>第2日!$I$47</f>
        <v/>
      </c>
      <c r="S106" s="9" t="str">
        <f>第2日!$I$33</f>
        <v>可回读</v>
      </c>
    </row>
    <row r="107" spans="1:19" ht="24" customHeight="1">
      <c r="A107" s="9">
        <v>2</v>
      </c>
      <c r="B107" s="9" t="s">
        <v>448</v>
      </c>
      <c r="C107" s="9" t="s">
        <v>475</v>
      </c>
      <c r="D107" s="9">
        <v>6</v>
      </c>
      <c r="E107" s="9">
        <v>2</v>
      </c>
      <c r="F107" s="9">
        <v>2</v>
      </c>
      <c r="G107" s="9" t="str">
        <f>第2日!$B$32</f>
        <v>第6波 守护阵列</v>
      </c>
      <c r="H107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07" s="9">
        <f>第2日!$E$32</f>
        <v>0.4</v>
      </c>
      <c r="J107" s="9">
        <f>第2日!$G$32</f>
        <v>1</v>
      </c>
      <c r="K107" s="9">
        <f>第2日!$I$32</f>
        <v>300</v>
      </c>
      <c r="L107" s="9" t="s">
        <v>473</v>
      </c>
      <c r="M107" s="9" t="s">
        <v>474</v>
      </c>
      <c r="N107" s="9">
        <v>13</v>
      </c>
      <c r="O107" s="9">
        <f>第2日!$B$48</f>
        <v>0</v>
      </c>
      <c r="P107" s="9" t="str">
        <f>IFERROR(VLOOKUP(O107,敌人目录!$A$6:$AD$54,2,FALSE),"")</f>
        <v/>
      </c>
      <c r="Q107" s="9">
        <f>第2日!$C$48</f>
        <v>0</v>
      </c>
      <c r="R107" s="9" t="str">
        <f>第2日!$I$48</f>
        <v/>
      </c>
      <c r="S107" s="9" t="str">
        <f>第2日!$I$33</f>
        <v>可回读</v>
      </c>
    </row>
    <row r="108" spans="1:19" ht="24" customHeight="1">
      <c r="A108" s="9">
        <v>2</v>
      </c>
      <c r="B108" s="9" t="s">
        <v>448</v>
      </c>
      <c r="C108" s="9" t="s">
        <v>475</v>
      </c>
      <c r="D108" s="9">
        <v>6</v>
      </c>
      <c r="E108" s="9">
        <v>2</v>
      </c>
      <c r="F108" s="9">
        <v>2</v>
      </c>
      <c r="G108" s="9" t="str">
        <f>第2日!$B$32</f>
        <v>第6波 守护阵列</v>
      </c>
      <c r="H108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08" s="9">
        <f>第2日!$E$32</f>
        <v>0.4</v>
      </c>
      <c r="J108" s="9">
        <f>第2日!$G$32</f>
        <v>1</v>
      </c>
      <c r="K108" s="9">
        <f>第2日!$I$32</f>
        <v>300</v>
      </c>
      <c r="L108" s="9" t="s">
        <v>473</v>
      </c>
      <c r="M108" s="9" t="s">
        <v>474</v>
      </c>
      <c r="N108" s="9">
        <v>14</v>
      </c>
      <c r="O108" s="9">
        <f>第2日!$B$49</f>
        <v>0</v>
      </c>
      <c r="P108" s="9" t="str">
        <f>IFERROR(VLOOKUP(O108,敌人目录!$A$6:$AD$54,2,FALSE),"")</f>
        <v/>
      </c>
      <c r="Q108" s="9">
        <f>第2日!$C$49</f>
        <v>0</v>
      </c>
      <c r="R108" s="9" t="str">
        <f>第2日!$I$49</f>
        <v/>
      </c>
      <c r="S108" s="9" t="str">
        <f>第2日!$I$33</f>
        <v>可回读</v>
      </c>
    </row>
    <row r="109" spans="1:19" ht="24" customHeight="1">
      <c r="A109" s="9">
        <v>2</v>
      </c>
      <c r="B109" s="9" t="s">
        <v>448</v>
      </c>
      <c r="C109" s="9" t="s">
        <v>475</v>
      </c>
      <c r="D109" s="9">
        <v>6</v>
      </c>
      <c r="E109" s="9">
        <v>2</v>
      </c>
      <c r="F109" s="9">
        <v>2</v>
      </c>
      <c r="G109" s="9" t="str">
        <f>第2日!$B$32</f>
        <v>第6波 守护阵列</v>
      </c>
      <c r="H109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09" s="9">
        <f>第2日!$E$32</f>
        <v>0.4</v>
      </c>
      <c r="J109" s="9">
        <f>第2日!$G$32</f>
        <v>1</v>
      </c>
      <c r="K109" s="9">
        <f>第2日!$I$32</f>
        <v>300</v>
      </c>
      <c r="L109" s="9" t="s">
        <v>473</v>
      </c>
      <c r="M109" s="9" t="s">
        <v>474</v>
      </c>
      <c r="N109" s="9">
        <v>15</v>
      </c>
      <c r="O109" s="9">
        <f>第2日!$B$50</f>
        <v>0</v>
      </c>
      <c r="P109" s="9" t="str">
        <f>IFERROR(VLOOKUP(O109,敌人目录!$A$6:$AD$54,2,FALSE),"")</f>
        <v/>
      </c>
      <c r="Q109" s="9">
        <f>第2日!$C$50</f>
        <v>0</v>
      </c>
      <c r="R109" s="9" t="str">
        <f>第2日!$I$50</f>
        <v/>
      </c>
      <c r="S109" s="9" t="str">
        <f>第2日!$I$33</f>
        <v>可回读</v>
      </c>
    </row>
    <row r="110" spans="1:19" ht="24" customHeight="1">
      <c r="A110" s="9">
        <v>2</v>
      </c>
      <c r="B110" s="9" t="s">
        <v>448</v>
      </c>
      <c r="C110" s="9" t="s">
        <v>475</v>
      </c>
      <c r="D110" s="9">
        <v>6</v>
      </c>
      <c r="E110" s="9">
        <v>2</v>
      </c>
      <c r="F110" s="9">
        <v>2</v>
      </c>
      <c r="G110" s="9" t="str">
        <f>第2日!$B$32</f>
        <v>第6波 守护阵列</v>
      </c>
      <c r="H110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10" s="9">
        <f>第2日!$E$32</f>
        <v>0.4</v>
      </c>
      <c r="J110" s="9">
        <f>第2日!$G$32</f>
        <v>1</v>
      </c>
      <c r="K110" s="9">
        <f>第2日!$I$32</f>
        <v>300</v>
      </c>
      <c r="L110" s="9" t="s">
        <v>473</v>
      </c>
      <c r="M110" s="9" t="s">
        <v>474</v>
      </c>
      <c r="N110" s="9">
        <v>16</v>
      </c>
      <c r="O110" s="9">
        <f>第2日!$B$51</f>
        <v>0</v>
      </c>
      <c r="P110" s="9" t="str">
        <f>IFERROR(VLOOKUP(O110,敌人目录!$A$6:$AD$54,2,FALSE),"")</f>
        <v/>
      </c>
      <c r="Q110" s="9">
        <f>第2日!$C$51</f>
        <v>0</v>
      </c>
      <c r="R110" s="9" t="str">
        <f>第2日!$I$51</f>
        <v/>
      </c>
      <c r="S110" s="9" t="str">
        <f>第2日!$I$33</f>
        <v>可回读</v>
      </c>
    </row>
    <row r="111" spans="1:19" ht="24" customHeight="1">
      <c r="A111" s="9">
        <v>2</v>
      </c>
      <c r="B111" s="9" t="s">
        <v>448</v>
      </c>
      <c r="C111" s="9" t="s">
        <v>475</v>
      </c>
      <c r="D111" s="9">
        <v>6</v>
      </c>
      <c r="E111" s="9">
        <v>2</v>
      </c>
      <c r="F111" s="9">
        <v>2</v>
      </c>
      <c r="G111" s="9" t="str">
        <f>第2日!$B$32</f>
        <v>第6波 守护阵列</v>
      </c>
      <c r="H111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11" s="9">
        <f>第2日!$E$32</f>
        <v>0.4</v>
      </c>
      <c r="J111" s="9">
        <f>第2日!$G$32</f>
        <v>1</v>
      </c>
      <c r="K111" s="9">
        <f>第2日!$I$32</f>
        <v>300</v>
      </c>
      <c r="L111" s="9" t="s">
        <v>473</v>
      </c>
      <c r="M111" s="9" t="s">
        <v>474</v>
      </c>
      <c r="N111" s="9">
        <v>17</v>
      </c>
      <c r="O111" s="9">
        <f>第2日!$B$52</f>
        <v>0</v>
      </c>
      <c r="P111" s="9" t="str">
        <f>IFERROR(VLOOKUP(O111,敌人目录!$A$6:$AD$54,2,FALSE),"")</f>
        <v/>
      </c>
      <c r="Q111" s="9">
        <f>第2日!$C$52</f>
        <v>0</v>
      </c>
      <c r="R111" s="9" t="str">
        <f>第2日!$I$52</f>
        <v/>
      </c>
      <c r="S111" s="9" t="str">
        <f>第2日!$I$33</f>
        <v>可回读</v>
      </c>
    </row>
    <row r="112" spans="1:19" ht="24" customHeight="1">
      <c r="A112" s="9">
        <v>2</v>
      </c>
      <c r="B112" s="9" t="s">
        <v>448</v>
      </c>
      <c r="C112" s="9" t="s">
        <v>475</v>
      </c>
      <c r="D112" s="9">
        <v>6</v>
      </c>
      <c r="E112" s="9">
        <v>2</v>
      </c>
      <c r="F112" s="9">
        <v>2</v>
      </c>
      <c r="G112" s="9" t="str">
        <f>第2日!$B$32</f>
        <v>第6波 守护阵列</v>
      </c>
      <c r="H112" s="9">
        <f>IF(第2日!$B$33="点1·开启",1,0)+IF(第2日!$C$33="点2·开启",2,0)+IF(第2日!$D$33="点3·开启",4,0)+IF(第2日!$E$33="点4·开启",8,0)+IF(第2日!$F$33="点5·开启",16,0)+IF(第2日!$G$33="点6·开启",32,0)</f>
        <v>63</v>
      </c>
      <c r="I112" s="9">
        <f>第2日!$E$32</f>
        <v>0.4</v>
      </c>
      <c r="J112" s="9">
        <f>第2日!$G$32</f>
        <v>1</v>
      </c>
      <c r="K112" s="9">
        <f>第2日!$I$32</f>
        <v>300</v>
      </c>
      <c r="L112" s="9" t="s">
        <v>473</v>
      </c>
      <c r="M112" s="9" t="s">
        <v>474</v>
      </c>
      <c r="N112" s="9">
        <v>18</v>
      </c>
      <c r="O112" s="9">
        <f>第2日!$B$53</f>
        <v>0</v>
      </c>
      <c r="P112" s="9" t="str">
        <f>IFERROR(VLOOKUP(O112,敌人目录!$A$6:$AD$54,2,FALSE),"")</f>
        <v/>
      </c>
      <c r="Q112" s="9">
        <f>第2日!$C$53</f>
        <v>0</v>
      </c>
      <c r="R112" s="9" t="str">
        <f>第2日!$I$53</f>
        <v/>
      </c>
      <c r="S112" s="9" t="str">
        <f>第2日!$I$33</f>
        <v>可回读</v>
      </c>
    </row>
    <row r="113" spans="1:19" ht="24" customHeight="1">
      <c r="A113" s="9">
        <v>2</v>
      </c>
      <c r="B113" s="9" t="s">
        <v>448</v>
      </c>
      <c r="C113" s="9" t="s">
        <v>476</v>
      </c>
      <c r="D113" s="9">
        <v>7</v>
      </c>
      <c r="E113" s="9">
        <v>2</v>
      </c>
      <c r="F113" s="9">
        <v>3</v>
      </c>
      <c r="G113" s="9" t="str">
        <f>第2日!$B$61</f>
        <v>第7波 紫晶突袭</v>
      </c>
      <c r="H113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13" s="9">
        <f>第2日!$E$61</f>
        <v>0.35</v>
      </c>
      <c r="J113" s="9">
        <f>第2日!$G$61</f>
        <v>1</v>
      </c>
      <c r="K113" s="9">
        <f>第2日!$I$61</f>
        <v>300</v>
      </c>
      <c r="L113" s="9" t="s">
        <v>473</v>
      </c>
      <c r="M113" s="9" t="s">
        <v>474</v>
      </c>
      <c r="N113" s="9">
        <v>1</v>
      </c>
      <c r="O113" s="9" t="str">
        <f>第2日!$B$65</f>
        <v>普通原石虫</v>
      </c>
      <c r="P113" s="9" t="str">
        <f>IFERROR(VLOOKUP(O113,敌人目录!$A$6:$AD$54,2,FALSE),"")</f>
        <v>yuanshi_insect_basic</v>
      </c>
      <c r="Q113" s="9">
        <f>第2日!$C$65</f>
        <v>24</v>
      </c>
      <c r="R113" s="9" t="str">
        <f>第2日!$I$65</f>
        <v>可回读</v>
      </c>
      <c r="S113" s="9" t="str">
        <f>第2日!$I$62</f>
        <v>可回读</v>
      </c>
    </row>
    <row r="114" spans="1:19" ht="24" customHeight="1">
      <c r="A114" s="9">
        <v>2</v>
      </c>
      <c r="B114" s="9" t="s">
        <v>448</v>
      </c>
      <c r="C114" s="9" t="s">
        <v>476</v>
      </c>
      <c r="D114" s="9">
        <v>7</v>
      </c>
      <c r="E114" s="9">
        <v>2</v>
      </c>
      <c r="F114" s="9">
        <v>3</v>
      </c>
      <c r="G114" s="9" t="str">
        <f>第2日!$B$61</f>
        <v>第7波 紫晶突袭</v>
      </c>
      <c r="H114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14" s="9">
        <f>第2日!$E$61</f>
        <v>0.35</v>
      </c>
      <c r="J114" s="9">
        <f>第2日!$G$61</f>
        <v>1</v>
      </c>
      <c r="K114" s="9">
        <f>第2日!$I$61</f>
        <v>300</v>
      </c>
      <c r="L114" s="9" t="s">
        <v>473</v>
      </c>
      <c r="M114" s="9" t="s">
        <v>474</v>
      </c>
      <c r="N114" s="9">
        <v>2</v>
      </c>
      <c r="O114" s="9" t="str">
        <f>第2日!$B$66</f>
        <v>迅捷原石虫</v>
      </c>
      <c r="P114" s="9" t="str">
        <f>IFERROR(VLOOKUP(O114,敌人目录!$A$6:$AD$54,2,FALSE),"")</f>
        <v>yuanshi_insect_fast</v>
      </c>
      <c r="Q114" s="9">
        <f>第2日!$C$66</f>
        <v>24</v>
      </c>
      <c r="R114" s="9" t="str">
        <f>第2日!$I$66</f>
        <v>可回读</v>
      </c>
      <c r="S114" s="9" t="str">
        <f>第2日!$I$62</f>
        <v>可回读</v>
      </c>
    </row>
    <row r="115" spans="1:19" ht="24" customHeight="1">
      <c r="A115" s="9">
        <v>2</v>
      </c>
      <c r="B115" s="9" t="s">
        <v>448</v>
      </c>
      <c r="C115" s="9" t="s">
        <v>476</v>
      </c>
      <c r="D115" s="9">
        <v>7</v>
      </c>
      <c r="E115" s="9">
        <v>2</v>
      </c>
      <c r="F115" s="9">
        <v>3</v>
      </c>
      <c r="G115" s="9" t="str">
        <f>第2日!$B$61</f>
        <v>第7波 紫晶突袭</v>
      </c>
      <c r="H115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15" s="9">
        <f>第2日!$E$61</f>
        <v>0.35</v>
      </c>
      <c r="J115" s="9">
        <f>第2日!$G$61</f>
        <v>1</v>
      </c>
      <c r="K115" s="9">
        <f>第2日!$I$61</f>
        <v>300</v>
      </c>
      <c r="L115" s="9" t="s">
        <v>473</v>
      </c>
      <c r="M115" s="9" t="s">
        <v>474</v>
      </c>
      <c r="N115" s="9">
        <v>3</v>
      </c>
      <c r="O115" s="9" t="str">
        <f>第2日!$B$67</f>
        <v>硬壳原石虫</v>
      </c>
      <c r="P115" s="9" t="str">
        <f>IFERROR(VLOOKUP(O115,敌人目录!$A$6:$AD$54,2,FALSE),"")</f>
        <v>yuanshi_insect_shell</v>
      </c>
      <c r="Q115" s="9">
        <f>第2日!$C$67</f>
        <v>16</v>
      </c>
      <c r="R115" s="9" t="str">
        <f>第2日!$I$67</f>
        <v>可回读</v>
      </c>
      <c r="S115" s="9" t="str">
        <f>第2日!$I$62</f>
        <v>可回读</v>
      </c>
    </row>
    <row r="116" spans="1:19" ht="24" customHeight="1">
      <c r="A116" s="9">
        <v>2</v>
      </c>
      <c r="B116" s="9" t="s">
        <v>448</v>
      </c>
      <c r="C116" s="9" t="s">
        <v>476</v>
      </c>
      <c r="D116" s="9">
        <v>7</v>
      </c>
      <c r="E116" s="9">
        <v>2</v>
      </c>
      <c r="F116" s="9">
        <v>3</v>
      </c>
      <c r="G116" s="9" t="str">
        <f>第2日!$B$61</f>
        <v>第7波 紫晶突袭</v>
      </c>
      <c r="H116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16" s="9">
        <f>第2日!$E$61</f>
        <v>0.35</v>
      </c>
      <c r="J116" s="9">
        <f>第2日!$G$61</f>
        <v>1</v>
      </c>
      <c r="K116" s="9">
        <f>第2日!$I$61</f>
        <v>300</v>
      </c>
      <c r="L116" s="9" t="s">
        <v>473</v>
      </c>
      <c r="M116" s="9" t="s">
        <v>474</v>
      </c>
      <c r="N116" s="9">
        <v>4</v>
      </c>
      <c r="O116" s="9" t="str">
        <f>第2日!$B$68</f>
        <v>自爆原石虫</v>
      </c>
      <c r="P116" s="9" t="str">
        <f>IFERROR(VLOOKUP(O116,敌人目录!$A$6:$AD$54,2,FALSE),"")</f>
        <v>yuanshi_insect_bomber</v>
      </c>
      <c r="Q116" s="9">
        <f>第2日!$C$68</f>
        <v>16</v>
      </c>
      <c r="R116" s="9" t="str">
        <f>第2日!$I$68</f>
        <v>可回读</v>
      </c>
      <c r="S116" s="9" t="str">
        <f>第2日!$I$62</f>
        <v>可回读</v>
      </c>
    </row>
    <row r="117" spans="1:19" ht="24" customHeight="1">
      <c r="A117" s="9">
        <v>2</v>
      </c>
      <c r="B117" s="9" t="s">
        <v>448</v>
      </c>
      <c r="C117" s="9" t="s">
        <v>476</v>
      </c>
      <c r="D117" s="9">
        <v>7</v>
      </c>
      <c r="E117" s="9">
        <v>2</v>
      </c>
      <c r="F117" s="9">
        <v>3</v>
      </c>
      <c r="G117" s="9" t="str">
        <f>第2日!$B$61</f>
        <v>第7波 紫晶突袭</v>
      </c>
      <c r="H117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17" s="9">
        <f>第2日!$E$61</f>
        <v>0.35</v>
      </c>
      <c r="J117" s="9">
        <f>第2日!$G$61</f>
        <v>1</v>
      </c>
      <c r="K117" s="9">
        <f>第2日!$I$61</f>
        <v>300</v>
      </c>
      <c r="L117" s="9" t="s">
        <v>473</v>
      </c>
      <c r="M117" s="9" t="s">
        <v>474</v>
      </c>
      <c r="N117" s="9">
        <v>5</v>
      </c>
      <c r="O117" s="9" t="str">
        <f>第2日!$B$69</f>
        <v>紫晶自爆原石虫</v>
      </c>
      <c r="P117" s="9" t="str">
        <f>IFERROR(VLOOKUP(O117,敌人目录!$A$6:$AD$54,2,FALSE),"")</f>
        <v>yuanshi_insect_purple_bomber</v>
      </c>
      <c r="Q117" s="9">
        <f>第2日!$C$69</f>
        <v>8</v>
      </c>
      <c r="R117" s="9" t="str">
        <f>第2日!$I$69</f>
        <v>可回读</v>
      </c>
      <c r="S117" s="9" t="str">
        <f>第2日!$I$62</f>
        <v>可回读</v>
      </c>
    </row>
    <row r="118" spans="1:19" ht="24" customHeight="1">
      <c r="A118" s="9">
        <v>2</v>
      </c>
      <c r="B118" s="9" t="s">
        <v>448</v>
      </c>
      <c r="C118" s="9" t="s">
        <v>476</v>
      </c>
      <c r="D118" s="9">
        <v>7</v>
      </c>
      <c r="E118" s="9">
        <v>2</v>
      </c>
      <c r="F118" s="9">
        <v>3</v>
      </c>
      <c r="G118" s="9" t="str">
        <f>第2日!$B$61</f>
        <v>第7波 紫晶突袭</v>
      </c>
      <c r="H118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18" s="9">
        <f>第2日!$E$61</f>
        <v>0.35</v>
      </c>
      <c r="J118" s="9">
        <f>第2日!$G$61</f>
        <v>1</v>
      </c>
      <c r="K118" s="9">
        <f>第2日!$I$61</f>
        <v>300</v>
      </c>
      <c r="L118" s="9" t="s">
        <v>473</v>
      </c>
      <c r="M118" s="9" t="s">
        <v>474</v>
      </c>
      <c r="N118" s="9">
        <v>6</v>
      </c>
      <c r="O118" s="9" t="str">
        <f>第2日!$B$70</f>
        <v>火焰弹原石虫</v>
      </c>
      <c r="P118" s="9" t="str">
        <f>IFERROR(VLOOKUP(O118,敌人目录!$A$6:$AD$54,2,FALSE),"")</f>
        <v>yuanshi_insect_fire_ranged</v>
      </c>
      <c r="Q118" s="9">
        <f>第2日!$C$70</f>
        <v>16</v>
      </c>
      <c r="R118" s="9" t="str">
        <f>第2日!$I$70</f>
        <v>可回读</v>
      </c>
      <c r="S118" s="9" t="str">
        <f>第2日!$I$62</f>
        <v>可回读</v>
      </c>
    </row>
    <row r="119" spans="1:19" ht="24" customHeight="1">
      <c r="A119" s="9">
        <v>2</v>
      </c>
      <c r="B119" s="9" t="s">
        <v>448</v>
      </c>
      <c r="C119" s="9" t="s">
        <v>476</v>
      </c>
      <c r="D119" s="9">
        <v>7</v>
      </c>
      <c r="E119" s="9">
        <v>2</v>
      </c>
      <c r="F119" s="9">
        <v>3</v>
      </c>
      <c r="G119" s="9" t="str">
        <f>第2日!$B$61</f>
        <v>第7波 紫晶突袭</v>
      </c>
      <c r="H119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19" s="9">
        <f>第2日!$E$61</f>
        <v>0.35</v>
      </c>
      <c r="J119" s="9">
        <f>第2日!$G$61</f>
        <v>1</v>
      </c>
      <c r="K119" s="9">
        <f>第2日!$I$61</f>
        <v>300</v>
      </c>
      <c r="L119" s="9" t="s">
        <v>473</v>
      </c>
      <c r="M119" s="9" t="s">
        <v>474</v>
      </c>
      <c r="N119" s="9">
        <v>7</v>
      </c>
      <c r="O119" s="9" t="str">
        <f>第2日!$B$71</f>
        <v>守护者原石虫</v>
      </c>
      <c r="P119" s="9" t="str">
        <f>IFERROR(VLOOKUP(O119,敌人目录!$A$6:$AD$54,2,FALSE),"")</f>
        <v>yuanshi_insect_guardian</v>
      </c>
      <c r="Q119" s="9">
        <f>第2日!$C$71</f>
        <v>8</v>
      </c>
      <c r="R119" s="9" t="str">
        <f>第2日!$I$71</f>
        <v>可回读</v>
      </c>
      <c r="S119" s="9" t="str">
        <f>第2日!$I$62</f>
        <v>可回读</v>
      </c>
    </row>
    <row r="120" spans="1:19" ht="24" customHeight="1">
      <c r="A120" s="9">
        <v>2</v>
      </c>
      <c r="B120" s="9" t="s">
        <v>448</v>
      </c>
      <c r="C120" s="9" t="s">
        <v>476</v>
      </c>
      <c r="D120" s="9">
        <v>7</v>
      </c>
      <c r="E120" s="9">
        <v>2</v>
      </c>
      <c r="F120" s="9">
        <v>3</v>
      </c>
      <c r="G120" s="9" t="str">
        <f>第2日!$B$61</f>
        <v>第7波 紫晶突袭</v>
      </c>
      <c r="H120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20" s="9">
        <f>第2日!$E$61</f>
        <v>0.35</v>
      </c>
      <c r="J120" s="9">
        <f>第2日!$G$61</f>
        <v>1</v>
      </c>
      <c r="K120" s="9">
        <f>第2日!$I$61</f>
        <v>300</v>
      </c>
      <c r="L120" s="9" t="s">
        <v>473</v>
      </c>
      <c r="M120" s="9" t="s">
        <v>474</v>
      </c>
      <c r="N120" s="9">
        <v>8</v>
      </c>
      <c r="O120" s="9">
        <f>第2日!$B$72</f>
        <v>0</v>
      </c>
      <c r="P120" s="9" t="str">
        <f>IFERROR(VLOOKUP(O120,敌人目录!$A$6:$AD$54,2,FALSE),"")</f>
        <v/>
      </c>
      <c r="Q120" s="9">
        <f>第2日!$C$72</f>
        <v>0</v>
      </c>
      <c r="R120" s="9" t="str">
        <f>第2日!$I$72</f>
        <v/>
      </c>
      <c r="S120" s="9" t="str">
        <f>第2日!$I$62</f>
        <v>可回读</v>
      </c>
    </row>
    <row r="121" spans="1:19" ht="24" customHeight="1">
      <c r="A121" s="9">
        <v>2</v>
      </c>
      <c r="B121" s="9" t="s">
        <v>448</v>
      </c>
      <c r="C121" s="9" t="s">
        <v>476</v>
      </c>
      <c r="D121" s="9">
        <v>7</v>
      </c>
      <c r="E121" s="9">
        <v>2</v>
      </c>
      <c r="F121" s="9">
        <v>3</v>
      </c>
      <c r="G121" s="9" t="str">
        <f>第2日!$B$61</f>
        <v>第7波 紫晶突袭</v>
      </c>
      <c r="H121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21" s="9">
        <f>第2日!$E$61</f>
        <v>0.35</v>
      </c>
      <c r="J121" s="9">
        <f>第2日!$G$61</f>
        <v>1</v>
      </c>
      <c r="K121" s="9">
        <f>第2日!$I$61</f>
        <v>300</v>
      </c>
      <c r="L121" s="9" t="s">
        <v>473</v>
      </c>
      <c r="M121" s="9" t="s">
        <v>474</v>
      </c>
      <c r="N121" s="9">
        <v>9</v>
      </c>
      <c r="O121" s="9">
        <f>第2日!$B$73</f>
        <v>0</v>
      </c>
      <c r="P121" s="9" t="str">
        <f>IFERROR(VLOOKUP(O121,敌人目录!$A$6:$AD$54,2,FALSE),"")</f>
        <v/>
      </c>
      <c r="Q121" s="9">
        <f>第2日!$C$73</f>
        <v>0</v>
      </c>
      <c r="R121" s="9" t="str">
        <f>第2日!$I$73</f>
        <v/>
      </c>
      <c r="S121" s="9" t="str">
        <f>第2日!$I$62</f>
        <v>可回读</v>
      </c>
    </row>
    <row r="122" spans="1:19" ht="24" customHeight="1">
      <c r="A122" s="9">
        <v>2</v>
      </c>
      <c r="B122" s="9" t="s">
        <v>448</v>
      </c>
      <c r="C122" s="9" t="s">
        <v>476</v>
      </c>
      <c r="D122" s="9">
        <v>7</v>
      </c>
      <c r="E122" s="9">
        <v>2</v>
      </c>
      <c r="F122" s="9">
        <v>3</v>
      </c>
      <c r="G122" s="9" t="str">
        <f>第2日!$B$61</f>
        <v>第7波 紫晶突袭</v>
      </c>
      <c r="H122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22" s="9">
        <f>第2日!$E$61</f>
        <v>0.35</v>
      </c>
      <c r="J122" s="9">
        <f>第2日!$G$61</f>
        <v>1</v>
      </c>
      <c r="K122" s="9">
        <f>第2日!$I$61</f>
        <v>300</v>
      </c>
      <c r="L122" s="9" t="s">
        <v>473</v>
      </c>
      <c r="M122" s="9" t="s">
        <v>474</v>
      </c>
      <c r="N122" s="9">
        <v>10</v>
      </c>
      <c r="O122" s="9">
        <f>第2日!$B$74</f>
        <v>0</v>
      </c>
      <c r="P122" s="9" t="str">
        <f>IFERROR(VLOOKUP(O122,敌人目录!$A$6:$AD$54,2,FALSE),"")</f>
        <v/>
      </c>
      <c r="Q122" s="9">
        <f>第2日!$C$74</f>
        <v>0</v>
      </c>
      <c r="R122" s="9" t="str">
        <f>第2日!$I$74</f>
        <v/>
      </c>
      <c r="S122" s="9" t="str">
        <f>第2日!$I$62</f>
        <v>可回读</v>
      </c>
    </row>
    <row r="123" spans="1:19" ht="24" customHeight="1">
      <c r="A123" s="9">
        <v>2</v>
      </c>
      <c r="B123" s="9" t="s">
        <v>448</v>
      </c>
      <c r="C123" s="9" t="s">
        <v>476</v>
      </c>
      <c r="D123" s="9">
        <v>7</v>
      </c>
      <c r="E123" s="9">
        <v>2</v>
      </c>
      <c r="F123" s="9">
        <v>3</v>
      </c>
      <c r="G123" s="9" t="str">
        <f>第2日!$B$61</f>
        <v>第7波 紫晶突袭</v>
      </c>
      <c r="H123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23" s="9">
        <f>第2日!$E$61</f>
        <v>0.35</v>
      </c>
      <c r="J123" s="9">
        <f>第2日!$G$61</f>
        <v>1</v>
      </c>
      <c r="K123" s="9">
        <f>第2日!$I$61</f>
        <v>300</v>
      </c>
      <c r="L123" s="9" t="s">
        <v>473</v>
      </c>
      <c r="M123" s="9" t="s">
        <v>474</v>
      </c>
      <c r="N123" s="9">
        <v>11</v>
      </c>
      <c r="O123" s="9">
        <f>第2日!$B$75</f>
        <v>0</v>
      </c>
      <c r="P123" s="9" t="str">
        <f>IFERROR(VLOOKUP(O123,敌人目录!$A$6:$AD$54,2,FALSE),"")</f>
        <v/>
      </c>
      <c r="Q123" s="9">
        <f>第2日!$C$75</f>
        <v>0</v>
      </c>
      <c r="R123" s="9" t="str">
        <f>第2日!$I$75</f>
        <v/>
      </c>
      <c r="S123" s="9" t="str">
        <f>第2日!$I$62</f>
        <v>可回读</v>
      </c>
    </row>
    <row r="124" spans="1:19" ht="24" customHeight="1">
      <c r="A124" s="9">
        <v>2</v>
      </c>
      <c r="B124" s="9" t="s">
        <v>448</v>
      </c>
      <c r="C124" s="9" t="s">
        <v>476</v>
      </c>
      <c r="D124" s="9">
        <v>7</v>
      </c>
      <c r="E124" s="9">
        <v>2</v>
      </c>
      <c r="F124" s="9">
        <v>3</v>
      </c>
      <c r="G124" s="9" t="str">
        <f>第2日!$B$61</f>
        <v>第7波 紫晶突袭</v>
      </c>
      <c r="H124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24" s="9">
        <f>第2日!$E$61</f>
        <v>0.35</v>
      </c>
      <c r="J124" s="9">
        <f>第2日!$G$61</f>
        <v>1</v>
      </c>
      <c r="K124" s="9">
        <f>第2日!$I$61</f>
        <v>300</v>
      </c>
      <c r="L124" s="9" t="s">
        <v>473</v>
      </c>
      <c r="M124" s="9" t="s">
        <v>474</v>
      </c>
      <c r="N124" s="9">
        <v>12</v>
      </c>
      <c r="O124" s="9">
        <f>第2日!$B$76</f>
        <v>0</v>
      </c>
      <c r="P124" s="9" t="str">
        <f>IFERROR(VLOOKUP(O124,敌人目录!$A$6:$AD$54,2,FALSE),"")</f>
        <v/>
      </c>
      <c r="Q124" s="9">
        <f>第2日!$C$76</f>
        <v>0</v>
      </c>
      <c r="R124" s="9" t="str">
        <f>第2日!$I$76</f>
        <v/>
      </c>
      <c r="S124" s="9" t="str">
        <f>第2日!$I$62</f>
        <v>可回读</v>
      </c>
    </row>
    <row r="125" spans="1:19" ht="24" customHeight="1">
      <c r="A125" s="9">
        <v>2</v>
      </c>
      <c r="B125" s="9" t="s">
        <v>448</v>
      </c>
      <c r="C125" s="9" t="s">
        <v>476</v>
      </c>
      <c r="D125" s="9">
        <v>7</v>
      </c>
      <c r="E125" s="9">
        <v>2</v>
      </c>
      <c r="F125" s="9">
        <v>3</v>
      </c>
      <c r="G125" s="9" t="str">
        <f>第2日!$B$61</f>
        <v>第7波 紫晶突袭</v>
      </c>
      <c r="H125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25" s="9">
        <f>第2日!$E$61</f>
        <v>0.35</v>
      </c>
      <c r="J125" s="9">
        <f>第2日!$G$61</f>
        <v>1</v>
      </c>
      <c r="K125" s="9">
        <f>第2日!$I$61</f>
        <v>300</v>
      </c>
      <c r="L125" s="9" t="s">
        <v>473</v>
      </c>
      <c r="M125" s="9" t="s">
        <v>474</v>
      </c>
      <c r="N125" s="9">
        <v>13</v>
      </c>
      <c r="O125" s="9">
        <f>第2日!$B$77</f>
        <v>0</v>
      </c>
      <c r="P125" s="9" t="str">
        <f>IFERROR(VLOOKUP(O125,敌人目录!$A$6:$AD$54,2,FALSE),"")</f>
        <v/>
      </c>
      <c r="Q125" s="9">
        <f>第2日!$C$77</f>
        <v>0</v>
      </c>
      <c r="R125" s="9" t="str">
        <f>第2日!$I$77</f>
        <v/>
      </c>
      <c r="S125" s="9" t="str">
        <f>第2日!$I$62</f>
        <v>可回读</v>
      </c>
    </row>
    <row r="126" spans="1:19" ht="24" customHeight="1">
      <c r="A126" s="9">
        <v>2</v>
      </c>
      <c r="B126" s="9" t="s">
        <v>448</v>
      </c>
      <c r="C126" s="9" t="s">
        <v>476</v>
      </c>
      <c r="D126" s="9">
        <v>7</v>
      </c>
      <c r="E126" s="9">
        <v>2</v>
      </c>
      <c r="F126" s="9">
        <v>3</v>
      </c>
      <c r="G126" s="9" t="str">
        <f>第2日!$B$61</f>
        <v>第7波 紫晶突袭</v>
      </c>
      <c r="H126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26" s="9">
        <f>第2日!$E$61</f>
        <v>0.35</v>
      </c>
      <c r="J126" s="9">
        <f>第2日!$G$61</f>
        <v>1</v>
      </c>
      <c r="K126" s="9">
        <f>第2日!$I$61</f>
        <v>300</v>
      </c>
      <c r="L126" s="9" t="s">
        <v>473</v>
      </c>
      <c r="M126" s="9" t="s">
        <v>474</v>
      </c>
      <c r="N126" s="9">
        <v>14</v>
      </c>
      <c r="O126" s="9">
        <f>第2日!$B$78</f>
        <v>0</v>
      </c>
      <c r="P126" s="9" t="str">
        <f>IFERROR(VLOOKUP(O126,敌人目录!$A$6:$AD$54,2,FALSE),"")</f>
        <v/>
      </c>
      <c r="Q126" s="9">
        <f>第2日!$C$78</f>
        <v>0</v>
      </c>
      <c r="R126" s="9" t="str">
        <f>第2日!$I$78</f>
        <v/>
      </c>
      <c r="S126" s="9" t="str">
        <f>第2日!$I$62</f>
        <v>可回读</v>
      </c>
    </row>
    <row r="127" spans="1:19" ht="24" customHeight="1">
      <c r="A127" s="9">
        <v>2</v>
      </c>
      <c r="B127" s="9" t="s">
        <v>448</v>
      </c>
      <c r="C127" s="9" t="s">
        <v>476</v>
      </c>
      <c r="D127" s="9">
        <v>7</v>
      </c>
      <c r="E127" s="9">
        <v>2</v>
      </c>
      <c r="F127" s="9">
        <v>3</v>
      </c>
      <c r="G127" s="9" t="str">
        <f>第2日!$B$61</f>
        <v>第7波 紫晶突袭</v>
      </c>
      <c r="H127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27" s="9">
        <f>第2日!$E$61</f>
        <v>0.35</v>
      </c>
      <c r="J127" s="9">
        <f>第2日!$G$61</f>
        <v>1</v>
      </c>
      <c r="K127" s="9">
        <f>第2日!$I$61</f>
        <v>300</v>
      </c>
      <c r="L127" s="9" t="s">
        <v>473</v>
      </c>
      <c r="M127" s="9" t="s">
        <v>474</v>
      </c>
      <c r="N127" s="9">
        <v>15</v>
      </c>
      <c r="O127" s="9">
        <f>第2日!$B$79</f>
        <v>0</v>
      </c>
      <c r="P127" s="9" t="str">
        <f>IFERROR(VLOOKUP(O127,敌人目录!$A$6:$AD$54,2,FALSE),"")</f>
        <v/>
      </c>
      <c r="Q127" s="9">
        <f>第2日!$C$79</f>
        <v>0</v>
      </c>
      <c r="R127" s="9" t="str">
        <f>第2日!$I$79</f>
        <v/>
      </c>
      <c r="S127" s="9" t="str">
        <f>第2日!$I$62</f>
        <v>可回读</v>
      </c>
    </row>
    <row r="128" spans="1:19" ht="24" customHeight="1">
      <c r="A128" s="9">
        <v>2</v>
      </c>
      <c r="B128" s="9" t="s">
        <v>448</v>
      </c>
      <c r="C128" s="9" t="s">
        <v>476</v>
      </c>
      <c r="D128" s="9">
        <v>7</v>
      </c>
      <c r="E128" s="9">
        <v>2</v>
      </c>
      <c r="F128" s="9">
        <v>3</v>
      </c>
      <c r="G128" s="9" t="str">
        <f>第2日!$B$61</f>
        <v>第7波 紫晶突袭</v>
      </c>
      <c r="H128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28" s="9">
        <f>第2日!$E$61</f>
        <v>0.35</v>
      </c>
      <c r="J128" s="9">
        <f>第2日!$G$61</f>
        <v>1</v>
      </c>
      <c r="K128" s="9">
        <f>第2日!$I$61</f>
        <v>300</v>
      </c>
      <c r="L128" s="9" t="s">
        <v>473</v>
      </c>
      <c r="M128" s="9" t="s">
        <v>474</v>
      </c>
      <c r="N128" s="9">
        <v>16</v>
      </c>
      <c r="O128" s="9">
        <f>第2日!$B$80</f>
        <v>0</v>
      </c>
      <c r="P128" s="9" t="str">
        <f>IFERROR(VLOOKUP(O128,敌人目录!$A$6:$AD$54,2,FALSE),"")</f>
        <v/>
      </c>
      <c r="Q128" s="9">
        <f>第2日!$C$80</f>
        <v>0</v>
      </c>
      <c r="R128" s="9" t="str">
        <f>第2日!$I$80</f>
        <v/>
      </c>
      <c r="S128" s="9" t="str">
        <f>第2日!$I$62</f>
        <v>可回读</v>
      </c>
    </row>
    <row r="129" spans="1:19" ht="24" customHeight="1">
      <c r="A129" s="9">
        <v>2</v>
      </c>
      <c r="B129" s="9" t="s">
        <v>448</v>
      </c>
      <c r="C129" s="9" t="s">
        <v>476</v>
      </c>
      <c r="D129" s="9">
        <v>7</v>
      </c>
      <c r="E129" s="9">
        <v>2</v>
      </c>
      <c r="F129" s="9">
        <v>3</v>
      </c>
      <c r="G129" s="9" t="str">
        <f>第2日!$B$61</f>
        <v>第7波 紫晶突袭</v>
      </c>
      <c r="H129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29" s="9">
        <f>第2日!$E$61</f>
        <v>0.35</v>
      </c>
      <c r="J129" s="9">
        <f>第2日!$G$61</f>
        <v>1</v>
      </c>
      <c r="K129" s="9">
        <f>第2日!$I$61</f>
        <v>300</v>
      </c>
      <c r="L129" s="9" t="s">
        <v>473</v>
      </c>
      <c r="M129" s="9" t="s">
        <v>474</v>
      </c>
      <c r="N129" s="9">
        <v>17</v>
      </c>
      <c r="O129" s="9">
        <f>第2日!$B$81</f>
        <v>0</v>
      </c>
      <c r="P129" s="9" t="str">
        <f>IFERROR(VLOOKUP(O129,敌人目录!$A$6:$AD$54,2,FALSE),"")</f>
        <v/>
      </c>
      <c r="Q129" s="9">
        <f>第2日!$C$81</f>
        <v>0</v>
      </c>
      <c r="R129" s="9" t="str">
        <f>第2日!$I$81</f>
        <v/>
      </c>
      <c r="S129" s="9" t="str">
        <f>第2日!$I$62</f>
        <v>可回读</v>
      </c>
    </row>
    <row r="130" spans="1:19" ht="24" customHeight="1">
      <c r="A130" s="9">
        <v>2</v>
      </c>
      <c r="B130" s="9" t="s">
        <v>448</v>
      </c>
      <c r="C130" s="9" t="s">
        <v>476</v>
      </c>
      <c r="D130" s="9">
        <v>7</v>
      </c>
      <c r="E130" s="9">
        <v>2</v>
      </c>
      <c r="F130" s="9">
        <v>3</v>
      </c>
      <c r="G130" s="9" t="str">
        <f>第2日!$B$61</f>
        <v>第7波 紫晶突袭</v>
      </c>
      <c r="H130" s="9">
        <f>IF(第2日!$B$62="点1·开启",1,0)+IF(第2日!$C$62="点2·开启",2,0)+IF(第2日!$D$62="点3·开启",4,0)+IF(第2日!$E$62="点4·开启",8,0)+IF(第2日!$F$62="点5·开启",16,0)+IF(第2日!$G$62="点6·开启",32,0)</f>
        <v>63</v>
      </c>
      <c r="I130" s="9">
        <f>第2日!$E$61</f>
        <v>0.35</v>
      </c>
      <c r="J130" s="9">
        <f>第2日!$G$61</f>
        <v>1</v>
      </c>
      <c r="K130" s="9">
        <f>第2日!$I$61</f>
        <v>300</v>
      </c>
      <c r="L130" s="9" t="s">
        <v>473</v>
      </c>
      <c r="M130" s="9" t="s">
        <v>474</v>
      </c>
      <c r="N130" s="9">
        <v>18</v>
      </c>
      <c r="O130" s="9">
        <f>第2日!$B$82</f>
        <v>0</v>
      </c>
      <c r="P130" s="9" t="str">
        <f>IFERROR(VLOOKUP(O130,敌人目录!$A$6:$AD$54,2,FALSE),"")</f>
        <v/>
      </c>
      <c r="Q130" s="9">
        <f>第2日!$C$82</f>
        <v>0</v>
      </c>
      <c r="R130" s="9" t="str">
        <f>第2日!$I$82</f>
        <v/>
      </c>
      <c r="S130" s="9" t="str">
        <f>第2日!$I$62</f>
        <v>可回读</v>
      </c>
    </row>
    <row r="131" spans="1:19" ht="24" customHeight="1">
      <c r="A131" s="9">
        <v>2</v>
      </c>
      <c r="B131" s="9" t="s">
        <v>448</v>
      </c>
      <c r="C131" s="9" t="s">
        <v>477</v>
      </c>
      <c r="D131" s="9">
        <v>8</v>
      </c>
      <c r="E131" s="9">
        <v>2</v>
      </c>
      <c r="F131" s="9">
        <v>4</v>
      </c>
      <c r="G131" s="9" t="str">
        <f>第2日!$B$90</f>
        <v>第8波 沼泽合围</v>
      </c>
      <c r="H131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31" s="9">
        <f>第2日!$E$90</f>
        <v>0.3</v>
      </c>
      <c r="J131" s="9">
        <f>第2日!$G$90</f>
        <v>1</v>
      </c>
      <c r="K131" s="9">
        <f>第2日!$I$90</f>
        <v>300</v>
      </c>
      <c r="L131" s="9" t="s">
        <v>473</v>
      </c>
      <c r="M131" s="9" t="s">
        <v>474</v>
      </c>
      <c r="N131" s="9">
        <v>1</v>
      </c>
      <c r="O131" s="9" t="str">
        <f>第2日!$B$94</f>
        <v>普通原石虫</v>
      </c>
      <c r="P131" s="9" t="str">
        <f>IFERROR(VLOOKUP(O131,敌人目录!$A$6:$AD$54,2,FALSE),"")</f>
        <v>yuanshi_insect_basic</v>
      </c>
      <c r="Q131" s="9">
        <f>第2日!$C$94</f>
        <v>24</v>
      </c>
      <c r="R131" s="9" t="str">
        <f>第2日!$I$94</f>
        <v>可回读</v>
      </c>
      <c r="S131" s="9" t="str">
        <f>第2日!$I$91</f>
        <v>可回读</v>
      </c>
    </row>
    <row r="132" spans="1:19" ht="24" customHeight="1">
      <c r="A132" s="9">
        <v>2</v>
      </c>
      <c r="B132" s="9" t="s">
        <v>448</v>
      </c>
      <c r="C132" s="9" t="s">
        <v>477</v>
      </c>
      <c r="D132" s="9">
        <v>8</v>
      </c>
      <c r="E132" s="9">
        <v>2</v>
      </c>
      <c r="F132" s="9">
        <v>4</v>
      </c>
      <c r="G132" s="9" t="str">
        <f>第2日!$B$90</f>
        <v>第8波 沼泽合围</v>
      </c>
      <c r="H132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32" s="9">
        <f>第2日!$E$90</f>
        <v>0.3</v>
      </c>
      <c r="J132" s="9">
        <f>第2日!$G$90</f>
        <v>1</v>
      </c>
      <c r="K132" s="9">
        <f>第2日!$I$90</f>
        <v>300</v>
      </c>
      <c r="L132" s="9" t="s">
        <v>473</v>
      </c>
      <c r="M132" s="9" t="s">
        <v>474</v>
      </c>
      <c r="N132" s="9">
        <v>2</v>
      </c>
      <c r="O132" s="9" t="str">
        <f>第2日!$B$95</f>
        <v>迅捷原石虫</v>
      </c>
      <c r="P132" s="9" t="str">
        <f>IFERROR(VLOOKUP(O132,敌人目录!$A$6:$AD$54,2,FALSE),"")</f>
        <v>yuanshi_insect_fast</v>
      </c>
      <c r="Q132" s="9">
        <f>第2日!$C$95</f>
        <v>24</v>
      </c>
      <c r="R132" s="9" t="str">
        <f>第2日!$I$95</f>
        <v>可回读</v>
      </c>
      <c r="S132" s="9" t="str">
        <f>第2日!$I$91</f>
        <v>可回读</v>
      </c>
    </row>
    <row r="133" spans="1:19" ht="24" customHeight="1">
      <c r="A133" s="9">
        <v>2</v>
      </c>
      <c r="B133" s="9" t="s">
        <v>448</v>
      </c>
      <c r="C133" s="9" t="s">
        <v>477</v>
      </c>
      <c r="D133" s="9">
        <v>8</v>
      </c>
      <c r="E133" s="9">
        <v>2</v>
      </c>
      <c r="F133" s="9">
        <v>4</v>
      </c>
      <c r="G133" s="9" t="str">
        <f>第2日!$B$90</f>
        <v>第8波 沼泽合围</v>
      </c>
      <c r="H133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33" s="9">
        <f>第2日!$E$90</f>
        <v>0.3</v>
      </c>
      <c r="J133" s="9">
        <f>第2日!$G$90</f>
        <v>1</v>
      </c>
      <c r="K133" s="9">
        <f>第2日!$I$90</f>
        <v>300</v>
      </c>
      <c r="L133" s="9" t="s">
        <v>473</v>
      </c>
      <c r="M133" s="9" t="s">
        <v>474</v>
      </c>
      <c r="N133" s="9">
        <v>3</v>
      </c>
      <c r="O133" s="9" t="str">
        <f>第2日!$B$96</f>
        <v>硬壳原石虫</v>
      </c>
      <c r="P133" s="9" t="str">
        <f>IFERROR(VLOOKUP(O133,敌人目录!$A$6:$AD$54,2,FALSE),"")</f>
        <v>yuanshi_insect_shell</v>
      </c>
      <c r="Q133" s="9">
        <f>第2日!$C$96</f>
        <v>20</v>
      </c>
      <c r="R133" s="9" t="str">
        <f>第2日!$I$96</f>
        <v>可回读</v>
      </c>
      <c r="S133" s="9" t="str">
        <f>第2日!$I$91</f>
        <v>可回读</v>
      </c>
    </row>
    <row r="134" spans="1:19" ht="24" customHeight="1">
      <c r="A134" s="9">
        <v>2</v>
      </c>
      <c r="B134" s="9" t="s">
        <v>448</v>
      </c>
      <c r="C134" s="9" t="s">
        <v>477</v>
      </c>
      <c r="D134" s="9">
        <v>8</v>
      </c>
      <c r="E134" s="9">
        <v>2</v>
      </c>
      <c r="F134" s="9">
        <v>4</v>
      </c>
      <c r="G134" s="9" t="str">
        <f>第2日!$B$90</f>
        <v>第8波 沼泽合围</v>
      </c>
      <c r="H134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34" s="9">
        <f>第2日!$E$90</f>
        <v>0.3</v>
      </c>
      <c r="J134" s="9">
        <f>第2日!$G$90</f>
        <v>1</v>
      </c>
      <c r="K134" s="9">
        <f>第2日!$I$90</f>
        <v>300</v>
      </c>
      <c r="L134" s="9" t="s">
        <v>473</v>
      </c>
      <c r="M134" s="9" t="s">
        <v>474</v>
      </c>
      <c r="N134" s="9">
        <v>4</v>
      </c>
      <c r="O134" s="9" t="str">
        <f>第2日!$B$97</f>
        <v>自爆原石虫</v>
      </c>
      <c r="P134" s="9" t="str">
        <f>IFERROR(VLOOKUP(O134,敌人目录!$A$6:$AD$54,2,FALSE),"")</f>
        <v>yuanshi_insect_bomber</v>
      </c>
      <c r="Q134" s="9">
        <f>第2日!$C$97</f>
        <v>20</v>
      </c>
      <c r="R134" s="9" t="str">
        <f>第2日!$I$97</f>
        <v>可回读</v>
      </c>
      <c r="S134" s="9" t="str">
        <f>第2日!$I$91</f>
        <v>可回读</v>
      </c>
    </row>
    <row r="135" spans="1:19" ht="24" customHeight="1">
      <c r="A135" s="9">
        <v>2</v>
      </c>
      <c r="B135" s="9" t="s">
        <v>448</v>
      </c>
      <c r="C135" s="9" t="s">
        <v>477</v>
      </c>
      <c r="D135" s="9">
        <v>8</v>
      </c>
      <c r="E135" s="9">
        <v>2</v>
      </c>
      <c r="F135" s="9">
        <v>4</v>
      </c>
      <c r="G135" s="9" t="str">
        <f>第2日!$B$90</f>
        <v>第8波 沼泽合围</v>
      </c>
      <c r="H135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35" s="9">
        <f>第2日!$E$90</f>
        <v>0.3</v>
      </c>
      <c r="J135" s="9">
        <f>第2日!$G$90</f>
        <v>1</v>
      </c>
      <c r="K135" s="9">
        <f>第2日!$I$90</f>
        <v>300</v>
      </c>
      <c r="L135" s="9" t="s">
        <v>473</v>
      </c>
      <c r="M135" s="9" t="s">
        <v>474</v>
      </c>
      <c r="N135" s="9">
        <v>5</v>
      </c>
      <c r="O135" s="9" t="str">
        <f>第2日!$B$98</f>
        <v>紫晶自爆原石虫</v>
      </c>
      <c r="P135" s="9" t="str">
        <f>IFERROR(VLOOKUP(O135,敌人目录!$A$6:$AD$54,2,FALSE),"")</f>
        <v>yuanshi_insect_purple_bomber</v>
      </c>
      <c r="Q135" s="9">
        <f>第2日!$C$98</f>
        <v>12</v>
      </c>
      <c r="R135" s="9" t="str">
        <f>第2日!$I$98</f>
        <v>可回读</v>
      </c>
      <c r="S135" s="9" t="str">
        <f>第2日!$I$91</f>
        <v>可回读</v>
      </c>
    </row>
    <row r="136" spans="1:19" ht="24" customHeight="1">
      <c r="A136" s="9">
        <v>2</v>
      </c>
      <c r="B136" s="9" t="s">
        <v>448</v>
      </c>
      <c r="C136" s="9" t="s">
        <v>477</v>
      </c>
      <c r="D136" s="9">
        <v>8</v>
      </c>
      <c r="E136" s="9">
        <v>2</v>
      </c>
      <c r="F136" s="9">
        <v>4</v>
      </c>
      <c r="G136" s="9" t="str">
        <f>第2日!$B$90</f>
        <v>第8波 沼泽合围</v>
      </c>
      <c r="H136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36" s="9">
        <f>第2日!$E$90</f>
        <v>0.3</v>
      </c>
      <c r="J136" s="9">
        <f>第2日!$G$90</f>
        <v>1</v>
      </c>
      <c r="K136" s="9">
        <f>第2日!$I$90</f>
        <v>300</v>
      </c>
      <c r="L136" s="9" t="s">
        <v>473</v>
      </c>
      <c r="M136" s="9" t="s">
        <v>474</v>
      </c>
      <c r="N136" s="9">
        <v>6</v>
      </c>
      <c r="O136" s="9" t="str">
        <f>第2日!$B$99</f>
        <v>火焰弹原石虫</v>
      </c>
      <c r="P136" s="9" t="str">
        <f>IFERROR(VLOOKUP(O136,敌人目录!$A$6:$AD$54,2,FALSE),"")</f>
        <v>yuanshi_insect_fire_ranged</v>
      </c>
      <c r="Q136" s="9">
        <f>第2日!$C$99</f>
        <v>16</v>
      </c>
      <c r="R136" s="9" t="str">
        <f>第2日!$I$99</f>
        <v>可回读</v>
      </c>
      <c r="S136" s="9" t="str">
        <f>第2日!$I$91</f>
        <v>可回读</v>
      </c>
    </row>
    <row r="137" spans="1:19" ht="24" customHeight="1">
      <c r="A137" s="9">
        <v>2</v>
      </c>
      <c r="B137" s="9" t="s">
        <v>448</v>
      </c>
      <c r="C137" s="9" t="s">
        <v>477</v>
      </c>
      <c r="D137" s="9">
        <v>8</v>
      </c>
      <c r="E137" s="9">
        <v>2</v>
      </c>
      <c r="F137" s="9">
        <v>4</v>
      </c>
      <c r="G137" s="9" t="str">
        <f>第2日!$B$90</f>
        <v>第8波 沼泽合围</v>
      </c>
      <c r="H137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37" s="9">
        <f>第2日!$E$90</f>
        <v>0.3</v>
      </c>
      <c r="J137" s="9">
        <f>第2日!$G$90</f>
        <v>1</v>
      </c>
      <c r="K137" s="9">
        <f>第2日!$I$90</f>
        <v>300</v>
      </c>
      <c r="L137" s="9" t="s">
        <v>473</v>
      </c>
      <c r="M137" s="9" t="s">
        <v>474</v>
      </c>
      <c r="N137" s="9">
        <v>7</v>
      </c>
      <c r="O137" s="9" t="str">
        <f>第2日!$B$100</f>
        <v>守护者原石虫</v>
      </c>
      <c r="P137" s="9" t="str">
        <f>IFERROR(VLOOKUP(O137,敌人目录!$A$6:$AD$54,2,FALSE),"")</f>
        <v>yuanshi_insect_guardian</v>
      </c>
      <c r="Q137" s="9">
        <f>第2日!$C$100</f>
        <v>12</v>
      </c>
      <c r="R137" s="9" t="str">
        <f>第2日!$I$100</f>
        <v>可回读</v>
      </c>
      <c r="S137" s="9" t="str">
        <f>第2日!$I$91</f>
        <v>可回读</v>
      </c>
    </row>
    <row r="138" spans="1:19" ht="24" customHeight="1">
      <c r="A138" s="9">
        <v>2</v>
      </c>
      <c r="B138" s="9" t="s">
        <v>448</v>
      </c>
      <c r="C138" s="9" t="s">
        <v>477</v>
      </c>
      <c r="D138" s="9">
        <v>8</v>
      </c>
      <c r="E138" s="9">
        <v>2</v>
      </c>
      <c r="F138" s="9">
        <v>4</v>
      </c>
      <c r="G138" s="9" t="str">
        <f>第2日!$B$90</f>
        <v>第8波 沼泽合围</v>
      </c>
      <c r="H138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38" s="9">
        <f>第2日!$E$90</f>
        <v>0.3</v>
      </c>
      <c r="J138" s="9">
        <f>第2日!$G$90</f>
        <v>1</v>
      </c>
      <c r="K138" s="9">
        <f>第2日!$I$90</f>
        <v>300</v>
      </c>
      <c r="L138" s="9" t="s">
        <v>473</v>
      </c>
      <c r="M138" s="9" t="s">
        <v>474</v>
      </c>
      <c r="N138" s="9">
        <v>8</v>
      </c>
      <c r="O138" s="9">
        <f>第2日!$B$101</f>
        <v>0</v>
      </c>
      <c r="P138" s="9" t="str">
        <f>IFERROR(VLOOKUP(O138,敌人目录!$A$6:$AD$54,2,FALSE),"")</f>
        <v/>
      </c>
      <c r="Q138" s="9">
        <f>第2日!$C$101</f>
        <v>0</v>
      </c>
      <c r="R138" s="9" t="str">
        <f>第2日!$I$101</f>
        <v/>
      </c>
      <c r="S138" s="9" t="str">
        <f>第2日!$I$91</f>
        <v>可回读</v>
      </c>
    </row>
    <row r="139" spans="1:19" ht="24" customHeight="1">
      <c r="A139" s="9">
        <v>2</v>
      </c>
      <c r="B139" s="9" t="s">
        <v>448</v>
      </c>
      <c r="C139" s="9" t="s">
        <v>477</v>
      </c>
      <c r="D139" s="9">
        <v>8</v>
      </c>
      <c r="E139" s="9">
        <v>2</v>
      </c>
      <c r="F139" s="9">
        <v>4</v>
      </c>
      <c r="G139" s="9" t="str">
        <f>第2日!$B$90</f>
        <v>第8波 沼泽合围</v>
      </c>
      <c r="H139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39" s="9">
        <f>第2日!$E$90</f>
        <v>0.3</v>
      </c>
      <c r="J139" s="9">
        <f>第2日!$G$90</f>
        <v>1</v>
      </c>
      <c r="K139" s="9">
        <f>第2日!$I$90</f>
        <v>300</v>
      </c>
      <c r="L139" s="9" t="s">
        <v>473</v>
      </c>
      <c r="M139" s="9" t="s">
        <v>474</v>
      </c>
      <c r="N139" s="9">
        <v>9</v>
      </c>
      <c r="O139" s="9">
        <f>第2日!$B$102</f>
        <v>0</v>
      </c>
      <c r="P139" s="9" t="str">
        <f>IFERROR(VLOOKUP(O139,敌人目录!$A$6:$AD$54,2,FALSE),"")</f>
        <v/>
      </c>
      <c r="Q139" s="9">
        <f>第2日!$C$102</f>
        <v>0</v>
      </c>
      <c r="R139" s="9" t="str">
        <f>第2日!$I$102</f>
        <v/>
      </c>
      <c r="S139" s="9" t="str">
        <f>第2日!$I$91</f>
        <v>可回读</v>
      </c>
    </row>
    <row r="140" spans="1:19" ht="24" customHeight="1">
      <c r="A140" s="9">
        <v>2</v>
      </c>
      <c r="B140" s="9" t="s">
        <v>448</v>
      </c>
      <c r="C140" s="9" t="s">
        <v>477</v>
      </c>
      <c r="D140" s="9">
        <v>8</v>
      </c>
      <c r="E140" s="9">
        <v>2</v>
      </c>
      <c r="F140" s="9">
        <v>4</v>
      </c>
      <c r="G140" s="9" t="str">
        <f>第2日!$B$90</f>
        <v>第8波 沼泽合围</v>
      </c>
      <c r="H140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40" s="9">
        <f>第2日!$E$90</f>
        <v>0.3</v>
      </c>
      <c r="J140" s="9">
        <f>第2日!$G$90</f>
        <v>1</v>
      </c>
      <c r="K140" s="9">
        <f>第2日!$I$90</f>
        <v>300</v>
      </c>
      <c r="L140" s="9" t="s">
        <v>473</v>
      </c>
      <c r="M140" s="9" t="s">
        <v>474</v>
      </c>
      <c r="N140" s="9">
        <v>10</v>
      </c>
      <c r="O140" s="9">
        <f>第2日!$B$103</f>
        <v>0</v>
      </c>
      <c r="P140" s="9" t="str">
        <f>IFERROR(VLOOKUP(O140,敌人目录!$A$6:$AD$54,2,FALSE),"")</f>
        <v/>
      </c>
      <c r="Q140" s="9">
        <f>第2日!$C$103</f>
        <v>0</v>
      </c>
      <c r="R140" s="9" t="str">
        <f>第2日!$I$103</f>
        <v/>
      </c>
      <c r="S140" s="9" t="str">
        <f>第2日!$I$91</f>
        <v>可回读</v>
      </c>
    </row>
    <row r="141" spans="1:19" ht="24" customHeight="1">
      <c r="A141" s="9">
        <v>2</v>
      </c>
      <c r="B141" s="9" t="s">
        <v>448</v>
      </c>
      <c r="C141" s="9" t="s">
        <v>477</v>
      </c>
      <c r="D141" s="9">
        <v>8</v>
      </c>
      <c r="E141" s="9">
        <v>2</v>
      </c>
      <c r="F141" s="9">
        <v>4</v>
      </c>
      <c r="G141" s="9" t="str">
        <f>第2日!$B$90</f>
        <v>第8波 沼泽合围</v>
      </c>
      <c r="H141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41" s="9">
        <f>第2日!$E$90</f>
        <v>0.3</v>
      </c>
      <c r="J141" s="9">
        <f>第2日!$G$90</f>
        <v>1</v>
      </c>
      <c r="K141" s="9">
        <f>第2日!$I$90</f>
        <v>300</v>
      </c>
      <c r="L141" s="9" t="s">
        <v>473</v>
      </c>
      <c r="M141" s="9" t="s">
        <v>474</v>
      </c>
      <c r="N141" s="9">
        <v>11</v>
      </c>
      <c r="O141" s="9">
        <f>第2日!$B$104</f>
        <v>0</v>
      </c>
      <c r="P141" s="9" t="str">
        <f>IFERROR(VLOOKUP(O141,敌人目录!$A$6:$AD$54,2,FALSE),"")</f>
        <v/>
      </c>
      <c r="Q141" s="9">
        <f>第2日!$C$104</f>
        <v>0</v>
      </c>
      <c r="R141" s="9" t="str">
        <f>第2日!$I$104</f>
        <v/>
      </c>
      <c r="S141" s="9" t="str">
        <f>第2日!$I$91</f>
        <v>可回读</v>
      </c>
    </row>
    <row r="142" spans="1:19" ht="24" customHeight="1">
      <c r="A142" s="9">
        <v>2</v>
      </c>
      <c r="B142" s="9" t="s">
        <v>448</v>
      </c>
      <c r="C142" s="9" t="s">
        <v>477</v>
      </c>
      <c r="D142" s="9">
        <v>8</v>
      </c>
      <c r="E142" s="9">
        <v>2</v>
      </c>
      <c r="F142" s="9">
        <v>4</v>
      </c>
      <c r="G142" s="9" t="str">
        <f>第2日!$B$90</f>
        <v>第8波 沼泽合围</v>
      </c>
      <c r="H142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42" s="9">
        <f>第2日!$E$90</f>
        <v>0.3</v>
      </c>
      <c r="J142" s="9">
        <f>第2日!$G$90</f>
        <v>1</v>
      </c>
      <c r="K142" s="9">
        <f>第2日!$I$90</f>
        <v>300</v>
      </c>
      <c r="L142" s="9" t="s">
        <v>473</v>
      </c>
      <c r="M142" s="9" t="s">
        <v>474</v>
      </c>
      <c r="N142" s="9">
        <v>12</v>
      </c>
      <c r="O142" s="9">
        <f>第2日!$B$105</f>
        <v>0</v>
      </c>
      <c r="P142" s="9" t="str">
        <f>IFERROR(VLOOKUP(O142,敌人目录!$A$6:$AD$54,2,FALSE),"")</f>
        <v/>
      </c>
      <c r="Q142" s="9">
        <f>第2日!$C$105</f>
        <v>0</v>
      </c>
      <c r="R142" s="9" t="str">
        <f>第2日!$I$105</f>
        <v/>
      </c>
      <c r="S142" s="9" t="str">
        <f>第2日!$I$91</f>
        <v>可回读</v>
      </c>
    </row>
    <row r="143" spans="1:19" ht="24" customHeight="1">
      <c r="A143" s="9">
        <v>2</v>
      </c>
      <c r="B143" s="9" t="s">
        <v>448</v>
      </c>
      <c r="C143" s="9" t="s">
        <v>477</v>
      </c>
      <c r="D143" s="9">
        <v>8</v>
      </c>
      <c r="E143" s="9">
        <v>2</v>
      </c>
      <c r="F143" s="9">
        <v>4</v>
      </c>
      <c r="G143" s="9" t="str">
        <f>第2日!$B$90</f>
        <v>第8波 沼泽合围</v>
      </c>
      <c r="H143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43" s="9">
        <f>第2日!$E$90</f>
        <v>0.3</v>
      </c>
      <c r="J143" s="9">
        <f>第2日!$G$90</f>
        <v>1</v>
      </c>
      <c r="K143" s="9">
        <f>第2日!$I$90</f>
        <v>300</v>
      </c>
      <c r="L143" s="9" t="s">
        <v>473</v>
      </c>
      <c r="M143" s="9" t="s">
        <v>474</v>
      </c>
      <c r="N143" s="9">
        <v>13</v>
      </c>
      <c r="O143" s="9">
        <f>第2日!$B$106</f>
        <v>0</v>
      </c>
      <c r="P143" s="9" t="str">
        <f>IFERROR(VLOOKUP(O143,敌人目录!$A$6:$AD$54,2,FALSE),"")</f>
        <v/>
      </c>
      <c r="Q143" s="9">
        <f>第2日!$C$106</f>
        <v>0</v>
      </c>
      <c r="R143" s="9" t="str">
        <f>第2日!$I$106</f>
        <v/>
      </c>
      <c r="S143" s="9" t="str">
        <f>第2日!$I$91</f>
        <v>可回读</v>
      </c>
    </row>
    <row r="144" spans="1:19" ht="24" customHeight="1">
      <c r="A144" s="9">
        <v>2</v>
      </c>
      <c r="B144" s="9" t="s">
        <v>448</v>
      </c>
      <c r="C144" s="9" t="s">
        <v>477</v>
      </c>
      <c r="D144" s="9">
        <v>8</v>
      </c>
      <c r="E144" s="9">
        <v>2</v>
      </c>
      <c r="F144" s="9">
        <v>4</v>
      </c>
      <c r="G144" s="9" t="str">
        <f>第2日!$B$90</f>
        <v>第8波 沼泽合围</v>
      </c>
      <c r="H144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44" s="9">
        <f>第2日!$E$90</f>
        <v>0.3</v>
      </c>
      <c r="J144" s="9">
        <f>第2日!$G$90</f>
        <v>1</v>
      </c>
      <c r="K144" s="9">
        <f>第2日!$I$90</f>
        <v>300</v>
      </c>
      <c r="L144" s="9" t="s">
        <v>473</v>
      </c>
      <c r="M144" s="9" t="s">
        <v>474</v>
      </c>
      <c r="N144" s="9">
        <v>14</v>
      </c>
      <c r="O144" s="9">
        <f>第2日!$B$107</f>
        <v>0</v>
      </c>
      <c r="P144" s="9" t="str">
        <f>IFERROR(VLOOKUP(O144,敌人目录!$A$6:$AD$54,2,FALSE),"")</f>
        <v/>
      </c>
      <c r="Q144" s="9">
        <f>第2日!$C$107</f>
        <v>0</v>
      </c>
      <c r="R144" s="9" t="str">
        <f>第2日!$I$107</f>
        <v/>
      </c>
      <c r="S144" s="9" t="str">
        <f>第2日!$I$91</f>
        <v>可回读</v>
      </c>
    </row>
    <row r="145" spans="1:19" ht="24" customHeight="1">
      <c r="A145" s="9">
        <v>2</v>
      </c>
      <c r="B145" s="9" t="s">
        <v>448</v>
      </c>
      <c r="C145" s="9" t="s">
        <v>477</v>
      </c>
      <c r="D145" s="9">
        <v>8</v>
      </c>
      <c r="E145" s="9">
        <v>2</v>
      </c>
      <c r="F145" s="9">
        <v>4</v>
      </c>
      <c r="G145" s="9" t="str">
        <f>第2日!$B$90</f>
        <v>第8波 沼泽合围</v>
      </c>
      <c r="H145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45" s="9">
        <f>第2日!$E$90</f>
        <v>0.3</v>
      </c>
      <c r="J145" s="9">
        <f>第2日!$G$90</f>
        <v>1</v>
      </c>
      <c r="K145" s="9">
        <f>第2日!$I$90</f>
        <v>300</v>
      </c>
      <c r="L145" s="9" t="s">
        <v>473</v>
      </c>
      <c r="M145" s="9" t="s">
        <v>474</v>
      </c>
      <c r="N145" s="9">
        <v>15</v>
      </c>
      <c r="O145" s="9">
        <f>第2日!$B$108</f>
        <v>0</v>
      </c>
      <c r="P145" s="9" t="str">
        <f>IFERROR(VLOOKUP(O145,敌人目录!$A$6:$AD$54,2,FALSE),"")</f>
        <v/>
      </c>
      <c r="Q145" s="9">
        <f>第2日!$C$108</f>
        <v>0</v>
      </c>
      <c r="R145" s="9" t="str">
        <f>第2日!$I$108</f>
        <v/>
      </c>
      <c r="S145" s="9" t="str">
        <f>第2日!$I$91</f>
        <v>可回读</v>
      </c>
    </row>
    <row r="146" spans="1:19" ht="24" customHeight="1">
      <c r="A146" s="9">
        <v>2</v>
      </c>
      <c r="B146" s="9" t="s">
        <v>448</v>
      </c>
      <c r="C146" s="9" t="s">
        <v>477</v>
      </c>
      <c r="D146" s="9">
        <v>8</v>
      </c>
      <c r="E146" s="9">
        <v>2</v>
      </c>
      <c r="F146" s="9">
        <v>4</v>
      </c>
      <c r="G146" s="9" t="str">
        <f>第2日!$B$90</f>
        <v>第8波 沼泽合围</v>
      </c>
      <c r="H146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46" s="9">
        <f>第2日!$E$90</f>
        <v>0.3</v>
      </c>
      <c r="J146" s="9">
        <f>第2日!$G$90</f>
        <v>1</v>
      </c>
      <c r="K146" s="9">
        <f>第2日!$I$90</f>
        <v>300</v>
      </c>
      <c r="L146" s="9" t="s">
        <v>473</v>
      </c>
      <c r="M146" s="9" t="s">
        <v>474</v>
      </c>
      <c r="N146" s="9">
        <v>16</v>
      </c>
      <c r="O146" s="9">
        <f>第2日!$B$109</f>
        <v>0</v>
      </c>
      <c r="P146" s="9" t="str">
        <f>IFERROR(VLOOKUP(O146,敌人目录!$A$6:$AD$54,2,FALSE),"")</f>
        <v/>
      </c>
      <c r="Q146" s="9">
        <f>第2日!$C$109</f>
        <v>0</v>
      </c>
      <c r="R146" s="9" t="str">
        <f>第2日!$I$109</f>
        <v/>
      </c>
      <c r="S146" s="9" t="str">
        <f>第2日!$I$91</f>
        <v>可回读</v>
      </c>
    </row>
    <row r="147" spans="1:19" ht="24" customHeight="1">
      <c r="A147" s="9">
        <v>2</v>
      </c>
      <c r="B147" s="9" t="s">
        <v>448</v>
      </c>
      <c r="C147" s="9" t="s">
        <v>477</v>
      </c>
      <c r="D147" s="9">
        <v>8</v>
      </c>
      <c r="E147" s="9">
        <v>2</v>
      </c>
      <c r="F147" s="9">
        <v>4</v>
      </c>
      <c r="G147" s="9" t="str">
        <f>第2日!$B$90</f>
        <v>第8波 沼泽合围</v>
      </c>
      <c r="H147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47" s="9">
        <f>第2日!$E$90</f>
        <v>0.3</v>
      </c>
      <c r="J147" s="9">
        <f>第2日!$G$90</f>
        <v>1</v>
      </c>
      <c r="K147" s="9">
        <f>第2日!$I$90</f>
        <v>300</v>
      </c>
      <c r="L147" s="9" t="s">
        <v>473</v>
      </c>
      <c r="M147" s="9" t="s">
        <v>474</v>
      </c>
      <c r="N147" s="9">
        <v>17</v>
      </c>
      <c r="O147" s="9">
        <f>第2日!$B$110</f>
        <v>0</v>
      </c>
      <c r="P147" s="9" t="str">
        <f>IFERROR(VLOOKUP(O147,敌人目录!$A$6:$AD$54,2,FALSE),"")</f>
        <v/>
      </c>
      <c r="Q147" s="9">
        <f>第2日!$C$110</f>
        <v>0</v>
      </c>
      <c r="R147" s="9" t="str">
        <f>第2日!$I$110</f>
        <v/>
      </c>
      <c r="S147" s="9" t="str">
        <f>第2日!$I$91</f>
        <v>可回读</v>
      </c>
    </row>
    <row r="148" spans="1:19" ht="24" customHeight="1">
      <c r="A148" s="9">
        <v>2</v>
      </c>
      <c r="B148" s="9" t="s">
        <v>448</v>
      </c>
      <c r="C148" s="9" t="s">
        <v>477</v>
      </c>
      <c r="D148" s="9">
        <v>8</v>
      </c>
      <c r="E148" s="9">
        <v>2</v>
      </c>
      <c r="F148" s="9">
        <v>4</v>
      </c>
      <c r="G148" s="9" t="str">
        <f>第2日!$B$90</f>
        <v>第8波 沼泽合围</v>
      </c>
      <c r="H148" s="9">
        <f>IF(第2日!$B$91="点1·开启",1,0)+IF(第2日!$C$91="点2·开启",2,0)+IF(第2日!$D$91="点3·开启",4,0)+IF(第2日!$E$91="点4·开启",8,0)+IF(第2日!$F$91="点5·开启",16,0)+IF(第2日!$G$91="点6·开启",32,0)</f>
        <v>63</v>
      </c>
      <c r="I148" s="9">
        <f>第2日!$E$90</f>
        <v>0.3</v>
      </c>
      <c r="J148" s="9">
        <f>第2日!$G$90</f>
        <v>1</v>
      </c>
      <c r="K148" s="9">
        <f>第2日!$I$90</f>
        <v>300</v>
      </c>
      <c r="L148" s="9" t="s">
        <v>473</v>
      </c>
      <c r="M148" s="9" t="s">
        <v>474</v>
      </c>
      <c r="N148" s="9">
        <v>18</v>
      </c>
      <c r="O148" s="9">
        <f>第2日!$B$111</f>
        <v>0</v>
      </c>
      <c r="P148" s="9" t="str">
        <f>IFERROR(VLOOKUP(O148,敌人目录!$A$6:$AD$54,2,FALSE),"")</f>
        <v/>
      </c>
      <c r="Q148" s="9">
        <f>第2日!$C$111</f>
        <v>0</v>
      </c>
      <c r="R148" s="9" t="str">
        <f>第2日!$I$111</f>
        <v/>
      </c>
      <c r="S148" s="9" t="str">
        <f>第2日!$I$91</f>
        <v>可回读</v>
      </c>
    </row>
    <row r="149" spans="1:19" ht="24" customHeight="1">
      <c r="A149" s="9">
        <v>2</v>
      </c>
      <c r="B149" s="9" t="s">
        <v>448</v>
      </c>
      <c r="C149" s="9" t="s">
        <v>478</v>
      </c>
      <c r="D149" s="9">
        <v>9</v>
      </c>
      <c r="E149" s="9">
        <v>3</v>
      </c>
      <c r="F149" s="9">
        <v>1</v>
      </c>
      <c r="G149" s="9" t="str">
        <f>第3日!$B$3</f>
        <v>第9波 城镇前锋</v>
      </c>
      <c r="H149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49" s="9">
        <f>第3日!$E$3</f>
        <v>0.28000000000000003</v>
      </c>
      <c r="J149" s="9">
        <f>第3日!$G$3</f>
        <v>1</v>
      </c>
      <c r="K149" s="9">
        <f>第3日!$I$3</f>
        <v>300</v>
      </c>
      <c r="L149" s="9" t="s">
        <v>479</v>
      </c>
      <c r="M149" s="9" t="s">
        <v>480</v>
      </c>
      <c r="N149" s="9">
        <v>1</v>
      </c>
      <c r="O149" s="9" t="str">
        <f>第3日!$B$7</f>
        <v>普通原石虫</v>
      </c>
      <c r="P149" s="9" t="str">
        <f>IFERROR(VLOOKUP(O149,敌人目录!$A$6:$AD$54,2,FALSE),"")</f>
        <v>yuanshi_insect_basic</v>
      </c>
      <c r="Q149" s="9">
        <f>第3日!$C$7</f>
        <v>26</v>
      </c>
      <c r="R149" s="9" t="str">
        <f>第3日!$I$7</f>
        <v>可回读</v>
      </c>
      <c r="S149" s="9" t="str">
        <f>第3日!$I$4</f>
        <v>可回读</v>
      </c>
    </row>
    <row r="150" spans="1:19" ht="24" customHeight="1">
      <c r="A150" s="9">
        <v>2</v>
      </c>
      <c r="B150" s="9" t="s">
        <v>448</v>
      </c>
      <c r="C150" s="9" t="s">
        <v>478</v>
      </c>
      <c r="D150" s="9">
        <v>9</v>
      </c>
      <c r="E150" s="9">
        <v>3</v>
      </c>
      <c r="F150" s="9">
        <v>1</v>
      </c>
      <c r="G150" s="9" t="str">
        <f>第3日!$B$3</f>
        <v>第9波 城镇前锋</v>
      </c>
      <c r="H150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50" s="9">
        <f>第3日!$E$3</f>
        <v>0.28000000000000003</v>
      </c>
      <c r="J150" s="9">
        <f>第3日!$G$3</f>
        <v>1</v>
      </c>
      <c r="K150" s="9">
        <f>第3日!$I$3</f>
        <v>300</v>
      </c>
      <c r="L150" s="9" t="s">
        <v>479</v>
      </c>
      <c r="M150" s="9" t="s">
        <v>480</v>
      </c>
      <c r="N150" s="9">
        <v>2</v>
      </c>
      <c r="O150" s="9" t="str">
        <f>第3日!$B$8</f>
        <v>迅捷原石虫</v>
      </c>
      <c r="P150" s="9" t="str">
        <f>IFERROR(VLOOKUP(O150,敌人目录!$A$6:$AD$54,2,FALSE),"")</f>
        <v>yuanshi_insect_fast</v>
      </c>
      <c r="Q150" s="9">
        <f>第3日!$C$8</f>
        <v>20</v>
      </c>
      <c r="R150" s="9" t="str">
        <f>第3日!$I$8</f>
        <v>可回读</v>
      </c>
      <c r="S150" s="9" t="str">
        <f>第3日!$I$4</f>
        <v>可回读</v>
      </c>
    </row>
    <row r="151" spans="1:19" ht="24" customHeight="1">
      <c r="A151" s="9">
        <v>2</v>
      </c>
      <c r="B151" s="9" t="s">
        <v>448</v>
      </c>
      <c r="C151" s="9" t="s">
        <v>478</v>
      </c>
      <c r="D151" s="9">
        <v>9</v>
      </c>
      <c r="E151" s="9">
        <v>3</v>
      </c>
      <c r="F151" s="9">
        <v>1</v>
      </c>
      <c r="G151" s="9" t="str">
        <f>第3日!$B$3</f>
        <v>第9波 城镇前锋</v>
      </c>
      <c r="H151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51" s="9">
        <f>第3日!$E$3</f>
        <v>0.28000000000000003</v>
      </c>
      <c r="J151" s="9">
        <f>第3日!$G$3</f>
        <v>1</v>
      </c>
      <c r="K151" s="9">
        <f>第3日!$I$3</f>
        <v>300</v>
      </c>
      <c r="L151" s="9" t="s">
        <v>479</v>
      </c>
      <c r="M151" s="9" t="s">
        <v>480</v>
      </c>
      <c r="N151" s="9">
        <v>3</v>
      </c>
      <c r="O151" s="9" t="str">
        <f>第3日!$B$9</f>
        <v>硬壳原石虫</v>
      </c>
      <c r="P151" s="9" t="str">
        <f>IFERROR(VLOOKUP(O151,敌人目录!$A$6:$AD$54,2,FALSE),"")</f>
        <v>yuanshi_insect_shell</v>
      </c>
      <c r="Q151" s="9">
        <f>第3日!$C$9</f>
        <v>20</v>
      </c>
      <c r="R151" s="9" t="str">
        <f>第3日!$I$9</f>
        <v>可回读</v>
      </c>
      <c r="S151" s="9" t="str">
        <f>第3日!$I$4</f>
        <v>可回读</v>
      </c>
    </row>
    <row r="152" spans="1:19" ht="24" customHeight="1">
      <c r="A152" s="9">
        <v>2</v>
      </c>
      <c r="B152" s="9" t="s">
        <v>448</v>
      </c>
      <c r="C152" s="9" t="s">
        <v>478</v>
      </c>
      <c r="D152" s="9">
        <v>9</v>
      </c>
      <c r="E152" s="9">
        <v>3</v>
      </c>
      <c r="F152" s="9">
        <v>1</v>
      </c>
      <c r="G152" s="9" t="str">
        <f>第3日!$B$3</f>
        <v>第9波 城镇前锋</v>
      </c>
      <c r="H152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52" s="9">
        <f>第3日!$E$3</f>
        <v>0.28000000000000003</v>
      </c>
      <c r="J152" s="9">
        <f>第3日!$G$3</f>
        <v>1</v>
      </c>
      <c r="K152" s="9">
        <f>第3日!$I$3</f>
        <v>300</v>
      </c>
      <c r="L152" s="9" t="s">
        <v>479</v>
      </c>
      <c r="M152" s="9" t="s">
        <v>480</v>
      </c>
      <c r="N152" s="9">
        <v>4</v>
      </c>
      <c r="O152" s="9" t="str">
        <f>第3日!$B$10</f>
        <v>自爆原石虫</v>
      </c>
      <c r="P152" s="9" t="str">
        <f>IFERROR(VLOOKUP(O152,敌人目录!$A$6:$AD$54,2,FALSE),"")</f>
        <v>yuanshi_insect_bomber</v>
      </c>
      <c r="Q152" s="9">
        <f>第3日!$C$10</f>
        <v>16</v>
      </c>
      <c r="R152" s="9" t="str">
        <f>第3日!$I$10</f>
        <v>可回读</v>
      </c>
      <c r="S152" s="9" t="str">
        <f>第3日!$I$4</f>
        <v>可回读</v>
      </c>
    </row>
    <row r="153" spans="1:19" ht="24" customHeight="1">
      <c r="A153" s="9">
        <v>2</v>
      </c>
      <c r="B153" s="9" t="s">
        <v>448</v>
      </c>
      <c r="C153" s="9" t="s">
        <v>478</v>
      </c>
      <c r="D153" s="9">
        <v>9</v>
      </c>
      <c r="E153" s="9">
        <v>3</v>
      </c>
      <c r="F153" s="9">
        <v>1</v>
      </c>
      <c r="G153" s="9" t="str">
        <f>第3日!$B$3</f>
        <v>第9波 城镇前锋</v>
      </c>
      <c r="H153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53" s="9">
        <f>第3日!$E$3</f>
        <v>0.28000000000000003</v>
      </c>
      <c r="J153" s="9">
        <f>第3日!$G$3</f>
        <v>1</v>
      </c>
      <c r="K153" s="9">
        <f>第3日!$I$3</f>
        <v>300</v>
      </c>
      <c r="L153" s="9" t="s">
        <v>479</v>
      </c>
      <c r="M153" s="9" t="s">
        <v>480</v>
      </c>
      <c r="N153" s="9">
        <v>5</v>
      </c>
      <c r="O153" s="9" t="str">
        <f>第3日!$B$11</f>
        <v>紫晶自爆原石虫</v>
      </c>
      <c r="P153" s="9" t="str">
        <f>IFERROR(VLOOKUP(O153,敌人目录!$A$6:$AD$54,2,FALSE),"")</f>
        <v>yuanshi_insect_purple_bomber</v>
      </c>
      <c r="Q153" s="9">
        <f>第3日!$C$11</f>
        <v>12</v>
      </c>
      <c r="R153" s="9" t="str">
        <f>第3日!$I$11</f>
        <v>可回读</v>
      </c>
      <c r="S153" s="9" t="str">
        <f>第3日!$I$4</f>
        <v>可回读</v>
      </c>
    </row>
    <row r="154" spans="1:19" ht="24" customHeight="1">
      <c r="A154" s="9">
        <v>2</v>
      </c>
      <c r="B154" s="9" t="s">
        <v>448</v>
      </c>
      <c r="C154" s="9" t="s">
        <v>478</v>
      </c>
      <c r="D154" s="9">
        <v>9</v>
      </c>
      <c r="E154" s="9">
        <v>3</v>
      </c>
      <c r="F154" s="9">
        <v>1</v>
      </c>
      <c r="G154" s="9" t="str">
        <f>第3日!$B$3</f>
        <v>第9波 城镇前锋</v>
      </c>
      <c r="H154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54" s="9">
        <f>第3日!$E$3</f>
        <v>0.28000000000000003</v>
      </c>
      <c r="J154" s="9">
        <f>第3日!$G$3</f>
        <v>1</v>
      </c>
      <c r="K154" s="9">
        <f>第3日!$I$3</f>
        <v>300</v>
      </c>
      <c r="L154" s="9" t="s">
        <v>479</v>
      </c>
      <c r="M154" s="9" t="s">
        <v>480</v>
      </c>
      <c r="N154" s="9">
        <v>6</v>
      </c>
      <c r="O154" s="9" t="str">
        <f>第3日!$B$12</f>
        <v>火焰弹原石虫</v>
      </c>
      <c r="P154" s="9" t="str">
        <f>IFERROR(VLOOKUP(O154,敌人目录!$A$6:$AD$54,2,FALSE),"")</f>
        <v>yuanshi_insect_fire_ranged</v>
      </c>
      <c r="Q154" s="9">
        <f>第3日!$C$12</f>
        <v>20</v>
      </c>
      <c r="R154" s="9" t="str">
        <f>第3日!$I$12</f>
        <v>可回读</v>
      </c>
      <c r="S154" s="9" t="str">
        <f>第3日!$I$4</f>
        <v>可回读</v>
      </c>
    </row>
    <row r="155" spans="1:19" ht="24" customHeight="1">
      <c r="A155" s="9">
        <v>2</v>
      </c>
      <c r="B155" s="9" t="s">
        <v>448</v>
      </c>
      <c r="C155" s="9" t="s">
        <v>478</v>
      </c>
      <c r="D155" s="9">
        <v>9</v>
      </c>
      <c r="E155" s="9">
        <v>3</v>
      </c>
      <c r="F155" s="9">
        <v>1</v>
      </c>
      <c r="G155" s="9" t="str">
        <f>第3日!$B$3</f>
        <v>第9波 城镇前锋</v>
      </c>
      <c r="H155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55" s="9">
        <f>第3日!$E$3</f>
        <v>0.28000000000000003</v>
      </c>
      <c r="J155" s="9">
        <f>第3日!$G$3</f>
        <v>1</v>
      </c>
      <c r="K155" s="9">
        <f>第3日!$I$3</f>
        <v>300</v>
      </c>
      <c r="L155" s="9" t="s">
        <v>479</v>
      </c>
      <c r="M155" s="9" t="s">
        <v>480</v>
      </c>
      <c r="N155" s="9">
        <v>7</v>
      </c>
      <c r="O155" s="9" t="str">
        <f>第3日!$B$13</f>
        <v>翠壳原石虫</v>
      </c>
      <c r="P155" s="9" t="str">
        <f>IFERROR(VLOOKUP(O155,敌人目录!$A$6:$AD$54,2,FALSE),"")</f>
        <v>yuanshi_insect_green_shell</v>
      </c>
      <c r="Q155" s="9">
        <f>第3日!$C$13</f>
        <v>16</v>
      </c>
      <c r="R155" s="9" t="str">
        <f>第3日!$I$13</f>
        <v>可回读</v>
      </c>
      <c r="S155" s="9" t="str">
        <f>第3日!$I$4</f>
        <v>可回读</v>
      </c>
    </row>
    <row r="156" spans="1:19" ht="24" customHeight="1">
      <c r="A156" s="9">
        <v>2</v>
      </c>
      <c r="B156" s="9" t="s">
        <v>448</v>
      </c>
      <c r="C156" s="9" t="s">
        <v>478</v>
      </c>
      <c r="D156" s="9">
        <v>9</v>
      </c>
      <c r="E156" s="9">
        <v>3</v>
      </c>
      <c r="F156" s="9">
        <v>1</v>
      </c>
      <c r="G156" s="9" t="str">
        <f>第3日!$B$3</f>
        <v>第9波 城镇前锋</v>
      </c>
      <c r="H156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56" s="9">
        <f>第3日!$E$3</f>
        <v>0.28000000000000003</v>
      </c>
      <c r="J156" s="9">
        <f>第3日!$G$3</f>
        <v>1</v>
      </c>
      <c r="K156" s="9">
        <f>第3日!$I$3</f>
        <v>300</v>
      </c>
      <c r="L156" s="9" t="s">
        <v>479</v>
      </c>
      <c r="M156" s="9" t="s">
        <v>480</v>
      </c>
      <c r="N156" s="9">
        <v>8</v>
      </c>
      <c r="O156" s="9" t="str">
        <f>第3日!$B$14</f>
        <v>守护者原石虫</v>
      </c>
      <c r="P156" s="9" t="str">
        <f>IFERROR(VLOOKUP(O156,敌人目录!$A$6:$AD$54,2,FALSE),"")</f>
        <v>yuanshi_insect_guardian</v>
      </c>
      <c r="Q156" s="9">
        <f>第3日!$C$14</f>
        <v>12</v>
      </c>
      <c r="R156" s="9" t="str">
        <f>第3日!$I$14</f>
        <v>可回读</v>
      </c>
      <c r="S156" s="9" t="str">
        <f>第3日!$I$4</f>
        <v>可回读</v>
      </c>
    </row>
    <row r="157" spans="1:19" ht="24" customHeight="1">
      <c r="A157" s="9">
        <v>2</v>
      </c>
      <c r="B157" s="9" t="s">
        <v>448</v>
      </c>
      <c r="C157" s="9" t="s">
        <v>478</v>
      </c>
      <c r="D157" s="9">
        <v>9</v>
      </c>
      <c r="E157" s="9">
        <v>3</v>
      </c>
      <c r="F157" s="9">
        <v>1</v>
      </c>
      <c r="G157" s="9" t="str">
        <f>第3日!$B$3</f>
        <v>第9波 城镇前锋</v>
      </c>
      <c r="H157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57" s="9">
        <f>第3日!$E$3</f>
        <v>0.28000000000000003</v>
      </c>
      <c r="J157" s="9">
        <f>第3日!$G$3</f>
        <v>1</v>
      </c>
      <c r="K157" s="9">
        <f>第3日!$I$3</f>
        <v>300</v>
      </c>
      <c r="L157" s="9" t="s">
        <v>479</v>
      </c>
      <c r="M157" s="9" t="s">
        <v>480</v>
      </c>
      <c r="N157" s="9">
        <v>9</v>
      </c>
      <c r="O157" s="9" t="str">
        <f>第3日!$B$15</f>
        <v>骑士猫猫虫</v>
      </c>
      <c r="P157" s="9" t="str">
        <f>IFERROR(VLOOKUP(O157,敌人目录!$A$6:$AD$54,2,FALSE),"")</f>
        <v>capoo_knight</v>
      </c>
      <c r="Q157" s="9">
        <f>第3日!$C$15</f>
        <v>2</v>
      </c>
      <c r="R157" s="9" t="str">
        <f>第3日!$I$15</f>
        <v>可回读</v>
      </c>
      <c r="S157" s="9" t="str">
        <f>第3日!$I$4</f>
        <v>可回读</v>
      </c>
    </row>
    <row r="158" spans="1:19" ht="24" customHeight="1">
      <c r="A158" s="9">
        <v>2</v>
      </c>
      <c r="B158" s="9" t="s">
        <v>448</v>
      </c>
      <c r="C158" s="9" t="s">
        <v>478</v>
      </c>
      <c r="D158" s="9">
        <v>9</v>
      </c>
      <c r="E158" s="9">
        <v>3</v>
      </c>
      <c r="F158" s="9">
        <v>1</v>
      </c>
      <c r="G158" s="9" t="str">
        <f>第3日!$B$3</f>
        <v>第9波 城镇前锋</v>
      </c>
      <c r="H158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58" s="9">
        <f>第3日!$E$3</f>
        <v>0.28000000000000003</v>
      </c>
      <c r="J158" s="9">
        <f>第3日!$G$3</f>
        <v>1</v>
      </c>
      <c r="K158" s="9">
        <f>第3日!$I$3</f>
        <v>300</v>
      </c>
      <c r="L158" s="9" t="s">
        <v>479</v>
      </c>
      <c r="M158" s="9" t="s">
        <v>480</v>
      </c>
      <c r="N158" s="9">
        <v>10</v>
      </c>
      <c r="O158" s="9">
        <f>第3日!$B$16</f>
        <v>0</v>
      </c>
      <c r="P158" s="9" t="str">
        <f>IFERROR(VLOOKUP(O158,敌人目录!$A$6:$AD$54,2,FALSE),"")</f>
        <v/>
      </c>
      <c r="Q158" s="9">
        <f>第3日!$C$16</f>
        <v>0</v>
      </c>
      <c r="R158" s="9" t="str">
        <f>第3日!$I$16</f>
        <v/>
      </c>
      <c r="S158" s="9" t="str">
        <f>第3日!$I$4</f>
        <v>可回读</v>
      </c>
    </row>
    <row r="159" spans="1:19" ht="24" customHeight="1">
      <c r="A159" s="9">
        <v>2</v>
      </c>
      <c r="B159" s="9" t="s">
        <v>448</v>
      </c>
      <c r="C159" s="9" t="s">
        <v>478</v>
      </c>
      <c r="D159" s="9">
        <v>9</v>
      </c>
      <c r="E159" s="9">
        <v>3</v>
      </c>
      <c r="F159" s="9">
        <v>1</v>
      </c>
      <c r="G159" s="9" t="str">
        <f>第3日!$B$3</f>
        <v>第9波 城镇前锋</v>
      </c>
      <c r="H159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59" s="9">
        <f>第3日!$E$3</f>
        <v>0.28000000000000003</v>
      </c>
      <c r="J159" s="9">
        <f>第3日!$G$3</f>
        <v>1</v>
      </c>
      <c r="K159" s="9">
        <f>第3日!$I$3</f>
        <v>300</v>
      </c>
      <c r="L159" s="9" t="s">
        <v>479</v>
      </c>
      <c r="M159" s="9" t="s">
        <v>480</v>
      </c>
      <c r="N159" s="9">
        <v>11</v>
      </c>
      <c r="O159" s="9">
        <f>第3日!$B$17</f>
        <v>0</v>
      </c>
      <c r="P159" s="9" t="str">
        <f>IFERROR(VLOOKUP(O159,敌人目录!$A$6:$AD$54,2,FALSE),"")</f>
        <v/>
      </c>
      <c r="Q159" s="9">
        <f>第3日!$C$17</f>
        <v>0</v>
      </c>
      <c r="R159" s="9" t="str">
        <f>第3日!$I$17</f>
        <v/>
      </c>
      <c r="S159" s="9" t="str">
        <f>第3日!$I$4</f>
        <v>可回读</v>
      </c>
    </row>
    <row r="160" spans="1:19" ht="24" customHeight="1">
      <c r="A160" s="9">
        <v>2</v>
      </c>
      <c r="B160" s="9" t="s">
        <v>448</v>
      </c>
      <c r="C160" s="9" t="s">
        <v>478</v>
      </c>
      <c r="D160" s="9">
        <v>9</v>
      </c>
      <c r="E160" s="9">
        <v>3</v>
      </c>
      <c r="F160" s="9">
        <v>1</v>
      </c>
      <c r="G160" s="9" t="str">
        <f>第3日!$B$3</f>
        <v>第9波 城镇前锋</v>
      </c>
      <c r="H160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60" s="9">
        <f>第3日!$E$3</f>
        <v>0.28000000000000003</v>
      </c>
      <c r="J160" s="9">
        <f>第3日!$G$3</f>
        <v>1</v>
      </c>
      <c r="K160" s="9">
        <f>第3日!$I$3</f>
        <v>300</v>
      </c>
      <c r="L160" s="9" t="s">
        <v>479</v>
      </c>
      <c r="M160" s="9" t="s">
        <v>480</v>
      </c>
      <c r="N160" s="9">
        <v>12</v>
      </c>
      <c r="O160" s="9">
        <f>第3日!$B$18</f>
        <v>0</v>
      </c>
      <c r="P160" s="9" t="str">
        <f>IFERROR(VLOOKUP(O160,敌人目录!$A$6:$AD$54,2,FALSE),"")</f>
        <v/>
      </c>
      <c r="Q160" s="9">
        <f>第3日!$C$18</f>
        <v>0</v>
      </c>
      <c r="R160" s="9" t="str">
        <f>第3日!$I$18</f>
        <v/>
      </c>
      <c r="S160" s="9" t="str">
        <f>第3日!$I$4</f>
        <v>可回读</v>
      </c>
    </row>
    <row r="161" spans="1:19" ht="24" customHeight="1">
      <c r="A161" s="9">
        <v>2</v>
      </c>
      <c r="B161" s="9" t="s">
        <v>448</v>
      </c>
      <c r="C161" s="9" t="s">
        <v>478</v>
      </c>
      <c r="D161" s="9">
        <v>9</v>
      </c>
      <c r="E161" s="9">
        <v>3</v>
      </c>
      <c r="F161" s="9">
        <v>1</v>
      </c>
      <c r="G161" s="9" t="str">
        <f>第3日!$B$3</f>
        <v>第9波 城镇前锋</v>
      </c>
      <c r="H161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61" s="9">
        <f>第3日!$E$3</f>
        <v>0.28000000000000003</v>
      </c>
      <c r="J161" s="9">
        <f>第3日!$G$3</f>
        <v>1</v>
      </c>
      <c r="K161" s="9">
        <f>第3日!$I$3</f>
        <v>300</v>
      </c>
      <c r="L161" s="9" t="s">
        <v>479</v>
      </c>
      <c r="M161" s="9" t="s">
        <v>480</v>
      </c>
      <c r="N161" s="9">
        <v>13</v>
      </c>
      <c r="O161" s="9">
        <f>第3日!$B$19</f>
        <v>0</v>
      </c>
      <c r="P161" s="9" t="str">
        <f>IFERROR(VLOOKUP(O161,敌人目录!$A$6:$AD$54,2,FALSE),"")</f>
        <v/>
      </c>
      <c r="Q161" s="9">
        <f>第3日!$C$19</f>
        <v>0</v>
      </c>
      <c r="R161" s="9" t="str">
        <f>第3日!$I$19</f>
        <v/>
      </c>
      <c r="S161" s="9" t="str">
        <f>第3日!$I$4</f>
        <v>可回读</v>
      </c>
    </row>
    <row r="162" spans="1:19" ht="24" customHeight="1">
      <c r="A162" s="9">
        <v>2</v>
      </c>
      <c r="B162" s="9" t="s">
        <v>448</v>
      </c>
      <c r="C162" s="9" t="s">
        <v>478</v>
      </c>
      <c r="D162" s="9">
        <v>9</v>
      </c>
      <c r="E162" s="9">
        <v>3</v>
      </c>
      <c r="F162" s="9">
        <v>1</v>
      </c>
      <c r="G162" s="9" t="str">
        <f>第3日!$B$3</f>
        <v>第9波 城镇前锋</v>
      </c>
      <c r="H162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62" s="9">
        <f>第3日!$E$3</f>
        <v>0.28000000000000003</v>
      </c>
      <c r="J162" s="9">
        <f>第3日!$G$3</f>
        <v>1</v>
      </c>
      <c r="K162" s="9">
        <f>第3日!$I$3</f>
        <v>300</v>
      </c>
      <c r="L162" s="9" t="s">
        <v>479</v>
      </c>
      <c r="M162" s="9" t="s">
        <v>480</v>
      </c>
      <c r="N162" s="9">
        <v>14</v>
      </c>
      <c r="O162" s="9">
        <f>第3日!$B$20</f>
        <v>0</v>
      </c>
      <c r="P162" s="9" t="str">
        <f>IFERROR(VLOOKUP(O162,敌人目录!$A$6:$AD$54,2,FALSE),"")</f>
        <v/>
      </c>
      <c r="Q162" s="9">
        <f>第3日!$C$20</f>
        <v>0</v>
      </c>
      <c r="R162" s="9" t="str">
        <f>第3日!$I$20</f>
        <v/>
      </c>
      <c r="S162" s="9" t="str">
        <f>第3日!$I$4</f>
        <v>可回读</v>
      </c>
    </row>
    <row r="163" spans="1:19" ht="24" customHeight="1">
      <c r="A163" s="9">
        <v>2</v>
      </c>
      <c r="B163" s="9" t="s">
        <v>448</v>
      </c>
      <c r="C163" s="9" t="s">
        <v>478</v>
      </c>
      <c r="D163" s="9">
        <v>9</v>
      </c>
      <c r="E163" s="9">
        <v>3</v>
      </c>
      <c r="F163" s="9">
        <v>1</v>
      </c>
      <c r="G163" s="9" t="str">
        <f>第3日!$B$3</f>
        <v>第9波 城镇前锋</v>
      </c>
      <c r="H163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63" s="9">
        <f>第3日!$E$3</f>
        <v>0.28000000000000003</v>
      </c>
      <c r="J163" s="9">
        <f>第3日!$G$3</f>
        <v>1</v>
      </c>
      <c r="K163" s="9">
        <f>第3日!$I$3</f>
        <v>300</v>
      </c>
      <c r="L163" s="9" t="s">
        <v>479</v>
      </c>
      <c r="M163" s="9" t="s">
        <v>480</v>
      </c>
      <c r="N163" s="9">
        <v>15</v>
      </c>
      <c r="O163" s="9">
        <f>第3日!$B$21</f>
        <v>0</v>
      </c>
      <c r="P163" s="9" t="str">
        <f>IFERROR(VLOOKUP(O163,敌人目录!$A$6:$AD$54,2,FALSE),"")</f>
        <v/>
      </c>
      <c r="Q163" s="9">
        <f>第3日!$C$21</f>
        <v>0</v>
      </c>
      <c r="R163" s="9" t="str">
        <f>第3日!$I$21</f>
        <v/>
      </c>
      <c r="S163" s="9" t="str">
        <f>第3日!$I$4</f>
        <v>可回读</v>
      </c>
    </row>
    <row r="164" spans="1:19" ht="24" customHeight="1">
      <c r="A164" s="9">
        <v>2</v>
      </c>
      <c r="B164" s="9" t="s">
        <v>448</v>
      </c>
      <c r="C164" s="9" t="s">
        <v>478</v>
      </c>
      <c r="D164" s="9">
        <v>9</v>
      </c>
      <c r="E164" s="9">
        <v>3</v>
      </c>
      <c r="F164" s="9">
        <v>1</v>
      </c>
      <c r="G164" s="9" t="str">
        <f>第3日!$B$3</f>
        <v>第9波 城镇前锋</v>
      </c>
      <c r="H164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64" s="9">
        <f>第3日!$E$3</f>
        <v>0.28000000000000003</v>
      </c>
      <c r="J164" s="9">
        <f>第3日!$G$3</f>
        <v>1</v>
      </c>
      <c r="K164" s="9">
        <f>第3日!$I$3</f>
        <v>300</v>
      </c>
      <c r="L164" s="9" t="s">
        <v>479</v>
      </c>
      <c r="M164" s="9" t="s">
        <v>480</v>
      </c>
      <c r="N164" s="9">
        <v>16</v>
      </c>
      <c r="O164" s="9">
        <f>第3日!$B$22</f>
        <v>0</v>
      </c>
      <c r="P164" s="9" t="str">
        <f>IFERROR(VLOOKUP(O164,敌人目录!$A$6:$AD$54,2,FALSE),"")</f>
        <v/>
      </c>
      <c r="Q164" s="9">
        <f>第3日!$C$22</f>
        <v>0</v>
      </c>
      <c r="R164" s="9" t="str">
        <f>第3日!$I$22</f>
        <v/>
      </c>
      <c r="S164" s="9" t="str">
        <f>第3日!$I$4</f>
        <v>可回读</v>
      </c>
    </row>
    <row r="165" spans="1:19" ht="24" customHeight="1">
      <c r="A165" s="9">
        <v>2</v>
      </c>
      <c r="B165" s="9" t="s">
        <v>448</v>
      </c>
      <c r="C165" s="9" t="s">
        <v>478</v>
      </c>
      <c r="D165" s="9">
        <v>9</v>
      </c>
      <c r="E165" s="9">
        <v>3</v>
      </c>
      <c r="F165" s="9">
        <v>1</v>
      </c>
      <c r="G165" s="9" t="str">
        <f>第3日!$B$3</f>
        <v>第9波 城镇前锋</v>
      </c>
      <c r="H165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65" s="9">
        <f>第3日!$E$3</f>
        <v>0.28000000000000003</v>
      </c>
      <c r="J165" s="9">
        <f>第3日!$G$3</f>
        <v>1</v>
      </c>
      <c r="K165" s="9">
        <f>第3日!$I$3</f>
        <v>300</v>
      </c>
      <c r="L165" s="9" t="s">
        <v>479</v>
      </c>
      <c r="M165" s="9" t="s">
        <v>480</v>
      </c>
      <c r="N165" s="9">
        <v>17</v>
      </c>
      <c r="O165" s="9">
        <f>第3日!$B$23</f>
        <v>0</v>
      </c>
      <c r="P165" s="9" t="str">
        <f>IFERROR(VLOOKUP(O165,敌人目录!$A$6:$AD$54,2,FALSE),"")</f>
        <v/>
      </c>
      <c r="Q165" s="9">
        <f>第3日!$C$23</f>
        <v>0</v>
      </c>
      <c r="R165" s="9" t="str">
        <f>第3日!$I$23</f>
        <v/>
      </c>
      <c r="S165" s="9" t="str">
        <f>第3日!$I$4</f>
        <v>可回读</v>
      </c>
    </row>
    <row r="166" spans="1:19" ht="24" customHeight="1">
      <c r="A166" s="9">
        <v>2</v>
      </c>
      <c r="B166" s="9" t="s">
        <v>448</v>
      </c>
      <c r="C166" s="9" t="s">
        <v>478</v>
      </c>
      <c r="D166" s="9">
        <v>9</v>
      </c>
      <c r="E166" s="9">
        <v>3</v>
      </c>
      <c r="F166" s="9">
        <v>1</v>
      </c>
      <c r="G166" s="9" t="str">
        <f>第3日!$B$3</f>
        <v>第9波 城镇前锋</v>
      </c>
      <c r="H166" s="9">
        <f>IF(第3日!$B$4="点1·开启",1,0)+IF(第3日!$C$4="点2·开启",2,0)+IF(第3日!$D$4="点3·开启",4,0)+IF(第3日!$E$4="点4·开启",8,0)+IF(第3日!$F$4="点5·开启",16,0)+IF(第3日!$G$4="点6·开启",32,0)</f>
        <v>63</v>
      </c>
      <c r="I166" s="9">
        <f>第3日!$E$3</f>
        <v>0.28000000000000003</v>
      </c>
      <c r="J166" s="9">
        <f>第3日!$G$3</f>
        <v>1</v>
      </c>
      <c r="K166" s="9">
        <f>第3日!$I$3</f>
        <v>300</v>
      </c>
      <c r="L166" s="9" t="s">
        <v>479</v>
      </c>
      <c r="M166" s="9" t="s">
        <v>480</v>
      </c>
      <c r="N166" s="9">
        <v>18</v>
      </c>
      <c r="O166" s="9">
        <f>第3日!$B$24</f>
        <v>0</v>
      </c>
      <c r="P166" s="9" t="str">
        <f>IFERROR(VLOOKUP(O166,敌人目录!$A$6:$AD$54,2,FALSE),"")</f>
        <v/>
      </c>
      <c r="Q166" s="9">
        <f>第3日!$C$24</f>
        <v>0</v>
      </c>
      <c r="R166" s="9" t="str">
        <f>第3日!$I$24</f>
        <v/>
      </c>
      <c r="S166" s="9" t="str">
        <f>第3日!$I$4</f>
        <v>可回读</v>
      </c>
    </row>
    <row r="167" spans="1:19" ht="24" customHeight="1">
      <c r="A167" s="9">
        <v>2</v>
      </c>
      <c r="B167" s="9" t="s">
        <v>448</v>
      </c>
      <c r="C167" s="9" t="s">
        <v>481</v>
      </c>
      <c r="D167" s="9">
        <v>10</v>
      </c>
      <c r="E167" s="9">
        <v>3</v>
      </c>
      <c r="F167" s="9">
        <v>2</v>
      </c>
      <c r="G167" s="9" t="str">
        <f>第3日!$B$32</f>
        <v>第10波 火力交叉</v>
      </c>
      <c r="H167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67" s="9">
        <f>第3日!$E$32</f>
        <v>0.26</v>
      </c>
      <c r="J167" s="9">
        <f>第3日!$G$32</f>
        <v>1</v>
      </c>
      <c r="K167" s="9">
        <f>第3日!$I$32</f>
        <v>300</v>
      </c>
      <c r="L167" s="9" t="s">
        <v>479</v>
      </c>
      <c r="M167" s="9" t="s">
        <v>480</v>
      </c>
      <c r="N167" s="9">
        <v>1</v>
      </c>
      <c r="O167" s="9" t="str">
        <f>第3日!$B$36</f>
        <v>普通原石虫</v>
      </c>
      <c r="P167" s="9" t="str">
        <f>IFERROR(VLOOKUP(O167,敌人目录!$A$6:$AD$54,2,FALSE),"")</f>
        <v>yuanshi_insect_basic</v>
      </c>
      <c r="Q167" s="9">
        <f>第3日!$C$36</f>
        <v>20</v>
      </c>
      <c r="R167" s="9" t="str">
        <f>第3日!$I$36</f>
        <v>可回读</v>
      </c>
      <c r="S167" s="9" t="str">
        <f>第3日!$I$33</f>
        <v>可回读</v>
      </c>
    </row>
    <row r="168" spans="1:19" ht="24" customHeight="1">
      <c r="A168" s="9">
        <v>2</v>
      </c>
      <c r="B168" s="9" t="s">
        <v>448</v>
      </c>
      <c r="C168" s="9" t="s">
        <v>481</v>
      </c>
      <c r="D168" s="9">
        <v>10</v>
      </c>
      <c r="E168" s="9">
        <v>3</v>
      </c>
      <c r="F168" s="9">
        <v>2</v>
      </c>
      <c r="G168" s="9" t="str">
        <f>第3日!$B$32</f>
        <v>第10波 火力交叉</v>
      </c>
      <c r="H168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68" s="9">
        <f>第3日!$E$32</f>
        <v>0.26</v>
      </c>
      <c r="J168" s="9">
        <f>第3日!$G$32</f>
        <v>1</v>
      </c>
      <c r="K168" s="9">
        <f>第3日!$I$32</f>
        <v>300</v>
      </c>
      <c r="L168" s="9" t="s">
        <v>479</v>
      </c>
      <c r="M168" s="9" t="s">
        <v>480</v>
      </c>
      <c r="N168" s="9">
        <v>2</v>
      </c>
      <c r="O168" s="9" t="str">
        <f>第3日!$B$37</f>
        <v>迅捷原石虫</v>
      </c>
      <c r="P168" s="9" t="str">
        <f>IFERROR(VLOOKUP(O168,敌人目录!$A$6:$AD$54,2,FALSE),"")</f>
        <v>yuanshi_insect_fast</v>
      </c>
      <c r="Q168" s="9">
        <f>第3日!$C$37</f>
        <v>24</v>
      </c>
      <c r="R168" s="9" t="str">
        <f>第3日!$I$37</f>
        <v>可回读</v>
      </c>
      <c r="S168" s="9" t="str">
        <f>第3日!$I$33</f>
        <v>可回读</v>
      </c>
    </row>
    <row r="169" spans="1:19" ht="24" customHeight="1">
      <c r="A169" s="9">
        <v>2</v>
      </c>
      <c r="B169" s="9" t="s">
        <v>448</v>
      </c>
      <c r="C169" s="9" t="s">
        <v>481</v>
      </c>
      <c r="D169" s="9">
        <v>10</v>
      </c>
      <c r="E169" s="9">
        <v>3</v>
      </c>
      <c r="F169" s="9">
        <v>2</v>
      </c>
      <c r="G169" s="9" t="str">
        <f>第3日!$B$32</f>
        <v>第10波 火力交叉</v>
      </c>
      <c r="H169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69" s="9">
        <f>第3日!$E$32</f>
        <v>0.26</v>
      </c>
      <c r="J169" s="9">
        <f>第3日!$G$32</f>
        <v>1</v>
      </c>
      <c r="K169" s="9">
        <f>第3日!$I$32</f>
        <v>300</v>
      </c>
      <c r="L169" s="9" t="s">
        <v>479</v>
      </c>
      <c r="M169" s="9" t="s">
        <v>480</v>
      </c>
      <c r="N169" s="9">
        <v>3</v>
      </c>
      <c r="O169" s="9" t="str">
        <f>第3日!$B$38</f>
        <v>硬壳原石虫</v>
      </c>
      <c r="P169" s="9" t="str">
        <f>IFERROR(VLOOKUP(O169,敌人目录!$A$6:$AD$54,2,FALSE),"")</f>
        <v>yuanshi_insect_shell</v>
      </c>
      <c r="Q169" s="9">
        <f>第3日!$C$38</f>
        <v>24</v>
      </c>
      <c r="R169" s="9" t="str">
        <f>第3日!$I$38</f>
        <v>可回读</v>
      </c>
      <c r="S169" s="9" t="str">
        <f>第3日!$I$33</f>
        <v>可回读</v>
      </c>
    </row>
    <row r="170" spans="1:19" ht="24" customHeight="1">
      <c r="A170" s="9">
        <v>2</v>
      </c>
      <c r="B170" s="9" t="s">
        <v>448</v>
      </c>
      <c r="C170" s="9" t="s">
        <v>481</v>
      </c>
      <c r="D170" s="9">
        <v>10</v>
      </c>
      <c r="E170" s="9">
        <v>3</v>
      </c>
      <c r="F170" s="9">
        <v>2</v>
      </c>
      <c r="G170" s="9" t="str">
        <f>第3日!$B$32</f>
        <v>第10波 火力交叉</v>
      </c>
      <c r="H170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70" s="9">
        <f>第3日!$E$32</f>
        <v>0.26</v>
      </c>
      <c r="J170" s="9">
        <f>第3日!$G$32</f>
        <v>1</v>
      </c>
      <c r="K170" s="9">
        <f>第3日!$I$32</f>
        <v>300</v>
      </c>
      <c r="L170" s="9" t="s">
        <v>479</v>
      </c>
      <c r="M170" s="9" t="s">
        <v>480</v>
      </c>
      <c r="N170" s="9">
        <v>4</v>
      </c>
      <c r="O170" s="9" t="str">
        <f>第3日!$B$39</f>
        <v>自爆原石虫</v>
      </c>
      <c r="P170" s="9" t="str">
        <f>IFERROR(VLOOKUP(O170,敌人目录!$A$6:$AD$54,2,FALSE),"")</f>
        <v>yuanshi_insect_bomber</v>
      </c>
      <c r="Q170" s="9">
        <f>第3日!$C$39</f>
        <v>20</v>
      </c>
      <c r="R170" s="9" t="str">
        <f>第3日!$I$39</f>
        <v>可回读</v>
      </c>
      <c r="S170" s="9" t="str">
        <f>第3日!$I$33</f>
        <v>可回读</v>
      </c>
    </row>
    <row r="171" spans="1:19" ht="24" customHeight="1">
      <c r="A171" s="9">
        <v>2</v>
      </c>
      <c r="B171" s="9" t="s">
        <v>448</v>
      </c>
      <c r="C171" s="9" t="s">
        <v>481</v>
      </c>
      <c r="D171" s="9">
        <v>10</v>
      </c>
      <c r="E171" s="9">
        <v>3</v>
      </c>
      <c r="F171" s="9">
        <v>2</v>
      </c>
      <c r="G171" s="9" t="str">
        <f>第3日!$B$32</f>
        <v>第10波 火力交叉</v>
      </c>
      <c r="H171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71" s="9">
        <f>第3日!$E$32</f>
        <v>0.26</v>
      </c>
      <c r="J171" s="9">
        <f>第3日!$G$32</f>
        <v>1</v>
      </c>
      <c r="K171" s="9">
        <f>第3日!$I$32</f>
        <v>300</v>
      </c>
      <c r="L171" s="9" t="s">
        <v>479</v>
      </c>
      <c r="M171" s="9" t="s">
        <v>480</v>
      </c>
      <c r="N171" s="9">
        <v>5</v>
      </c>
      <c r="O171" s="9" t="str">
        <f>第3日!$B$40</f>
        <v>紫晶自爆原石虫</v>
      </c>
      <c r="P171" s="9" t="str">
        <f>IFERROR(VLOOKUP(O171,敌人目录!$A$6:$AD$54,2,FALSE),"")</f>
        <v>yuanshi_insect_purple_bomber</v>
      </c>
      <c r="Q171" s="9">
        <f>第3日!$C$40</f>
        <v>16</v>
      </c>
      <c r="R171" s="9" t="str">
        <f>第3日!$I$40</f>
        <v>可回读</v>
      </c>
      <c r="S171" s="9" t="str">
        <f>第3日!$I$33</f>
        <v>可回读</v>
      </c>
    </row>
    <row r="172" spans="1:19" ht="24" customHeight="1">
      <c r="A172" s="9">
        <v>2</v>
      </c>
      <c r="B172" s="9" t="s">
        <v>448</v>
      </c>
      <c r="C172" s="9" t="s">
        <v>481</v>
      </c>
      <c r="D172" s="9">
        <v>10</v>
      </c>
      <c r="E172" s="9">
        <v>3</v>
      </c>
      <c r="F172" s="9">
        <v>2</v>
      </c>
      <c r="G172" s="9" t="str">
        <f>第3日!$B$32</f>
        <v>第10波 火力交叉</v>
      </c>
      <c r="H172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72" s="9">
        <f>第3日!$E$32</f>
        <v>0.26</v>
      </c>
      <c r="J172" s="9">
        <f>第3日!$G$32</f>
        <v>1</v>
      </c>
      <c r="K172" s="9">
        <f>第3日!$I$32</f>
        <v>300</v>
      </c>
      <c r="L172" s="9" t="s">
        <v>479</v>
      </c>
      <c r="M172" s="9" t="s">
        <v>480</v>
      </c>
      <c r="N172" s="9">
        <v>6</v>
      </c>
      <c r="O172" s="9" t="str">
        <f>第3日!$B$41</f>
        <v>火焰弹原石虫</v>
      </c>
      <c r="P172" s="9" t="str">
        <f>IFERROR(VLOOKUP(O172,敌人目录!$A$6:$AD$54,2,FALSE),"")</f>
        <v>yuanshi_insect_fire_ranged</v>
      </c>
      <c r="Q172" s="9">
        <f>第3日!$C$41</f>
        <v>20</v>
      </c>
      <c r="R172" s="9" t="str">
        <f>第3日!$I$41</f>
        <v>可回读</v>
      </c>
      <c r="S172" s="9" t="str">
        <f>第3日!$I$33</f>
        <v>可回读</v>
      </c>
    </row>
    <row r="173" spans="1:19" ht="24" customHeight="1">
      <c r="A173" s="9">
        <v>2</v>
      </c>
      <c r="B173" s="9" t="s">
        <v>448</v>
      </c>
      <c r="C173" s="9" t="s">
        <v>481</v>
      </c>
      <c r="D173" s="9">
        <v>10</v>
      </c>
      <c r="E173" s="9">
        <v>3</v>
      </c>
      <c r="F173" s="9">
        <v>2</v>
      </c>
      <c r="G173" s="9" t="str">
        <f>第3日!$B$32</f>
        <v>第10波 火力交叉</v>
      </c>
      <c r="H173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73" s="9">
        <f>第3日!$E$32</f>
        <v>0.26</v>
      </c>
      <c r="J173" s="9">
        <f>第3日!$G$32</f>
        <v>1</v>
      </c>
      <c r="K173" s="9">
        <f>第3日!$I$32</f>
        <v>300</v>
      </c>
      <c r="L173" s="9" t="s">
        <v>479</v>
      </c>
      <c r="M173" s="9" t="s">
        <v>480</v>
      </c>
      <c r="N173" s="9">
        <v>7</v>
      </c>
      <c r="O173" s="9" t="str">
        <f>第3日!$B$42</f>
        <v>翠壳原石虫</v>
      </c>
      <c r="P173" s="9" t="str">
        <f>IFERROR(VLOOKUP(O173,敌人目录!$A$6:$AD$54,2,FALSE),"")</f>
        <v>yuanshi_insect_green_shell</v>
      </c>
      <c r="Q173" s="9">
        <f>第3日!$C$42</f>
        <v>16</v>
      </c>
      <c r="R173" s="9" t="str">
        <f>第3日!$I$42</f>
        <v>可回读</v>
      </c>
      <c r="S173" s="9" t="str">
        <f>第3日!$I$33</f>
        <v>可回读</v>
      </c>
    </row>
    <row r="174" spans="1:19" ht="24" customHeight="1">
      <c r="A174" s="9">
        <v>2</v>
      </c>
      <c r="B174" s="9" t="s">
        <v>448</v>
      </c>
      <c r="C174" s="9" t="s">
        <v>481</v>
      </c>
      <c r="D174" s="9">
        <v>10</v>
      </c>
      <c r="E174" s="9">
        <v>3</v>
      </c>
      <c r="F174" s="9">
        <v>2</v>
      </c>
      <c r="G174" s="9" t="str">
        <f>第3日!$B$32</f>
        <v>第10波 火力交叉</v>
      </c>
      <c r="H174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74" s="9">
        <f>第3日!$E$32</f>
        <v>0.26</v>
      </c>
      <c r="J174" s="9">
        <f>第3日!$G$32</f>
        <v>1</v>
      </c>
      <c r="K174" s="9">
        <f>第3日!$I$32</f>
        <v>300</v>
      </c>
      <c r="L174" s="9" t="s">
        <v>479</v>
      </c>
      <c r="M174" s="9" t="s">
        <v>480</v>
      </c>
      <c r="N174" s="9">
        <v>8</v>
      </c>
      <c r="O174" s="9" t="str">
        <f>第3日!$B$43</f>
        <v>守护者原石虫</v>
      </c>
      <c r="P174" s="9" t="str">
        <f>IFERROR(VLOOKUP(O174,敌人目录!$A$6:$AD$54,2,FALSE),"")</f>
        <v>yuanshi_insect_guardian</v>
      </c>
      <c r="Q174" s="9">
        <f>第3日!$C$43</f>
        <v>16</v>
      </c>
      <c r="R174" s="9" t="str">
        <f>第3日!$I$43</f>
        <v>可回读</v>
      </c>
      <c r="S174" s="9" t="str">
        <f>第3日!$I$33</f>
        <v>可回读</v>
      </c>
    </row>
    <row r="175" spans="1:19" ht="24" customHeight="1">
      <c r="A175" s="9">
        <v>2</v>
      </c>
      <c r="B175" s="9" t="s">
        <v>448</v>
      </c>
      <c r="C175" s="9" t="s">
        <v>481</v>
      </c>
      <c r="D175" s="9">
        <v>10</v>
      </c>
      <c r="E175" s="9">
        <v>3</v>
      </c>
      <c r="F175" s="9">
        <v>2</v>
      </c>
      <c r="G175" s="9" t="str">
        <f>第3日!$B$32</f>
        <v>第10波 火力交叉</v>
      </c>
      <c r="H175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75" s="9">
        <f>第3日!$E$32</f>
        <v>0.26</v>
      </c>
      <c r="J175" s="9">
        <f>第3日!$G$32</f>
        <v>1</v>
      </c>
      <c r="K175" s="9">
        <f>第3日!$I$32</f>
        <v>300</v>
      </c>
      <c r="L175" s="9" t="s">
        <v>479</v>
      </c>
      <c r="M175" s="9" t="s">
        <v>480</v>
      </c>
      <c r="N175" s="9">
        <v>9</v>
      </c>
      <c r="O175" s="9" t="str">
        <f>第3日!$B$44</f>
        <v>AK猫猫虫</v>
      </c>
      <c r="P175" s="9" t="str">
        <f>IFERROR(VLOOKUP(O175,敌人目录!$A$6:$AD$54,2,FALSE),"")</f>
        <v>capoo_ak47</v>
      </c>
      <c r="Q175" s="9">
        <f>第3日!$C$44</f>
        <v>2</v>
      </c>
      <c r="R175" s="9" t="str">
        <f>第3日!$I$44</f>
        <v>可回读</v>
      </c>
      <c r="S175" s="9" t="str">
        <f>第3日!$I$33</f>
        <v>可回读</v>
      </c>
    </row>
    <row r="176" spans="1:19" ht="24" customHeight="1">
      <c r="A176" s="9">
        <v>2</v>
      </c>
      <c r="B176" s="9" t="s">
        <v>448</v>
      </c>
      <c r="C176" s="9" t="s">
        <v>481</v>
      </c>
      <c r="D176" s="9">
        <v>10</v>
      </c>
      <c r="E176" s="9">
        <v>3</v>
      </c>
      <c r="F176" s="9">
        <v>2</v>
      </c>
      <c r="G176" s="9" t="str">
        <f>第3日!$B$32</f>
        <v>第10波 火力交叉</v>
      </c>
      <c r="H176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76" s="9">
        <f>第3日!$E$32</f>
        <v>0.26</v>
      </c>
      <c r="J176" s="9">
        <f>第3日!$G$32</f>
        <v>1</v>
      </c>
      <c r="K176" s="9">
        <f>第3日!$I$32</f>
        <v>300</v>
      </c>
      <c r="L176" s="9" t="s">
        <v>479</v>
      </c>
      <c r="M176" s="9" t="s">
        <v>480</v>
      </c>
      <c r="N176" s="9">
        <v>10</v>
      </c>
      <c r="O176" s="9" t="str">
        <f>第3日!$B$45</f>
        <v>骑士猫猫虫</v>
      </c>
      <c r="P176" s="9" t="str">
        <f>IFERROR(VLOOKUP(O176,敌人目录!$A$6:$AD$54,2,FALSE),"")</f>
        <v>capoo_knight</v>
      </c>
      <c r="Q176" s="9">
        <f>第3日!$C$45</f>
        <v>2</v>
      </c>
      <c r="R176" s="9" t="str">
        <f>第3日!$I$45</f>
        <v>可回读</v>
      </c>
      <c r="S176" s="9" t="str">
        <f>第3日!$I$33</f>
        <v>可回读</v>
      </c>
    </row>
    <row r="177" spans="1:19" ht="24" customHeight="1">
      <c r="A177" s="9">
        <v>2</v>
      </c>
      <c r="B177" s="9" t="s">
        <v>448</v>
      </c>
      <c r="C177" s="9" t="s">
        <v>481</v>
      </c>
      <c r="D177" s="9">
        <v>10</v>
      </c>
      <c r="E177" s="9">
        <v>3</v>
      </c>
      <c r="F177" s="9">
        <v>2</v>
      </c>
      <c r="G177" s="9" t="str">
        <f>第3日!$B$32</f>
        <v>第10波 火力交叉</v>
      </c>
      <c r="H177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77" s="9">
        <f>第3日!$E$32</f>
        <v>0.26</v>
      </c>
      <c r="J177" s="9">
        <f>第3日!$G$32</f>
        <v>1</v>
      </c>
      <c r="K177" s="9">
        <f>第3日!$I$32</f>
        <v>300</v>
      </c>
      <c r="L177" s="9" t="s">
        <v>479</v>
      </c>
      <c r="M177" s="9" t="s">
        <v>480</v>
      </c>
      <c r="N177" s="9">
        <v>11</v>
      </c>
      <c r="O177" s="9">
        <f>第3日!$B$46</f>
        <v>0</v>
      </c>
      <c r="P177" s="9" t="str">
        <f>IFERROR(VLOOKUP(O177,敌人目录!$A$6:$AD$54,2,FALSE),"")</f>
        <v/>
      </c>
      <c r="Q177" s="9">
        <f>第3日!$C$46</f>
        <v>0</v>
      </c>
      <c r="R177" s="9" t="str">
        <f>第3日!$I$46</f>
        <v/>
      </c>
      <c r="S177" s="9" t="str">
        <f>第3日!$I$33</f>
        <v>可回读</v>
      </c>
    </row>
    <row r="178" spans="1:19" ht="24" customHeight="1">
      <c r="A178" s="9">
        <v>2</v>
      </c>
      <c r="B178" s="9" t="s">
        <v>448</v>
      </c>
      <c r="C178" s="9" t="s">
        <v>481</v>
      </c>
      <c r="D178" s="9">
        <v>10</v>
      </c>
      <c r="E178" s="9">
        <v>3</v>
      </c>
      <c r="F178" s="9">
        <v>2</v>
      </c>
      <c r="G178" s="9" t="str">
        <f>第3日!$B$32</f>
        <v>第10波 火力交叉</v>
      </c>
      <c r="H178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78" s="9">
        <f>第3日!$E$32</f>
        <v>0.26</v>
      </c>
      <c r="J178" s="9">
        <f>第3日!$G$32</f>
        <v>1</v>
      </c>
      <c r="K178" s="9">
        <f>第3日!$I$32</f>
        <v>300</v>
      </c>
      <c r="L178" s="9" t="s">
        <v>479</v>
      </c>
      <c r="M178" s="9" t="s">
        <v>480</v>
      </c>
      <c r="N178" s="9">
        <v>12</v>
      </c>
      <c r="O178" s="9">
        <f>第3日!$B$47</f>
        <v>0</v>
      </c>
      <c r="P178" s="9" t="str">
        <f>IFERROR(VLOOKUP(O178,敌人目录!$A$6:$AD$54,2,FALSE),"")</f>
        <v/>
      </c>
      <c r="Q178" s="9">
        <f>第3日!$C$47</f>
        <v>0</v>
      </c>
      <c r="R178" s="9" t="str">
        <f>第3日!$I$47</f>
        <v/>
      </c>
      <c r="S178" s="9" t="str">
        <f>第3日!$I$33</f>
        <v>可回读</v>
      </c>
    </row>
    <row r="179" spans="1:19" ht="24" customHeight="1">
      <c r="A179" s="9">
        <v>2</v>
      </c>
      <c r="B179" s="9" t="s">
        <v>448</v>
      </c>
      <c r="C179" s="9" t="s">
        <v>481</v>
      </c>
      <c r="D179" s="9">
        <v>10</v>
      </c>
      <c r="E179" s="9">
        <v>3</v>
      </c>
      <c r="F179" s="9">
        <v>2</v>
      </c>
      <c r="G179" s="9" t="str">
        <f>第3日!$B$32</f>
        <v>第10波 火力交叉</v>
      </c>
      <c r="H179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79" s="9">
        <f>第3日!$E$32</f>
        <v>0.26</v>
      </c>
      <c r="J179" s="9">
        <f>第3日!$G$32</f>
        <v>1</v>
      </c>
      <c r="K179" s="9">
        <f>第3日!$I$32</f>
        <v>300</v>
      </c>
      <c r="L179" s="9" t="s">
        <v>479</v>
      </c>
      <c r="M179" s="9" t="s">
        <v>480</v>
      </c>
      <c r="N179" s="9">
        <v>13</v>
      </c>
      <c r="O179" s="9">
        <f>第3日!$B$48</f>
        <v>0</v>
      </c>
      <c r="P179" s="9" t="str">
        <f>IFERROR(VLOOKUP(O179,敌人目录!$A$6:$AD$54,2,FALSE),"")</f>
        <v/>
      </c>
      <c r="Q179" s="9">
        <f>第3日!$C$48</f>
        <v>0</v>
      </c>
      <c r="R179" s="9" t="str">
        <f>第3日!$I$48</f>
        <v/>
      </c>
      <c r="S179" s="9" t="str">
        <f>第3日!$I$33</f>
        <v>可回读</v>
      </c>
    </row>
    <row r="180" spans="1:19" ht="24" customHeight="1">
      <c r="A180" s="9">
        <v>2</v>
      </c>
      <c r="B180" s="9" t="s">
        <v>448</v>
      </c>
      <c r="C180" s="9" t="s">
        <v>481</v>
      </c>
      <c r="D180" s="9">
        <v>10</v>
      </c>
      <c r="E180" s="9">
        <v>3</v>
      </c>
      <c r="F180" s="9">
        <v>2</v>
      </c>
      <c r="G180" s="9" t="str">
        <f>第3日!$B$32</f>
        <v>第10波 火力交叉</v>
      </c>
      <c r="H180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80" s="9">
        <f>第3日!$E$32</f>
        <v>0.26</v>
      </c>
      <c r="J180" s="9">
        <f>第3日!$G$32</f>
        <v>1</v>
      </c>
      <c r="K180" s="9">
        <f>第3日!$I$32</f>
        <v>300</v>
      </c>
      <c r="L180" s="9" t="s">
        <v>479</v>
      </c>
      <c r="M180" s="9" t="s">
        <v>480</v>
      </c>
      <c r="N180" s="9">
        <v>14</v>
      </c>
      <c r="O180" s="9">
        <f>第3日!$B$49</f>
        <v>0</v>
      </c>
      <c r="P180" s="9" t="str">
        <f>IFERROR(VLOOKUP(O180,敌人目录!$A$6:$AD$54,2,FALSE),"")</f>
        <v/>
      </c>
      <c r="Q180" s="9">
        <f>第3日!$C$49</f>
        <v>0</v>
      </c>
      <c r="R180" s="9" t="str">
        <f>第3日!$I$49</f>
        <v/>
      </c>
      <c r="S180" s="9" t="str">
        <f>第3日!$I$33</f>
        <v>可回读</v>
      </c>
    </row>
    <row r="181" spans="1:19" ht="24" customHeight="1">
      <c r="A181" s="9">
        <v>2</v>
      </c>
      <c r="B181" s="9" t="s">
        <v>448</v>
      </c>
      <c r="C181" s="9" t="s">
        <v>481</v>
      </c>
      <c r="D181" s="9">
        <v>10</v>
      </c>
      <c r="E181" s="9">
        <v>3</v>
      </c>
      <c r="F181" s="9">
        <v>2</v>
      </c>
      <c r="G181" s="9" t="str">
        <f>第3日!$B$32</f>
        <v>第10波 火力交叉</v>
      </c>
      <c r="H181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81" s="9">
        <f>第3日!$E$32</f>
        <v>0.26</v>
      </c>
      <c r="J181" s="9">
        <f>第3日!$G$32</f>
        <v>1</v>
      </c>
      <c r="K181" s="9">
        <f>第3日!$I$32</f>
        <v>300</v>
      </c>
      <c r="L181" s="9" t="s">
        <v>479</v>
      </c>
      <c r="M181" s="9" t="s">
        <v>480</v>
      </c>
      <c r="N181" s="9">
        <v>15</v>
      </c>
      <c r="O181" s="9">
        <f>第3日!$B$50</f>
        <v>0</v>
      </c>
      <c r="P181" s="9" t="str">
        <f>IFERROR(VLOOKUP(O181,敌人目录!$A$6:$AD$54,2,FALSE),"")</f>
        <v/>
      </c>
      <c r="Q181" s="9">
        <f>第3日!$C$50</f>
        <v>0</v>
      </c>
      <c r="R181" s="9" t="str">
        <f>第3日!$I$50</f>
        <v/>
      </c>
      <c r="S181" s="9" t="str">
        <f>第3日!$I$33</f>
        <v>可回读</v>
      </c>
    </row>
    <row r="182" spans="1:19" ht="24" customHeight="1">
      <c r="A182" s="9">
        <v>2</v>
      </c>
      <c r="B182" s="9" t="s">
        <v>448</v>
      </c>
      <c r="C182" s="9" t="s">
        <v>481</v>
      </c>
      <c r="D182" s="9">
        <v>10</v>
      </c>
      <c r="E182" s="9">
        <v>3</v>
      </c>
      <c r="F182" s="9">
        <v>2</v>
      </c>
      <c r="G182" s="9" t="str">
        <f>第3日!$B$32</f>
        <v>第10波 火力交叉</v>
      </c>
      <c r="H182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82" s="9">
        <f>第3日!$E$32</f>
        <v>0.26</v>
      </c>
      <c r="J182" s="9">
        <f>第3日!$G$32</f>
        <v>1</v>
      </c>
      <c r="K182" s="9">
        <f>第3日!$I$32</f>
        <v>300</v>
      </c>
      <c r="L182" s="9" t="s">
        <v>479</v>
      </c>
      <c r="M182" s="9" t="s">
        <v>480</v>
      </c>
      <c r="N182" s="9">
        <v>16</v>
      </c>
      <c r="O182" s="9">
        <f>第3日!$B$51</f>
        <v>0</v>
      </c>
      <c r="P182" s="9" t="str">
        <f>IFERROR(VLOOKUP(O182,敌人目录!$A$6:$AD$54,2,FALSE),"")</f>
        <v/>
      </c>
      <c r="Q182" s="9">
        <f>第3日!$C$51</f>
        <v>0</v>
      </c>
      <c r="R182" s="9" t="str">
        <f>第3日!$I$51</f>
        <v/>
      </c>
      <c r="S182" s="9" t="str">
        <f>第3日!$I$33</f>
        <v>可回读</v>
      </c>
    </row>
    <row r="183" spans="1:19" ht="24" customHeight="1">
      <c r="A183" s="9">
        <v>2</v>
      </c>
      <c r="B183" s="9" t="s">
        <v>448</v>
      </c>
      <c r="C183" s="9" t="s">
        <v>481</v>
      </c>
      <c r="D183" s="9">
        <v>10</v>
      </c>
      <c r="E183" s="9">
        <v>3</v>
      </c>
      <c r="F183" s="9">
        <v>2</v>
      </c>
      <c r="G183" s="9" t="str">
        <f>第3日!$B$32</f>
        <v>第10波 火力交叉</v>
      </c>
      <c r="H183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83" s="9">
        <f>第3日!$E$32</f>
        <v>0.26</v>
      </c>
      <c r="J183" s="9">
        <f>第3日!$G$32</f>
        <v>1</v>
      </c>
      <c r="K183" s="9">
        <f>第3日!$I$32</f>
        <v>300</v>
      </c>
      <c r="L183" s="9" t="s">
        <v>479</v>
      </c>
      <c r="M183" s="9" t="s">
        <v>480</v>
      </c>
      <c r="N183" s="9">
        <v>17</v>
      </c>
      <c r="O183" s="9">
        <f>第3日!$B$52</f>
        <v>0</v>
      </c>
      <c r="P183" s="9" t="str">
        <f>IFERROR(VLOOKUP(O183,敌人目录!$A$6:$AD$54,2,FALSE),"")</f>
        <v/>
      </c>
      <c r="Q183" s="9">
        <f>第3日!$C$52</f>
        <v>0</v>
      </c>
      <c r="R183" s="9" t="str">
        <f>第3日!$I$52</f>
        <v/>
      </c>
      <c r="S183" s="9" t="str">
        <f>第3日!$I$33</f>
        <v>可回读</v>
      </c>
    </row>
    <row r="184" spans="1:19" ht="24" customHeight="1">
      <c r="A184" s="9">
        <v>2</v>
      </c>
      <c r="B184" s="9" t="s">
        <v>448</v>
      </c>
      <c r="C184" s="9" t="s">
        <v>481</v>
      </c>
      <c r="D184" s="9">
        <v>10</v>
      </c>
      <c r="E184" s="9">
        <v>3</v>
      </c>
      <c r="F184" s="9">
        <v>2</v>
      </c>
      <c r="G184" s="9" t="str">
        <f>第3日!$B$32</f>
        <v>第10波 火力交叉</v>
      </c>
      <c r="H184" s="9">
        <f>IF(第3日!$B$33="点1·开启",1,0)+IF(第3日!$C$33="点2·开启",2,0)+IF(第3日!$D$33="点3·开启",4,0)+IF(第3日!$E$33="点4·开启",8,0)+IF(第3日!$F$33="点5·开启",16,0)+IF(第3日!$G$33="点6·开启",32,0)</f>
        <v>63</v>
      </c>
      <c r="I184" s="9">
        <f>第3日!$E$32</f>
        <v>0.26</v>
      </c>
      <c r="J184" s="9">
        <f>第3日!$G$32</f>
        <v>1</v>
      </c>
      <c r="K184" s="9">
        <f>第3日!$I$32</f>
        <v>300</v>
      </c>
      <c r="L184" s="9" t="s">
        <v>479</v>
      </c>
      <c r="M184" s="9" t="s">
        <v>480</v>
      </c>
      <c r="N184" s="9">
        <v>18</v>
      </c>
      <c r="O184" s="9">
        <f>第3日!$B$53</f>
        <v>0</v>
      </c>
      <c r="P184" s="9" t="str">
        <f>IFERROR(VLOOKUP(O184,敌人目录!$A$6:$AD$54,2,FALSE),"")</f>
        <v/>
      </c>
      <c r="Q184" s="9">
        <f>第3日!$C$53</f>
        <v>0</v>
      </c>
      <c r="R184" s="9" t="str">
        <f>第3日!$I$53</f>
        <v/>
      </c>
      <c r="S184" s="9" t="str">
        <f>第3日!$I$33</f>
        <v>可回读</v>
      </c>
    </row>
    <row r="185" spans="1:19" ht="24" customHeight="1">
      <c r="A185" s="9">
        <v>2</v>
      </c>
      <c r="B185" s="9" t="s">
        <v>448</v>
      </c>
      <c r="C185" s="9" t="s">
        <v>482</v>
      </c>
      <c r="D185" s="9">
        <v>11</v>
      </c>
      <c r="E185" s="9">
        <v>3</v>
      </c>
      <c r="F185" s="9">
        <v>3</v>
      </c>
      <c r="G185" s="9" t="str">
        <f>第3日!$B$61</f>
        <v>第11波 奥术重装</v>
      </c>
      <c r="H185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85" s="9">
        <f>第3日!$E$61</f>
        <v>0.24</v>
      </c>
      <c r="J185" s="9">
        <f>第3日!$G$61</f>
        <v>1</v>
      </c>
      <c r="K185" s="9">
        <f>第3日!$I$61</f>
        <v>300</v>
      </c>
      <c r="L185" s="9" t="s">
        <v>479</v>
      </c>
      <c r="M185" s="9" t="s">
        <v>480</v>
      </c>
      <c r="N185" s="9">
        <v>1</v>
      </c>
      <c r="O185" s="9" t="str">
        <f>第3日!$B$65</f>
        <v>普通原石虫</v>
      </c>
      <c r="P185" s="9" t="str">
        <f>IFERROR(VLOOKUP(O185,敌人目录!$A$6:$AD$54,2,FALSE),"")</f>
        <v>yuanshi_insect_basic</v>
      </c>
      <c r="Q185" s="9">
        <f>第3日!$C$65</f>
        <v>46</v>
      </c>
      <c r="R185" s="9" t="str">
        <f>第3日!$I$65</f>
        <v>可回读</v>
      </c>
      <c r="S185" s="9" t="str">
        <f>第3日!$I$62</f>
        <v>可回读</v>
      </c>
    </row>
    <row r="186" spans="1:19" ht="24" customHeight="1">
      <c r="A186" s="9">
        <v>2</v>
      </c>
      <c r="B186" s="9" t="s">
        <v>448</v>
      </c>
      <c r="C186" s="9" t="s">
        <v>482</v>
      </c>
      <c r="D186" s="9">
        <v>11</v>
      </c>
      <c r="E186" s="9">
        <v>3</v>
      </c>
      <c r="F186" s="9">
        <v>3</v>
      </c>
      <c r="G186" s="9" t="str">
        <f>第3日!$B$61</f>
        <v>第11波 奥术重装</v>
      </c>
      <c r="H186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86" s="9">
        <f>第3日!$E$61</f>
        <v>0.24</v>
      </c>
      <c r="J186" s="9">
        <f>第3日!$G$61</f>
        <v>1</v>
      </c>
      <c r="K186" s="9">
        <f>第3日!$I$61</f>
        <v>300</v>
      </c>
      <c r="L186" s="9" t="s">
        <v>479</v>
      </c>
      <c r="M186" s="9" t="s">
        <v>480</v>
      </c>
      <c r="N186" s="9">
        <v>2</v>
      </c>
      <c r="O186" s="9" t="str">
        <f>第3日!$B$66</f>
        <v>迅捷原石虫</v>
      </c>
      <c r="P186" s="9" t="str">
        <f>IFERROR(VLOOKUP(O186,敌人目录!$A$6:$AD$54,2,FALSE),"")</f>
        <v>yuanshi_insect_fast</v>
      </c>
      <c r="Q186" s="9">
        <f>第3日!$C$66</f>
        <v>20</v>
      </c>
      <c r="R186" s="9" t="str">
        <f>第3日!$I$66</f>
        <v>可回读</v>
      </c>
      <c r="S186" s="9" t="str">
        <f>第3日!$I$62</f>
        <v>可回读</v>
      </c>
    </row>
    <row r="187" spans="1:19" ht="24" customHeight="1">
      <c r="A187" s="9">
        <v>2</v>
      </c>
      <c r="B187" s="9" t="s">
        <v>448</v>
      </c>
      <c r="C187" s="9" t="s">
        <v>482</v>
      </c>
      <c r="D187" s="9">
        <v>11</v>
      </c>
      <c r="E187" s="9">
        <v>3</v>
      </c>
      <c r="F187" s="9">
        <v>3</v>
      </c>
      <c r="G187" s="9" t="str">
        <f>第3日!$B$61</f>
        <v>第11波 奥术重装</v>
      </c>
      <c r="H187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87" s="9">
        <f>第3日!$E$61</f>
        <v>0.24</v>
      </c>
      <c r="J187" s="9">
        <f>第3日!$G$61</f>
        <v>1</v>
      </c>
      <c r="K187" s="9">
        <f>第3日!$I$61</f>
        <v>300</v>
      </c>
      <c r="L187" s="9" t="s">
        <v>479</v>
      </c>
      <c r="M187" s="9" t="s">
        <v>480</v>
      </c>
      <c r="N187" s="9">
        <v>3</v>
      </c>
      <c r="O187" s="9" t="str">
        <f>第3日!$B$67</f>
        <v>硬壳原石虫</v>
      </c>
      <c r="P187" s="9" t="str">
        <f>IFERROR(VLOOKUP(O187,敌人目录!$A$6:$AD$54,2,FALSE),"")</f>
        <v>yuanshi_insect_shell</v>
      </c>
      <c r="Q187" s="9">
        <f>第3日!$C$67</f>
        <v>20</v>
      </c>
      <c r="R187" s="9" t="str">
        <f>第3日!$I$67</f>
        <v>可回读</v>
      </c>
      <c r="S187" s="9" t="str">
        <f>第3日!$I$62</f>
        <v>可回读</v>
      </c>
    </row>
    <row r="188" spans="1:19" ht="24" customHeight="1">
      <c r="A188" s="9">
        <v>2</v>
      </c>
      <c r="B188" s="9" t="s">
        <v>448</v>
      </c>
      <c r="C188" s="9" t="s">
        <v>482</v>
      </c>
      <c r="D188" s="9">
        <v>11</v>
      </c>
      <c r="E188" s="9">
        <v>3</v>
      </c>
      <c r="F188" s="9">
        <v>3</v>
      </c>
      <c r="G188" s="9" t="str">
        <f>第3日!$B$61</f>
        <v>第11波 奥术重装</v>
      </c>
      <c r="H188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88" s="9">
        <f>第3日!$E$61</f>
        <v>0.24</v>
      </c>
      <c r="J188" s="9">
        <f>第3日!$G$61</f>
        <v>1</v>
      </c>
      <c r="K188" s="9">
        <f>第3日!$I$61</f>
        <v>300</v>
      </c>
      <c r="L188" s="9" t="s">
        <v>479</v>
      </c>
      <c r="M188" s="9" t="s">
        <v>480</v>
      </c>
      <c r="N188" s="9">
        <v>4</v>
      </c>
      <c r="O188" s="9" t="str">
        <f>第3日!$B$68</f>
        <v>自爆原石虫</v>
      </c>
      <c r="P188" s="9" t="str">
        <f>IFERROR(VLOOKUP(O188,敌人目录!$A$6:$AD$54,2,FALSE),"")</f>
        <v>yuanshi_insect_bomber</v>
      </c>
      <c r="Q188" s="9">
        <f>第3日!$C$68</f>
        <v>16</v>
      </c>
      <c r="R188" s="9" t="str">
        <f>第3日!$I$68</f>
        <v>可回读</v>
      </c>
      <c r="S188" s="9" t="str">
        <f>第3日!$I$62</f>
        <v>可回读</v>
      </c>
    </row>
    <row r="189" spans="1:19" ht="24" customHeight="1">
      <c r="A189" s="9">
        <v>2</v>
      </c>
      <c r="B189" s="9" t="s">
        <v>448</v>
      </c>
      <c r="C189" s="9" t="s">
        <v>482</v>
      </c>
      <c r="D189" s="9">
        <v>11</v>
      </c>
      <c r="E189" s="9">
        <v>3</v>
      </c>
      <c r="F189" s="9">
        <v>3</v>
      </c>
      <c r="G189" s="9" t="str">
        <f>第3日!$B$61</f>
        <v>第11波 奥术重装</v>
      </c>
      <c r="H189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89" s="9">
        <f>第3日!$E$61</f>
        <v>0.24</v>
      </c>
      <c r="J189" s="9">
        <f>第3日!$G$61</f>
        <v>1</v>
      </c>
      <c r="K189" s="9">
        <f>第3日!$I$61</f>
        <v>300</v>
      </c>
      <c r="L189" s="9" t="s">
        <v>479</v>
      </c>
      <c r="M189" s="9" t="s">
        <v>480</v>
      </c>
      <c r="N189" s="9">
        <v>5</v>
      </c>
      <c r="O189" s="9" t="str">
        <f>第3日!$B$69</f>
        <v>紫晶自爆原石虫</v>
      </c>
      <c r="P189" s="9" t="str">
        <f>IFERROR(VLOOKUP(O189,敌人目录!$A$6:$AD$54,2,FALSE),"")</f>
        <v>yuanshi_insect_purple_bomber</v>
      </c>
      <c r="Q189" s="9">
        <f>第3日!$C$69</f>
        <v>16</v>
      </c>
      <c r="R189" s="9" t="str">
        <f>第3日!$I$69</f>
        <v>可回读</v>
      </c>
      <c r="S189" s="9" t="str">
        <f>第3日!$I$62</f>
        <v>可回读</v>
      </c>
    </row>
    <row r="190" spans="1:19" ht="24" customHeight="1">
      <c r="A190" s="9">
        <v>2</v>
      </c>
      <c r="B190" s="9" t="s">
        <v>448</v>
      </c>
      <c r="C190" s="9" t="s">
        <v>482</v>
      </c>
      <c r="D190" s="9">
        <v>11</v>
      </c>
      <c r="E190" s="9">
        <v>3</v>
      </c>
      <c r="F190" s="9">
        <v>3</v>
      </c>
      <c r="G190" s="9" t="str">
        <f>第3日!$B$61</f>
        <v>第11波 奥术重装</v>
      </c>
      <c r="H190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90" s="9">
        <f>第3日!$E$61</f>
        <v>0.24</v>
      </c>
      <c r="J190" s="9">
        <f>第3日!$G$61</f>
        <v>1</v>
      </c>
      <c r="K190" s="9">
        <f>第3日!$I$61</f>
        <v>300</v>
      </c>
      <c r="L190" s="9" t="s">
        <v>479</v>
      </c>
      <c r="M190" s="9" t="s">
        <v>480</v>
      </c>
      <c r="N190" s="9">
        <v>6</v>
      </c>
      <c r="O190" s="9" t="str">
        <f>第3日!$B$70</f>
        <v>火焰弹原石虫</v>
      </c>
      <c r="P190" s="9" t="str">
        <f>IFERROR(VLOOKUP(O190,敌人目录!$A$6:$AD$54,2,FALSE),"")</f>
        <v>yuanshi_insect_fire_ranged</v>
      </c>
      <c r="Q190" s="9">
        <f>第3日!$C$70</f>
        <v>20</v>
      </c>
      <c r="R190" s="9" t="str">
        <f>第3日!$I$70</f>
        <v>可回读</v>
      </c>
      <c r="S190" s="9" t="str">
        <f>第3日!$I$62</f>
        <v>可回读</v>
      </c>
    </row>
    <row r="191" spans="1:19" ht="24" customHeight="1">
      <c r="A191" s="9">
        <v>2</v>
      </c>
      <c r="B191" s="9" t="s">
        <v>448</v>
      </c>
      <c r="C191" s="9" t="s">
        <v>482</v>
      </c>
      <c r="D191" s="9">
        <v>11</v>
      </c>
      <c r="E191" s="9">
        <v>3</v>
      </c>
      <c r="F191" s="9">
        <v>3</v>
      </c>
      <c r="G191" s="9" t="str">
        <f>第3日!$B$61</f>
        <v>第11波 奥术重装</v>
      </c>
      <c r="H191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91" s="9">
        <f>第3日!$E$61</f>
        <v>0.24</v>
      </c>
      <c r="J191" s="9">
        <f>第3日!$G$61</f>
        <v>1</v>
      </c>
      <c r="K191" s="9">
        <f>第3日!$I$61</f>
        <v>300</v>
      </c>
      <c r="L191" s="9" t="s">
        <v>479</v>
      </c>
      <c r="M191" s="9" t="s">
        <v>480</v>
      </c>
      <c r="N191" s="9">
        <v>7</v>
      </c>
      <c r="O191" s="9" t="str">
        <f>第3日!$B$71</f>
        <v>翠壳原石虫</v>
      </c>
      <c r="P191" s="9" t="str">
        <f>IFERROR(VLOOKUP(O191,敌人目录!$A$6:$AD$54,2,FALSE),"")</f>
        <v>yuanshi_insect_green_shell</v>
      </c>
      <c r="Q191" s="9">
        <f>第3日!$C$71</f>
        <v>16</v>
      </c>
      <c r="R191" s="9" t="str">
        <f>第3日!$I$71</f>
        <v>可回读</v>
      </c>
      <c r="S191" s="9" t="str">
        <f>第3日!$I$62</f>
        <v>可回读</v>
      </c>
    </row>
    <row r="192" spans="1:19" ht="24" customHeight="1">
      <c r="A192" s="9">
        <v>2</v>
      </c>
      <c r="B192" s="9" t="s">
        <v>448</v>
      </c>
      <c r="C192" s="9" t="s">
        <v>482</v>
      </c>
      <c r="D192" s="9">
        <v>11</v>
      </c>
      <c r="E192" s="9">
        <v>3</v>
      </c>
      <c r="F192" s="9">
        <v>3</v>
      </c>
      <c r="G192" s="9" t="str">
        <f>第3日!$B$61</f>
        <v>第11波 奥术重装</v>
      </c>
      <c r="H192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92" s="9">
        <f>第3日!$E$61</f>
        <v>0.24</v>
      </c>
      <c r="J192" s="9">
        <f>第3日!$G$61</f>
        <v>1</v>
      </c>
      <c r="K192" s="9">
        <f>第3日!$I$61</f>
        <v>300</v>
      </c>
      <c r="L192" s="9" t="s">
        <v>479</v>
      </c>
      <c r="M192" s="9" t="s">
        <v>480</v>
      </c>
      <c r="N192" s="9">
        <v>8</v>
      </c>
      <c r="O192" s="9" t="str">
        <f>第3日!$B$72</f>
        <v>守护者原石虫</v>
      </c>
      <c r="P192" s="9" t="str">
        <f>IFERROR(VLOOKUP(O192,敌人目录!$A$6:$AD$54,2,FALSE),"")</f>
        <v>yuanshi_insect_guardian</v>
      </c>
      <c r="Q192" s="9">
        <f>第3日!$C$72</f>
        <v>16</v>
      </c>
      <c r="R192" s="9" t="str">
        <f>第3日!$I$72</f>
        <v>可回读</v>
      </c>
      <c r="S192" s="9" t="str">
        <f>第3日!$I$62</f>
        <v>可回读</v>
      </c>
    </row>
    <row r="193" spans="1:19" ht="24" customHeight="1">
      <c r="A193" s="9">
        <v>2</v>
      </c>
      <c r="B193" s="9" t="s">
        <v>448</v>
      </c>
      <c r="C193" s="9" t="s">
        <v>482</v>
      </c>
      <c r="D193" s="9">
        <v>11</v>
      </c>
      <c r="E193" s="9">
        <v>3</v>
      </c>
      <c r="F193" s="9">
        <v>3</v>
      </c>
      <c r="G193" s="9" t="str">
        <f>第3日!$B$61</f>
        <v>第11波 奥术重装</v>
      </c>
      <c r="H193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93" s="9">
        <f>第3日!$E$61</f>
        <v>0.24</v>
      </c>
      <c r="J193" s="9">
        <f>第3日!$G$61</f>
        <v>1</v>
      </c>
      <c r="K193" s="9">
        <f>第3日!$I$61</f>
        <v>300</v>
      </c>
      <c r="L193" s="9" t="s">
        <v>479</v>
      </c>
      <c r="M193" s="9" t="s">
        <v>480</v>
      </c>
      <c r="N193" s="9">
        <v>9</v>
      </c>
      <c r="O193" s="9" t="str">
        <f>第3日!$B$73</f>
        <v>AK猫猫虫</v>
      </c>
      <c r="P193" s="9" t="str">
        <f>IFERROR(VLOOKUP(O193,敌人目录!$A$6:$AD$54,2,FALSE),"")</f>
        <v>capoo_ak47</v>
      </c>
      <c r="Q193" s="9">
        <f>第3日!$C$73</f>
        <v>2</v>
      </c>
      <c r="R193" s="9" t="str">
        <f>第3日!$I$73</f>
        <v>可回读</v>
      </c>
      <c r="S193" s="9" t="str">
        <f>第3日!$I$62</f>
        <v>可回读</v>
      </c>
    </row>
    <row r="194" spans="1:19" ht="24" customHeight="1">
      <c r="A194" s="9">
        <v>2</v>
      </c>
      <c r="B194" s="9" t="s">
        <v>448</v>
      </c>
      <c r="C194" s="9" t="s">
        <v>482</v>
      </c>
      <c r="D194" s="9">
        <v>11</v>
      </c>
      <c r="E194" s="9">
        <v>3</v>
      </c>
      <c r="F194" s="9">
        <v>3</v>
      </c>
      <c r="G194" s="9" t="str">
        <f>第3日!$B$61</f>
        <v>第11波 奥术重装</v>
      </c>
      <c r="H194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94" s="9">
        <f>第3日!$E$61</f>
        <v>0.24</v>
      </c>
      <c r="J194" s="9">
        <f>第3日!$G$61</f>
        <v>1</v>
      </c>
      <c r="K194" s="9">
        <f>第3日!$I$61</f>
        <v>300</v>
      </c>
      <c r="L194" s="9" t="s">
        <v>479</v>
      </c>
      <c r="M194" s="9" t="s">
        <v>480</v>
      </c>
      <c r="N194" s="9">
        <v>10</v>
      </c>
      <c r="O194" s="9" t="str">
        <f>第3日!$B$74</f>
        <v>骑士猫猫虫</v>
      </c>
      <c r="P194" s="9" t="str">
        <f>IFERROR(VLOOKUP(O194,敌人目录!$A$6:$AD$54,2,FALSE),"")</f>
        <v>capoo_knight</v>
      </c>
      <c r="Q194" s="9">
        <f>第3日!$C$74</f>
        <v>2</v>
      </c>
      <c r="R194" s="9" t="str">
        <f>第3日!$I$74</f>
        <v>可回读</v>
      </c>
      <c r="S194" s="9" t="str">
        <f>第3日!$I$62</f>
        <v>可回读</v>
      </c>
    </row>
    <row r="195" spans="1:19" ht="24" customHeight="1">
      <c r="A195" s="9">
        <v>2</v>
      </c>
      <c r="B195" s="9" t="s">
        <v>448</v>
      </c>
      <c r="C195" s="9" t="s">
        <v>482</v>
      </c>
      <c r="D195" s="9">
        <v>11</v>
      </c>
      <c r="E195" s="9">
        <v>3</v>
      </c>
      <c r="F195" s="9">
        <v>3</v>
      </c>
      <c r="G195" s="9" t="str">
        <f>第3日!$B$61</f>
        <v>第11波 奥术重装</v>
      </c>
      <c r="H195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95" s="9">
        <f>第3日!$E$61</f>
        <v>0.24</v>
      </c>
      <c r="J195" s="9">
        <f>第3日!$G$61</f>
        <v>1</v>
      </c>
      <c r="K195" s="9">
        <f>第3日!$I$61</f>
        <v>300</v>
      </c>
      <c r="L195" s="9" t="s">
        <v>479</v>
      </c>
      <c r="M195" s="9" t="s">
        <v>480</v>
      </c>
      <c r="N195" s="9">
        <v>11</v>
      </c>
      <c r="O195" s="9" t="str">
        <f>第3日!$B$75</f>
        <v>法师 Capoo</v>
      </c>
      <c r="P195" s="9" t="str">
        <f>IFERROR(VLOOKUP(O195,敌人目录!$A$6:$AD$54,2,FALSE),"")</f>
        <v>capoo_mage</v>
      </c>
      <c r="Q195" s="9">
        <f>第3日!$C$75</f>
        <v>1</v>
      </c>
      <c r="R195" s="9" t="str">
        <f>第3日!$I$75</f>
        <v>可回读</v>
      </c>
      <c r="S195" s="9" t="str">
        <f>第3日!$I$62</f>
        <v>可回读</v>
      </c>
    </row>
    <row r="196" spans="1:19" ht="24" customHeight="1">
      <c r="A196" s="9">
        <v>2</v>
      </c>
      <c r="B196" s="9" t="s">
        <v>448</v>
      </c>
      <c r="C196" s="9" t="s">
        <v>482</v>
      </c>
      <c r="D196" s="9">
        <v>11</v>
      </c>
      <c r="E196" s="9">
        <v>3</v>
      </c>
      <c r="F196" s="9">
        <v>3</v>
      </c>
      <c r="G196" s="9" t="str">
        <f>第3日!$B$61</f>
        <v>第11波 奥术重装</v>
      </c>
      <c r="H196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96" s="9">
        <f>第3日!$E$61</f>
        <v>0.24</v>
      </c>
      <c r="J196" s="9">
        <f>第3日!$G$61</f>
        <v>1</v>
      </c>
      <c r="K196" s="9">
        <f>第3日!$I$61</f>
        <v>300</v>
      </c>
      <c r="L196" s="9" t="s">
        <v>479</v>
      </c>
      <c r="M196" s="9" t="s">
        <v>480</v>
      </c>
      <c r="N196" s="9">
        <v>12</v>
      </c>
      <c r="O196" s="9" t="str">
        <f>第3日!$B$76</f>
        <v>石头人</v>
      </c>
      <c r="P196" s="9" t="str">
        <f>IFERROR(VLOOKUP(O196,敌人目录!$A$6:$AD$54,2,FALSE),"")</f>
        <v>stone_golem</v>
      </c>
      <c r="Q196" s="9">
        <f>第3日!$C$76</f>
        <v>1</v>
      </c>
      <c r="R196" s="9" t="str">
        <f>第3日!$I$76</f>
        <v>可回读</v>
      </c>
      <c r="S196" s="9" t="str">
        <f>第3日!$I$62</f>
        <v>可回读</v>
      </c>
    </row>
    <row r="197" spans="1:19" ht="24" customHeight="1">
      <c r="A197" s="9">
        <v>2</v>
      </c>
      <c r="B197" s="9" t="s">
        <v>448</v>
      </c>
      <c r="C197" s="9" t="s">
        <v>482</v>
      </c>
      <c r="D197" s="9">
        <v>11</v>
      </c>
      <c r="E197" s="9">
        <v>3</v>
      </c>
      <c r="F197" s="9">
        <v>3</v>
      </c>
      <c r="G197" s="9" t="str">
        <f>第3日!$B$61</f>
        <v>第11波 奥术重装</v>
      </c>
      <c r="H197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97" s="9">
        <f>第3日!$E$61</f>
        <v>0.24</v>
      </c>
      <c r="J197" s="9">
        <f>第3日!$G$61</f>
        <v>1</v>
      </c>
      <c r="K197" s="9">
        <f>第3日!$I$61</f>
        <v>300</v>
      </c>
      <c r="L197" s="9" t="s">
        <v>479</v>
      </c>
      <c r="M197" s="9" t="s">
        <v>480</v>
      </c>
      <c r="N197" s="9">
        <v>13</v>
      </c>
      <c r="O197" s="9">
        <f>第3日!$B$77</f>
        <v>0</v>
      </c>
      <c r="P197" s="9" t="str">
        <f>IFERROR(VLOOKUP(O197,敌人目录!$A$6:$AD$54,2,FALSE),"")</f>
        <v/>
      </c>
      <c r="Q197" s="9">
        <f>第3日!$C$77</f>
        <v>0</v>
      </c>
      <c r="R197" s="9" t="str">
        <f>第3日!$I$77</f>
        <v/>
      </c>
      <c r="S197" s="9" t="str">
        <f>第3日!$I$62</f>
        <v>可回读</v>
      </c>
    </row>
    <row r="198" spans="1:19" ht="24" customHeight="1">
      <c r="A198" s="9">
        <v>2</v>
      </c>
      <c r="B198" s="9" t="s">
        <v>448</v>
      </c>
      <c r="C198" s="9" t="s">
        <v>482</v>
      </c>
      <c r="D198" s="9">
        <v>11</v>
      </c>
      <c r="E198" s="9">
        <v>3</v>
      </c>
      <c r="F198" s="9">
        <v>3</v>
      </c>
      <c r="G198" s="9" t="str">
        <f>第3日!$B$61</f>
        <v>第11波 奥术重装</v>
      </c>
      <c r="H198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98" s="9">
        <f>第3日!$E$61</f>
        <v>0.24</v>
      </c>
      <c r="J198" s="9">
        <f>第3日!$G$61</f>
        <v>1</v>
      </c>
      <c r="K198" s="9">
        <f>第3日!$I$61</f>
        <v>300</v>
      </c>
      <c r="L198" s="9" t="s">
        <v>479</v>
      </c>
      <c r="M198" s="9" t="s">
        <v>480</v>
      </c>
      <c r="N198" s="9">
        <v>14</v>
      </c>
      <c r="O198" s="9">
        <f>第3日!$B$78</f>
        <v>0</v>
      </c>
      <c r="P198" s="9" t="str">
        <f>IFERROR(VLOOKUP(O198,敌人目录!$A$6:$AD$54,2,FALSE),"")</f>
        <v/>
      </c>
      <c r="Q198" s="9">
        <f>第3日!$C$78</f>
        <v>0</v>
      </c>
      <c r="R198" s="9" t="str">
        <f>第3日!$I$78</f>
        <v/>
      </c>
      <c r="S198" s="9" t="str">
        <f>第3日!$I$62</f>
        <v>可回读</v>
      </c>
    </row>
    <row r="199" spans="1:19" ht="24" customHeight="1">
      <c r="A199" s="9">
        <v>2</v>
      </c>
      <c r="B199" s="9" t="s">
        <v>448</v>
      </c>
      <c r="C199" s="9" t="s">
        <v>482</v>
      </c>
      <c r="D199" s="9">
        <v>11</v>
      </c>
      <c r="E199" s="9">
        <v>3</v>
      </c>
      <c r="F199" s="9">
        <v>3</v>
      </c>
      <c r="G199" s="9" t="str">
        <f>第3日!$B$61</f>
        <v>第11波 奥术重装</v>
      </c>
      <c r="H199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199" s="9">
        <f>第3日!$E$61</f>
        <v>0.24</v>
      </c>
      <c r="J199" s="9">
        <f>第3日!$G$61</f>
        <v>1</v>
      </c>
      <c r="K199" s="9">
        <f>第3日!$I$61</f>
        <v>300</v>
      </c>
      <c r="L199" s="9" t="s">
        <v>479</v>
      </c>
      <c r="M199" s="9" t="s">
        <v>480</v>
      </c>
      <c r="N199" s="9">
        <v>15</v>
      </c>
      <c r="O199" s="9">
        <f>第3日!$B$79</f>
        <v>0</v>
      </c>
      <c r="P199" s="9" t="str">
        <f>IFERROR(VLOOKUP(O199,敌人目录!$A$6:$AD$54,2,FALSE),"")</f>
        <v/>
      </c>
      <c r="Q199" s="9">
        <f>第3日!$C$79</f>
        <v>0</v>
      </c>
      <c r="R199" s="9" t="str">
        <f>第3日!$I$79</f>
        <v/>
      </c>
      <c r="S199" s="9" t="str">
        <f>第3日!$I$62</f>
        <v>可回读</v>
      </c>
    </row>
    <row r="200" spans="1:19" ht="24" customHeight="1">
      <c r="A200" s="9">
        <v>2</v>
      </c>
      <c r="B200" s="9" t="s">
        <v>448</v>
      </c>
      <c r="C200" s="9" t="s">
        <v>482</v>
      </c>
      <c r="D200" s="9">
        <v>11</v>
      </c>
      <c r="E200" s="9">
        <v>3</v>
      </c>
      <c r="F200" s="9">
        <v>3</v>
      </c>
      <c r="G200" s="9" t="str">
        <f>第3日!$B$61</f>
        <v>第11波 奥术重装</v>
      </c>
      <c r="H200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200" s="9">
        <f>第3日!$E$61</f>
        <v>0.24</v>
      </c>
      <c r="J200" s="9">
        <f>第3日!$G$61</f>
        <v>1</v>
      </c>
      <c r="K200" s="9">
        <f>第3日!$I$61</f>
        <v>300</v>
      </c>
      <c r="L200" s="9" t="s">
        <v>479</v>
      </c>
      <c r="M200" s="9" t="s">
        <v>480</v>
      </c>
      <c r="N200" s="9">
        <v>16</v>
      </c>
      <c r="O200" s="9">
        <f>第3日!$B$80</f>
        <v>0</v>
      </c>
      <c r="P200" s="9" t="str">
        <f>IFERROR(VLOOKUP(O200,敌人目录!$A$6:$AD$54,2,FALSE),"")</f>
        <v/>
      </c>
      <c r="Q200" s="9">
        <f>第3日!$C$80</f>
        <v>0</v>
      </c>
      <c r="R200" s="9" t="str">
        <f>第3日!$I$80</f>
        <v/>
      </c>
      <c r="S200" s="9" t="str">
        <f>第3日!$I$62</f>
        <v>可回读</v>
      </c>
    </row>
    <row r="201" spans="1:19" ht="24" customHeight="1">
      <c r="A201" s="9">
        <v>2</v>
      </c>
      <c r="B201" s="9" t="s">
        <v>448</v>
      </c>
      <c r="C201" s="9" t="s">
        <v>482</v>
      </c>
      <c r="D201" s="9">
        <v>11</v>
      </c>
      <c r="E201" s="9">
        <v>3</v>
      </c>
      <c r="F201" s="9">
        <v>3</v>
      </c>
      <c r="G201" s="9" t="str">
        <f>第3日!$B$61</f>
        <v>第11波 奥术重装</v>
      </c>
      <c r="H201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201" s="9">
        <f>第3日!$E$61</f>
        <v>0.24</v>
      </c>
      <c r="J201" s="9">
        <f>第3日!$G$61</f>
        <v>1</v>
      </c>
      <c r="K201" s="9">
        <f>第3日!$I$61</f>
        <v>300</v>
      </c>
      <c r="L201" s="9" t="s">
        <v>479</v>
      </c>
      <c r="M201" s="9" t="s">
        <v>480</v>
      </c>
      <c r="N201" s="9">
        <v>17</v>
      </c>
      <c r="O201" s="9">
        <f>第3日!$B$81</f>
        <v>0</v>
      </c>
      <c r="P201" s="9" t="str">
        <f>IFERROR(VLOOKUP(O201,敌人目录!$A$6:$AD$54,2,FALSE),"")</f>
        <v/>
      </c>
      <c r="Q201" s="9">
        <f>第3日!$C$81</f>
        <v>0</v>
      </c>
      <c r="R201" s="9" t="str">
        <f>第3日!$I$81</f>
        <v/>
      </c>
      <c r="S201" s="9" t="str">
        <f>第3日!$I$62</f>
        <v>可回读</v>
      </c>
    </row>
    <row r="202" spans="1:19" ht="24" customHeight="1">
      <c r="A202" s="9">
        <v>2</v>
      </c>
      <c r="B202" s="9" t="s">
        <v>448</v>
      </c>
      <c r="C202" s="9" t="s">
        <v>482</v>
      </c>
      <c r="D202" s="9">
        <v>11</v>
      </c>
      <c r="E202" s="9">
        <v>3</v>
      </c>
      <c r="F202" s="9">
        <v>3</v>
      </c>
      <c r="G202" s="9" t="str">
        <f>第3日!$B$61</f>
        <v>第11波 奥术重装</v>
      </c>
      <c r="H202" s="9">
        <f>IF(第3日!$B$62="点1·开启",1,0)+IF(第3日!$C$62="点2·开启",2,0)+IF(第3日!$D$62="点3·开启",4,0)+IF(第3日!$E$62="点4·开启",8,0)+IF(第3日!$F$62="点5·开启",16,0)+IF(第3日!$G$62="点6·开启",32,0)</f>
        <v>63</v>
      </c>
      <c r="I202" s="9">
        <f>第3日!$E$61</f>
        <v>0.24</v>
      </c>
      <c r="J202" s="9">
        <f>第3日!$G$61</f>
        <v>1</v>
      </c>
      <c r="K202" s="9">
        <f>第3日!$I$61</f>
        <v>300</v>
      </c>
      <c r="L202" s="9" t="s">
        <v>479</v>
      </c>
      <c r="M202" s="9" t="s">
        <v>480</v>
      </c>
      <c r="N202" s="9">
        <v>18</v>
      </c>
      <c r="O202" s="9">
        <f>第3日!$B$82</f>
        <v>0</v>
      </c>
      <c r="P202" s="9" t="str">
        <f>IFERROR(VLOOKUP(O202,敌人目录!$A$6:$AD$54,2,FALSE),"")</f>
        <v/>
      </c>
      <c r="Q202" s="9">
        <f>第3日!$C$82</f>
        <v>0</v>
      </c>
      <c r="R202" s="9" t="str">
        <f>第3日!$I$82</f>
        <v/>
      </c>
      <c r="S202" s="9" t="str">
        <f>第3日!$I$62</f>
        <v>可回读</v>
      </c>
    </row>
    <row r="203" spans="1:19" ht="24" customHeight="1">
      <c r="A203" s="9">
        <v>2</v>
      </c>
      <c r="B203" s="9" t="s">
        <v>448</v>
      </c>
      <c r="C203" s="9" t="s">
        <v>483</v>
      </c>
      <c r="D203" s="9">
        <v>12</v>
      </c>
      <c r="E203" s="9">
        <v>3</v>
      </c>
      <c r="F203" s="9">
        <v>4</v>
      </c>
      <c r="G203" s="9" t="str">
        <f>第3日!$B$90</f>
        <v>第12波 城镇决战</v>
      </c>
      <c r="H203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03" s="9">
        <f>第3日!$E$90</f>
        <v>0.22</v>
      </c>
      <c r="J203" s="9">
        <f>第3日!$G$90</f>
        <v>1</v>
      </c>
      <c r="K203" s="9">
        <f>第3日!$I$90</f>
        <v>300</v>
      </c>
      <c r="L203" s="9" t="s">
        <v>479</v>
      </c>
      <c r="M203" s="9" t="s">
        <v>480</v>
      </c>
      <c r="N203" s="9">
        <v>1</v>
      </c>
      <c r="O203" s="9" t="str">
        <f>第3日!$B$94</f>
        <v>普通原石虫</v>
      </c>
      <c r="P203" s="9" t="str">
        <f>IFERROR(VLOOKUP(O203,敌人目录!$A$6:$AD$54,2,FALSE),"")</f>
        <v>yuanshi_insect_basic</v>
      </c>
      <c r="Q203" s="9">
        <f>第3日!$C$94</f>
        <v>53</v>
      </c>
      <c r="R203" s="9" t="str">
        <f>第3日!$I$94</f>
        <v>可回读</v>
      </c>
      <c r="S203" s="9" t="str">
        <f>第3日!$I$91</f>
        <v>可回读</v>
      </c>
    </row>
    <row r="204" spans="1:19" ht="24" customHeight="1">
      <c r="A204" s="9">
        <v>2</v>
      </c>
      <c r="B204" s="9" t="s">
        <v>448</v>
      </c>
      <c r="C204" s="9" t="s">
        <v>483</v>
      </c>
      <c r="D204" s="9">
        <v>12</v>
      </c>
      <c r="E204" s="9">
        <v>3</v>
      </c>
      <c r="F204" s="9">
        <v>4</v>
      </c>
      <c r="G204" s="9" t="str">
        <f>第3日!$B$90</f>
        <v>第12波 城镇决战</v>
      </c>
      <c r="H204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04" s="9">
        <f>第3日!$E$90</f>
        <v>0.22</v>
      </c>
      <c r="J204" s="9">
        <f>第3日!$G$90</f>
        <v>1</v>
      </c>
      <c r="K204" s="9">
        <f>第3日!$I$90</f>
        <v>300</v>
      </c>
      <c r="L204" s="9" t="s">
        <v>479</v>
      </c>
      <c r="M204" s="9" t="s">
        <v>480</v>
      </c>
      <c r="N204" s="9">
        <v>2</v>
      </c>
      <c r="O204" s="9" t="str">
        <f>第3日!$B$95</f>
        <v>迅捷原石虫</v>
      </c>
      <c r="P204" s="9" t="str">
        <f>IFERROR(VLOOKUP(O204,敌人目录!$A$6:$AD$54,2,FALSE),"")</f>
        <v>yuanshi_insect_fast</v>
      </c>
      <c r="Q204" s="9">
        <f>第3日!$C$95</f>
        <v>24</v>
      </c>
      <c r="R204" s="9" t="str">
        <f>第3日!$I$95</f>
        <v>可回读</v>
      </c>
      <c r="S204" s="9" t="str">
        <f>第3日!$I$91</f>
        <v>可回读</v>
      </c>
    </row>
    <row r="205" spans="1:19" ht="24" customHeight="1">
      <c r="A205" s="9">
        <v>2</v>
      </c>
      <c r="B205" s="9" t="s">
        <v>448</v>
      </c>
      <c r="C205" s="9" t="s">
        <v>483</v>
      </c>
      <c r="D205" s="9">
        <v>12</v>
      </c>
      <c r="E205" s="9">
        <v>3</v>
      </c>
      <c r="F205" s="9">
        <v>4</v>
      </c>
      <c r="G205" s="9" t="str">
        <f>第3日!$B$90</f>
        <v>第12波 城镇决战</v>
      </c>
      <c r="H205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05" s="9">
        <f>第3日!$E$90</f>
        <v>0.22</v>
      </c>
      <c r="J205" s="9">
        <f>第3日!$G$90</f>
        <v>1</v>
      </c>
      <c r="K205" s="9">
        <f>第3日!$I$90</f>
        <v>300</v>
      </c>
      <c r="L205" s="9" t="s">
        <v>479</v>
      </c>
      <c r="M205" s="9" t="s">
        <v>480</v>
      </c>
      <c r="N205" s="9">
        <v>3</v>
      </c>
      <c r="O205" s="9" t="str">
        <f>第3日!$B$96</f>
        <v>硬壳原石虫</v>
      </c>
      <c r="P205" s="9" t="str">
        <f>IFERROR(VLOOKUP(O205,敌人目录!$A$6:$AD$54,2,FALSE),"")</f>
        <v>yuanshi_insect_shell</v>
      </c>
      <c r="Q205" s="9">
        <f>第3日!$C$96</f>
        <v>24</v>
      </c>
      <c r="R205" s="9" t="str">
        <f>第3日!$I$96</f>
        <v>可回读</v>
      </c>
      <c r="S205" s="9" t="str">
        <f>第3日!$I$91</f>
        <v>可回读</v>
      </c>
    </row>
    <row r="206" spans="1:19" ht="24" customHeight="1">
      <c r="A206" s="9">
        <v>2</v>
      </c>
      <c r="B206" s="9" t="s">
        <v>448</v>
      </c>
      <c r="C206" s="9" t="s">
        <v>483</v>
      </c>
      <c r="D206" s="9">
        <v>12</v>
      </c>
      <c r="E206" s="9">
        <v>3</v>
      </c>
      <c r="F206" s="9">
        <v>4</v>
      </c>
      <c r="G206" s="9" t="str">
        <f>第3日!$B$90</f>
        <v>第12波 城镇决战</v>
      </c>
      <c r="H206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06" s="9">
        <f>第3日!$E$90</f>
        <v>0.22</v>
      </c>
      <c r="J206" s="9">
        <f>第3日!$G$90</f>
        <v>1</v>
      </c>
      <c r="K206" s="9">
        <f>第3日!$I$90</f>
        <v>300</v>
      </c>
      <c r="L206" s="9" t="s">
        <v>479</v>
      </c>
      <c r="M206" s="9" t="s">
        <v>480</v>
      </c>
      <c r="N206" s="9">
        <v>4</v>
      </c>
      <c r="O206" s="9" t="str">
        <f>第3日!$B$97</f>
        <v>自爆原石虫</v>
      </c>
      <c r="P206" s="9" t="str">
        <f>IFERROR(VLOOKUP(O206,敌人目录!$A$6:$AD$54,2,FALSE),"")</f>
        <v>yuanshi_insect_bomber</v>
      </c>
      <c r="Q206" s="9">
        <f>第3日!$C$97</f>
        <v>20</v>
      </c>
      <c r="R206" s="9" t="str">
        <f>第3日!$I$97</f>
        <v>可回读</v>
      </c>
      <c r="S206" s="9" t="str">
        <f>第3日!$I$91</f>
        <v>可回读</v>
      </c>
    </row>
    <row r="207" spans="1:19" ht="24" customHeight="1">
      <c r="A207" s="9">
        <v>2</v>
      </c>
      <c r="B207" s="9" t="s">
        <v>448</v>
      </c>
      <c r="C207" s="9" t="s">
        <v>483</v>
      </c>
      <c r="D207" s="9">
        <v>12</v>
      </c>
      <c r="E207" s="9">
        <v>3</v>
      </c>
      <c r="F207" s="9">
        <v>4</v>
      </c>
      <c r="G207" s="9" t="str">
        <f>第3日!$B$90</f>
        <v>第12波 城镇决战</v>
      </c>
      <c r="H207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07" s="9">
        <f>第3日!$E$90</f>
        <v>0.22</v>
      </c>
      <c r="J207" s="9">
        <f>第3日!$G$90</f>
        <v>1</v>
      </c>
      <c r="K207" s="9">
        <f>第3日!$I$90</f>
        <v>300</v>
      </c>
      <c r="L207" s="9" t="s">
        <v>479</v>
      </c>
      <c r="M207" s="9" t="s">
        <v>480</v>
      </c>
      <c r="N207" s="9">
        <v>5</v>
      </c>
      <c r="O207" s="9" t="str">
        <f>第3日!$B$98</f>
        <v>紫晶自爆原石虫</v>
      </c>
      <c r="P207" s="9" t="str">
        <f>IFERROR(VLOOKUP(O207,敌人目录!$A$6:$AD$54,2,FALSE),"")</f>
        <v>yuanshi_insect_purple_bomber</v>
      </c>
      <c r="Q207" s="9">
        <f>第3日!$C$98</f>
        <v>16</v>
      </c>
      <c r="R207" s="9" t="str">
        <f>第3日!$I$98</f>
        <v>可回读</v>
      </c>
      <c r="S207" s="9" t="str">
        <f>第3日!$I$91</f>
        <v>可回读</v>
      </c>
    </row>
    <row r="208" spans="1:19" ht="24" customHeight="1">
      <c r="A208" s="9">
        <v>2</v>
      </c>
      <c r="B208" s="9" t="s">
        <v>448</v>
      </c>
      <c r="C208" s="9" t="s">
        <v>483</v>
      </c>
      <c r="D208" s="9">
        <v>12</v>
      </c>
      <c r="E208" s="9">
        <v>3</v>
      </c>
      <c r="F208" s="9">
        <v>4</v>
      </c>
      <c r="G208" s="9" t="str">
        <f>第3日!$B$90</f>
        <v>第12波 城镇决战</v>
      </c>
      <c r="H208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08" s="9">
        <f>第3日!$E$90</f>
        <v>0.22</v>
      </c>
      <c r="J208" s="9">
        <f>第3日!$G$90</f>
        <v>1</v>
      </c>
      <c r="K208" s="9">
        <f>第3日!$I$90</f>
        <v>300</v>
      </c>
      <c r="L208" s="9" t="s">
        <v>479</v>
      </c>
      <c r="M208" s="9" t="s">
        <v>480</v>
      </c>
      <c r="N208" s="9">
        <v>6</v>
      </c>
      <c r="O208" s="9" t="str">
        <f>第3日!$B$99</f>
        <v>火焰弹原石虫</v>
      </c>
      <c r="P208" s="9" t="str">
        <f>IFERROR(VLOOKUP(O208,敌人目录!$A$6:$AD$54,2,FALSE),"")</f>
        <v>yuanshi_insect_fire_ranged</v>
      </c>
      <c r="Q208" s="9">
        <f>第3日!$C$99</f>
        <v>20</v>
      </c>
      <c r="R208" s="9" t="str">
        <f>第3日!$I$99</f>
        <v>可回读</v>
      </c>
      <c r="S208" s="9" t="str">
        <f>第3日!$I$91</f>
        <v>可回读</v>
      </c>
    </row>
    <row r="209" spans="1:19" ht="24" customHeight="1">
      <c r="A209" s="9">
        <v>2</v>
      </c>
      <c r="B209" s="9" t="s">
        <v>448</v>
      </c>
      <c r="C209" s="9" t="s">
        <v>483</v>
      </c>
      <c r="D209" s="9">
        <v>12</v>
      </c>
      <c r="E209" s="9">
        <v>3</v>
      </c>
      <c r="F209" s="9">
        <v>4</v>
      </c>
      <c r="G209" s="9" t="str">
        <f>第3日!$B$90</f>
        <v>第12波 城镇决战</v>
      </c>
      <c r="H209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09" s="9">
        <f>第3日!$E$90</f>
        <v>0.22</v>
      </c>
      <c r="J209" s="9">
        <f>第3日!$G$90</f>
        <v>1</v>
      </c>
      <c r="K209" s="9">
        <f>第3日!$I$90</f>
        <v>300</v>
      </c>
      <c r="L209" s="9" t="s">
        <v>479</v>
      </c>
      <c r="M209" s="9" t="s">
        <v>480</v>
      </c>
      <c r="N209" s="9">
        <v>7</v>
      </c>
      <c r="O209" s="9" t="str">
        <f>第3日!$B$100</f>
        <v>翠壳原石虫</v>
      </c>
      <c r="P209" s="9" t="str">
        <f>IFERROR(VLOOKUP(O209,敌人目录!$A$6:$AD$54,2,FALSE),"")</f>
        <v>yuanshi_insect_green_shell</v>
      </c>
      <c r="Q209" s="9">
        <f>第3日!$C$100</f>
        <v>20</v>
      </c>
      <c r="R209" s="9" t="str">
        <f>第3日!$I$100</f>
        <v>可回读</v>
      </c>
      <c r="S209" s="9" t="str">
        <f>第3日!$I$91</f>
        <v>可回读</v>
      </c>
    </row>
    <row r="210" spans="1:19" ht="24" customHeight="1">
      <c r="A210" s="9">
        <v>2</v>
      </c>
      <c r="B210" s="9" t="s">
        <v>448</v>
      </c>
      <c r="C210" s="9" t="s">
        <v>483</v>
      </c>
      <c r="D210" s="9">
        <v>12</v>
      </c>
      <c r="E210" s="9">
        <v>3</v>
      </c>
      <c r="F210" s="9">
        <v>4</v>
      </c>
      <c r="G210" s="9" t="str">
        <f>第3日!$B$90</f>
        <v>第12波 城镇决战</v>
      </c>
      <c r="H210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10" s="9">
        <f>第3日!$E$90</f>
        <v>0.22</v>
      </c>
      <c r="J210" s="9">
        <f>第3日!$G$90</f>
        <v>1</v>
      </c>
      <c r="K210" s="9">
        <f>第3日!$I$90</f>
        <v>300</v>
      </c>
      <c r="L210" s="9" t="s">
        <v>479</v>
      </c>
      <c r="M210" s="9" t="s">
        <v>480</v>
      </c>
      <c r="N210" s="9">
        <v>8</v>
      </c>
      <c r="O210" s="9" t="str">
        <f>第3日!$B$101</f>
        <v>守护者原石虫</v>
      </c>
      <c r="P210" s="9" t="str">
        <f>IFERROR(VLOOKUP(O210,敌人目录!$A$6:$AD$54,2,FALSE),"")</f>
        <v>yuanshi_insect_guardian</v>
      </c>
      <c r="Q210" s="9">
        <f>第3日!$C$101</f>
        <v>16</v>
      </c>
      <c r="R210" s="9" t="str">
        <f>第3日!$I$101</f>
        <v>可回读</v>
      </c>
      <c r="S210" s="9" t="str">
        <f>第3日!$I$91</f>
        <v>可回读</v>
      </c>
    </row>
    <row r="211" spans="1:19" ht="24" customHeight="1">
      <c r="A211" s="9">
        <v>2</v>
      </c>
      <c r="B211" s="9" t="s">
        <v>448</v>
      </c>
      <c r="C211" s="9" t="s">
        <v>483</v>
      </c>
      <c r="D211" s="9">
        <v>12</v>
      </c>
      <c r="E211" s="9">
        <v>3</v>
      </c>
      <c r="F211" s="9">
        <v>4</v>
      </c>
      <c r="G211" s="9" t="str">
        <f>第3日!$B$90</f>
        <v>第12波 城镇决战</v>
      </c>
      <c r="H211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11" s="9">
        <f>第3日!$E$90</f>
        <v>0.22</v>
      </c>
      <c r="J211" s="9">
        <f>第3日!$G$90</f>
        <v>1</v>
      </c>
      <c r="K211" s="9">
        <f>第3日!$I$90</f>
        <v>300</v>
      </c>
      <c r="L211" s="9" t="s">
        <v>479</v>
      </c>
      <c r="M211" s="9" t="s">
        <v>480</v>
      </c>
      <c r="N211" s="9">
        <v>9</v>
      </c>
      <c r="O211" s="9" t="str">
        <f>第3日!$B$102</f>
        <v>AK猫猫虫</v>
      </c>
      <c r="P211" s="9" t="str">
        <f>IFERROR(VLOOKUP(O211,敌人目录!$A$6:$AD$54,2,FALSE),"")</f>
        <v>capoo_ak47</v>
      </c>
      <c r="Q211" s="9">
        <f>第3日!$C$102</f>
        <v>2</v>
      </c>
      <c r="R211" s="9" t="str">
        <f>第3日!$I$102</f>
        <v>可回读</v>
      </c>
      <c r="S211" s="9" t="str">
        <f>第3日!$I$91</f>
        <v>可回读</v>
      </c>
    </row>
    <row r="212" spans="1:19" ht="24" customHeight="1">
      <c r="A212" s="9">
        <v>2</v>
      </c>
      <c r="B212" s="9" t="s">
        <v>448</v>
      </c>
      <c r="C212" s="9" t="s">
        <v>483</v>
      </c>
      <c r="D212" s="9">
        <v>12</v>
      </c>
      <c r="E212" s="9">
        <v>3</v>
      </c>
      <c r="F212" s="9">
        <v>4</v>
      </c>
      <c r="G212" s="9" t="str">
        <f>第3日!$B$90</f>
        <v>第12波 城镇决战</v>
      </c>
      <c r="H212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12" s="9">
        <f>第3日!$E$90</f>
        <v>0.22</v>
      </c>
      <c r="J212" s="9">
        <f>第3日!$G$90</f>
        <v>1</v>
      </c>
      <c r="K212" s="9">
        <f>第3日!$I$90</f>
        <v>300</v>
      </c>
      <c r="L212" s="9" t="s">
        <v>479</v>
      </c>
      <c r="M212" s="9" t="s">
        <v>480</v>
      </c>
      <c r="N212" s="9">
        <v>10</v>
      </c>
      <c r="O212" s="9" t="str">
        <f>第3日!$B$103</f>
        <v>骑士猫猫虫</v>
      </c>
      <c r="P212" s="9" t="str">
        <f>IFERROR(VLOOKUP(O212,敌人目录!$A$6:$AD$54,2,FALSE),"")</f>
        <v>capoo_knight</v>
      </c>
      <c r="Q212" s="9">
        <f>第3日!$C$103</f>
        <v>2</v>
      </c>
      <c r="R212" s="9" t="str">
        <f>第3日!$I$103</f>
        <v>可回读</v>
      </c>
      <c r="S212" s="9" t="str">
        <f>第3日!$I$91</f>
        <v>可回读</v>
      </c>
    </row>
    <row r="213" spans="1:19" ht="24" customHeight="1">
      <c r="A213" s="9">
        <v>2</v>
      </c>
      <c r="B213" s="9" t="s">
        <v>448</v>
      </c>
      <c r="C213" s="9" t="s">
        <v>483</v>
      </c>
      <c r="D213" s="9">
        <v>12</v>
      </c>
      <c r="E213" s="9">
        <v>3</v>
      </c>
      <c r="F213" s="9">
        <v>4</v>
      </c>
      <c r="G213" s="9" t="str">
        <f>第3日!$B$90</f>
        <v>第12波 城镇决战</v>
      </c>
      <c r="H213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13" s="9">
        <f>第3日!$E$90</f>
        <v>0.22</v>
      </c>
      <c r="J213" s="9">
        <f>第3日!$G$90</f>
        <v>1</v>
      </c>
      <c r="K213" s="9">
        <f>第3日!$I$90</f>
        <v>300</v>
      </c>
      <c r="L213" s="9" t="s">
        <v>479</v>
      </c>
      <c r="M213" s="9" t="s">
        <v>480</v>
      </c>
      <c r="N213" s="9">
        <v>11</v>
      </c>
      <c r="O213" s="9" t="str">
        <f>第3日!$B$104</f>
        <v>法师 Capoo</v>
      </c>
      <c r="P213" s="9" t="str">
        <f>IFERROR(VLOOKUP(O213,敌人目录!$A$6:$AD$54,2,FALSE),"")</f>
        <v>capoo_mage</v>
      </c>
      <c r="Q213" s="9">
        <f>第3日!$C$104</f>
        <v>1</v>
      </c>
      <c r="R213" s="9" t="str">
        <f>第3日!$I$104</f>
        <v>可回读</v>
      </c>
      <c r="S213" s="9" t="str">
        <f>第3日!$I$91</f>
        <v>可回读</v>
      </c>
    </row>
    <row r="214" spans="1:19" ht="24" customHeight="1">
      <c r="A214" s="9">
        <v>2</v>
      </c>
      <c r="B214" s="9" t="s">
        <v>448</v>
      </c>
      <c r="C214" s="9" t="s">
        <v>483</v>
      </c>
      <c r="D214" s="9">
        <v>12</v>
      </c>
      <c r="E214" s="9">
        <v>3</v>
      </c>
      <c r="F214" s="9">
        <v>4</v>
      </c>
      <c r="G214" s="9" t="str">
        <f>第3日!$B$90</f>
        <v>第12波 城镇决战</v>
      </c>
      <c r="H214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14" s="9">
        <f>第3日!$E$90</f>
        <v>0.22</v>
      </c>
      <c r="J214" s="9">
        <f>第3日!$G$90</f>
        <v>1</v>
      </c>
      <c r="K214" s="9">
        <f>第3日!$I$90</f>
        <v>300</v>
      </c>
      <c r="L214" s="9" t="s">
        <v>479</v>
      </c>
      <c r="M214" s="9" t="s">
        <v>480</v>
      </c>
      <c r="N214" s="9">
        <v>12</v>
      </c>
      <c r="O214" s="9" t="str">
        <f>第3日!$B$105</f>
        <v>RPG猫猫虫</v>
      </c>
      <c r="P214" s="9" t="str">
        <f>IFERROR(VLOOKUP(O214,敌人目录!$A$6:$AD$54,2,FALSE),"")</f>
        <v>capoo_rpg</v>
      </c>
      <c r="Q214" s="9">
        <f>第3日!$C$105</f>
        <v>1</v>
      </c>
      <c r="R214" s="9" t="str">
        <f>第3日!$I$105</f>
        <v>可回读</v>
      </c>
      <c r="S214" s="9" t="str">
        <f>第3日!$I$91</f>
        <v>可回读</v>
      </c>
    </row>
    <row r="215" spans="1:19" ht="24" customHeight="1">
      <c r="A215" s="9">
        <v>2</v>
      </c>
      <c r="B215" s="9" t="s">
        <v>448</v>
      </c>
      <c r="C215" s="9" t="s">
        <v>483</v>
      </c>
      <c r="D215" s="9">
        <v>12</v>
      </c>
      <c r="E215" s="9">
        <v>3</v>
      </c>
      <c r="F215" s="9">
        <v>4</v>
      </c>
      <c r="G215" s="9" t="str">
        <f>第3日!$B$90</f>
        <v>第12波 城镇决战</v>
      </c>
      <c r="H215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15" s="9">
        <f>第3日!$E$90</f>
        <v>0.22</v>
      </c>
      <c r="J215" s="9">
        <f>第3日!$G$90</f>
        <v>1</v>
      </c>
      <c r="K215" s="9">
        <f>第3日!$I$90</f>
        <v>300</v>
      </c>
      <c r="L215" s="9" t="s">
        <v>479</v>
      </c>
      <c r="M215" s="9" t="s">
        <v>480</v>
      </c>
      <c r="N215" s="9">
        <v>13</v>
      </c>
      <c r="O215" s="9" t="str">
        <f>第3日!$B$106</f>
        <v>石头人</v>
      </c>
      <c r="P215" s="9" t="str">
        <f>IFERROR(VLOOKUP(O215,敌人目录!$A$6:$AD$54,2,FALSE),"")</f>
        <v>stone_golem</v>
      </c>
      <c r="Q215" s="9">
        <f>第3日!$C$106</f>
        <v>1</v>
      </c>
      <c r="R215" s="9" t="str">
        <f>第3日!$I$106</f>
        <v>可回读</v>
      </c>
      <c r="S215" s="9" t="str">
        <f>第3日!$I$91</f>
        <v>可回读</v>
      </c>
    </row>
    <row r="216" spans="1:19" ht="24" customHeight="1">
      <c r="A216" s="9">
        <v>2</v>
      </c>
      <c r="B216" s="9" t="s">
        <v>448</v>
      </c>
      <c r="C216" s="9" t="s">
        <v>483</v>
      </c>
      <c r="D216" s="9">
        <v>12</v>
      </c>
      <c r="E216" s="9">
        <v>3</v>
      </c>
      <c r="F216" s="9">
        <v>4</v>
      </c>
      <c r="G216" s="9" t="str">
        <f>第3日!$B$90</f>
        <v>第12波 城镇决战</v>
      </c>
      <c r="H216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16" s="9">
        <f>第3日!$E$90</f>
        <v>0.22</v>
      </c>
      <c r="J216" s="9">
        <f>第3日!$G$90</f>
        <v>1</v>
      </c>
      <c r="K216" s="9">
        <f>第3日!$I$90</f>
        <v>300</v>
      </c>
      <c r="L216" s="9" t="s">
        <v>479</v>
      </c>
      <c r="M216" s="9" t="s">
        <v>480</v>
      </c>
      <c r="N216" s="9">
        <v>14</v>
      </c>
      <c r="O216" s="9">
        <f>第3日!$B$107</f>
        <v>0</v>
      </c>
      <c r="P216" s="9" t="str">
        <f>IFERROR(VLOOKUP(O216,敌人目录!$A$6:$AD$54,2,FALSE),"")</f>
        <v/>
      </c>
      <c r="Q216" s="9">
        <f>第3日!$C$107</f>
        <v>0</v>
      </c>
      <c r="R216" s="9" t="str">
        <f>第3日!$I$107</f>
        <v/>
      </c>
      <c r="S216" s="9" t="str">
        <f>第3日!$I$91</f>
        <v>可回读</v>
      </c>
    </row>
    <row r="217" spans="1:19" ht="24" customHeight="1">
      <c r="A217" s="9">
        <v>2</v>
      </c>
      <c r="B217" s="9" t="s">
        <v>448</v>
      </c>
      <c r="C217" s="9" t="s">
        <v>483</v>
      </c>
      <c r="D217" s="9">
        <v>12</v>
      </c>
      <c r="E217" s="9">
        <v>3</v>
      </c>
      <c r="F217" s="9">
        <v>4</v>
      </c>
      <c r="G217" s="9" t="str">
        <f>第3日!$B$90</f>
        <v>第12波 城镇决战</v>
      </c>
      <c r="H217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17" s="9">
        <f>第3日!$E$90</f>
        <v>0.22</v>
      </c>
      <c r="J217" s="9">
        <f>第3日!$G$90</f>
        <v>1</v>
      </c>
      <c r="K217" s="9">
        <f>第3日!$I$90</f>
        <v>300</v>
      </c>
      <c r="L217" s="9" t="s">
        <v>479</v>
      </c>
      <c r="M217" s="9" t="s">
        <v>480</v>
      </c>
      <c r="N217" s="9">
        <v>15</v>
      </c>
      <c r="O217" s="9">
        <f>第3日!$B$108</f>
        <v>0</v>
      </c>
      <c r="P217" s="9" t="str">
        <f>IFERROR(VLOOKUP(O217,敌人目录!$A$6:$AD$54,2,FALSE),"")</f>
        <v/>
      </c>
      <c r="Q217" s="9">
        <f>第3日!$C$108</f>
        <v>0</v>
      </c>
      <c r="R217" s="9" t="str">
        <f>第3日!$I$108</f>
        <v/>
      </c>
      <c r="S217" s="9" t="str">
        <f>第3日!$I$91</f>
        <v>可回读</v>
      </c>
    </row>
    <row r="218" spans="1:19" ht="24" customHeight="1">
      <c r="A218" s="9">
        <v>2</v>
      </c>
      <c r="B218" s="9" t="s">
        <v>448</v>
      </c>
      <c r="C218" s="9" t="s">
        <v>483</v>
      </c>
      <c r="D218" s="9">
        <v>12</v>
      </c>
      <c r="E218" s="9">
        <v>3</v>
      </c>
      <c r="F218" s="9">
        <v>4</v>
      </c>
      <c r="G218" s="9" t="str">
        <f>第3日!$B$90</f>
        <v>第12波 城镇决战</v>
      </c>
      <c r="H218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18" s="9">
        <f>第3日!$E$90</f>
        <v>0.22</v>
      </c>
      <c r="J218" s="9">
        <f>第3日!$G$90</f>
        <v>1</v>
      </c>
      <c r="K218" s="9">
        <f>第3日!$I$90</f>
        <v>300</v>
      </c>
      <c r="L218" s="9" t="s">
        <v>479</v>
      </c>
      <c r="M218" s="9" t="s">
        <v>480</v>
      </c>
      <c r="N218" s="9">
        <v>16</v>
      </c>
      <c r="O218" s="9">
        <f>第3日!$B$109</f>
        <v>0</v>
      </c>
      <c r="P218" s="9" t="str">
        <f>IFERROR(VLOOKUP(O218,敌人目录!$A$6:$AD$54,2,FALSE),"")</f>
        <v/>
      </c>
      <c r="Q218" s="9">
        <f>第3日!$C$109</f>
        <v>0</v>
      </c>
      <c r="R218" s="9" t="str">
        <f>第3日!$I$109</f>
        <v/>
      </c>
      <c r="S218" s="9" t="str">
        <f>第3日!$I$91</f>
        <v>可回读</v>
      </c>
    </row>
    <row r="219" spans="1:19" ht="24" customHeight="1">
      <c r="A219" s="9">
        <v>2</v>
      </c>
      <c r="B219" s="9" t="s">
        <v>448</v>
      </c>
      <c r="C219" s="9" t="s">
        <v>483</v>
      </c>
      <c r="D219" s="9">
        <v>12</v>
      </c>
      <c r="E219" s="9">
        <v>3</v>
      </c>
      <c r="F219" s="9">
        <v>4</v>
      </c>
      <c r="G219" s="9" t="str">
        <f>第3日!$B$90</f>
        <v>第12波 城镇决战</v>
      </c>
      <c r="H219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19" s="9">
        <f>第3日!$E$90</f>
        <v>0.22</v>
      </c>
      <c r="J219" s="9">
        <f>第3日!$G$90</f>
        <v>1</v>
      </c>
      <c r="K219" s="9">
        <f>第3日!$I$90</f>
        <v>300</v>
      </c>
      <c r="L219" s="9" t="s">
        <v>479</v>
      </c>
      <c r="M219" s="9" t="s">
        <v>480</v>
      </c>
      <c r="N219" s="9">
        <v>17</v>
      </c>
      <c r="O219" s="9">
        <f>第3日!$B$110</f>
        <v>0</v>
      </c>
      <c r="P219" s="9" t="str">
        <f>IFERROR(VLOOKUP(O219,敌人目录!$A$6:$AD$54,2,FALSE),"")</f>
        <v/>
      </c>
      <c r="Q219" s="9">
        <f>第3日!$C$110</f>
        <v>0</v>
      </c>
      <c r="R219" s="9" t="str">
        <f>第3日!$I$110</f>
        <v/>
      </c>
      <c r="S219" s="9" t="str">
        <f>第3日!$I$91</f>
        <v>可回读</v>
      </c>
    </row>
    <row r="220" spans="1:19" ht="24" customHeight="1">
      <c r="A220" s="9">
        <v>2</v>
      </c>
      <c r="B220" s="9" t="s">
        <v>448</v>
      </c>
      <c r="C220" s="9" t="s">
        <v>483</v>
      </c>
      <c r="D220" s="9">
        <v>12</v>
      </c>
      <c r="E220" s="9">
        <v>3</v>
      </c>
      <c r="F220" s="9">
        <v>4</v>
      </c>
      <c r="G220" s="9" t="str">
        <f>第3日!$B$90</f>
        <v>第12波 城镇决战</v>
      </c>
      <c r="H220" s="9">
        <f>IF(第3日!$B$91="点1·开启",1,0)+IF(第3日!$C$91="点2·开启",2,0)+IF(第3日!$D$91="点3·开启",4,0)+IF(第3日!$E$91="点4·开启",8,0)+IF(第3日!$F$91="点5·开启",16,0)+IF(第3日!$G$91="点6·开启",32,0)</f>
        <v>63</v>
      </c>
      <c r="I220" s="9">
        <f>第3日!$E$90</f>
        <v>0.22</v>
      </c>
      <c r="J220" s="9">
        <f>第3日!$G$90</f>
        <v>1</v>
      </c>
      <c r="K220" s="9">
        <f>第3日!$I$90</f>
        <v>300</v>
      </c>
      <c r="L220" s="9" t="s">
        <v>479</v>
      </c>
      <c r="M220" s="9" t="s">
        <v>480</v>
      </c>
      <c r="N220" s="9">
        <v>18</v>
      </c>
      <c r="O220" s="9">
        <f>第3日!$B$111</f>
        <v>0</v>
      </c>
      <c r="P220" s="9" t="str">
        <f>IFERROR(VLOOKUP(O220,敌人目录!$A$6:$AD$54,2,FALSE),"")</f>
        <v/>
      </c>
      <c r="Q220" s="9">
        <f>第3日!$C$111</f>
        <v>0</v>
      </c>
      <c r="R220" s="9" t="str">
        <f>第3日!$I$111</f>
        <v/>
      </c>
      <c r="S220" s="9" t="str">
        <f>第3日!$I$91</f>
        <v>可回读</v>
      </c>
    </row>
    <row r="221" spans="1:19" ht="24" customHeight="1">
      <c r="A221" s="9">
        <v>2</v>
      </c>
      <c r="B221" s="9" t="s">
        <v>448</v>
      </c>
      <c r="C221" s="9" t="s">
        <v>484</v>
      </c>
      <c r="D221" s="9">
        <v>13</v>
      </c>
      <c r="E221" s="9">
        <v>4</v>
      </c>
      <c r="F221" s="9">
        <v>1</v>
      </c>
      <c r="G221" s="9" t="str">
        <f>第4日!$B$3</f>
        <v>第13波（待设计）</v>
      </c>
      <c r="H221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21" s="9">
        <f>第4日!$E$3</f>
        <v>0.22</v>
      </c>
      <c r="J221" s="9">
        <f>第4日!$G$3</f>
        <v>1</v>
      </c>
      <c r="K221" s="9">
        <f>第4日!$I$3</f>
        <v>300</v>
      </c>
      <c r="L221" s="9" t="s">
        <v>479</v>
      </c>
      <c r="M221" s="9" t="s">
        <v>480</v>
      </c>
      <c r="N221" s="9">
        <v>1</v>
      </c>
      <c r="O221" s="9">
        <f>第4日!$B$7</f>
        <v>0</v>
      </c>
      <c r="P221" s="9" t="str">
        <f>IFERROR(VLOOKUP(O221,敌人目录!$A$6:$AD$54,2,FALSE),"")</f>
        <v/>
      </c>
      <c r="Q221" s="9">
        <f>第4日!$C$7</f>
        <v>0</v>
      </c>
      <c r="R221" s="9" t="str">
        <f>第4日!$I$7</f>
        <v/>
      </c>
      <c r="S221" s="9" t="str">
        <f>第4日!$I$4</f>
        <v>待设计</v>
      </c>
    </row>
    <row r="222" spans="1:19" ht="24" customHeight="1">
      <c r="A222" s="9">
        <v>2</v>
      </c>
      <c r="B222" s="9" t="s">
        <v>448</v>
      </c>
      <c r="C222" s="9" t="s">
        <v>484</v>
      </c>
      <c r="D222" s="9">
        <v>13</v>
      </c>
      <c r="E222" s="9">
        <v>4</v>
      </c>
      <c r="F222" s="9">
        <v>1</v>
      </c>
      <c r="G222" s="9" t="str">
        <f>第4日!$B$3</f>
        <v>第13波（待设计）</v>
      </c>
      <c r="H222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22" s="9">
        <f>第4日!$E$3</f>
        <v>0.22</v>
      </c>
      <c r="J222" s="9">
        <f>第4日!$G$3</f>
        <v>1</v>
      </c>
      <c r="K222" s="9">
        <f>第4日!$I$3</f>
        <v>300</v>
      </c>
      <c r="L222" s="9" t="s">
        <v>479</v>
      </c>
      <c r="M222" s="9" t="s">
        <v>480</v>
      </c>
      <c r="N222" s="9">
        <v>2</v>
      </c>
      <c r="O222" s="9">
        <f>第4日!$B$8</f>
        <v>0</v>
      </c>
      <c r="P222" s="9" t="str">
        <f>IFERROR(VLOOKUP(O222,敌人目录!$A$6:$AD$54,2,FALSE),"")</f>
        <v/>
      </c>
      <c r="Q222" s="9">
        <f>第4日!$C$8</f>
        <v>0</v>
      </c>
      <c r="R222" s="9" t="str">
        <f>第4日!$I$8</f>
        <v/>
      </c>
      <c r="S222" s="9" t="str">
        <f>第4日!$I$4</f>
        <v>待设计</v>
      </c>
    </row>
    <row r="223" spans="1:19" ht="24" customHeight="1">
      <c r="A223" s="9">
        <v>2</v>
      </c>
      <c r="B223" s="9" t="s">
        <v>448</v>
      </c>
      <c r="C223" s="9" t="s">
        <v>484</v>
      </c>
      <c r="D223" s="9">
        <v>13</v>
      </c>
      <c r="E223" s="9">
        <v>4</v>
      </c>
      <c r="F223" s="9">
        <v>1</v>
      </c>
      <c r="G223" s="9" t="str">
        <f>第4日!$B$3</f>
        <v>第13波（待设计）</v>
      </c>
      <c r="H223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23" s="9">
        <f>第4日!$E$3</f>
        <v>0.22</v>
      </c>
      <c r="J223" s="9">
        <f>第4日!$G$3</f>
        <v>1</v>
      </c>
      <c r="K223" s="9">
        <f>第4日!$I$3</f>
        <v>300</v>
      </c>
      <c r="L223" s="9" t="s">
        <v>479</v>
      </c>
      <c r="M223" s="9" t="s">
        <v>480</v>
      </c>
      <c r="N223" s="9">
        <v>3</v>
      </c>
      <c r="O223" s="9">
        <f>第4日!$B$9</f>
        <v>0</v>
      </c>
      <c r="P223" s="9" t="str">
        <f>IFERROR(VLOOKUP(O223,敌人目录!$A$6:$AD$54,2,FALSE),"")</f>
        <v/>
      </c>
      <c r="Q223" s="9">
        <f>第4日!$C$9</f>
        <v>0</v>
      </c>
      <c r="R223" s="9" t="str">
        <f>第4日!$I$9</f>
        <v/>
      </c>
      <c r="S223" s="9" t="str">
        <f>第4日!$I$4</f>
        <v>待设计</v>
      </c>
    </row>
    <row r="224" spans="1:19" ht="24" customHeight="1">
      <c r="A224" s="9">
        <v>2</v>
      </c>
      <c r="B224" s="9" t="s">
        <v>448</v>
      </c>
      <c r="C224" s="9" t="s">
        <v>484</v>
      </c>
      <c r="D224" s="9">
        <v>13</v>
      </c>
      <c r="E224" s="9">
        <v>4</v>
      </c>
      <c r="F224" s="9">
        <v>1</v>
      </c>
      <c r="G224" s="9" t="str">
        <f>第4日!$B$3</f>
        <v>第13波（待设计）</v>
      </c>
      <c r="H224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24" s="9">
        <f>第4日!$E$3</f>
        <v>0.22</v>
      </c>
      <c r="J224" s="9">
        <f>第4日!$G$3</f>
        <v>1</v>
      </c>
      <c r="K224" s="9">
        <f>第4日!$I$3</f>
        <v>300</v>
      </c>
      <c r="L224" s="9" t="s">
        <v>479</v>
      </c>
      <c r="M224" s="9" t="s">
        <v>480</v>
      </c>
      <c r="N224" s="9">
        <v>4</v>
      </c>
      <c r="O224" s="9">
        <f>第4日!$B$10</f>
        <v>0</v>
      </c>
      <c r="P224" s="9" t="str">
        <f>IFERROR(VLOOKUP(O224,敌人目录!$A$6:$AD$54,2,FALSE),"")</f>
        <v/>
      </c>
      <c r="Q224" s="9">
        <f>第4日!$C$10</f>
        <v>0</v>
      </c>
      <c r="R224" s="9" t="str">
        <f>第4日!$I$10</f>
        <v/>
      </c>
      <c r="S224" s="9" t="str">
        <f>第4日!$I$4</f>
        <v>待设计</v>
      </c>
    </row>
    <row r="225" spans="1:19" ht="24" customHeight="1">
      <c r="A225" s="9">
        <v>2</v>
      </c>
      <c r="B225" s="9" t="s">
        <v>448</v>
      </c>
      <c r="C225" s="9" t="s">
        <v>484</v>
      </c>
      <c r="D225" s="9">
        <v>13</v>
      </c>
      <c r="E225" s="9">
        <v>4</v>
      </c>
      <c r="F225" s="9">
        <v>1</v>
      </c>
      <c r="G225" s="9" t="str">
        <f>第4日!$B$3</f>
        <v>第13波（待设计）</v>
      </c>
      <c r="H225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25" s="9">
        <f>第4日!$E$3</f>
        <v>0.22</v>
      </c>
      <c r="J225" s="9">
        <f>第4日!$G$3</f>
        <v>1</v>
      </c>
      <c r="K225" s="9">
        <f>第4日!$I$3</f>
        <v>300</v>
      </c>
      <c r="L225" s="9" t="s">
        <v>479</v>
      </c>
      <c r="M225" s="9" t="s">
        <v>480</v>
      </c>
      <c r="N225" s="9">
        <v>5</v>
      </c>
      <c r="O225" s="9">
        <f>第4日!$B$11</f>
        <v>0</v>
      </c>
      <c r="P225" s="9" t="str">
        <f>IFERROR(VLOOKUP(O225,敌人目录!$A$6:$AD$54,2,FALSE),"")</f>
        <v/>
      </c>
      <c r="Q225" s="9">
        <f>第4日!$C$11</f>
        <v>0</v>
      </c>
      <c r="R225" s="9" t="str">
        <f>第4日!$I$11</f>
        <v/>
      </c>
      <c r="S225" s="9" t="str">
        <f>第4日!$I$4</f>
        <v>待设计</v>
      </c>
    </row>
    <row r="226" spans="1:19" ht="24" customHeight="1">
      <c r="A226" s="9">
        <v>2</v>
      </c>
      <c r="B226" s="9" t="s">
        <v>448</v>
      </c>
      <c r="C226" s="9" t="s">
        <v>484</v>
      </c>
      <c r="D226" s="9">
        <v>13</v>
      </c>
      <c r="E226" s="9">
        <v>4</v>
      </c>
      <c r="F226" s="9">
        <v>1</v>
      </c>
      <c r="G226" s="9" t="str">
        <f>第4日!$B$3</f>
        <v>第13波（待设计）</v>
      </c>
      <c r="H226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26" s="9">
        <f>第4日!$E$3</f>
        <v>0.22</v>
      </c>
      <c r="J226" s="9">
        <f>第4日!$G$3</f>
        <v>1</v>
      </c>
      <c r="K226" s="9">
        <f>第4日!$I$3</f>
        <v>300</v>
      </c>
      <c r="L226" s="9" t="s">
        <v>479</v>
      </c>
      <c r="M226" s="9" t="s">
        <v>480</v>
      </c>
      <c r="N226" s="9">
        <v>6</v>
      </c>
      <c r="O226" s="9">
        <f>第4日!$B$12</f>
        <v>0</v>
      </c>
      <c r="P226" s="9" t="str">
        <f>IFERROR(VLOOKUP(O226,敌人目录!$A$6:$AD$54,2,FALSE),"")</f>
        <v/>
      </c>
      <c r="Q226" s="9">
        <f>第4日!$C$12</f>
        <v>0</v>
      </c>
      <c r="R226" s="9" t="str">
        <f>第4日!$I$12</f>
        <v/>
      </c>
      <c r="S226" s="9" t="str">
        <f>第4日!$I$4</f>
        <v>待设计</v>
      </c>
    </row>
    <row r="227" spans="1:19" ht="24" customHeight="1">
      <c r="A227" s="9">
        <v>2</v>
      </c>
      <c r="B227" s="9" t="s">
        <v>448</v>
      </c>
      <c r="C227" s="9" t="s">
        <v>484</v>
      </c>
      <c r="D227" s="9">
        <v>13</v>
      </c>
      <c r="E227" s="9">
        <v>4</v>
      </c>
      <c r="F227" s="9">
        <v>1</v>
      </c>
      <c r="G227" s="9" t="str">
        <f>第4日!$B$3</f>
        <v>第13波（待设计）</v>
      </c>
      <c r="H227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27" s="9">
        <f>第4日!$E$3</f>
        <v>0.22</v>
      </c>
      <c r="J227" s="9">
        <f>第4日!$G$3</f>
        <v>1</v>
      </c>
      <c r="K227" s="9">
        <f>第4日!$I$3</f>
        <v>300</v>
      </c>
      <c r="L227" s="9" t="s">
        <v>479</v>
      </c>
      <c r="M227" s="9" t="s">
        <v>480</v>
      </c>
      <c r="N227" s="9">
        <v>7</v>
      </c>
      <c r="O227" s="9">
        <f>第4日!$B$13</f>
        <v>0</v>
      </c>
      <c r="P227" s="9" t="str">
        <f>IFERROR(VLOOKUP(O227,敌人目录!$A$6:$AD$54,2,FALSE),"")</f>
        <v/>
      </c>
      <c r="Q227" s="9">
        <f>第4日!$C$13</f>
        <v>0</v>
      </c>
      <c r="R227" s="9" t="str">
        <f>第4日!$I$13</f>
        <v/>
      </c>
      <c r="S227" s="9" t="str">
        <f>第4日!$I$4</f>
        <v>待设计</v>
      </c>
    </row>
    <row r="228" spans="1:19" ht="24" customHeight="1">
      <c r="A228" s="9">
        <v>2</v>
      </c>
      <c r="B228" s="9" t="s">
        <v>448</v>
      </c>
      <c r="C228" s="9" t="s">
        <v>484</v>
      </c>
      <c r="D228" s="9">
        <v>13</v>
      </c>
      <c r="E228" s="9">
        <v>4</v>
      </c>
      <c r="F228" s="9">
        <v>1</v>
      </c>
      <c r="G228" s="9" t="str">
        <f>第4日!$B$3</f>
        <v>第13波（待设计）</v>
      </c>
      <c r="H228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28" s="9">
        <f>第4日!$E$3</f>
        <v>0.22</v>
      </c>
      <c r="J228" s="9">
        <f>第4日!$G$3</f>
        <v>1</v>
      </c>
      <c r="K228" s="9">
        <f>第4日!$I$3</f>
        <v>300</v>
      </c>
      <c r="L228" s="9" t="s">
        <v>479</v>
      </c>
      <c r="M228" s="9" t="s">
        <v>480</v>
      </c>
      <c r="N228" s="9">
        <v>8</v>
      </c>
      <c r="O228" s="9">
        <f>第4日!$B$14</f>
        <v>0</v>
      </c>
      <c r="P228" s="9" t="str">
        <f>IFERROR(VLOOKUP(O228,敌人目录!$A$6:$AD$54,2,FALSE),"")</f>
        <v/>
      </c>
      <c r="Q228" s="9">
        <f>第4日!$C$14</f>
        <v>0</v>
      </c>
      <c r="R228" s="9" t="str">
        <f>第4日!$I$14</f>
        <v/>
      </c>
      <c r="S228" s="9" t="str">
        <f>第4日!$I$4</f>
        <v>待设计</v>
      </c>
    </row>
    <row r="229" spans="1:19" ht="24" customHeight="1">
      <c r="A229" s="9">
        <v>2</v>
      </c>
      <c r="B229" s="9" t="s">
        <v>448</v>
      </c>
      <c r="C229" s="9" t="s">
        <v>484</v>
      </c>
      <c r="D229" s="9">
        <v>13</v>
      </c>
      <c r="E229" s="9">
        <v>4</v>
      </c>
      <c r="F229" s="9">
        <v>1</v>
      </c>
      <c r="G229" s="9" t="str">
        <f>第4日!$B$3</f>
        <v>第13波（待设计）</v>
      </c>
      <c r="H229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29" s="9">
        <f>第4日!$E$3</f>
        <v>0.22</v>
      </c>
      <c r="J229" s="9">
        <f>第4日!$G$3</f>
        <v>1</v>
      </c>
      <c r="K229" s="9">
        <f>第4日!$I$3</f>
        <v>300</v>
      </c>
      <c r="L229" s="9" t="s">
        <v>479</v>
      </c>
      <c r="M229" s="9" t="s">
        <v>480</v>
      </c>
      <c r="N229" s="9">
        <v>9</v>
      </c>
      <c r="O229" s="9">
        <f>第4日!$B$15</f>
        <v>0</v>
      </c>
      <c r="P229" s="9" t="str">
        <f>IFERROR(VLOOKUP(O229,敌人目录!$A$6:$AD$54,2,FALSE),"")</f>
        <v/>
      </c>
      <c r="Q229" s="9">
        <f>第4日!$C$15</f>
        <v>0</v>
      </c>
      <c r="R229" s="9" t="str">
        <f>第4日!$I$15</f>
        <v/>
      </c>
      <c r="S229" s="9" t="str">
        <f>第4日!$I$4</f>
        <v>待设计</v>
      </c>
    </row>
    <row r="230" spans="1:19" ht="24" customHeight="1">
      <c r="A230" s="9">
        <v>2</v>
      </c>
      <c r="B230" s="9" t="s">
        <v>448</v>
      </c>
      <c r="C230" s="9" t="s">
        <v>484</v>
      </c>
      <c r="D230" s="9">
        <v>13</v>
      </c>
      <c r="E230" s="9">
        <v>4</v>
      </c>
      <c r="F230" s="9">
        <v>1</v>
      </c>
      <c r="G230" s="9" t="str">
        <f>第4日!$B$3</f>
        <v>第13波（待设计）</v>
      </c>
      <c r="H230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30" s="9">
        <f>第4日!$E$3</f>
        <v>0.22</v>
      </c>
      <c r="J230" s="9">
        <f>第4日!$G$3</f>
        <v>1</v>
      </c>
      <c r="K230" s="9">
        <f>第4日!$I$3</f>
        <v>300</v>
      </c>
      <c r="L230" s="9" t="s">
        <v>479</v>
      </c>
      <c r="M230" s="9" t="s">
        <v>480</v>
      </c>
      <c r="N230" s="9">
        <v>10</v>
      </c>
      <c r="O230" s="9">
        <f>第4日!$B$16</f>
        <v>0</v>
      </c>
      <c r="P230" s="9" t="str">
        <f>IFERROR(VLOOKUP(O230,敌人目录!$A$6:$AD$54,2,FALSE),"")</f>
        <v/>
      </c>
      <c r="Q230" s="9">
        <f>第4日!$C$16</f>
        <v>0</v>
      </c>
      <c r="R230" s="9" t="str">
        <f>第4日!$I$16</f>
        <v/>
      </c>
      <c r="S230" s="9" t="str">
        <f>第4日!$I$4</f>
        <v>待设计</v>
      </c>
    </row>
    <row r="231" spans="1:19" ht="24" customHeight="1">
      <c r="A231" s="9">
        <v>2</v>
      </c>
      <c r="B231" s="9" t="s">
        <v>448</v>
      </c>
      <c r="C231" s="9" t="s">
        <v>484</v>
      </c>
      <c r="D231" s="9">
        <v>13</v>
      </c>
      <c r="E231" s="9">
        <v>4</v>
      </c>
      <c r="F231" s="9">
        <v>1</v>
      </c>
      <c r="G231" s="9" t="str">
        <f>第4日!$B$3</f>
        <v>第13波（待设计）</v>
      </c>
      <c r="H231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31" s="9">
        <f>第4日!$E$3</f>
        <v>0.22</v>
      </c>
      <c r="J231" s="9">
        <f>第4日!$G$3</f>
        <v>1</v>
      </c>
      <c r="K231" s="9">
        <f>第4日!$I$3</f>
        <v>300</v>
      </c>
      <c r="L231" s="9" t="s">
        <v>479</v>
      </c>
      <c r="M231" s="9" t="s">
        <v>480</v>
      </c>
      <c r="N231" s="9">
        <v>11</v>
      </c>
      <c r="O231" s="9">
        <f>第4日!$B$17</f>
        <v>0</v>
      </c>
      <c r="P231" s="9" t="str">
        <f>IFERROR(VLOOKUP(O231,敌人目录!$A$6:$AD$54,2,FALSE),"")</f>
        <v/>
      </c>
      <c r="Q231" s="9">
        <f>第4日!$C$17</f>
        <v>0</v>
      </c>
      <c r="R231" s="9" t="str">
        <f>第4日!$I$17</f>
        <v/>
      </c>
      <c r="S231" s="9" t="str">
        <f>第4日!$I$4</f>
        <v>待设计</v>
      </c>
    </row>
    <row r="232" spans="1:19" ht="24" customHeight="1">
      <c r="A232" s="9">
        <v>2</v>
      </c>
      <c r="B232" s="9" t="s">
        <v>448</v>
      </c>
      <c r="C232" s="9" t="s">
        <v>484</v>
      </c>
      <c r="D232" s="9">
        <v>13</v>
      </c>
      <c r="E232" s="9">
        <v>4</v>
      </c>
      <c r="F232" s="9">
        <v>1</v>
      </c>
      <c r="G232" s="9" t="str">
        <f>第4日!$B$3</f>
        <v>第13波（待设计）</v>
      </c>
      <c r="H232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32" s="9">
        <f>第4日!$E$3</f>
        <v>0.22</v>
      </c>
      <c r="J232" s="9">
        <f>第4日!$G$3</f>
        <v>1</v>
      </c>
      <c r="K232" s="9">
        <f>第4日!$I$3</f>
        <v>300</v>
      </c>
      <c r="L232" s="9" t="s">
        <v>479</v>
      </c>
      <c r="M232" s="9" t="s">
        <v>480</v>
      </c>
      <c r="N232" s="9">
        <v>12</v>
      </c>
      <c r="O232" s="9">
        <f>第4日!$B$18</f>
        <v>0</v>
      </c>
      <c r="P232" s="9" t="str">
        <f>IFERROR(VLOOKUP(O232,敌人目录!$A$6:$AD$54,2,FALSE),"")</f>
        <v/>
      </c>
      <c r="Q232" s="9">
        <f>第4日!$C$18</f>
        <v>0</v>
      </c>
      <c r="R232" s="9" t="str">
        <f>第4日!$I$18</f>
        <v/>
      </c>
      <c r="S232" s="9" t="str">
        <f>第4日!$I$4</f>
        <v>待设计</v>
      </c>
    </row>
    <row r="233" spans="1:19" ht="24" customHeight="1">
      <c r="A233" s="9">
        <v>2</v>
      </c>
      <c r="B233" s="9" t="s">
        <v>448</v>
      </c>
      <c r="C233" s="9" t="s">
        <v>484</v>
      </c>
      <c r="D233" s="9">
        <v>13</v>
      </c>
      <c r="E233" s="9">
        <v>4</v>
      </c>
      <c r="F233" s="9">
        <v>1</v>
      </c>
      <c r="G233" s="9" t="str">
        <f>第4日!$B$3</f>
        <v>第13波（待设计）</v>
      </c>
      <c r="H233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33" s="9">
        <f>第4日!$E$3</f>
        <v>0.22</v>
      </c>
      <c r="J233" s="9">
        <f>第4日!$G$3</f>
        <v>1</v>
      </c>
      <c r="K233" s="9">
        <f>第4日!$I$3</f>
        <v>300</v>
      </c>
      <c r="L233" s="9" t="s">
        <v>479</v>
      </c>
      <c r="M233" s="9" t="s">
        <v>480</v>
      </c>
      <c r="N233" s="9">
        <v>13</v>
      </c>
      <c r="O233" s="9">
        <f>第4日!$B$19</f>
        <v>0</v>
      </c>
      <c r="P233" s="9" t="str">
        <f>IFERROR(VLOOKUP(O233,敌人目录!$A$6:$AD$54,2,FALSE),"")</f>
        <v/>
      </c>
      <c r="Q233" s="9">
        <f>第4日!$C$19</f>
        <v>0</v>
      </c>
      <c r="R233" s="9" t="str">
        <f>第4日!$I$19</f>
        <v/>
      </c>
      <c r="S233" s="9" t="str">
        <f>第4日!$I$4</f>
        <v>待设计</v>
      </c>
    </row>
    <row r="234" spans="1:19" ht="24" customHeight="1">
      <c r="A234" s="9">
        <v>2</v>
      </c>
      <c r="B234" s="9" t="s">
        <v>448</v>
      </c>
      <c r="C234" s="9" t="s">
        <v>484</v>
      </c>
      <c r="D234" s="9">
        <v>13</v>
      </c>
      <c r="E234" s="9">
        <v>4</v>
      </c>
      <c r="F234" s="9">
        <v>1</v>
      </c>
      <c r="G234" s="9" t="str">
        <f>第4日!$B$3</f>
        <v>第13波（待设计）</v>
      </c>
      <c r="H234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34" s="9">
        <f>第4日!$E$3</f>
        <v>0.22</v>
      </c>
      <c r="J234" s="9">
        <f>第4日!$G$3</f>
        <v>1</v>
      </c>
      <c r="K234" s="9">
        <f>第4日!$I$3</f>
        <v>300</v>
      </c>
      <c r="L234" s="9" t="s">
        <v>479</v>
      </c>
      <c r="M234" s="9" t="s">
        <v>480</v>
      </c>
      <c r="N234" s="9">
        <v>14</v>
      </c>
      <c r="O234" s="9">
        <f>第4日!$B$20</f>
        <v>0</v>
      </c>
      <c r="P234" s="9" t="str">
        <f>IFERROR(VLOOKUP(O234,敌人目录!$A$6:$AD$54,2,FALSE),"")</f>
        <v/>
      </c>
      <c r="Q234" s="9">
        <f>第4日!$C$20</f>
        <v>0</v>
      </c>
      <c r="R234" s="9" t="str">
        <f>第4日!$I$20</f>
        <v/>
      </c>
      <c r="S234" s="9" t="str">
        <f>第4日!$I$4</f>
        <v>待设计</v>
      </c>
    </row>
    <row r="235" spans="1:19" ht="24" customHeight="1">
      <c r="A235" s="9">
        <v>2</v>
      </c>
      <c r="B235" s="9" t="s">
        <v>448</v>
      </c>
      <c r="C235" s="9" t="s">
        <v>484</v>
      </c>
      <c r="D235" s="9">
        <v>13</v>
      </c>
      <c r="E235" s="9">
        <v>4</v>
      </c>
      <c r="F235" s="9">
        <v>1</v>
      </c>
      <c r="G235" s="9" t="str">
        <f>第4日!$B$3</f>
        <v>第13波（待设计）</v>
      </c>
      <c r="H235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35" s="9">
        <f>第4日!$E$3</f>
        <v>0.22</v>
      </c>
      <c r="J235" s="9">
        <f>第4日!$G$3</f>
        <v>1</v>
      </c>
      <c r="K235" s="9">
        <f>第4日!$I$3</f>
        <v>300</v>
      </c>
      <c r="L235" s="9" t="s">
        <v>479</v>
      </c>
      <c r="M235" s="9" t="s">
        <v>480</v>
      </c>
      <c r="N235" s="9">
        <v>15</v>
      </c>
      <c r="O235" s="9">
        <f>第4日!$B$21</f>
        <v>0</v>
      </c>
      <c r="P235" s="9" t="str">
        <f>IFERROR(VLOOKUP(O235,敌人目录!$A$6:$AD$54,2,FALSE),"")</f>
        <v/>
      </c>
      <c r="Q235" s="9">
        <f>第4日!$C$21</f>
        <v>0</v>
      </c>
      <c r="R235" s="9" t="str">
        <f>第4日!$I$21</f>
        <v/>
      </c>
      <c r="S235" s="9" t="str">
        <f>第4日!$I$4</f>
        <v>待设计</v>
      </c>
    </row>
    <row r="236" spans="1:19" ht="24" customHeight="1">
      <c r="A236" s="9">
        <v>2</v>
      </c>
      <c r="B236" s="9" t="s">
        <v>448</v>
      </c>
      <c r="C236" s="9" t="s">
        <v>484</v>
      </c>
      <c r="D236" s="9">
        <v>13</v>
      </c>
      <c r="E236" s="9">
        <v>4</v>
      </c>
      <c r="F236" s="9">
        <v>1</v>
      </c>
      <c r="G236" s="9" t="str">
        <f>第4日!$B$3</f>
        <v>第13波（待设计）</v>
      </c>
      <c r="H236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36" s="9">
        <f>第4日!$E$3</f>
        <v>0.22</v>
      </c>
      <c r="J236" s="9">
        <f>第4日!$G$3</f>
        <v>1</v>
      </c>
      <c r="K236" s="9">
        <f>第4日!$I$3</f>
        <v>300</v>
      </c>
      <c r="L236" s="9" t="s">
        <v>479</v>
      </c>
      <c r="M236" s="9" t="s">
        <v>480</v>
      </c>
      <c r="N236" s="9">
        <v>16</v>
      </c>
      <c r="O236" s="9">
        <f>第4日!$B$22</f>
        <v>0</v>
      </c>
      <c r="P236" s="9" t="str">
        <f>IFERROR(VLOOKUP(O236,敌人目录!$A$6:$AD$54,2,FALSE),"")</f>
        <v/>
      </c>
      <c r="Q236" s="9">
        <f>第4日!$C$22</f>
        <v>0</v>
      </c>
      <c r="R236" s="9" t="str">
        <f>第4日!$I$22</f>
        <v/>
      </c>
      <c r="S236" s="9" t="str">
        <f>第4日!$I$4</f>
        <v>待设计</v>
      </c>
    </row>
    <row r="237" spans="1:19" ht="24" customHeight="1">
      <c r="A237" s="9">
        <v>2</v>
      </c>
      <c r="B237" s="9" t="s">
        <v>448</v>
      </c>
      <c r="C237" s="9" t="s">
        <v>484</v>
      </c>
      <c r="D237" s="9">
        <v>13</v>
      </c>
      <c r="E237" s="9">
        <v>4</v>
      </c>
      <c r="F237" s="9">
        <v>1</v>
      </c>
      <c r="G237" s="9" t="str">
        <f>第4日!$B$3</f>
        <v>第13波（待设计）</v>
      </c>
      <c r="H237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37" s="9">
        <f>第4日!$E$3</f>
        <v>0.22</v>
      </c>
      <c r="J237" s="9">
        <f>第4日!$G$3</f>
        <v>1</v>
      </c>
      <c r="K237" s="9">
        <f>第4日!$I$3</f>
        <v>300</v>
      </c>
      <c r="L237" s="9" t="s">
        <v>479</v>
      </c>
      <c r="M237" s="9" t="s">
        <v>480</v>
      </c>
      <c r="N237" s="9">
        <v>17</v>
      </c>
      <c r="O237" s="9">
        <f>第4日!$B$23</f>
        <v>0</v>
      </c>
      <c r="P237" s="9" t="str">
        <f>IFERROR(VLOOKUP(O237,敌人目录!$A$6:$AD$54,2,FALSE),"")</f>
        <v/>
      </c>
      <c r="Q237" s="9">
        <f>第4日!$C$23</f>
        <v>0</v>
      </c>
      <c r="R237" s="9" t="str">
        <f>第4日!$I$23</f>
        <v/>
      </c>
      <c r="S237" s="9" t="str">
        <f>第4日!$I$4</f>
        <v>待设计</v>
      </c>
    </row>
    <row r="238" spans="1:19" ht="24" customHeight="1">
      <c r="A238" s="9">
        <v>2</v>
      </c>
      <c r="B238" s="9" t="s">
        <v>448</v>
      </c>
      <c r="C238" s="9" t="s">
        <v>484</v>
      </c>
      <c r="D238" s="9">
        <v>13</v>
      </c>
      <c r="E238" s="9">
        <v>4</v>
      </c>
      <c r="F238" s="9">
        <v>1</v>
      </c>
      <c r="G238" s="9" t="str">
        <f>第4日!$B$3</f>
        <v>第13波（待设计）</v>
      </c>
      <c r="H238" s="9">
        <f>IF(第4日!$B$4="点1·开启",1,0)+IF(第4日!$C$4="点2·开启",2,0)+IF(第4日!$D$4="点3·开启",4,0)+IF(第4日!$E$4="点4·开启",8,0)+IF(第4日!$F$4="点5·开启",16,0)+IF(第4日!$G$4="点6·开启",32,0)</f>
        <v>63</v>
      </c>
      <c r="I238" s="9">
        <f>第4日!$E$3</f>
        <v>0.22</v>
      </c>
      <c r="J238" s="9">
        <f>第4日!$G$3</f>
        <v>1</v>
      </c>
      <c r="K238" s="9">
        <f>第4日!$I$3</f>
        <v>300</v>
      </c>
      <c r="L238" s="9" t="s">
        <v>479</v>
      </c>
      <c r="M238" s="9" t="s">
        <v>480</v>
      </c>
      <c r="N238" s="9">
        <v>18</v>
      </c>
      <c r="O238" s="9">
        <f>第4日!$B$24</f>
        <v>0</v>
      </c>
      <c r="P238" s="9" t="str">
        <f>IFERROR(VLOOKUP(O238,敌人目录!$A$6:$AD$54,2,FALSE),"")</f>
        <v/>
      </c>
      <c r="Q238" s="9">
        <f>第4日!$C$24</f>
        <v>0</v>
      </c>
      <c r="R238" s="9" t="str">
        <f>第4日!$I$24</f>
        <v/>
      </c>
      <c r="S238" s="9" t="str">
        <f>第4日!$I$4</f>
        <v>待设计</v>
      </c>
    </row>
    <row r="239" spans="1:19" ht="24" customHeight="1">
      <c r="A239" s="9">
        <v>2</v>
      </c>
      <c r="B239" s="9" t="s">
        <v>448</v>
      </c>
      <c r="C239" s="9" t="s">
        <v>485</v>
      </c>
      <c r="D239" s="9">
        <v>14</v>
      </c>
      <c r="E239" s="9">
        <v>4</v>
      </c>
      <c r="F239" s="9">
        <v>2</v>
      </c>
      <c r="G239" s="9" t="str">
        <f>第4日!$B$32</f>
        <v>第14波（待设计）</v>
      </c>
      <c r="H239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39" s="9">
        <f>第4日!$E$32</f>
        <v>0.22</v>
      </c>
      <c r="J239" s="9">
        <f>第4日!$G$32</f>
        <v>1</v>
      </c>
      <c r="K239" s="9">
        <f>第4日!$I$32</f>
        <v>300</v>
      </c>
      <c r="L239" s="9" t="s">
        <v>479</v>
      </c>
      <c r="M239" s="9" t="s">
        <v>480</v>
      </c>
      <c r="N239" s="9">
        <v>1</v>
      </c>
      <c r="O239" s="9">
        <f>第4日!$B$36</f>
        <v>0</v>
      </c>
      <c r="P239" s="9" t="str">
        <f>IFERROR(VLOOKUP(O239,敌人目录!$A$6:$AD$54,2,FALSE),"")</f>
        <v/>
      </c>
      <c r="Q239" s="9">
        <f>第4日!$C$36</f>
        <v>0</v>
      </c>
      <c r="R239" s="9" t="str">
        <f>第4日!$I$36</f>
        <v/>
      </c>
      <c r="S239" s="9" t="str">
        <f>第4日!$I$33</f>
        <v>待设计</v>
      </c>
    </row>
    <row r="240" spans="1:19" ht="24" customHeight="1">
      <c r="A240" s="9">
        <v>2</v>
      </c>
      <c r="B240" s="9" t="s">
        <v>448</v>
      </c>
      <c r="C240" s="9" t="s">
        <v>485</v>
      </c>
      <c r="D240" s="9">
        <v>14</v>
      </c>
      <c r="E240" s="9">
        <v>4</v>
      </c>
      <c r="F240" s="9">
        <v>2</v>
      </c>
      <c r="G240" s="9" t="str">
        <f>第4日!$B$32</f>
        <v>第14波（待设计）</v>
      </c>
      <c r="H240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40" s="9">
        <f>第4日!$E$32</f>
        <v>0.22</v>
      </c>
      <c r="J240" s="9">
        <f>第4日!$G$32</f>
        <v>1</v>
      </c>
      <c r="K240" s="9">
        <f>第4日!$I$32</f>
        <v>300</v>
      </c>
      <c r="L240" s="9" t="s">
        <v>479</v>
      </c>
      <c r="M240" s="9" t="s">
        <v>480</v>
      </c>
      <c r="N240" s="9">
        <v>2</v>
      </c>
      <c r="O240" s="9">
        <f>第4日!$B$37</f>
        <v>0</v>
      </c>
      <c r="P240" s="9" t="str">
        <f>IFERROR(VLOOKUP(O240,敌人目录!$A$6:$AD$54,2,FALSE),"")</f>
        <v/>
      </c>
      <c r="Q240" s="9">
        <f>第4日!$C$37</f>
        <v>0</v>
      </c>
      <c r="R240" s="9" t="str">
        <f>第4日!$I$37</f>
        <v/>
      </c>
      <c r="S240" s="9" t="str">
        <f>第4日!$I$33</f>
        <v>待设计</v>
      </c>
    </row>
    <row r="241" spans="1:19" ht="24" customHeight="1">
      <c r="A241" s="9">
        <v>2</v>
      </c>
      <c r="B241" s="9" t="s">
        <v>448</v>
      </c>
      <c r="C241" s="9" t="s">
        <v>485</v>
      </c>
      <c r="D241" s="9">
        <v>14</v>
      </c>
      <c r="E241" s="9">
        <v>4</v>
      </c>
      <c r="F241" s="9">
        <v>2</v>
      </c>
      <c r="G241" s="9" t="str">
        <f>第4日!$B$32</f>
        <v>第14波（待设计）</v>
      </c>
      <c r="H241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41" s="9">
        <f>第4日!$E$32</f>
        <v>0.22</v>
      </c>
      <c r="J241" s="9">
        <f>第4日!$G$32</f>
        <v>1</v>
      </c>
      <c r="K241" s="9">
        <f>第4日!$I$32</f>
        <v>300</v>
      </c>
      <c r="L241" s="9" t="s">
        <v>479</v>
      </c>
      <c r="M241" s="9" t="s">
        <v>480</v>
      </c>
      <c r="N241" s="9">
        <v>3</v>
      </c>
      <c r="O241" s="9">
        <f>第4日!$B$38</f>
        <v>0</v>
      </c>
      <c r="P241" s="9" t="str">
        <f>IFERROR(VLOOKUP(O241,敌人目录!$A$6:$AD$54,2,FALSE),"")</f>
        <v/>
      </c>
      <c r="Q241" s="9">
        <f>第4日!$C$38</f>
        <v>0</v>
      </c>
      <c r="R241" s="9" t="str">
        <f>第4日!$I$38</f>
        <v/>
      </c>
      <c r="S241" s="9" t="str">
        <f>第4日!$I$33</f>
        <v>待设计</v>
      </c>
    </row>
    <row r="242" spans="1:19" ht="24" customHeight="1">
      <c r="A242" s="9">
        <v>2</v>
      </c>
      <c r="B242" s="9" t="s">
        <v>448</v>
      </c>
      <c r="C242" s="9" t="s">
        <v>485</v>
      </c>
      <c r="D242" s="9">
        <v>14</v>
      </c>
      <c r="E242" s="9">
        <v>4</v>
      </c>
      <c r="F242" s="9">
        <v>2</v>
      </c>
      <c r="G242" s="9" t="str">
        <f>第4日!$B$32</f>
        <v>第14波（待设计）</v>
      </c>
      <c r="H242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42" s="9">
        <f>第4日!$E$32</f>
        <v>0.22</v>
      </c>
      <c r="J242" s="9">
        <f>第4日!$G$32</f>
        <v>1</v>
      </c>
      <c r="K242" s="9">
        <f>第4日!$I$32</f>
        <v>300</v>
      </c>
      <c r="L242" s="9" t="s">
        <v>479</v>
      </c>
      <c r="M242" s="9" t="s">
        <v>480</v>
      </c>
      <c r="N242" s="9">
        <v>4</v>
      </c>
      <c r="O242" s="9">
        <f>第4日!$B$39</f>
        <v>0</v>
      </c>
      <c r="P242" s="9" t="str">
        <f>IFERROR(VLOOKUP(O242,敌人目录!$A$6:$AD$54,2,FALSE),"")</f>
        <v/>
      </c>
      <c r="Q242" s="9">
        <f>第4日!$C$39</f>
        <v>0</v>
      </c>
      <c r="R242" s="9" t="str">
        <f>第4日!$I$39</f>
        <v/>
      </c>
      <c r="S242" s="9" t="str">
        <f>第4日!$I$33</f>
        <v>待设计</v>
      </c>
    </row>
    <row r="243" spans="1:19" ht="24" customHeight="1">
      <c r="A243" s="9">
        <v>2</v>
      </c>
      <c r="B243" s="9" t="s">
        <v>448</v>
      </c>
      <c r="C243" s="9" t="s">
        <v>485</v>
      </c>
      <c r="D243" s="9">
        <v>14</v>
      </c>
      <c r="E243" s="9">
        <v>4</v>
      </c>
      <c r="F243" s="9">
        <v>2</v>
      </c>
      <c r="G243" s="9" t="str">
        <f>第4日!$B$32</f>
        <v>第14波（待设计）</v>
      </c>
      <c r="H243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43" s="9">
        <f>第4日!$E$32</f>
        <v>0.22</v>
      </c>
      <c r="J243" s="9">
        <f>第4日!$G$32</f>
        <v>1</v>
      </c>
      <c r="K243" s="9">
        <f>第4日!$I$32</f>
        <v>300</v>
      </c>
      <c r="L243" s="9" t="s">
        <v>479</v>
      </c>
      <c r="M243" s="9" t="s">
        <v>480</v>
      </c>
      <c r="N243" s="9">
        <v>5</v>
      </c>
      <c r="O243" s="9">
        <f>第4日!$B$40</f>
        <v>0</v>
      </c>
      <c r="P243" s="9" t="str">
        <f>IFERROR(VLOOKUP(O243,敌人目录!$A$6:$AD$54,2,FALSE),"")</f>
        <v/>
      </c>
      <c r="Q243" s="9">
        <f>第4日!$C$40</f>
        <v>0</v>
      </c>
      <c r="R243" s="9" t="str">
        <f>第4日!$I$40</f>
        <v/>
      </c>
      <c r="S243" s="9" t="str">
        <f>第4日!$I$33</f>
        <v>待设计</v>
      </c>
    </row>
    <row r="244" spans="1:19" ht="24" customHeight="1">
      <c r="A244" s="9">
        <v>2</v>
      </c>
      <c r="B244" s="9" t="s">
        <v>448</v>
      </c>
      <c r="C244" s="9" t="s">
        <v>485</v>
      </c>
      <c r="D244" s="9">
        <v>14</v>
      </c>
      <c r="E244" s="9">
        <v>4</v>
      </c>
      <c r="F244" s="9">
        <v>2</v>
      </c>
      <c r="G244" s="9" t="str">
        <f>第4日!$B$32</f>
        <v>第14波（待设计）</v>
      </c>
      <c r="H244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44" s="9">
        <f>第4日!$E$32</f>
        <v>0.22</v>
      </c>
      <c r="J244" s="9">
        <f>第4日!$G$32</f>
        <v>1</v>
      </c>
      <c r="K244" s="9">
        <f>第4日!$I$32</f>
        <v>300</v>
      </c>
      <c r="L244" s="9" t="s">
        <v>479</v>
      </c>
      <c r="M244" s="9" t="s">
        <v>480</v>
      </c>
      <c r="N244" s="9">
        <v>6</v>
      </c>
      <c r="O244" s="9">
        <f>第4日!$B$41</f>
        <v>0</v>
      </c>
      <c r="P244" s="9" t="str">
        <f>IFERROR(VLOOKUP(O244,敌人目录!$A$6:$AD$54,2,FALSE),"")</f>
        <v/>
      </c>
      <c r="Q244" s="9">
        <f>第4日!$C$41</f>
        <v>0</v>
      </c>
      <c r="R244" s="9" t="str">
        <f>第4日!$I$41</f>
        <v/>
      </c>
      <c r="S244" s="9" t="str">
        <f>第4日!$I$33</f>
        <v>待设计</v>
      </c>
    </row>
    <row r="245" spans="1:19" ht="24" customHeight="1">
      <c r="A245" s="9">
        <v>2</v>
      </c>
      <c r="B245" s="9" t="s">
        <v>448</v>
      </c>
      <c r="C245" s="9" t="s">
        <v>485</v>
      </c>
      <c r="D245" s="9">
        <v>14</v>
      </c>
      <c r="E245" s="9">
        <v>4</v>
      </c>
      <c r="F245" s="9">
        <v>2</v>
      </c>
      <c r="G245" s="9" t="str">
        <f>第4日!$B$32</f>
        <v>第14波（待设计）</v>
      </c>
      <c r="H245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45" s="9">
        <f>第4日!$E$32</f>
        <v>0.22</v>
      </c>
      <c r="J245" s="9">
        <f>第4日!$G$32</f>
        <v>1</v>
      </c>
      <c r="K245" s="9">
        <f>第4日!$I$32</f>
        <v>300</v>
      </c>
      <c r="L245" s="9" t="s">
        <v>479</v>
      </c>
      <c r="M245" s="9" t="s">
        <v>480</v>
      </c>
      <c r="N245" s="9">
        <v>7</v>
      </c>
      <c r="O245" s="9">
        <f>第4日!$B$42</f>
        <v>0</v>
      </c>
      <c r="P245" s="9" t="str">
        <f>IFERROR(VLOOKUP(O245,敌人目录!$A$6:$AD$54,2,FALSE),"")</f>
        <v/>
      </c>
      <c r="Q245" s="9">
        <f>第4日!$C$42</f>
        <v>0</v>
      </c>
      <c r="R245" s="9" t="str">
        <f>第4日!$I$42</f>
        <v/>
      </c>
      <c r="S245" s="9" t="str">
        <f>第4日!$I$33</f>
        <v>待设计</v>
      </c>
    </row>
    <row r="246" spans="1:19" ht="24" customHeight="1">
      <c r="A246" s="9">
        <v>2</v>
      </c>
      <c r="B246" s="9" t="s">
        <v>448</v>
      </c>
      <c r="C246" s="9" t="s">
        <v>485</v>
      </c>
      <c r="D246" s="9">
        <v>14</v>
      </c>
      <c r="E246" s="9">
        <v>4</v>
      </c>
      <c r="F246" s="9">
        <v>2</v>
      </c>
      <c r="G246" s="9" t="str">
        <f>第4日!$B$32</f>
        <v>第14波（待设计）</v>
      </c>
      <c r="H246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46" s="9">
        <f>第4日!$E$32</f>
        <v>0.22</v>
      </c>
      <c r="J246" s="9">
        <f>第4日!$G$32</f>
        <v>1</v>
      </c>
      <c r="K246" s="9">
        <f>第4日!$I$32</f>
        <v>300</v>
      </c>
      <c r="L246" s="9" t="s">
        <v>479</v>
      </c>
      <c r="M246" s="9" t="s">
        <v>480</v>
      </c>
      <c r="N246" s="9">
        <v>8</v>
      </c>
      <c r="O246" s="9">
        <f>第4日!$B$43</f>
        <v>0</v>
      </c>
      <c r="P246" s="9" t="str">
        <f>IFERROR(VLOOKUP(O246,敌人目录!$A$6:$AD$54,2,FALSE),"")</f>
        <v/>
      </c>
      <c r="Q246" s="9">
        <f>第4日!$C$43</f>
        <v>0</v>
      </c>
      <c r="R246" s="9" t="str">
        <f>第4日!$I$43</f>
        <v/>
      </c>
      <c r="S246" s="9" t="str">
        <f>第4日!$I$33</f>
        <v>待设计</v>
      </c>
    </row>
    <row r="247" spans="1:19" ht="24" customHeight="1">
      <c r="A247" s="9">
        <v>2</v>
      </c>
      <c r="B247" s="9" t="s">
        <v>448</v>
      </c>
      <c r="C247" s="9" t="s">
        <v>485</v>
      </c>
      <c r="D247" s="9">
        <v>14</v>
      </c>
      <c r="E247" s="9">
        <v>4</v>
      </c>
      <c r="F247" s="9">
        <v>2</v>
      </c>
      <c r="G247" s="9" t="str">
        <f>第4日!$B$32</f>
        <v>第14波（待设计）</v>
      </c>
      <c r="H247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47" s="9">
        <f>第4日!$E$32</f>
        <v>0.22</v>
      </c>
      <c r="J247" s="9">
        <f>第4日!$G$32</f>
        <v>1</v>
      </c>
      <c r="K247" s="9">
        <f>第4日!$I$32</f>
        <v>300</v>
      </c>
      <c r="L247" s="9" t="s">
        <v>479</v>
      </c>
      <c r="M247" s="9" t="s">
        <v>480</v>
      </c>
      <c r="N247" s="9">
        <v>9</v>
      </c>
      <c r="O247" s="9">
        <f>第4日!$B$44</f>
        <v>0</v>
      </c>
      <c r="P247" s="9" t="str">
        <f>IFERROR(VLOOKUP(O247,敌人目录!$A$6:$AD$54,2,FALSE),"")</f>
        <v/>
      </c>
      <c r="Q247" s="9">
        <f>第4日!$C$44</f>
        <v>0</v>
      </c>
      <c r="R247" s="9" t="str">
        <f>第4日!$I$44</f>
        <v/>
      </c>
      <c r="S247" s="9" t="str">
        <f>第4日!$I$33</f>
        <v>待设计</v>
      </c>
    </row>
    <row r="248" spans="1:19" ht="24" customHeight="1">
      <c r="A248" s="9">
        <v>2</v>
      </c>
      <c r="B248" s="9" t="s">
        <v>448</v>
      </c>
      <c r="C248" s="9" t="s">
        <v>485</v>
      </c>
      <c r="D248" s="9">
        <v>14</v>
      </c>
      <c r="E248" s="9">
        <v>4</v>
      </c>
      <c r="F248" s="9">
        <v>2</v>
      </c>
      <c r="G248" s="9" t="str">
        <f>第4日!$B$32</f>
        <v>第14波（待设计）</v>
      </c>
      <c r="H248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48" s="9">
        <f>第4日!$E$32</f>
        <v>0.22</v>
      </c>
      <c r="J248" s="9">
        <f>第4日!$G$32</f>
        <v>1</v>
      </c>
      <c r="K248" s="9">
        <f>第4日!$I$32</f>
        <v>300</v>
      </c>
      <c r="L248" s="9" t="s">
        <v>479</v>
      </c>
      <c r="M248" s="9" t="s">
        <v>480</v>
      </c>
      <c r="N248" s="9">
        <v>10</v>
      </c>
      <c r="O248" s="9">
        <f>第4日!$B$45</f>
        <v>0</v>
      </c>
      <c r="P248" s="9" t="str">
        <f>IFERROR(VLOOKUP(O248,敌人目录!$A$6:$AD$54,2,FALSE),"")</f>
        <v/>
      </c>
      <c r="Q248" s="9">
        <f>第4日!$C$45</f>
        <v>0</v>
      </c>
      <c r="R248" s="9" t="str">
        <f>第4日!$I$45</f>
        <v/>
      </c>
      <c r="S248" s="9" t="str">
        <f>第4日!$I$33</f>
        <v>待设计</v>
      </c>
    </row>
    <row r="249" spans="1:19" ht="24" customHeight="1">
      <c r="A249" s="9">
        <v>2</v>
      </c>
      <c r="B249" s="9" t="s">
        <v>448</v>
      </c>
      <c r="C249" s="9" t="s">
        <v>485</v>
      </c>
      <c r="D249" s="9">
        <v>14</v>
      </c>
      <c r="E249" s="9">
        <v>4</v>
      </c>
      <c r="F249" s="9">
        <v>2</v>
      </c>
      <c r="G249" s="9" t="str">
        <f>第4日!$B$32</f>
        <v>第14波（待设计）</v>
      </c>
      <c r="H249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49" s="9">
        <f>第4日!$E$32</f>
        <v>0.22</v>
      </c>
      <c r="J249" s="9">
        <f>第4日!$G$32</f>
        <v>1</v>
      </c>
      <c r="K249" s="9">
        <f>第4日!$I$32</f>
        <v>300</v>
      </c>
      <c r="L249" s="9" t="s">
        <v>479</v>
      </c>
      <c r="M249" s="9" t="s">
        <v>480</v>
      </c>
      <c r="N249" s="9">
        <v>11</v>
      </c>
      <c r="O249" s="9">
        <f>第4日!$B$46</f>
        <v>0</v>
      </c>
      <c r="P249" s="9" t="str">
        <f>IFERROR(VLOOKUP(O249,敌人目录!$A$6:$AD$54,2,FALSE),"")</f>
        <v/>
      </c>
      <c r="Q249" s="9">
        <f>第4日!$C$46</f>
        <v>0</v>
      </c>
      <c r="R249" s="9" t="str">
        <f>第4日!$I$46</f>
        <v/>
      </c>
      <c r="S249" s="9" t="str">
        <f>第4日!$I$33</f>
        <v>待设计</v>
      </c>
    </row>
    <row r="250" spans="1:19" ht="24" customHeight="1">
      <c r="A250" s="9">
        <v>2</v>
      </c>
      <c r="B250" s="9" t="s">
        <v>448</v>
      </c>
      <c r="C250" s="9" t="s">
        <v>485</v>
      </c>
      <c r="D250" s="9">
        <v>14</v>
      </c>
      <c r="E250" s="9">
        <v>4</v>
      </c>
      <c r="F250" s="9">
        <v>2</v>
      </c>
      <c r="G250" s="9" t="str">
        <f>第4日!$B$32</f>
        <v>第14波（待设计）</v>
      </c>
      <c r="H250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50" s="9">
        <f>第4日!$E$32</f>
        <v>0.22</v>
      </c>
      <c r="J250" s="9">
        <f>第4日!$G$32</f>
        <v>1</v>
      </c>
      <c r="K250" s="9">
        <f>第4日!$I$32</f>
        <v>300</v>
      </c>
      <c r="L250" s="9" t="s">
        <v>479</v>
      </c>
      <c r="M250" s="9" t="s">
        <v>480</v>
      </c>
      <c r="N250" s="9">
        <v>12</v>
      </c>
      <c r="O250" s="9">
        <f>第4日!$B$47</f>
        <v>0</v>
      </c>
      <c r="P250" s="9" t="str">
        <f>IFERROR(VLOOKUP(O250,敌人目录!$A$6:$AD$54,2,FALSE),"")</f>
        <v/>
      </c>
      <c r="Q250" s="9">
        <f>第4日!$C$47</f>
        <v>0</v>
      </c>
      <c r="R250" s="9" t="str">
        <f>第4日!$I$47</f>
        <v/>
      </c>
      <c r="S250" s="9" t="str">
        <f>第4日!$I$33</f>
        <v>待设计</v>
      </c>
    </row>
    <row r="251" spans="1:19" ht="24" customHeight="1">
      <c r="A251" s="9">
        <v>2</v>
      </c>
      <c r="B251" s="9" t="s">
        <v>448</v>
      </c>
      <c r="C251" s="9" t="s">
        <v>485</v>
      </c>
      <c r="D251" s="9">
        <v>14</v>
      </c>
      <c r="E251" s="9">
        <v>4</v>
      </c>
      <c r="F251" s="9">
        <v>2</v>
      </c>
      <c r="G251" s="9" t="str">
        <f>第4日!$B$32</f>
        <v>第14波（待设计）</v>
      </c>
      <c r="H251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51" s="9">
        <f>第4日!$E$32</f>
        <v>0.22</v>
      </c>
      <c r="J251" s="9">
        <f>第4日!$G$32</f>
        <v>1</v>
      </c>
      <c r="K251" s="9">
        <f>第4日!$I$32</f>
        <v>300</v>
      </c>
      <c r="L251" s="9" t="s">
        <v>479</v>
      </c>
      <c r="M251" s="9" t="s">
        <v>480</v>
      </c>
      <c r="N251" s="9">
        <v>13</v>
      </c>
      <c r="O251" s="9">
        <f>第4日!$B$48</f>
        <v>0</v>
      </c>
      <c r="P251" s="9" t="str">
        <f>IFERROR(VLOOKUP(O251,敌人目录!$A$6:$AD$54,2,FALSE),"")</f>
        <v/>
      </c>
      <c r="Q251" s="9">
        <f>第4日!$C$48</f>
        <v>0</v>
      </c>
      <c r="R251" s="9" t="str">
        <f>第4日!$I$48</f>
        <v/>
      </c>
      <c r="S251" s="9" t="str">
        <f>第4日!$I$33</f>
        <v>待设计</v>
      </c>
    </row>
    <row r="252" spans="1:19" ht="24" customHeight="1">
      <c r="A252" s="9">
        <v>2</v>
      </c>
      <c r="B252" s="9" t="s">
        <v>448</v>
      </c>
      <c r="C252" s="9" t="s">
        <v>485</v>
      </c>
      <c r="D252" s="9">
        <v>14</v>
      </c>
      <c r="E252" s="9">
        <v>4</v>
      </c>
      <c r="F252" s="9">
        <v>2</v>
      </c>
      <c r="G252" s="9" t="str">
        <f>第4日!$B$32</f>
        <v>第14波（待设计）</v>
      </c>
      <c r="H252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52" s="9">
        <f>第4日!$E$32</f>
        <v>0.22</v>
      </c>
      <c r="J252" s="9">
        <f>第4日!$G$32</f>
        <v>1</v>
      </c>
      <c r="K252" s="9">
        <f>第4日!$I$32</f>
        <v>300</v>
      </c>
      <c r="L252" s="9" t="s">
        <v>479</v>
      </c>
      <c r="M252" s="9" t="s">
        <v>480</v>
      </c>
      <c r="N252" s="9">
        <v>14</v>
      </c>
      <c r="O252" s="9">
        <f>第4日!$B$49</f>
        <v>0</v>
      </c>
      <c r="P252" s="9" t="str">
        <f>IFERROR(VLOOKUP(O252,敌人目录!$A$6:$AD$54,2,FALSE),"")</f>
        <v/>
      </c>
      <c r="Q252" s="9">
        <f>第4日!$C$49</f>
        <v>0</v>
      </c>
      <c r="R252" s="9" t="str">
        <f>第4日!$I$49</f>
        <v/>
      </c>
      <c r="S252" s="9" t="str">
        <f>第4日!$I$33</f>
        <v>待设计</v>
      </c>
    </row>
    <row r="253" spans="1:19" ht="24" customHeight="1">
      <c r="A253" s="9">
        <v>2</v>
      </c>
      <c r="B253" s="9" t="s">
        <v>448</v>
      </c>
      <c r="C253" s="9" t="s">
        <v>485</v>
      </c>
      <c r="D253" s="9">
        <v>14</v>
      </c>
      <c r="E253" s="9">
        <v>4</v>
      </c>
      <c r="F253" s="9">
        <v>2</v>
      </c>
      <c r="G253" s="9" t="str">
        <f>第4日!$B$32</f>
        <v>第14波（待设计）</v>
      </c>
      <c r="H253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53" s="9">
        <f>第4日!$E$32</f>
        <v>0.22</v>
      </c>
      <c r="J253" s="9">
        <f>第4日!$G$32</f>
        <v>1</v>
      </c>
      <c r="K253" s="9">
        <f>第4日!$I$32</f>
        <v>300</v>
      </c>
      <c r="L253" s="9" t="s">
        <v>479</v>
      </c>
      <c r="M253" s="9" t="s">
        <v>480</v>
      </c>
      <c r="N253" s="9">
        <v>15</v>
      </c>
      <c r="O253" s="9">
        <f>第4日!$B$50</f>
        <v>0</v>
      </c>
      <c r="P253" s="9" t="str">
        <f>IFERROR(VLOOKUP(O253,敌人目录!$A$6:$AD$54,2,FALSE),"")</f>
        <v/>
      </c>
      <c r="Q253" s="9">
        <f>第4日!$C$50</f>
        <v>0</v>
      </c>
      <c r="R253" s="9" t="str">
        <f>第4日!$I$50</f>
        <v/>
      </c>
      <c r="S253" s="9" t="str">
        <f>第4日!$I$33</f>
        <v>待设计</v>
      </c>
    </row>
    <row r="254" spans="1:19" ht="24" customHeight="1">
      <c r="A254" s="9">
        <v>2</v>
      </c>
      <c r="B254" s="9" t="s">
        <v>448</v>
      </c>
      <c r="C254" s="9" t="s">
        <v>485</v>
      </c>
      <c r="D254" s="9">
        <v>14</v>
      </c>
      <c r="E254" s="9">
        <v>4</v>
      </c>
      <c r="F254" s="9">
        <v>2</v>
      </c>
      <c r="G254" s="9" t="str">
        <f>第4日!$B$32</f>
        <v>第14波（待设计）</v>
      </c>
      <c r="H254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54" s="9">
        <f>第4日!$E$32</f>
        <v>0.22</v>
      </c>
      <c r="J254" s="9">
        <f>第4日!$G$32</f>
        <v>1</v>
      </c>
      <c r="K254" s="9">
        <f>第4日!$I$32</f>
        <v>300</v>
      </c>
      <c r="L254" s="9" t="s">
        <v>479</v>
      </c>
      <c r="M254" s="9" t="s">
        <v>480</v>
      </c>
      <c r="N254" s="9">
        <v>16</v>
      </c>
      <c r="O254" s="9">
        <f>第4日!$B$51</f>
        <v>0</v>
      </c>
      <c r="P254" s="9" t="str">
        <f>IFERROR(VLOOKUP(O254,敌人目录!$A$6:$AD$54,2,FALSE),"")</f>
        <v/>
      </c>
      <c r="Q254" s="9">
        <f>第4日!$C$51</f>
        <v>0</v>
      </c>
      <c r="R254" s="9" t="str">
        <f>第4日!$I$51</f>
        <v/>
      </c>
      <c r="S254" s="9" t="str">
        <f>第4日!$I$33</f>
        <v>待设计</v>
      </c>
    </row>
    <row r="255" spans="1:19" ht="24" customHeight="1">
      <c r="A255" s="9">
        <v>2</v>
      </c>
      <c r="B255" s="9" t="s">
        <v>448</v>
      </c>
      <c r="C255" s="9" t="s">
        <v>485</v>
      </c>
      <c r="D255" s="9">
        <v>14</v>
      </c>
      <c r="E255" s="9">
        <v>4</v>
      </c>
      <c r="F255" s="9">
        <v>2</v>
      </c>
      <c r="G255" s="9" t="str">
        <f>第4日!$B$32</f>
        <v>第14波（待设计）</v>
      </c>
      <c r="H255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55" s="9">
        <f>第4日!$E$32</f>
        <v>0.22</v>
      </c>
      <c r="J255" s="9">
        <f>第4日!$G$32</f>
        <v>1</v>
      </c>
      <c r="K255" s="9">
        <f>第4日!$I$32</f>
        <v>300</v>
      </c>
      <c r="L255" s="9" t="s">
        <v>479</v>
      </c>
      <c r="M255" s="9" t="s">
        <v>480</v>
      </c>
      <c r="N255" s="9">
        <v>17</v>
      </c>
      <c r="O255" s="9">
        <f>第4日!$B$52</f>
        <v>0</v>
      </c>
      <c r="P255" s="9" t="str">
        <f>IFERROR(VLOOKUP(O255,敌人目录!$A$6:$AD$54,2,FALSE),"")</f>
        <v/>
      </c>
      <c r="Q255" s="9">
        <f>第4日!$C$52</f>
        <v>0</v>
      </c>
      <c r="R255" s="9" t="str">
        <f>第4日!$I$52</f>
        <v/>
      </c>
      <c r="S255" s="9" t="str">
        <f>第4日!$I$33</f>
        <v>待设计</v>
      </c>
    </row>
    <row r="256" spans="1:19" ht="24" customHeight="1">
      <c r="A256" s="9">
        <v>2</v>
      </c>
      <c r="B256" s="9" t="s">
        <v>448</v>
      </c>
      <c r="C256" s="9" t="s">
        <v>485</v>
      </c>
      <c r="D256" s="9">
        <v>14</v>
      </c>
      <c r="E256" s="9">
        <v>4</v>
      </c>
      <c r="F256" s="9">
        <v>2</v>
      </c>
      <c r="G256" s="9" t="str">
        <f>第4日!$B$32</f>
        <v>第14波（待设计）</v>
      </c>
      <c r="H256" s="9">
        <f>IF(第4日!$B$33="点1·开启",1,0)+IF(第4日!$C$33="点2·开启",2,0)+IF(第4日!$D$33="点3·开启",4,0)+IF(第4日!$E$33="点4·开启",8,0)+IF(第4日!$F$33="点5·开启",16,0)+IF(第4日!$G$33="点6·开启",32,0)</f>
        <v>63</v>
      </c>
      <c r="I256" s="9">
        <f>第4日!$E$32</f>
        <v>0.22</v>
      </c>
      <c r="J256" s="9">
        <f>第4日!$G$32</f>
        <v>1</v>
      </c>
      <c r="K256" s="9">
        <f>第4日!$I$32</f>
        <v>300</v>
      </c>
      <c r="L256" s="9" t="s">
        <v>479</v>
      </c>
      <c r="M256" s="9" t="s">
        <v>480</v>
      </c>
      <c r="N256" s="9">
        <v>18</v>
      </c>
      <c r="O256" s="9">
        <f>第4日!$B$53</f>
        <v>0</v>
      </c>
      <c r="P256" s="9" t="str">
        <f>IFERROR(VLOOKUP(O256,敌人目录!$A$6:$AD$54,2,FALSE),"")</f>
        <v/>
      </c>
      <c r="Q256" s="9">
        <f>第4日!$C$53</f>
        <v>0</v>
      </c>
      <c r="R256" s="9" t="str">
        <f>第4日!$I$53</f>
        <v/>
      </c>
      <c r="S256" s="9" t="str">
        <f>第4日!$I$33</f>
        <v>待设计</v>
      </c>
    </row>
    <row r="257" spans="1:19" ht="24" customHeight="1">
      <c r="A257" s="9">
        <v>2</v>
      </c>
      <c r="B257" s="9" t="s">
        <v>448</v>
      </c>
      <c r="C257" s="9" t="s">
        <v>486</v>
      </c>
      <c r="D257" s="9">
        <v>15</v>
      </c>
      <c r="E257" s="9">
        <v>4</v>
      </c>
      <c r="F257" s="9">
        <v>3</v>
      </c>
      <c r="G257" s="9" t="str">
        <f>第4日!$B$61</f>
        <v>第15波（待设计）</v>
      </c>
      <c r="H257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57" s="9">
        <f>第4日!$E$61</f>
        <v>0.22</v>
      </c>
      <c r="J257" s="9">
        <f>第4日!$G$61</f>
        <v>1</v>
      </c>
      <c r="K257" s="9">
        <f>第4日!$I$61</f>
        <v>300</v>
      </c>
      <c r="L257" s="9" t="s">
        <v>479</v>
      </c>
      <c r="M257" s="9" t="s">
        <v>480</v>
      </c>
      <c r="N257" s="9">
        <v>1</v>
      </c>
      <c r="O257" s="9">
        <f>第4日!$B$65</f>
        <v>0</v>
      </c>
      <c r="P257" s="9" t="str">
        <f>IFERROR(VLOOKUP(O257,敌人目录!$A$6:$AD$54,2,FALSE),"")</f>
        <v/>
      </c>
      <c r="Q257" s="9">
        <f>第4日!$C$65</f>
        <v>0</v>
      </c>
      <c r="R257" s="9" t="str">
        <f>第4日!$I$65</f>
        <v/>
      </c>
      <c r="S257" s="9" t="str">
        <f>第4日!$I$62</f>
        <v>待设计</v>
      </c>
    </row>
    <row r="258" spans="1:19" ht="24" customHeight="1">
      <c r="A258" s="9">
        <v>2</v>
      </c>
      <c r="B258" s="9" t="s">
        <v>448</v>
      </c>
      <c r="C258" s="9" t="s">
        <v>486</v>
      </c>
      <c r="D258" s="9">
        <v>15</v>
      </c>
      <c r="E258" s="9">
        <v>4</v>
      </c>
      <c r="F258" s="9">
        <v>3</v>
      </c>
      <c r="G258" s="9" t="str">
        <f>第4日!$B$61</f>
        <v>第15波（待设计）</v>
      </c>
      <c r="H258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58" s="9">
        <f>第4日!$E$61</f>
        <v>0.22</v>
      </c>
      <c r="J258" s="9">
        <f>第4日!$G$61</f>
        <v>1</v>
      </c>
      <c r="K258" s="9">
        <f>第4日!$I$61</f>
        <v>300</v>
      </c>
      <c r="L258" s="9" t="s">
        <v>479</v>
      </c>
      <c r="M258" s="9" t="s">
        <v>480</v>
      </c>
      <c r="N258" s="9">
        <v>2</v>
      </c>
      <c r="O258" s="9">
        <f>第4日!$B$66</f>
        <v>0</v>
      </c>
      <c r="P258" s="9" t="str">
        <f>IFERROR(VLOOKUP(O258,敌人目录!$A$6:$AD$54,2,FALSE),"")</f>
        <v/>
      </c>
      <c r="Q258" s="9">
        <f>第4日!$C$66</f>
        <v>0</v>
      </c>
      <c r="R258" s="9" t="str">
        <f>第4日!$I$66</f>
        <v/>
      </c>
      <c r="S258" s="9" t="str">
        <f>第4日!$I$62</f>
        <v>待设计</v>
      </c>
    </row>
    <row r="259" spans="1:19" ht="24" customHeight="1">
      <c r="A259" s="9">
        <v>2</v>
      </c>
      <c r="B259" s="9" t="s">
        <v>448</v>
      </c>
      <c r="C259" s="9" t="s">
        <v>486</v>
      </c>
      <c r="D259" s="9">
        <v>15</v>
      </c>
      <c r="E259" s="9">
        <v>4</v>
      </c>
      <c r="F259" s="9">
        <v>3</v>
      </c>
      <c r="G259" s="9" t="str">
        <f>第4日!$B$61</f>
        <v>第15波（待设计）</v>
      </c>
      <c r="H259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59" s="9">
        <f>第4日!$E$61</f>
        <v>0.22</v>
      </c>
      <c r="J259" s="9">
        <f>第4日!$G$61</f>
        <v>1</v>
      </c>
      <c r="K259" s="9">
        <f>第4日!$I$61</f>
        <v>300</v>
      </c>
      <c r="L259" s="9" t="s">
        <v>479</v>
      </c>
      <c r="M259" s="9" t="s">
        <v>480</v>
      </c>
      <c r="N259" s="9">
        <v>3</v>
      </c>
      <c r="O259" s="9">
        <f>第4日!$B$67</f>
        <v>0</v>
      </c>
      <c r="P259" s="9" t="str">
        <f>IFERROR(VLOOKUP(O259,敌人目录!$A$6:$AD$54,2,FALSE),"")</f>
        <v/>
      </c>
      <c r="Q259" s="9">
        <f>第4日!$C$67</f>
        <v>0</v>
      </c>
      <c r="R259" s="9" t="str">
        <f>第4日!$I$67</f>
        <v/>
      </c>
      <c r="S259" s="9" t="str">
        <f>第4日!$I$62</f>
        <v>待设计</v>
      </c>
    </row>
    <row r="260" spans="1:19" ht="24" customHeight="1">
      <c r="A260" s="9">
        <v>2</v>
      </c>
      <c r="B260" s="9" t="s">
        <v>448</v>
      </c>
      <c r="C260" s="9" t="s">
        <v>486</v>
      </c>
      <c r="D260" s="9">
        <v>15</v>
      </c>
      <c r="E260" s="9">
        <v>4</v>
      </c>
      <c r="F260" s="9">
        <v>3</v>
      </c>
      <c r="G260" s="9" t="str">
        <f>第4日!$B$61</f>
        <v>第15波（待设计）</v>
      </c>
      <c r="H260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60" s="9">
        <f>第4日!$E$61</f>
        <v>0.22</v>
      </c>
      <c r="J260" s="9">
        <f>第4日!$G$61</f>
        <v>1</v>
      </c>
      <c r="K260" s="9">
        <f>第4日!$I$61</f>
        <v>300</v>
      </c>
      <c r="L260" s="9" t="s">
        <v>479</v>
      </c>
      <c r="M260" s="9" t="s">
        <v>480</v>
      </c>
      <c r="N260" s="9">
        <v>4</v>
      </c>
      <c r="O260" s="9">
        <f>第4日!$B$68</f>
        <v>0</v>
      </c>
      <c r="P260" s="9" t="str">
        <f>IFERROR(VLOOKUP(O260,敌人目录!$A$6:$AD$54,2,FALSE),"")</f>
        <v/>
      </c>
      <c r="Q260" s="9">
        <f>第4日!$C$68</f>
        <v>0</v>
      </c>
      <c r="R260" s="9" t="str">
        <f>第4日!$I$68</f>
        <v/>
      </c>
      <c r="S260" s="9" t="str">
        <f>第4日!$I$62</f>
        <v>待设计</v>
      </c>
    </row>
    <row r="261" spans="1:19" ht="24" customHeight="1">
      <c r="A261" s="9">
        <v>2</v>
      </c>
      <c r="B261" s="9" t="s">
        <v>448</v>
      </c>
      <c r="C261" s="9" t="s">
        <v>486</v>
      </c>
      <c r="D261" s="9">
        <v>15</v>
      </c>
      <c r="E261" s="9">
        <v>4</v>
      </c>
      <c r="F261" s="9">
        <v>3</v>
      </c>
      <c r="G261" s="9" t="str">
        <f>第4日!$B$61</f>
        <v>第15波（待设计）</v>
      </c>
      <c r="H261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61" s="9">
        <f>第4日!$E$61</f>
        <v>0.22</v>
      </c>
      <c r="J261" s="9">
        <f>第4日!$G$61</f>
        <v>1</v>
      </c>
      <c r="K261" s="9">
        <f>第4日!$I$61</f>
        <v>300</v>
      </c>
      <c r="L261" s="9" t="s">
        <v>479</v>
      </c>
      <c r="M261" s="9" t="s">
        <v>480</v>
      </c>
      <c r="N261" s="9">
        <v>5</v>
      </c>
      <c r="O261" s="9">
        <f>第4日!$B$69</f>
        <v>0</v>
      </c>
      <c r="P261" s="9" t="str">
        <f>IFERROR(VLOOKUP(O261,敌人目录!$A$6:$AD$54,2,FALSE),"")</f>
        <v/>
      </c>
      <c r="Q261" s="9">
        <f>第4日!$C$69</f>
        <v>0</v>
      </c>
      <c r="R261" s="9" t="str">
        <f>第4日!$I$69</f>
        <v/>
      </c>
      <c r="S261" s="9" t="str">
        <f>第4日!$I$62</f>
        <v>待设计</v>
      </c>
    </row>
    <row r="262" spans="1:19" ht="24" customHeight="1">
      <c r="A262" s="9">
        <v>2</v>
      </c>
      <c r="B262" s="9" t="s">
        <v>448</v>
      </c>
      <c r="C262" s="9" t="s">
        <v>486</v>
      </c>
      <c r="D262" s="9">
        <v>15</v>
      </c>
      <c r="E262" s="9">
        <v>4</v>
      </c>
      <c r="F262" s="9">
        <v>3</v>
      </c>
      <c r="G262" s="9" t="str">
        <f>第4日!$B$61</f>
        <v>第15波（待设计）</v>
      </c>
      <c r="H262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62" s="9">
        <f>第4日!$E$61</f>
        <v>0.22</v>
      </c>
      <c r="J262" s="9">
        <f>第4日!$G$61</f>
        <v>1</v>
      </c>
      <c r="K262" s="9">
        <f>第4日!$I$61</f>
        <v>300</v>
      </c>
      <c r="L262" s="9" t="s">
        <v>479</v>
      </c>
      <c r="M262" s="9" t="s">
        <v>480</v>
      </c>
      <c r="N262" s="9">
        <v>6</v>
      </c>
      <c r="O262" s="9">
        <f>第4日!$B$70</f>
        <v>0</v>
      </c>
      <c r="P262" s="9" t="str">
        <f>IFERROR(VLOOKUP(O262,敌人目录!$A$6:$AD$54,2,FALSE),"")</f>
        <v/>
      </c>
      <c r="Q262" s="9">
        <f>第4日!$C$70</f>
        <v>0</v>
      </c>
      <c r="R262" s="9" t="str">
        <f>第4日!$I$70</f>
        <v/>
      </c>
      <c r="S262" s="9" t="str">
        <f>第4日!$I$62</f>
        <v>待设计</v>
      </c>
    </row>
    <row r="263" spans="1:19" ht="24" customHeight="1">
      <c r="A263" s="9">
        <v>2</v>
      </c>
      <c r="B263" s="9" t="s">
        <v>448</v>
      </c>
      <c r="C263" s="9" t="s">
        <v>486</v>
      </c>
      <c r="D263" s="9">
        <v>15</v>
      </c>
      <c r="E263" s="9">
        <v>4</v>
      </c>
      <c r="F263" s="9">
        <v>3</v>
      </c>
      <c r="G263" s="9" t="str">
        <f>第4日!$B$61</f>
        <v>第15波（待设计）</v>
      </c>
      <c r="H263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63" s="9">
        <f>第4日!$E$61</f>
        <v>0.22</v>
      </c>
      <c r="J263" s="9">
        <f>第4日!$G$61</f>
        <v>1</v>
      </c>
      <c r="K263" s="9">
        <f>第4日!$I$61</f>
        <v>300</v>
      </c>
      <c r="L263" s="9" t="s">
        <v>479</v>
      </c>
      <c r="M263" s="9" t="s">
        <v>480</v>
      </c>
      <c r="N263" s="9">
        <v>7</v>
      </c>
      <c r="O263" s="9">
        <f>第4日!$B$71</f>
        <v>0</v>
      </c>
      <c r="P263" s="9" t="str">
        <f>IFERROR(VLOOKUP(O263,敌人目录!$A$6:$AD$54,2,FALSE),"")</f>
        <v/>
      </c>
      <c r="Q263" s="9">
        <f>第4日!$C$71</f>
        <v>0</v>
      </c>
      <c r="R263" s="9" t="str">
        <f>第4日!$I$71</f>
        <v/>
      </c>
      <c r="S263" s="9" t="str">
        <f>第4日!$I$62</f>
        <v>待设计</v>
      </c>
    </row>
    <row r="264" spans="1:19" ht="24" customHeight="1">
      <c r="A264" s="9">
        <v>2</v>
      </c>
      <c r="B264" s="9" t="s">
        <v>448</v>
      </c>
      <c r="C264" s="9" t="s">
        <v>486</v>
      </c>
      <c r="D264" s="9">
        <v>15</v>
      </c>
      <c r="E264" s="9">
        <v>4</v>
      </c>
      <c r="F264" s="9">
        <v>3</v>
      </c>
      <c r="G264" s="9" t="str">
        <f>第4日!$B$61</f>
        <v>第15波（待设计）</v>
      </c>
      <c r="H264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64" s="9">
        <f>第4日!$E$61</f>
        <v>0.22</v>
      </c>
      <c r="J264" s="9">
        <f>第4日!$G$61</f>
        <v>1</v>
      </c>
      <c r="K264" s="9">
        <f>第4日!$I$61</f>
        <v>300</v>
      </c>
      <c r="L264" s="9" t="s">
        <v>479</v>
      </c>
      <c r="M264" s="9" t="s">
        <v>480</v>
      </c>
      <c r="N264" s="9">
        <v>8</v>
      </c>
      <c r="O264" s="9">
        <f>第4日!$B$72</f>
        <v>0</v>
      </c>
      <c r="P264" s="9" t="str">
        <f>IFERROR(VLOOKUP(O264,敌人目录!$A$6:$AD$54,2,FALSE),"")</f>
        <v/>
      </c>
      <c r="Q264" s="9">
        <f>第4日!$C$72</f>
        <v>0</v>
      </c>
      <c r="R264" s="9" t="str">
        <f>第4日!$I$72</f>
        <v/>
      </c>
      <c r="S264" s="9" t="str">
        <f>第4日!$I$62</f>
        <v>待设计</v>
      </c>
    </row>
    <row r="265" spans="1:19" ht="24" customHeight="1">
      <c r="A265" s="9">
        <v>2</v>
      </c>
      <c r="B265" s="9" t="s">
        <v>448</v>
      </c>
      <c r="C265" s="9" t="s">
        <v>486</v>
      </c>
      <c r="D265" s="9">
        <v>15</v>
      </c>
      <c r="E265" s="9">
        <v>4</v>
      </c>
      <c r="F265" s="9">
        <v>3</v>
      </c>
      <c r="G265" s="9" t="str">
        <f>第4日!$B$61</f>
        <v>第15波（待设计）</v>
      </c>
      <c r="H265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65" s="9">
        <f>第4日!$E$61</f>
        <v>0.22</v>
      </c>
      <c r="J265" s="9">
        <f>第4日!$G$61</f>
        <v>1</v>
      </c>
      <c r="K265" s="9">
        <f>第4日!$I$61</f>
        <v>300</v>
      </c>
      <c r="L265" s="9" t="s">
        <v>479</v>
      </c>
      <c r="M265" s="9" t="s">
        <v>480</v>
      </c>
      <c r="N265" s="9">
        <v>9</v>
      </c>
      <c r="O265" s="9">
        <f>第4日!$B$73</f>
        <v>0</v>
      </c>
      <c r="P265" s="9" t="str">
        <f>IFERROR(VLOOKUP(O265,敌人目录!$A$6:$AD$54,2,FALSE),"")</f>
        <v/>
      </c>
      <c r="Q265" s="9">
        <f>第4日!$C$73</f>
        <v>0</v>
      </c>
      <c r="R265" s="9" t="str">
        <f>第4日!$I$73</f>
        <v/>
      </c>
      <c r="S265" s="9" t="str">
        <f>第4日!$I$62</f>
        <v>待设计</v>
      </c>
    </row>
    <row r="266" spans="1:19" ht="24" customHeight="1">
      <c r="A266" s="9">
        <v>2</v>
      </c>
      <c r="B266" s="9" t="s">
        <v>448</v>
      </c>
      <c r="C266" s="9" t="s">
        <v>486</v>
      </c>
      <c r="D266" s="9">
        <v>15</v>
      </c>
      <c r="E266" s="9">
        <v>4</v>
      </c>
      <c r="F266" s="9">
        <v>3</v>
      </c>
      <c r="G266" s="9" t="str">
        <f>第4日!$B$61</f>
        <v>第15波（待设计）</v>
      </c>
      <c r="H266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66" s="9">
        <f>第4日!$E$61</f>
        <v>0.22</v>
      </c>
      <c r="J266" s="9">
        <f>第4日!$G$61</f>
        <v>1</v>
      </c>
      <c r="K266" s="9">
        <f>第4日!$I$61</f>
        <v>300</v>
      </c>
      <c r="L266" s="9" t="s">
        <v>479</v>
      </c>
      <c r="M266" s="9" t="s">
        <v>480</v>
      </c>
      <c r="N266" s="9">
        <v>10</v>
      </c>
      <c r="O266" s="9">
        <f>第4日!$B$74</f>
        <v>0</v>
      </c>
      <c r="P266" s="9" t="str">
        <f>IFERROR(VLOOKUP(O266,敌人目录!$A$6:$AD$54,2,FALSE),"")</f>
        <v/>
      </c>
      <c r="Q266" s="9">
        <f>第4日!$C$74</f>
        <v>0</v>
      </c>
      <c r="R266" s="9" t="str">
        <f>第4日!$I$74</f>
        <v/>
      </c>
      <c r="S266" s="9" t="str">
        <f>第4日!$I$62</f>
        <v>待设计</v>
      </c>
    </row>
    <row r="267" spans="1:19" ht="24" customHeight="1">
      <c r="A267" s="9">
        <v>2</v>
      </c>
      <c r="B267" s="9" t="s">
        <v>448</v>
      </c>
      <c r="C267" s="9" t="s">
        <v>486</v>
      </c>
      <c r="D267" s="9">
        <v>15</v>
      </c>
      <c r="E267" s="9">
        <v>4</v>
      </c>
      <c r="F267" s="9">
        <v>3</v>
      </c>
      <c r="G267" s="9" t="str">
        <f>第4日!$B$61</f>
        <v>第15波（待设计）</v>
      </c>
      <c r="H267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67" s="9">
        <f>第4日!$E$61</f>
        <v>0.22</v>
      </c>
      <c r="J267" s="9">
        <f>第4日!$G$61</f>
        <v>1</v>
      </c>
      <c r="K267" s="9">
        <f>第4日!$I$61</f>
        <v>300</v>
      </c>
      <c r="L267" s="9" t="s">
        <v>479</v>
      </c>
      <c r="M267" s="9" t="s">
        <v>480</v>
      </c>
      <c r="N267" s="9">
        <v>11</v>
      </c>
      <c r="O267" s="9">
        <f>第4日!$B$75</f>
        <v>0</v>
      </c>
      <c r="P267" s="9" t="str">
        <f>IFERROR(VLOOKUP(O267,敌人目录!$A$6:$AD$54,2,FALSE),"")</f>
        <v/>
      </c>
      <c r="Q267" s="9">
        <f>第4日!$C$75</f>
        <v>0</v>
      </c>
      <c r="R267" s="9" t="str">
        <f>第4日!$I$75</f>
        <v/>
      </c>
      <c r="S267" s="9" t="str">
        <f>第4日!$I$62</f>
        <v>待设计</v>
      </c>
    </row>
    <row r="268" spans="1:19" ht="24" customHeight="1">
      <c r="A268" s="9">
        <v>2</v>
      </c>
      <c r="B268" s="9" t="s">
        <v>448</v>
      </c>
      <c r="C268" s="9" t="s">
        <v>486</v>
      </c>
      <c r="D268" s="9">
        <v>15</v>
      </c>
      <c r="E268" s="9">
        <v>4</v>
      </c>
      <c r="F268" s="9">
        <v>3</v>
      </c>
      <c r="G268" s="9" t="str">
        <f>第4日!$B$61</f>
        <v>第15波（待设计）</v>
      </c>
      <c r="H268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68" s="9">
        <f>第4日!$E$61</f>
        <v>0.22</v>
      </c>
      <c r="J268" s="9">
        <f>第4日!$G$61</f>
        <v>1</v>
      </c>
      <c r="K268" s="9">
        <f>第4日!$I$61</f>
        <v>300</v>
      </c>
      <c r="L268" s="9" t="s">
        <v>479</v>
      </c>
      <c r="M268" s="9" t="s">
        <v>480</v>
      </c>
      <c r="N268" s="9">
        <v>12</v>
      </c>
      <c r="O268" s="9">
        <f>第4日!$B$76</f>
        <v>0</v>
      </c>
      <c r="P268" s="9" t="str">
        <f>IFERROR(VLOOKUP(O268,敌人目录!$A$6:$AD$54,2,FALSE),"")</f>
        <v/>
      </c>
      <c r="Q268" s="9">
        <f>第4日!$C$76</f>
        <v>0</v>
      </c>
      <c r="R268" s="9" t="str">
        <f>第4日!$I$76</f>
        <v/>
      </c>
      <c r="S268" s="9" t="str">
        <f>第4日!$I$62</f>
        <v>待设计</v>
      </c>
    </row>
    <row r="269" spans="1:19" ht="24" customHeight="1">
      <c r="A269" s="9">
        <v>2</v>
      </c>
      <c r="B269" s="9" t="s">
        <v>448</v>
      </c>
      <c r="C269" s="9" t="s">
        <v>486</v>
      </c>
      <c r="D269" s="9">
        <v>15</v>
      </c>
      <c r="E269" s="9">
        <v>4</v>
      </c>
      <c r="F269" s="9">
        <v>3</v>
      </c>
      <c r="G269" s="9" t="str">
        <f>第4日!$B$61</f>
        <v>第15波（待设计）</v>
      </c>
      <c r="H269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69" s="9">
        <f>第4日!$E$61</f>
        <v>0.22</v>
      </c>
      <c r="J269" s="9">
        <f>第4日!$G$61</f>
        <v>1</v>
      </c>
      <c r="K269" s="9">
        <f>第4日!$I$61</f>
        <v>300</v>
      </c>
      <c r="L269" s="9" t="s">
        <v>479</v>
      </c>
      <c r="M269" s="9" t="s">
        <v>480</v>
      </c>
      <c r="N269" s="9">
        <v>13</v>
      </c>
      <c r="O269" s="9">
        <f>第4日!$B$77</f>
        <v>0</v>
      </c>
      <c r="P269" s="9" t="str">
        <f>IFERROR(VLOOKUP(O269,敌人目录!$A$6:$AD$54,2,FALSE),"")</f>
        <v/>
      </c>
      <c r="Q269" s="9">
        <f>第4日!$C$77</f>
        <v>0</v>
      </c>
      <c r="R269" s="9" t="str">
        <f>第4日!$I$77</f>
        <v/>
      </c>
      <c r="S269" s="9" t="str">
        <f>第4日!$I$62</f>
        <v>待设计</v>
      </c>
    </row>
    <row r="270" spans="1:19" ht="24" customHeight="1">
      <c r="A270" s="9">
        <v>2</v>
      </c>
      <c r="B270" s="9" t="s">
        <v>448</v>
      </c>
      <c r="C270" s="9" t="s">
        <v>486</v>
      </c>
      <c r="D270" s="9">
        <v>15</v>
      </c>
      <c r="E270" s="9">
        <v>4</v>
      </c>
      <c r="F270" s="9">
        <v>3</v>
      </c>
      <c r="G270" s="9" t="str">
        <f>第4日!$B$61</f>
        <v>第15波（待设计）</v>
      </c>
      <c r="H270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70" s="9">
        <f>第4日!$E$61</f>
        <v>0.22</v>
      </c>
      <c r="J270" s="9">
        <f>第4日!$G$61</f>
        <v>1</v>
      </c>
      <c r="K270" s="9">
        <f>第4日!$I$61</f>
        <v>300</v>
      </c>
      <c r="L270" s="9" t="s">
        <v>479</v>
      </c>
      <c r="M270" s="9" t="s">
        <v>480</v>
      </c>
      <c r="N270" s="9">
        <v>14</v>
      </c>
      <c r="O270" s="9">
        <f>第4日!$B$78</f>
        <v>0</v>
      </c>
      <c r="P270" s="9" t="str">
        <f>IFERROR(VLOOKUP(O270,敌人目录!$A$6:$AD$54,2,FALSE),"")</f>
        <v/>
      </c>
      <c r="Q270" s="9">
        <f>第4日!$C$78</f>
        <v>0</v>
      </c>
      <c r="R270" s="9" t="str">
        <f>第4日!$I$78</f>
        <v/>
      </c>
      <c r="S270" s="9" t="str">
        <f>第4日!$I$62</f>
        <v>待设计</v>
      </c>
    </row>
    <row r="271" spans="1:19" ht="24" customHeight="1">
      <c r="A271" s="9">
        <v>2</v>
      </c>
      <c r="B271" s="9" t="s">
        <v>448</v>
      </c>
      <c r="C271" s="9" t="s">
        <v>486</v>
      </c>
      <c r="D271" s="9">
        <v>15</v>
      </c>
      <c r="E271" s="9">
        <v>4</v>
      </c>
      <c r="F271" s="9">
        <v>3</v>
      </c>
      <c r="G271" s="9" t="str">
        <f>第4日!$B$61</f>
        <v>第15波（待设计）</v>
      </c>
      <c r="H271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71" s="9">
        <f>第4日!$E$61</f>
        <v>0.22</v>
      </c>
      <c r="J271" s="9">
        <f>第4日!$G$61</f>
        <v>1</v>
      </c>
      <c r="K271" s="9">
        <f>第4日!$I$61</f>
        <v>300</v>
      </c>
      <c r="L271" s="9" t="s">
        <v>479</v>
      </c>
      <c r="M271" s="9" t="s">
        <v>480</v>
      </c>
      <c r="N271" s="9">
        <v>15</v>
      </c>
      <c r="O271" s="9">
        <f>第4日!$B$79</f>
        <v>0</v>
      </c>
      <c r="P271" s="9" t="str">
        <f>IFERROR(VLOOKUP(O271,敌人目录!$A$6:$AD$54,2,FALSE),"")</f>
        <v/>
      </c>
      <c r="Q271" s="9">
        <f>第4日!$C$79</f>
        <v>0</v>
      </c>
      <c r="R271" s="9" t="str">
        <f>第4日!$I$79</f>
        <v/>
      </c>
      <c r="S271" s="9" t="str">
        <f>第4日!$I$62</f>
        <v>待设计</v>
      </c>
    </row>
    <row r="272" spans="1:19" ht="24" customHeight="1">
      <c r="A272" s="9">
        <v>2</v>
      </c>
      <c r="B272" s="9" t="s">
        <v>448</v>
      </c>
      <c r="C272" s="9" t="s">
        <v>486</v>
      </c>
      <c r="D272" s="9">
        <v>15</v>
      </c>
      <c r="E272" s="9">
        <v>4</v>
      </c>
      <c r="F272" s="9">
        <v>3</v>
      </c>
      <c r="G272" s="9" t="str">
        <f>第4日!$B$61</f>
        <v>第15波（待设计）</v>
      </c>
      <c r="H272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72" s="9">
        <f>第4日!$E$61</f>
        <v>0.22</v>
      </c>
      <c r="J272" s="9">
        <f>第4日!$G$61</f>
        <v>1</v>
      </c>
      <c r="K272" s="9">
        <f>第4日!$I$61</f>
        <v>300</v>
      </c>
      <c r="L272" s="9" t="s">
        <v>479</v>
      </c>
      <c r="M272" s="9" t="s">
        <v>480</v>
      </c>
      <c r="N272" s="9">
        <v>16</v>
      </c>
      <c r="O272" s="9">
        <f>第4日!$B$80</f>
        <v>0</v>
      </c>
      <c r="P272" s="9" t="str">
        <f>IFERROR(VLOOKUP(O272,敌人目录!$A$6:$AD$54,2,FALSE),"")</f>
        <v/>
      </c>
      <c r="Q272" s="9">
        <f>第4日!$C$80</f>
        <v>0</v>
      </c>
      <c r="R272" s="9" t="str">
        <f>第4日!$I$80</f>
        <v/>
      </c>
      <c r="S272" s="9" t="str">
        <f>第4日!$I$62</f>
        <v>待设计</v>
      </c>
    </row>
    <row r="273" spans="1:19" ht="24" customHeight="1">
      <c r="A273" s="9">
        <v>2</v>
      </c>
      <c r="B273" s="9" t="s">
        <v>448</v>
      </c>
      <c r="C273" s="9" t="s">
        <v>486</v>
      </c>
      <c r="D273" s="9">
        <v>15</v>
      </c>
      <c r="E273" s="9">
        <v>4</v>
      </c>
      <c r="F273" s="9">
        <v>3</v>
      </c>
      <c r="G273" s="9" t="str">
        <f>第4日!$B$61</f>
        <v>第15波（待设计）</v>
      </c>
      <c r="H273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73" s="9">
        <f>第4日!$E$61</f>
        <v>0.22</v>
      </c>
      <c r="J273" s="9">
        <f>第4日!$G$61</f>
        <v>1</v>
      </c>
      <c r="K273" s="9">
        <f>第4日!$I$61</f>
        <v>300</v>
      </c>
      <c r="L273" s="9" t="s">
        <v>479</v>
      </c>
      <c r="M273" s="9" t="s">
        <v>480</v>
      </c>
      <c r="N273" s="9">
        <v>17</v>
      </c>
      <c r="O273" s="9">
        <f>第4日!$B$81</f>
        <v>0</v>
      </c>
      <c r="P273" s="9" t="str">
        <f>IFERROR(VLOOKUP(O273,敌人目录!$A$6:$AD$54,2,FALSE),"")</f>
        <v/>
      </c>
      <c r="Q273" s="9">
        <f>第4日!$C$81</f>
        <v>0</v>
      </c>
      <c r="R273" s="9" t="str">
        <f>第4日!$I$81</f>
        <v/>
      </c>
      <c r="S273" s="9" t="str">
        <f>第4日!$I$62</f>
        <v>待设计</v>
      </c>
    </row>
    <row r="274" spans="1:19" ht="24" customHeight="1">
      <c r="A274" s="9">
        <v>2</v>
      </c>
      <c r="B274" s="9" t="s">
        <v>448</v>
      </c>
      <c r="C274" s="9" t="s">
        <v>486</v>
      </c>
      <c r="D274" s="9">
        <v>15</v>
      </c>
      <c r="E274" s="9">
        <v>4</v>
      </c>
      <c r="F274" s="9">
        <v>3</v>
      </c>
      <c r="G274" s="9" t="str">
        <f>第4日!$B$61</f>
        <v>第15波（待设计）</v>
      </c>
      <c r="H274" s="9">
        <f>IF(第4日!$B$62="点1·开启",1,0)+IF(第4日!$C$62="点2·开启",2,0)+IF(第4日!$D$62="点3·开启",4,0)+IF(第4日!$E$62="点4·开启",8,0)+IF(第4日!$F$62="点5·开启",16,0)+IF(第4日!$G$62="点6·开启",32,0)</f>
        <v>63</v>
      </c>
      <c r="I274" s="9">
        <f>第4日!$E$61</f>
        <v>0.22</v>
      </c>
      <c r="J274" s="9">
        <f>第4日!$G$61</f>
        <v>1</v>
      </c>
      <c r="K274" s="9">
        <f>第4日!$I$61</f>
        <v>300</v>
      </c>
      <c r="L274" s="9" t="s">
        <v>479</v>
      </c>
      <c r="M274" s="9" t="s">
        <v>480</v>
      </c>
      <c r="N274" s="9">
        <v>18</v>
      </c>
      <c r="O274" s="9">
        <f>第4日!$B$82</f>
        <v>0</v>
      </c>
      <c r="P274" s="9" t="str">
        <f>IFERROR(VLOOKUP(O274,敌人目录!$A$6:$AD$54,2,FALSE),"")</f>
        <v/>
      </c>
      <c r="Q274" s="9">
        <f>第4日!$C$82</f>
        <v>0</v>
      </c>
      <c r="R274" s="9" t="str">
        <f>第4日!$I$82</f>
        <v/>
      </c>
      <c r="S274" s="9" t="str">
        <f>第4日!$I$62</f>
        <v>待设计</v>
      </c>
    </row>
    <row r="275" spans="1:19" ht="24" customHeight="1">
      <c r="A275" s="9">
        <v>2</v>
      </c>
      <c r="B275" s="9" t="s">
        <v>448</v>
      </c>
      <c r="C275" s="9" t="s">
        <v>487</v>
      </c>
      <c r="D275" s="9">
        <v>16</v>
      </c>
      <c r="E275" s="9">
        <v>4</v>
      </c>
      <c r="F275" s="9">
        <v>4</v>
      </c>
      <c r="G275" s="9" t="str">
        <f>第4日!$B$90</f>
        <v>第16波（待设计）</v>
      </c>
      <c r="H275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75" s="9">
        <f>第4日!$E$90</f>
        <v>0.22</v>
      </c>
      <c r="J275" s="9">
        <f>第4日!$G$90</f>
        <v>1</v>
      </c>
      <c r="K275" s="9">
        <f>第4日!$I$90</f>
        <v>300</v>
      </c>
      <c r="L275" s="9" t="s">
        <v>479</v>
      </c>
      <c r="M275" s="9" t="s">
        <v>480</v>
      </c>
      <c r="N275" s="9">
        <v>1</v>
      </c>
      <c r="O275" s="9">
        <f>第4日!$B$94</f>
        <v>0</v>
      </c>
      <c r="P275" s="9" t="str">
        <f>IFERROR(VLOOKUP(O275,敌人目录!$A$6:$AD$54,2,FALSE),"")</f>
        <v/>
      </c>
      <c r="Q275" s="9">
        <f>第4日!$C$94</f>
        <v>0</v>
      </c>
      <c r="R275" s="9" t="str">
        <f>第4日!$I$94</f>
        <v/>
      </c>
      <c r="S275" s="9" t="str">
        <f>第4日!$I$91</f>
        <v>待设计</v>
      </c>
    </row>
    <row r="276" spans="1:19" ht="24" customHeight="1">
      <c r="A276" s="9">
        <v>2</v>
      </c>
      <c r="B276" s="9" t="s">
        <v>448</v>
      </c>
      <c r="C276" s="9" t="s">
        <v>487</v>
      </c>
      <c r="D276" s="9">
        <v>16</v>
      </c>
      <c r="E276" s="9">
        <v>4</v>
      </c>
      <c r="F276" s="9">
        <v>4</v>
      </c>
      <c r="G276" s="9" t="str">
        <f>第4日!$B$90</f>
        <v>第16波（待设计）</v>
      </c>
      <c r="H276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76" s="9">
        <f>第4日!$E$90</f>
        <v>0.22</v>
      </c>
      <c r="J276" s="9">
        <f>第4日!$G$90</f>
        <v>1</v>
      </c>
      <c r="K276" s="9">
        <f>第4日!$I$90</f>
        <v>300</v>
      </c>
      <c r="L276" s="9" t="s">
        <v>479</v>
      </c>
      <c r="M276" s="9" t="s">
        <v>480</v>
      </c>
      <c r="N276" s="9">
        <v>2</v>
      </c>
      <c r="O276" s="9">
        <f>第4日!$B$95</f>
        <v>0</v>
      </c>
      <c r="P276" s="9" t="str">
        <f>IFERROR(VLOOKUP(O276,敌人目录!$A$6:$AD$54,2,FALSE),"")</f>
        <v/>
      </c>
      <c r="Q276" s="9">
        <f>第4日!$C$95</f>
        <v>0</v>
      </c>
      <c r="R276" s="9" t="str">
        <f>第4日!$I$95</f>
        <v/>
      </c>
      <c r="S276" s="9" t="str">
        <f>第4日!$I$91</f>
        <v>待设计</v>
      </c>
    </row>
    <row r="277" spans="1:19" ht="24" customHeight="1">
      <c r="A277" s="9">
        <v>2</v>
      </c>
      <c r="B277" s="9" t="s">
        <v>448</v>
      </c>
      <c r="C277" s="9" t="s">
        <v>487</v>
      </c>
      <c r="D277" s="9">
        <v>16</v>
      </c>
      <c r="E277" s="9">
        <v>4</v>
      </c>
      <c r="F277" s="9">
        <v>4</v>
      </c>
      <c r="G277" s="9" t="str">
        <f>第4日!$B$90</f>
        <v>第16波（待设计）</v>
      </c>
      <c r="H277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77" s="9">
        <f>第4日!$E$90</f>
        <v>0.22</v>
      </c>
      <c r="J277" s="9">
        <f>第4日!$G$90</f>
        <v>1</v>
      </c>
      <c r="K277" s="9">
        <f>第4日!$I$90</f>
        <v>300</v>
      </c>
      <c r="L277" s="9" t="s">
        <v>479</v>
      </c>
      <c r="M277" s="9" t="s">
        <v>480</v>
      </c>
      <c r="N277" s="9">
        <v>3</v>
      </c>
      <c r="O277" s="9">
        <f>第4日!$B$96</f>
        <v>0</v>
      </c>
      <c r="P277" s="9" t="str">
        <f>IFERROR(VLOOKUP(O277,敌人目录!$A$6:$AD$54,2,FALSE),"")</f>
        <v/>
      </c>
      <c r="Q277" s="9">
        <f>第4日!$C$96</f>
        <v>0</v>
      </c>
      <c r="R277" s="9" t="str">
        <f>第4日!$I$96</f>
        <v/>
      </c>
      <c r="S277" s="9" t="str">
        <f>第4日!$I$91</f>
        <v>待设计</v>
      </c>
    </row>
    <row r="278" spans="1:19" ht="24" customHeight="1">
      <c r="A278" s="9">
        <v>2</v>
      </c>
      <c r="B278" s="9" t="s">
        <v>448</v>
      </c>
      <c r="C278" s="9" t="s">
        <v>487</v>
      </c>
      <c r="D278" s="9">
        <v>16</v>
      </c>
      <c r="E278" s="9">
        <v>4</v>
      </c>
      <c r="F278" s="9">
        <v>4</v>
      </c>
      <c r="G278" s="9" t="str">
        <f>第4日!$B$90</f>
        <v>第16波（待设计）</v>
      </c>
      <c r="H278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78" s="9">
        <f>第4日!$E$90</f>
        <v>0.22</v>
      </c>
      <c r="J278" s="9">
        <f>第4日!$G$90</f>
        <v>1</v>
      </c>
      <c r="K278" s="9">
        <f>第4日!$I$90</f>
        <v>300</v>
      </c>
      <c r="L278" s="9" t="s">
        <v>479</v>
      </c>
      <c r="M278" s="9" t="s">
        <v>480</v>
      </c>
      <c r="N278" s="9">
        <v>4</v>
      </c>
      <c r="O278" s="9">
        <f>第4日!$B$97</f>
        <v>0</v>
      </c>
      <c r="P278" s="9" t="str">
        <f>IFERROR(VLOOKUP(O278,敌人目录!$A$6:$AD$54,2,FALSE),"")</f>
        <v/>
      </c>
      <c r="Q278" s="9">
        <f>第4日!$C$97</f>
        <v>0</v>
      </c>
      <c r="R278" s="9" t="str">
        <f>第4日!$I$97</f>
        <v/>
      </c>
      <c r="S278" s="9" t="str">
        <f>第4日!$I$91</f>
        <v>待设计</v>
      </c>
    </row>
    <row r="279" spans="1:19" ht="24" customHeight="1">
      <c r="A279" s="9">
        <v>2</v>
      </c>
      <c r="B279" s="9" t="s">
        <v>448</v>
      </c>
      <c r="C279" s="9" t="s">
        <v>487</v>
      </c>
      <c r="D279" s="9">
        <v>16</v>
      </c>
      <c r="E279" s="9">
        <v>4</v>
      </c>
      <c r="F279" s="9">
        <v>4</v>
      </c>
      <c r="G279" s="9" t="str">
        <f>第4日!$B$90</f>
        <v>第16波（待设计）</v>
      </c>
      <c r="H279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79" s="9">
        <f>第4日!$E$90</f>
        <v>0.22</v>
      </c>
      <c r="J279" s="9">
        <f>第4日!$G$90</f>
        <v>1</v>
      </c>
      <c r="K279" s="9">
        <f>第4日!$I$90</f>
        <v>300</v>
      </c>
      <c r="L279" s="9" t="s">
        <v>479</v>
      </c>
      <c r="M279" s="9" t="s">
        <v>480</v>
      </c>
      <c r="N279" s="9">
        <v>5</v>
      </c>
      <c r="O279" s="9">
        <f>第4日!$B$98</f>
        <v>0</v>
      </c>
      <c r="P279" s="9" t="str">
        <f>IFERROR(VLOOKUP(O279,敌人目录!$A$6:$AD$54,2,FALSE),"")</f>
        <v/>
      </c>
      <c r="Q279" s="9">
        <f>第4日!$C$98</f>
        <v>0</v>
      </c>
      <c r="R279" s="9" t="str">
        <f>第4日!$I$98</f>
        <v/>
      </c>
      <c r="S279" s="9" t="str">
        <f>第4日!$I$91</f>
        <v>待设计</v>
      </c>
    </row>
    <row r="280" spans="1:19" ht="24" customHeight="1">
      <c r="A280" s="9">
        <v>2</v>
      </c>
      <c r="B280" s="9" t="s">
        <v>448</v>
      </c>
      <c r="C280" s="9" t="s">
        <v>487</v>
      </c>
      <c r="D280" s="9">
        <v>16</v>
      </c>
      <c r="E280" s="9">
        <v>4</v>
      </c>
      <c r="F280" s="9">
        <v>4</v>
      </c>
      <c r="G280" s="9" t="str">
        <f>第4日!$B$90</f>
        <v>第16波（待设计）</v>
      </c>
      <c r="H280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80" s="9">
        <f>第4日!$E$90</f>
        <v>0.22</v>
      </c>
      <c r="J280" s="9">
        <f>第4日!$G$90</f>
        <v>1</v>
      </c>
      <c r="K280" s="9">
        <f>第4日!$I$90</f>
        <v>300</v>
      </c>
      <c r="L280" s="9" t="s">
        <v>479</v>
      </c>
      <c r="M280" s="9" t="s">
        <v>480</v>
      </c>
      <c r="N280" s="9">
        <v>6</v>
      </c>
      <c r="O280" s="9">
        <f>第4日!$B$99</f>
        <v>0</v>
      </c>
      <c r="P280" s="9" t="str">
        <f>IFERROR(VLOOKUP(O280,敌人目录!$A$6:$AD$54,2,FALSE),"")</f>
        <v/>
      </c>
      <c r="Q280" s="9">
        <f>第4日!$C$99</f>
        <v>0</v>
      </c>
      <c r="R280" s="9" t="str">
        <f>第4日!$I$99</f>
        <v/>
      </c>
      <c r="S280" s="9" t="str">
        <f>第4日!$I$91</f>
        <v>待设计</v>
      </c>
    </row>
    <row r="281" spans="1:19" ht="24" customHeight="1">
      <c r="A281" s="9">
        <v>2</v>
      </c>
      <c r="B281" s="9" t="s">
        <v>448</v>
      </c>
      <c r="C281" s="9" t="s">
        <v>487</v>
      </c>
      <c r="D281" s="9">
        <v>16</v>
      </c>
      <c r="E281" s="9">
        <v>4</v>
      </c>
      <c r="F281" s="9">
        <v>4</v>
      </c>
      <c r="G281" s="9" t="str">
        <f>第4日!$B$90</f>
        <v>第16波（待设计）</v>
      </c>
      <c r="H281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81" s="9">
        <f>第4日!$E$90</f>
        <v>0.22</v>
      </c>
      <c r="J281" s="9">
        <f>第4日!$G$90</f>
        <v>1</v>
      </c>
      <c r="K281" s="9">
        <f>第4日!$I$90</f>
        <v>300</v>
      </c>
      <c r="L281" s="9" t="s">
        <v>479</v>
      </c>
      <c r="M281" s="9" t="s">
        <v>480</v>
      </c>
      <c r="N281" s="9">
        <v>7</v>
      </c>
      <c r="O281" s="9">
        <f>第4日!$B$100</f>
        <v>0</v>
      </c>
      <c r="P281" s="9" t="str">
        <f>IFERROR(VLOOKUP(O281,敌人目录!$A$6:$AD$54,2,FALSE),"")</f>
        <v/>
      </c>
      <c r="Q281" s="9">
        <f>第4日!$C$100</f>
        <v>0</v>
      </c>
      <c r="R281" s="9" t="str">
        <f>第4日!$I$100</f>
        <v/>
      </c>
      <c r="S281" s="9" t="str">
        <f>第4日!$I$91</f>
        <v>待设计</v>
      </c>
    </row>
    <row r="282" spans="1:19" ht="24" customHeight="1">
      <c r="A282" s="9">
        <v>2</v>
      </c>
      <c r="B282" s="9" t="s">
        <v>448</v>
      </c>
      <c r="C282" s="9" t="s">
        <v>487</v>
      </c>
      <c r="D282" s="9">
        <v>16</v>
      </c>
      <c r="E282" s="9">
        <v>4</v>
      </c>
      <c r="F282" s="9">
        <v>4</v>
      </c>
      <c r="G282" s="9" t="str">
        <f>第4日!$B$90</f>
        <v>第16波（待设计）</v>
      </c>
      <c r="H282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82" s="9">
        <f>第4日!$E$90</f>
        <v>0.22</v>
      </c>
      <c r="J282" s="9">
        <f>第4日!$G$90</f>
        <v>1</v>
      </c>
      <c r="K282" s="9">
        <f>第4日!$I$90</f>
        <v>300</v>
      </c>
      <c r="L282" s="9" t="s">
        <v>479</v>
      </c>
      <c r="M282" s="9" t="s">
        <v>480</v>
      </c>
      <c r="N282" s="9">
        <v>8</v>
      </c>
      <c r="O282" s="9">
        <f>第4日!$B$101</f>
        <v>0</v>
      </c>
      <c r="P282" s="9" t="str">
        <f>IFERROR(VLOOKUP(O282,敌人目录!$A$6:$AD$54,2,FALSE),"")</f>
        <v/>
      </c>
      <c r="Q282" s="9">
        <f>第4日!$C$101</f>
        <v>0</v>
      </c>
      <c r="R282" s="9" t="str">
        <f>第4日!$I$101</f>
        <v/>
      </c>
      <c r="S282" s="9" t="str">
        <f>第4日!$I$91</f>
        <v>待设计</v>
      </c>
    </row>
    <row r="283" spans="1:19" ht="24" customHeight="1">
      <c r="A283" s="9">
        <v>2</v>
      </c>
      <c r="B283" s="9" t="s">
        <v>448</v>
      </c>
      <c r="C283" s="9" t="s">
        <v>487</v>
      </c>
      <c r="D283" s="9">
        <v>16</v>
      </c>
      <c r="E283" s="9">
        <v>4</v>
      </c>
      <c r="F283" s="9">
        <v>4</v>
      </c>
      <c r="G283" s="9" t="str">
        <f>第4日!$B$90</f>
        <v>第16波（待设计）</v>
      </c>
      <c r="H283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83" s="9">
        <f>第4日!$E$90</f>
        <v>0.22</v>
      </c>
      <c r="J283" s="9">
        <f>第4日!$G$90</f>
        <v>1</v>
      </c>
      <c r="K283" s="9">
        <f>第4日!$I$90</f>
        <v>300</v>
      </c>
      <c r="L283" s="9" t="s">
        <v>479</v>
      </c>
      <c r="M283" s="9" t="s">
        <v>480</v>
      </c>
      <c r="N283" s="9">
        <v>9</v>
      </c>
      <c r="O283" s="9">
        <f>第4日!$B$102</f>
        <v>0</v>
      </c>
      <c r="P283" s="9" t="str">
        <f>IFERROR(VLOOKUP(O283,敌人目录!$A$6:$AD$54,2,FALSE),"")</f>
        <v/>
      </c>
      <c r="Q283" s="9">
        <f>第4日!$C$102</f>
        <v>0</v>
      </c>
      <c r="R283" s="9" t="str">
        <f>第4日!$I$102</f>
        <v/>
      </c>
      <c r="S283" s="9" t="str">
        <f>第4日!$I$91</f>
        <v>待设计</v>
      </c>
    </row>
    <row r="284" spans="1:19" ht="24" customHeight="1">
      <c r="A284" s="9">
        <v>2</v>
      </c>
      <c r="B284" s="9" t="s">
        <v>448</v>
      </c>
      <c r="C284" s="9" t="s">
        <v>487</v>
      </c>
      <c r="D284" s="9">
        <v>16</v>
      </c>
      <c r="E284" s="9">
        <v>4</v>
      </c>
      <c r="F284" s="9">
        <v>4</v>
      </c>
      <c r="G284" s="9" t="str">
        <f>第4日!$B$90</f>
        <v>第16波（待设计）</v>
      </c>
      <c r="H284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84" s="9">
        <f>第4日!$E$90</f>
        <v>0.22</v>
      </c>
      <c r="J284" s="9">
        <f>第4日!$G$90</f>
        <v>1</v>
      </c>
      <c r="K284" s="9">
        <f>第4日!$I$90</f>
        <v>300</v>
      </c>
      <c r="L284" s="9" t="s">
        <v>479</v>
      </c>
      <c r="M284" s="9" t="s">
        <v>480</v>
      </c>
      <c r="N284" s="9">
        <v>10</v>
      </c>
      <c r="O284" s="9">
        <f>第4日!$B$103</f>
        <v>0</v>
      </c>
      <c r="P284" s="9" t="str">
        <f>IFERROR(VLOOKUP(O284,敌人目录!$A$6:$AD$54,2,FALSE),"")</f>
        <v/>
      </c>
      <c r="Q284" s="9">
        <f>第4日!$C$103</f>
        <v>0</v>
      </c>
      <c r="R284" s="9" t="str">
        <f>第4日!$I$103</f>
        <v/>
      </c>
      <c r="S284" s="9" t="str">
        <f>第4日!$I$91</f>
        <v>待设计</v>
      </c>
    </row>
    <row r="285" spans="1:19" ht="24" customHeight="1">
      <c r="A285" s="9">
        <v>2</v>
      </c>
      <c r="B285" s="9" t="s">
        <v>448</v>
      </c>
      <c r="C285" s="9" t="s">
        <v>487</v>
      </c>
      <c r="D285" s="9">
        <v>16</v>
      </c>
      <c r="E285" s="9">
        <v>4</v>
      </c>
      <c r="F285" s="9">
        <v>4</v>
      </c>
      <c r="G285" s="9" t="str">
        <f>第4日!$B$90</f>
        <v>第16波（待设计）</v>
      </c>
      <c r="H285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85" s="9">
        <f>第4日!$E$90</f>
        <v>0.22</v>
      </c>
      <c r="J285" s="9">
        <f>第4日!$G$90</f>
        <v>1</v>
      </c>
      <c r="K285" s="9">
        <f>第4日!$I$90</f>
        <v>300</v>
      </c>
      <c r="L285" s="9" t="s">
        <v>479</v>
      </c>
      <c r="M285" s="9" t="s">
        <v>480</v>
      </c>
      <c r="N285" s="9">
        <v>11</v>
      </c>
      <c r="O285" s="9">
        <f>第4日!$B$104</f>
        <v>0</v>
      </c>
      <c r="P285" s="9" t="str">
        <f>IFERROR(VLOOKUP(O285,敌人目录!$A$6:$AD$54,2,FALSE),"")</f>
        <v/>
      </c>
      <c r="Q285" s="9">
        <f>第4日!$C$104</f>
        <v>0</v>
      </c>
      <c r="R285" s="9" t="str">
        <f>第4日!$I$104</f>
        <v/>
      </c>
      <c r="S285" s="9" t="str">
        <f>第4日!$I$91</f>
        <v>待设计</v>
      </c>
    </row>
    <row r="286" spans="1:19" ht="24" customHeight="1">
      <c r="A286" s="9">
        <v>2</v>
      </c>
      <c r="B286" s="9" t="s">
        <v>448</v>
      </c>
      <c r="C286" s="9" t="s">
        <v>487</v>
      </c>
      <c r="D286" s="9">
        <v>16</v>
      </c>
      <c r="E286" s="9">
        <v>4</v>
      </c>
      <c r="F286" s="9">
        <v>4</v>
      </c>
      <c r="G286" s="9" t="str">
        <f>第4日!$B$90</f>
        <v>第16波（待设计）</v>
      </c>
      <c r="H286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86" s="9">
        <f>第4日!$E$90</f>
        <v>0.22</v>
      </c>
      <c r="J286" s="9">
        <f>第4日!$G$90</f>
        <v>1</v>
      </c>
      <c r="K286" s="9">
        <f>第4日!$I$90</f>
        <v>300</v>
      </c>
      <c r="L286" s="9" t="s">
        <v>479</v>
      </c>
      <c r="M286" s="9" t="s">
        <v>480</v>
      </c>
      <c r="N286" s="9">
        <v>12</v>
      </c>
      <c r="O286" s="9">
        <f>第4日!$B$105</f>
        <v>0</v>
      </c>
      <c r="P286" s="9" t="str">
        <f>IFERROR(VLOOKUP(O286,敌人目录!$A$6:$AD$54,2,FALSE),"")</f>
        <v/>
      </c>
      <c r="Q286" s="9">
        <f>第4日!$C$105</f>
        <v>0</v>
      </c>
      <c r="R286" s="9" t="str">
        <f>第4日!$I$105</f>
        <v/>
      </c>
      <c r="S286" s="9" t="str">
        <f>第4日!$I$91</f>
        <v>待设计</v>
      </c>
    </row>
    <row r="287" spans="1:19" ht="24" customHeight="1">
      <c r="A287" s="9">
        <v>2</v>
      </c>
      <c r="B287" s="9" t="s">
        <v>448</v>
      </c>
      <c r="C287" s="9" t="s">
        <v>487</v>
      </c>
      <c r="D287" s="9">
        <v>16</v>
      </c>
      <c r="E287" s="9">
        <v>4</v>
      </c>
      <c r="F287" s="9">
        <v>4</v>
      </c>
      <c r="G287" s="9" t="str">
        <f>第4日!$B$90</f>
        <v>第16波（待设计）</v>
      </c>
      <c r="H287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87" s="9">
        <f>第4日!$E$90</f>
        <v>0.22</v>
      </c>
      <c r="J287" s="9">
        <f>第4日!$G$90</f>
        <v>1</v>
      </c>
      <c r="K287" s="9">
        <f>第4日!$I$90</f>
        <v>300</v>
      </c>
      <c r="L287" s="9" t="s">
        <v>479</v>
      </c>
      <c r="M287" s="9" t="s">
        <v>480</v>
      </c>
      <c r="N287" s="9">
        <v>13</v>
      </c>
      <c r="O287" s="9">
        <f>第4日!$B$106</f>
        <v>0</v>
      </c>
      <c r="P287" s="9" t="str">
        <f>IFERROR(VLOOKUP(O287,敌人目录!$A$6:$AD$54,2,FALSE),"")</f>
        <v/>
      </c>
      <c r="Q287" s="9">
        <f>第4日!$C$106</f>
        <v>0</v>
      </c>
      <c r="R287" s="9" t="str">
        <f>第4日!$I$106</f>
        <v/>
      </c>
      <c r="S287" s="9" t="str">
        <f>第4日!$I$91</f>
        <v>待设计</v>
      </c>
    </row>
    <row r="288" spans="1:19" ht="24" customHeight="1">
      <c r="A288" s="9">
        <v>2</v>
      </c>
      <c r="B288" s="9" t="s">
        <v>448</v>
      </c>
      <c r="C288" s="9" t="s">
        <v>487</v>
      </c>
      <c r="D288" s="9">
        <v>16</v>
      </c>
      <c r="E288" s="9">
        <v>4</v>
      </c>
      <c r="F288" s="9">
        <v>4</v>
      </c>
      <c r="G288" s="9" t="str">
        <f>第4日!$B$90</f>
        <v>第16波（待设计）</v>
      </c>
      <c r="H288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88" s="9">
        <f>第4日!$E$90</f>
        <v>0.22</v>
      </c>
      <c r="J288" s="9">
        <f>第4日!$G$90</f>
        <v>1</v>
      </c>
      <c r="K288" s="9">
        <f>第4日!$I$90</f>
        <v>300</v>
      </c>
      <c r="L288" s="9" t="s">
        <v>479</v>
      </c>
      <c r="M288" s="9" t="s">
        <v>480</v>
      </c>
      <c r="N288" s="9">
        <v>14</v>
      </c>
      <c r="O288" s="9">
        <f>第4日!$B$107</f>
        <v>0</v>
      </c>
      <c r="P288" s="9" t="str">
        <f>IFERROR(VLOOKUP(O288,敌人目录!$A$6:$AD$54,2,FALSE),"")</f>
        <v/>
      </c>
      <c r="Q288" s="9">
        <f>第4日!$C$107</f>
        <v>0</v>
      </c>
      <c r="R288" s="9" t="str">
        <f>第4日!$I$107</f>
        <v/>
      </c>
      <c r="S288" s="9" t="str">
        <f>第4日!$I$91</f>
        <v>待设计</v>
      </c>
    </row>
    <row r="289" spans="1:19" ht="24" customHeight="1">
      <c r="A289" s="9">
        <v>2</v>
      </c>
      <c r="B289" s="9" t="s">
        <v>448</v>
      </c>
      <c r="C289" s="9" t="s">
        <v>487</v>
      </c>
      <c r="D289" s="9">
        <v>16</v>
      </c>
      <c r="E289" s="9">
        <v>4</v>
      </c>
      <c r="F289" s="9">
        <v>4</v>
      </c>
      <c r="G289" s="9" t="str">
        <f>第4日!$B$90</f>
        <v>第16波（待设计）</v>
      </c>
      <c r="H289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89" s="9">
        <f>第4日!$E$90</f>
        <v>0.22</v>
      </c>
      <c r="J289" s="9">
        <f>第4日!$G$90</f>
        <v>1</v>
      </c>
      <c r="K289" s="9">
        <f>第4日!$I$90</f>
        <v>300</v>
      </c>
      <c r="L289" s="9" t="s">
        <v>479</v>
      </c>
      <c r="M289" s="9" t="s">
        <v>480</v>
      </c>
      <c r="N289" s="9">
        <v>15</v>
      </c>
      <c r="O289" s="9">
        <f>第4日!$B$108</f>
        <v>0</v>
      </c>
      <c r="P289" s="9" t="str">
        <f>IFERROR(VLOOKUP(O289,敌人目录!$A$6:$AD$54,2,FALSE),"")</f>
        <v/>
      </c>
      <c r="Q289" s="9">
        <f>第4日!$C$108</f>
        <v>0</v>
      </c>
      <c r="R289" s="9" t="str">
        <f>第4日!$I$108</f>
        <v/>
      </c>
      <c r="S289" s="9" t="str">
        <f>第4日!$I$91</f>
        <v>待设计</v>
      </c>
    </row>
    <row r="290" spans="1:19" ht="24" customHeight="1">
      <c r="A290" s="9">
        <v>2</v>
      </c>
      <c r="B290" s="9" t="s">
        <v>448</v>
      </c>
      <c r="C290" s="9" t="s">
        <v>487</v>
      </c>
      <c r="D290" s="9">
        <v>16</v>
      </c>
      <c r="E290" s="9">
        <v>4</v>
      </c>
      <c r="F290" s="9">
        <v>4</v>
      </c>
      <c r="G290" s="9" t="str">
        <f>第4日!$B$90</f>
        <v>第16波（待设计）</v>
      </c>
      <c r="H290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90" s="9">
        <f>第4日!$E$90</f>
        <v>0.22</v>
      </c>
      <c r="J290" s="9">
        <f>第4日!$G$90</f>
        <v>1</v>
      </c>
      <c r="K290" s="9">
        <f>第4日!$I$90</f>
        <v>300</v>
      </c>
      <c r="L290" s="9" t="s">
        <v>479</v>
      </c>
      <c r="M290" s="9" t="s">
        <v>480</v>
      </c>
      <c r="N290" s="9">
        <v>16</v>
      </c>
      <c r="O290" s="9">
        <f>第4日!$B$109</f>
        <v>0</v>
      </c>
      <c r="P290" s="9" t="str">
        <f>IFERROR(VLOOKUP(O290,敌人目录!$A$6:$AD$54,2,FALSE),"")</f>
        <v/>
      </c>
      <c r="Q290" s="9">
        <f>第4日!$C$109</f>
        <v>0</v>
      </c>
      <c r="R290" s="9" t="str">
        <f>第4日!$I$109</f>
        <v/>
      </c>
      <c r="S290" s="9" t="str">
        <f>第4日!$I$91</f>
        <v>待设计</v>
      </c>
    </row>
    <row r="291" spans="1:19" ht="24" customHeight="1">
      <c r="A291" s="9">
        <v>2</v>
      </c>
      <c r="B291" s="9" t="s">
        <v>448</v>
      </c>
      <c r="C291" s="9" t="s">
        <v>487</v>
      </c>
      <c r="D291" s="9">
        <v>16</v>
      </c>
      <c r="E291" s="9">
        <v>4</v>
      </c>
      <c r="F291" s="9">
        <v>4</v>
      </c>
      <c r="G291" s="9" t="str">
        <f>第4日!$B$90</f>
        <v>第16波（待设计）</v>
      </c>
      <c r="H291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91" s="9">
        <f>第4日!$E$90</f>
        <v>0.22</v>
      </c>
      <c r="J291" s="9">
        <f>第4日!$G$90</f>
        <v>1</v>
      </c>
      <c r="K291" s="9">
        <f>第4日!$I$90</f>
        <v>300</v>
      </c>
      <c r="L291" s="9" t="s">
        <v>479</v>
      </c>
      <c r="M291" s="9" t="s">
        <v>480</v>
      </c>
      <c r="N291" s="9">
        <v>17</v>
      </c>
      <c r="O291" s="9">
        <f>第4日!$B$110</f>
        <v>0</v>
      </c>
      <c r="P291" s="9" t="str">
        <f>IFERROR(VLOOKUP(O291,敌人目录!$A$6:$AD$54,2,FALSE),"")</f>
        <v/>
      </c>
      <c r="Q291" s="9">
        <f>第4日!$C$110</f>
        <v>0</v>
      </c>
      <c r="R291" s="9" t="str">
        <f>第4日!$I$110</f>
        <v/>
      </c>
      <c r="S291" s="9" t="str">
        <f>第4日!$I$91</f>
        <v>待设计</v>
      </c>
    </row>
    <row r="292" spans="1:19" ht="24" customHeight="1">
      <c r="A292" s="9">
        <v>2</v>
      </c>
      <c r="B292" s="9" t="s">
        <v>448</v>
      </c>
      <c r="C292" s="9" t="s">
        <v>487</v>
      </c>
      <c r="D292" s="9">
        <v>16</v>
      </c>
      <c r="E292" s="9">
        <v>4</v>
      </c>
      <c r="F292" s="9">
        <v>4</v>
      </c>
      <c r="G292" s="9" t="str">
        <f>第4日!$B$90</f>
        <v>第16波（待设计）</v>
      </c>
      <c r="H292" s="9">
        <f>IF(第4日!$B$91="点1·开启",1,0)+IF(第4日!$C$91="点2·开启",2,0)+IF(第4日!$D$91="点3·开启",4,0)+IF(第4日!$E$91="点4·开启",8,0)+IF(第4日!$F$91="点5·开启",16,0)+IF(第4日!$G$91="点6·开启",32,0)</f>
        <v>63</v>
      </c>
      <c r="I292" s="9">
        <f>第4日!$E$90</f>
        <v>0.22</v>
      </c>
      <c r="J292" s="9">
        <f>第4日!$G$90</f>
        <v>1</v>
      </c>
      <c r="K292" s="9">
        <f>第4日!$I$90</f>
        <v>300</v>
      </c>
      <c r="L292" s="9" t="s">
        <v>479</v>
      </c>
      <c r="M292" s="9" t="s">
        <v>480</v>
      </c>
      <c r="N292" s="9">
        <v>18</v>
      </c>
      <c r="O292" s="9">
        <f>第4日!$B$111</f>
        <v>0</v>
      </c>
      <c r="P292" s="9" t="str">
        <f>IFERROR(VLOOKUP(O292,敌人目录!$A$6:$AD$54,2,FALSE),"")</f>
        <v/>
      </c>
      <c r="Q292" s="9">
        <f>第4日!$C$111</f>
        <v>0</v>
      </c>
      <c r="R292" s="9" t="str">
        <f>第4日!$I$111</f>
        <v/>
      </c>
      <c r="S292" s="9" t="str">
        <f>第4日!$I$91</f>
        <v>待设计</v>
      </c>
    </row>
  </sheetData>
  <mergeCells count="1">
    <mergeCell ref="A1:S1"/>
  </mergeCells>
  <phoneticPr fontId="15" type="noConversion"/>
  <conditionalFormatting sqref="R5:S292">
    <cfRule type="containsText" dxfId="2" priority="1" operator="containsText" text="可回读"/>
    <cfRule type="containsText" dxfId="1" priority="2" operator="containsText" text="待设计"/>
    <cfRule type="containsText" dxfId="0" priority="3" operator="containsText" text="需修正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5"/>
  <sheetViews>
    <sheetView showGridLines="0" workbookViewId="0">
      <selection sqref="A1:T1"/>
    </sheetView>
  </sheetViews>
  <sheetFormatPr defaultRowHeight="14.25"/>
  <cols>
    <col min="1" max="1" width="30" customWidth="1"/>
    <col min="2" max="2" width="34" customWidth="1"/>
    <col min="3" max="3" width="28" customWidth="1"/>
    <col min="4" max="4" width="58" customWidth="1"/>
    <col min="5" max="5" width="4" customWidth="1"/>
    <col min="6" max="6" width="16" customWidth="1"/>
    <col min="7" max="7" width="4" customWidth="1"/>
    <col min="8" max="8" width="10" customWidth="1"/>
    <col min="9" max="9" width="4" customWidth="1"/>
    <col min="10" max="10" width="12" customWidth="1"/>
    <col min="11" max="11" width="4" customWidth="1"/>
    <col min="12" max="12" width="22" customWidth="1"/>
    <col min="13" max="13" width="72" customWidth="1"/>
    <col min="14" max="14" width="4" customWidth="1"/>
    <col min="15" max="15" width="28" customWidth="1"/>
    <col min="16" max="16" width="64" customWidth="1"/>
    <col min="17" max="17" width="4" customWidth="1"/>
    <col min="18" max="18" width="34" customWidth="1"/>
    <col min="19" max="19" width="20" customWidth="1"/>
    <col min="20" max="20" width="65" customWidth="1"/>
  </cols>
  <sheetData>
    <row r="1" spans="1:20" ht="36" customHeight="1">
      <c r="A1" s="55" t="s">
        <v>488</v>
      </c>
      <c r="B1" s="55" t="s">
        <v>488</v>
      </c>
      <c r="C1" s="55" t="s">
        <v>488</v>
      </c>
      <c r="D1" s="55" t="s">
        <v>488</v>
      </c>
      <c r="E1" s="55" t="s">
        <v>488</v>
      </c>
      <c r="F1" s="55" t="s">
        <v>488</v>
      </c>
      <c r="G1" s="55" t="s">
        <v>488</v>
      </c>
      <c r="H1" s="55" t="s">
        <v>488</v>
      </c>
      <c r="I1" s="55" t="s">
        <v>488</v>
      </c>
      <c r="J1" s="55" t="s">
        <v>488</v>
      </c>
      <c r="K1" s="55" t="s">
        <v>488</v>
      </c>
      <c r="L1" s="55" t="s">
        <v>488</v>
      </c>
      <c r="M1" s="55" t="s">
        <v>488</v>
      </c>
      <c r="N1" s="55" t="s">
        <v>488</v>
      </c>
      <c r="O1" s="55" t="s">
        <v>488</v>
      </c>
      <c r="P1" s="55" t="s">
        <v>488</v>
      </c>
      <c r="Q1" s="55" t="s">
        <v>488</v>
      </c>
      <c r="R1" s="55" t="s">
        <v>488</v>
      </c>
      <c r="S1" s="55" t="s">
        <v>488</v>
      </c>
      <c r="T1" s="55" t="s">
        <v>488</v>
      </c>
    </row>
    <row r="2" spans="1:2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30" customHeight="1">
      <c r="A3" s="20" t="s">
        <v>489</v>
      </c>
      <c r="B3" s="20" t="s">
        <v>191</v>
      </c>
      <c r="C3" s="20" t="s">
        <v>54</v>
      </c>
      <c r="D3" s="20" t="s">
        <v>216</v>
      </c>
      <c r="E3" s="12"/>
      <c r="F3" s="20" t="s">
        <v>490</v>
      </c>
      <c r="G3" s="12"/>
      <c r="H3" s="20" t="s">
        <v>491</v>
      </c>
      <c r="I3" s="12"/>
      <c r="J3" s="20" t="s">
        <v>492</v>
      </c>
      <c r="K3" s="12"/>
      <c r="L3" s="20" t="s">
        <v>493</v>
      </c>
      <c r="M3" s="20" t="s">
        <v>494</v>
      </c>
      <c r="N3" s="12"/>
      <c r="O3" s="20" t="s">
        <v>495</v>
      </c>
      <c r="P3" s="20" t="s">
        <v>496</v>
      </c>
      <c r="Q3" s="12"/>
      <c r="R3" s="23" t="s">
        <v>497</v>
      </c>
      <c r="S3" s="23" t="s">
        <v>498</v>
      </c>
      <c r="T3" s="23" t="s">
        <v>499</v>
      </c>
    </row>
    <row r="4" spans="1:20" ht="16.5">
      <c r="A4" s="9" t="s">
        <v>132</v>
      </c>
      <c r="B4" s="9" t="s">
        <v>218</v>
      </c>
      <c r="C4" s="9" t="s">
        <v>132</v>
      </c>
      <c r="D4" s="9" t="s">
        <v>223</v>
      </c>
      <c r="E4" s="12"/>
      <c r="F4" s="9" t="s">
        <v>500</v>
      </c>
      <c r="G4" s="12"/>
      <c r="H4" s="9">
        <v>1</v>
      </c>
      <c r="I4" s="12"/>
      <c r="J4" s="9">
        <v>1</v>
      </c>
      <c r="K4" s="12"/>
      <c r="L4" s="9" t="s">
        <v>418</v>
      </c>
      <c r="M4" s="9">
        <v>2</v>
      </c>
      <c r="N4" s="12"/>
      <c r="O4" s="9" t="s">
        <v>501</v>
      </c>
      <c r="P4" s="9" t="s">
        <v>467</v>
      </c>
      <c r="Q4" s="12"/>
      <c r="R4" s="9" t="s">
        <v>431</v>
      </c>
      <c r="S4" s="9" t="s">
        <v>202</v>
      </c>
      <c r="T4" s="9" t="s">
        <v>502</v>
      </c>
    </row>
    <row r="5" spans="1:20" ht="16.5">
      <c r="A5" s="9" t="s">
        <v>133</v>
      </c>
      <c r="B5" s="9" t="s">
        <v>225</v>
      </c>
      <c r="C5" s="9" t="s">
        <v>133</v>
      </c>
      <c r="D5" s="9" t="s">
        <v>226</v>
      </c>
      <c r="E5" s="12"/>
      <c r="F5" s="9" t="s">
        <v>503</v>
      </c>
      <c r="G5" s="12"/>
      <c r="H5" s="9">
        <v>2</v>
      </c>
      <c r="I5" s="12"/>
      <c r="J5" s="9">
        <v>2</v>
      </c>
      <c r="K5" s="12"/>
      <c r="L5" s="9" t="s">
        <v>419</v>
      </c>
      <c r="M5" s="9" t="s">
        <v>420</v>
      </c>
      <c r="N5" s="12"/>
      <c r="O5" s="9" t="s">
        <v>504</v>
      </c>
      <c r="P5" s="9" t="s">
        <v>468</v>
      </c>
      <c r="Q5" s="12"/>
      <c r="R5" s="9" t="s">
        <v>432</v>
      </c>
      <c r="S5" s="9" t="s">
        <v>203</v>
      </c>
      <c r="T5" s="9" t="s">
        <v>505</v>
      </c>
    </row>
    <row r="6" spans="1:20" ht="16.5">
      <c r="A6" s="9" t="s">
        <v>139</v>
      </c>
      <c r="B6" s="9" t="s">
        <v>228</v>
      </c>
      <c r="C6" s="9" t="s">
        <v>139</v>
      </c>
      <c r="D6" s="9" t="s">
        <v>229</v>
      </c>
      <c r="E6" s="12"/>
      <c r="F6" s="12"/>
      <c r="G6" s="12"/>
      <c r="H6" s="9">
        <v>3</v>
      </c>
      <c r="I6" s="12"/>
      <c r="J6" s="12"/>
      <c r="K6" s="12"/>
      <c r="L6" s="9" t="s">
        <v>447</v>
      </c>
      <c r="M6" s="9" t="s">
        <v>448</v>
      </c>
      <c r="N6" s="12"/>
      <c r="O6" s="9" t="s">
        <v>506</v>
      </c>
      <c r="P6" s="9" t="s">
        <v>473</v>
      </c>
      <c r="Q6" s="12"/>
      <c r="R6" s="9" t="s">
        <v>433</v>
      </c>
      <c r="S6" s="9" t="s">
        <v>204</v>
      </c>
      <c r="T6" s="9" t="s">
        <v>507</v>
      </c>
    </row>
    <row r="7" spans="1:20" ht="16.5">
      <c r="A7" s="9" t="s">
        <v>142</v>
      </c>
      <c r="B7" s="9" t="s">
        <v>231</v>
      </c>
      <c r="C7" s="9" t="s">
        <v>142</v>
      </c>
      <c r="D7" s="9" t="s">
        <v>232</v>
      </c>
      <c r="E7" s="12"/>
      <c r="F7" s="12"/>
      <c r="G7" s="12"/>
      <c r="H7" s="9">
        <v>4</v>
      </c>
      <c r="I7" s="12"/>
      <c r="J7" s="12"/>
      <c r="K7" s="12"/>
      <c r="L7" s="9" t="s">
        <v>421</v>
      </c>
      <c r="M7" s="9" t="s">
        <v>107</v>
      </c>
      <c r="N7" s="12"/>
      <c r="O7" s="9" t="s">
        <v>508</v>
      </c>
      <c r="P7" s="9" t="s">
        <v>474</v>
      </c>
      <c r="Q7" s="12"/>
      <c r="R7" s="9" t="s">
        <v>434</v>
      </c>
      <c r="S7" s="9" t="s">
        <v>205</v>
      </c>
      <c r="T7" s="9" t="s">
        <v>509</v>
      </c>
    </row>
    <row r="8" spans="1:20" ht="16.5">
      <c r="A8" s="9" t="s">
        <v>154</v>
      </c>
      <c r="B8" s="9" t="s">
        <v>234</v>
      </c>
      <c r="C8" s="9" t="s">
        <v>154</v>
      </c>
      <c r="D8" s="9" t="s">
        <v>235</v>
      </c>
      <c r="E8" s="12"/>
      <c r="F8" s="12"/>
      <c r="G8" s="12"/>
      <c r="H8" s="12"/>
      <c r="I8" s="12"/>
      <c r="J8" s="12"/>
      <c r="K8" s="12"/>
      <c r="L8" s="9" t="s">
        <v>510</v>
      </c>
      <c r="M8" s="9">
        <v>16</v>
      </c>
      <c r="N8" s="12"/>
      <c r="O8" s="9" t="s">
        <v>511</v>
      </c>
      <c r="P8" s="9" t="s">
        <v>479</v>
      </c>
      <c r="Q8" s="12"/>
      <c r="R8" s="9" t="s">
        <v>435</v>
      </c>
      <c r="S8" s="9" t="s">
        <v>206</v>
      </c>
      <c r="T8" s="9" t="s">
        <v>512</v>
      </c>
    </row>
    <row r="9" spans="1:20" ht="16.5">
      <c r="A9" s="9" t="s">
        <v>159</v>
      </c>
      <c r="B9" s="9" t="s">
        <v>237</v>
      </c>
      <c r="C9" s="9" t="s">
        <v>159</v>
      </c>
      <c r="D9" s="9" t="s">
        <v>238</v>
      </c>
      <c r="E9" s="12"/>
      <c r="F9" s="12"/>
      <c r="G9" s="12"/>
      <c r="H9" s="12"/>
      <c r="I9" s="12"/>
      <c r="J9" s="12"/>
      <c r="K9" s="12"/>
      <c r="L9" s="9" t="s">
        <v>513</v>
      </c>
      <c r="M9" s="9" t="s">
        <v>514</v>
      </c>
      <c r="N9" s="12"/>
      <c r="O9" s="9" t="s">
        <v>515</v>
      </c>
      <c r="P9" s="9" t="s">
        <v>480</v>
      </c>
      <c r="Q9" s="12"/>
      <c r="R9" s="9" t="s">
        <v>436</v>
      </c>
      <c r="S9" s="9" t="s">
        <v>207</v>
      </c>
      <c r="T9" s="9" t="s">
        <v>516</v>
      </c>
    </row>
    <row r="10" spans="1:20" ht="16.5">
      <c r="A10" s="9" t="s">
        <v>143</v>
      </c>
      <c r="B10" s="9" t="s">
        <v>240</v>
      </c>
      <c r="C10" s="9" t="s">
        <v>143</v>
      </c>
      <c r="D10" s="9" t="s">
        <v>241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9" t="s">
        <v>437</v>
      </c>
      <c r="S10" s="9" t="s">
        <v>208</v>
      </c>
      <c r="T10" s="9" t="s">
        <v>517</v>
      </c>
    </row>
    <row r="11" spans="1:20" ht="16.5">
      <c r="A11" s="9" t="s">
        <v>148</v>
      </c>
      <c r="B11" s="9" t="s">
        <v>243</v>
      </c>
      <c r="C11" s="9" t="s">
        <v>148</v>
      </c>
      <c r="D11" s="9" t="s">
        <v>244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9" t="s">
        <v>438</v>
      </c>
      <c r="S11" s="9" t="s">
        <v>209</v>
      </c>
      <c r="T11" s="9" t="s">
        <v>518</v>
      </c>
    </row>
    <row r="12" spans="1:20" ht="16.5">
      <c r="A12" s="9" t="s">
        <v>246</v>
      </c>
      <c r="B12" s="9" t="s">
        <v>247</v>
      </c>
      <c r="C12" s="9" t="s">
        <v>246</v>
      </c>
      <c r="D12" s="9" t="s">
        <v>250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9" t="s">
        <v>439</v>
      </c>
      <c r="S12" s="9" t="s">
        <v>210</v>
      </c>
      <c r="T12" s="9" t="s">
        <v>519</v>
      </c>
    </row>
    <row r="13" spans="1:20" ht="16.5">
      <c r="A13" s="9" t="s">
        <v>252</v>
      </c>
      <c r="B13" s="9" t="s">
        <v>253</v>
      </c>
      <c r="C13" s="9" t="s">
        <v>252</v>
      </c>
      <c r="D13" s="9" t="s">
        <v>254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9" t="s">
        <v>440</v>
      </c>
      <c r="S13" s="9" t="s">
        <v>211</v>
      </c>
      <c r="T13" s="9" t="s">
        <v>520</v>
      </c>
    </row>
    <row r="14" spans="1:20" ht="16.5">
      <c r="A14" s="9" t="s">
        <v>256</v>
      </c>
      <c r="B14" s="9" t="s">
        <v>257</v>
      </c>
      <c r="C14" s="9" t="s">
        <v>256</v>
      </c>
      <c r="D14" s="9" t="s">
        <v>258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9" t="s">
        <v>441</v>
      </c>
      <c r="S14" s="9" t="s">
        <v>212</v>
      </c>
      <c r="T14" s="9" t="s">
        <v>521</v>
      </c>
    </row>
    <row r="15" spans="1:20" ht="16.5">
      <c r="A15" s="9" t="s">
        <v>260</v>
      </c>
      <c r="B15" s="9" t="s">
        <v>261</v>
      </c>
      <c r="C15" s="9" t="s">
        <v>260</v>
      </c>
      <c r="D15" s="9" t="s">
        <v>262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" t="s">
        <v>442</v>
      </c>
      <c r="S15" s="9" t="s">
        <v>213</v>
      </c>
      <c r="T15" s="9" t="s">
        <v>522</v>
      </c>
    </row>
    <row r="16" spans="1:20" ht="16.5">
      <c r="A16" s="9" t="s">
        <v>264</v>
      </c>
      <c r="B16" s="9" t="s">
        <v>265</v>
      </c>
      <c r="C16" s="9" t="s">
        <v>264</v>
      </c>
      <c r="D16" s="9" t="s">
        <v>266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16.5">
      <c r="A17" s="9" t="s">
        <v>268</v>
      </c>
      <c r="B17" s="9" t="s">
        <v>269</v>
      </c>
      <c r="C17" s="9" t="s">
        <v>268</v>
      </c>
      <c r="D17" s="9" t="s">
        <v>270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ht="16.5">
      <c r="A18" s="9" t="s">
        <v>272</v>
      </c>
      <c r="B18" s="9" t="s">
        <v>273</v>
      </c>
      <c r="C18" s="9" t="s">
        <v>272</v>
      </c>
      <c r="D18" s="9" t="s">
        <v>274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ht="16.5">
      <c r="A19" s="9" t="s">
        <v>276</v>
      </c>
      <c r="B19" s="9" t="s">
        <v>277</v>
      </c>
      <c r="C19" s="9" t="s">
        <v>276</v>
      </c>
      <c r="D19" s="9" t="s">
        <v>278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ht="16.5">
      <c r="A20" s="9" t="s">
        <v>280</v>
      </c>
      <c r="B20" s="9" t="s">
        <v>281</v>
      </c>
      <c r="C20" s="9" t="s">
        <v>280</v>
      </c>
      <c r="D20" s="9" t="s">
        <v>283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ht="16.5">
      <c r="A21" s="9" t="s">
        <v>285</v>
      </c>
      <c r="B21" s="9" t="s">
        <v>286</v>
      </c>
      <c r="C21" s="9" t="s">
        <v>285</v>
      </c>
      <c r="D21" s="9" t="s">
        <v>287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ht="16.5">
      <c r="A22" s="9" t="s">
        <v>289</v>
      </c>
      <c r="B22" s="9" t="s">
        <v>290</v>
      </c>
      <c r="C22" s="9" t="s">
        <v>289</v>
      </c>
      <c r="D22" s="9" t="s">
        <v>291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ht="16.5">
      <c r="A23" s="9" t="s">
        <v>293</v>
      </c>
      <c r="B23" s="9" t="s">
        <v>294</v>
      </c>
      <c r="C23" s="9" t="s">
        <v>293</v>
      </c>
      <c r="D23" s="9" t="s">
        <v>295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16.5">
      <c r="A24" s="9" t="s">
        <v>297</v>
      </c>
      <c r="B24" s="9" t="s">
        <v>298</v>
      </c>
      <c r="C24" s="9" t="s">
        <v>297</v>
      </c>
      <c r="D24" s="9" t="s">
        <v>299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6.5">
      <c r="A25" s="9" t="s">
        <v>301</v>
      </c>
      <c r="B25" s="9" t="s">
        <v>302</v>
      </c>
      <c r="C25" s="9" t="s">
        <v>301</v>
      </c>
      <c r="D25" s="9" t="s">
        <v>304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16.5">
      <c r="A26" s="9" t="s">
        <v>306</v>
      </c>
      <c r="B26" s="9" t="s">
        <v>307</v>
      </c>
      <c r="C26" s="9" t="s">
        <v>306</v>
      </c>
      <c r="D26" s="9" t="s">
        <v>308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ht="16.5">
      <c r="A27" s="9" t="s">
        <v>310</v>
      </c>
      <c r="B27" s="9" t="s">
        <v>311</v>
      </c>
      <c r="C27" s="9" t="s">
        <v>310</v>
      </c>
      <c r="D27" s="9" t="s">
        <v>312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ht="16.5">
      <c r="A28" s="9" t="s">
        <v>314</v>
      </c>
      <c r="B28" s="9" t="s">
        <v>315</v>
      </c>
      <c r="C28" s="9" t="s">
        <v>314</v>
      </c>
      <c r="D28" s="9" t="s">
        <v>316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ht="16.5">
      <c r="A29" s="9" t="s">
        <v>318</v>
      </c>
      <c r="B29" s="9" t="s">
        <v>319</v>
      </c>
      <c r="C29" s="9" t="s">
        <v>318</v>
      </c>
      <c r="D29" s="9" t="s">
        <v>320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ht="16.5">
      <c r="A30" s="9" t="s">
        <v>160</v>
      </c>
      <c r="B30" s="9" t="s">
        <v>322</v>
      </c>
      <c r="C30" s="9" t="s">
        <v>160</v>
      </c>
      <c r="D30" s="9" t="s">
        <v>325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6.5">
      <c r="A31" s="9" t="s">
        <v>327</v>
      </c>
      <c r="B31" s="9" t="s">
        <v>328</v>
      </c>
      <c r="C31" s="9" t="s">
        <v>327</v>
      </c>
      <c r="D31" s="9" t="s">
        <v>330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6.5">
      <c r="A32" s="9" t="s">
        <v>332</v>
      </c>
      <c r="B32" s="9" t="s">
        <v>333</v>
      </c>
      <c r="C32" s="9" t="s">
        <v>332</v>
      </c>
      <c r="D32" s="9" t="s">
        <v>334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6.5">
      <c r="A33" s="9" t="s">
        <v>336</v>
      </c>
      <c r="B33" s="9" t="s">
        <v>337</v>
      </c>
      <c r="C33" s="9" t="s">
        <v>336</v>
      </c>
      <c r="D33" s="9" t="s">
        <v>338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ht="16.5">
      <c r="A34" s="9" t="s">
        <v>164</v>
      </c>
      <c r="B34" s="9" t="s">
        <v>340</v>
      </c>
      <c r="C34" s="9" t="s">
        <v>164</v>
      </c>
      <c r="D34" s="9" t="s">
        <v>341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16.5">
      <c r="A35" s="9" t="s">
        <v>171</v>
      </c>
      <c r="B35" s="9" t="s">
        <v>343</v>
      </c>
      <c r="C35" s="9" t="s">
        <v>171</v>
      </c>
      <c r="D35" s="9" t="s">
        <v>344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16.5">
      <c r="A36" s="9" t="s">
        <v>167</v>
      </c>
      <c r="B36" s="9" t="s">
        <v>346</v>
      </c>
      <c r="C36" s="9" t="s">
        <v>167</v>
      </c>
      <c r="D36" s="9" t="s">
        <v>347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16.5">
      <c r="A37" s="9" t="s">
        <v>349</v>
      </c>
      <c r="B37" s="9" t="s">
        <v>350</v>
      </c>
      <c r="C37" s="9" t="s">
        <v>349</v>
      </c>
      <c r="D37" s="9" t="s">
        <v>351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16.5">
      <c r="A38" s="9" t="s">
        <v>353</v>
      </c>
      <c r="B38" s="9" t="s">
        <v>354</v>
      </c>
      <c r="C38" s="9" t="s">
        <v>353</v>
      </c>
      <c r="D38" s="9" t="s">
        <v>356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16.5">
      <c r="A39" s="9" t="s">
        <v>358</v>
      </c>
      <c r="B39" s="9" t="s">
        <v>359</v>
      </c>
      <c r="C39" s="9" t="s">
        <v>358</v>
      </c>
      <c r="D39" s="9" t="s">
        <v>360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16.5">
      <c r="A40" s="9" t="s">
        <v>362</v>
      </c>
      <c r="B40" s="9" t="s">
        <v>363</v>
      </c>
      <c r="C40" s="9" t="s">
        <v>362</v>
      </c>
      <c r="D40" s="9" t="s">
        <v>364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16.5">
      <c r="A41" s="9" t="s">
        <v>366</v>
      </c>
      <c r="B41" s="9" t="s">
        <v>367</v>
      </c>
      <c r="C41" s="9" t="s">
        <v>366</v>
      </c>
      <c r="D41" s="9" t="s">
        <v>368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16.5">
      <c r="A42" s="9" t="s">
        <v>370</v>
      </c>
      <c r="B42" s="9" t="s">
        <v>371</v>
      </c>
      <c r="C42" s="9" t="s">
        <v>370</v>
      </c>
      <c r="D42" s="9" t="s">
        <v>372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16.5">
      <c r="A43" s="9" t="s">
        <v>374</v>
      </c>
      <c r="B43" s="9" t="s">
        <v>375</v>
      </c>
      <c r="C43" s="9" t="s">
        <v>374</v>
      </c>
      <c r="D43" s="9" t="s">
        <v>376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16.5">
      <c r="A44" s="9" t="s">
        <v>378</v>
      </c>
      <c r="B44" s="9" t="s">
        <v>379</v>
      </c>
      <c r="C44" s="9" t="s">
        <v>378</v>
      </c>
      <c r="D44" s="9" t="s">
        <v>380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16.5">
      <c r="A45" s="9" t="s">
        <v>382</v>
      </c>
      <c r="B45" s="9" t="s">
        <v>383</v>
      </c>
      <c r="C45" s="9" t="s">
        <v>382</v>
      </c>
      <c r="D45" s="9" t="s">
        <v>384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16.5">
      <c r="A46" s="9" t="s">
        <v>386</v>
      </c>
      <c r="B46" s="9" t="s">
        <v>387</v>
      </c>
      <c r="C46" s="9" t="s">
        <v>386</v>
      </c>
      <c r="D46" s="9" t="s">
        <v>390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16.5">
      <c r="A47" s="9" t="s">
        <v>392</v>
      </c>
      <c r="B47" s="9" t="s">
        <v>393</v>
      </c>
      <c r="C47" s="9" t="s">
        <v>392</v>
      </c>
      <c r="D47" s="9" t="s">
        <v>394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16.5">
      <c r="A48" s="9" t="s">
        <v>396</v>
      </c>
      <c r="B48" s="9" t="s">
        <v>397</v>
      </c>
      <c r="C48" s="9" t="s">
        <v>396</v>
      </c>
      <c r="D48" s="9" t="s">
        <v>398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16.5">
      <c r="A49" s="9" t="s">
        <v>400</v>
      </c>
      <c r="B49" s="9" t="s">
        <v>401</v>
      </c>
      <c r="C49" s="9" t="s">
        <v>400</v>
      </c>
      <c r="D49" s="9" t="s">
        <v>402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 ht="16.5">
      <c r="A50" s="9" t="s">
        <v>404</v>
      </c>
      <c r="B50" s="9" t="s">
        <v>405</v>
      </c>
      <c r="C50" s="9" t="s">
        <v>404</v>
      </c>
      <c r="D50" s="9" t="s">
        <v>406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 ht="16.5">
      <c r="A51" s="9" t="s">
        <v>168</v>
      </c>
      <c r="B51" s="9" t="s">
        <v>408</v>
      </c>
      <c r="C51" s="9" t="s">
        <v>168</v>
      </c>
      <c r="D51" s="9" t="s">
        <v>411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 ht="16.5">
      <c r="A52" s="9" t="s">
        <v>413</v>
      </c>
      <c r="B52" s="9" t="s">
        <v>414</v>
      </c>
      <c r="C52" s="9" t="s">
        <v>413</v>
      </c>
      <c r="D52" s="9" t="s">
        <v>415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</sheetData>
  <mergeCells count="1">
    <mergeCell ref="A1:T1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使用说明</vt:lpstr>
      <vt:lpstr>总览</vt:lpstr>
      <vt:lpstr>全局设置</vt:lpstr>
      <vt:lpstr>第1日</vt:lpstr>
      <vt:lpstr>第2日</vt:lpstr>
      <vt:lpstr>第3日</vt:lpstr>
      <vt:lpstr>第4日</vt:lpstr>
      <vt:lpstr>敌人目录</vt:lpstr>
      <vt:lpstr>敌人导入数据（勿改）</vt:lpstr>
      <vt:lpstr>导入数据（勿改）</vt:lpstr>
      <vt:lpstr>系统数据（勿改）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恒 万</cp:lastModifiedBy>
  <dcterms:modified xsi:type="dcterms:W3CDTF">2026-07-30T02:53:40Z</dcterms:modified>
</cp:coreProperties>
</file>