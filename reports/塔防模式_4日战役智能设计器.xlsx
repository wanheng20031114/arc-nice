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6d210b99d449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faefe96e09fb4177"/>
    <x:sheet xmlns:r="http://schemas.openxmlformats.org/officeDocument/2006/relationships" name="总览" sheetId="2" r:id="R46e16b08967b47cf"/>
    <x:sheet xmlns:r="http://schemas.openxmlformats.org/officeDocument/2006/relationships" name="全局设置" sheetId="3" r:id="R6987d8e9759a425c"/>
    <x:sheet xmlns:r="http://schemas.openxmlformats.org/officeDocument/2006/relationships" name="第1日" sheetId="4" r:id="R86a8f88a7d41417c"/>
    <x:sheet xmlns:r="http://schemas.openxmlformats.org/officeDocument/2006/relationships" name="第2日" sheetId="5" r:id="Ra9e4031d0b14460e"/>
    <x:sheet xmlns:r="http://schemas.openxmlformats.org/officeDocument/2006/relationships" name="第3日" sheetId="6" r:id="Rdbe2406c4d784ca6"/>
    <x:sheet xmlns:r="http://schemas.openxmlformats.org/officeDocument/2006/relationships" name="第4日" sheetId="7" r:id="Rad8b1fa149a546d1"/>
    <x:sheet xmlns:r="http://schemas.openxmlformats.org/officeDocument/2006/relationships" name="敌人目录" sheetId="8" r:id="R380f7f6904754c80"/>
    <x:sheet xmlns:r="http://schemas.openxmlformats.org/officeDocument/2006/relationships" name="敌人导入数据（勿改）" sheetId="9" r:id="Rb0f77ed3f2e047cd"/>
    <x:sheet xmlns:r="http://schemas.openxmlformats.org/officeDocument/2006/relationships" name="导入数据（勿改）" sheetId="10" r:id="R7477a210d02f4b77"/>
    <x:sheet xmlns:r="http://schemas.openxmlformats.org/officeDocument/2006/relationships" name="系统数据（勿改）" sheetId="11" r:id="R5359ed83c6ce4d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%"/>
    <x:numFmt numFmtId="202" formatCode="#,##0"/>
  </x:numFmts>
  <x:fonts count="11">
    <x:font>
      <x:sz val="11"/>
      <x:name val="Carlito"/>
    </x:font>
    <x:font>
      <x:b/>
      <x:sz val="11"/>
      <x:color rgb="FFFFFFFF"/>
      <x:name val="Microsoft YaHei"/>
    </x:font>
    <x:font>
      <x:b/>
      <x:sz val="11"/>
      <x:color rgb="FF8A5A00"/>
      <x:name val="Microsoft YaHei"/>
    </x:font>
    <x:font>
      <x:b/>
      <x:sz val="11"/>
      <x:color rgb="FF1C7F7B"/>
      <x:name val="Microsoft YaHei"/>
    </x:font>
    <x:font>
      <x:sz val="11"/>
      <x:color rgb="FF172B35"/>
      <x:name val="Microsoft YaHei"/>
    </x:font>
    <x:font>
      <x:b/>
      <x:sz val="11"/>
      <x:color rgb="FF172B35"/>
      <x:name val="Microsoft YaHei"/>
    </x:font>
    <x:font>
      <x:b/>
      <x:sz val="11"/>
      <x:color rgb="FF3C315F"/>
      <x:name val="Microsoft YaHei"/>
    </x:font>
    <x:font>
      <x:b/>
      <x:sz val="11"/>
      <x:color rgb="FFB3261E"/>
      <x:name val="Microsoft YaHei"/>
    </x:font>
    <x:font>
      <x:sz val="11"/>
      <x:color rgb="FF1C7F7B"/>
      <x:name val="Microsoft YaHei"/>
    </x:font>
    <x:font>
      <x:sz val="11"/>
      <x:color rgb="FF8A5A00"/>
      <x:name val="Microsoft YaHei"/>
    </x:font>
    <x:font>
      <x:sz val="11"/>
      <x:color rgb="FF3C315F"/>
      <x:name val="Microsoft YaHei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35"/>
      </x:patternFill>
    </x:fill>
    <x:fill>
      <x:patternFill patternType="solid">
        <x:fgColor rgb="FFFFF2CC"/>
      </x:patternFill>
    </x:fill>
    <x:fill>
      <x:patternFill patternType="solid">
        <x:fgColor rgb="FF1C7F7B"/>
      </x:patternFill>
    </x:fill>
    <x:fill>
      <x:patternFill patternType="solid">
        <x:fgColor rgb="FFD9F0EE"/>
      </x:patternFill>
    </x:fill>
    <x:fill>
      <x:patternFill patternType="solid">
        <x:fgColor rgb="FFFFFFFF"/>
      </x:patternFill>
    </x:fill>
    <x:fill>
      <x:patternFill patternType="solid">
        <x:fgColor rgb="FFD9EEF8"/>
      </x:patternFill>
    </x:fill>
    <x:fill>
      <x:patternFill patternType="solid">
        <x:fgColor rgb="FF3C315F"/>
      </x:patternFill>
    </x:fill>
    <x:fill>
      <x:patternFill patternType="solid">
        <x:fgColor rgb="FFEDE7F6"/>
      </x:patternFill>
    </x:fill>
    <x:fill>
      <x:patternFill patternType="solid">
        <x:fgColor rgb="FFFCE4E4"/>
      </x:patternFill>
    </x:fill>
    <x:fill>
      <x:patternFill patternType="solid">
        <x:fgColor rgb="FFEEF2F6"/>
      </x:patternFill>
    </x:fill>
    <x:fill>
      <x:patternFill patternType="solid">
        <x:fgColor rgb="FFD18B12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C8D4DC"/>
      </x:left>
      <x:right style="thin">
        <x:color rgb="FFC8D4DC"/>
      </x:right>
      <x:top style="thin">
        <x:color rgb="FFC8D4DC"/>
      </x:top>
      <x:bottom style="thin">
        <x:color rgb="FFC8D4DC"/>
      </x:bottom>
    </x:border>
  </x:borders>
  <x:cellStyleXfs count="1">
    <x:xf numFmtId="0" fontId="0" fillId="0" borderId="0"/>
  </x:cellStyleXfs>
  <x:cellXfs count="1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left"/>
    </x:xf>
    <x:xf numFmtId="0" fontId="5" fillId="7" borderId="1" xfId="0" applyNumberFormat="1" applyFont="1" applyFill="1" applyBorder="1" applyAlignment="1">
      <x:alignment horizontal="left" vertical="center"/>
    </x:xf>
    <x:xf numFmtId="0" fontId="4" fillId="6" borderId="1" xfId="0" applyNumberFormat="1" applyFont="1" applyFill="1" applyBorder="1" applyAlignment="1">
      <x:alignment horizontal="left"/>
    </x:xf>
    <x:xf numFmtId="0" fontId="4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6" fillId="9" borderId="1" xfId="0" applyNumberFormat="1" applyFont="1" applyFill="1" applyBorder="1" applyAlignment="1">
      <x:alignment horizontal="left"/>
    </x:xf>
    <x:xf numFmtId="0" fontId="6" fillId="9" borderId="1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wrapText="1"/>
    </x:xf>
    <x:xf numFmtId="0" fontId="7" fillId="10" borderId="1" xfId="0" applyNumberFormat="1" applyFont="1" applyFill="1" applyBorder="1" applyAlignment="1">
      <x:alignment horizontal="left" wrapText="1"/>
    </x:xf>
    <x:xf numFmtId="0" fontId="7" fillId="10" borderId="1" xfId="0" applyNumberFormat="1" applyFont="1" applyFill="1" applyBorder="1" applyAlignment="1">
      <x:alignment horizontal="left" vertical="center" wrapText="1"/>
    </x:xf>
    <x:xf numFmtId="0" fontId="8" fillId="5" borderId="0" xfId="0" applyNumberFormat="1" applyFont="1" applyFill="1" applyBorder="1"/>
    <x:xf numFmtId="0" fontId="8" fillId="5" borderId="1" xfId="0" applyNumberFormat="1" applyFont="1" applyFill="1" applyBorder="1"/>
    <x:xf numFmtId="0" fontId="8" fillId="5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horizontal="left" wrapText="1"/>
    </x:xf>
    <x:xf numFmtId="0" fontId="8" fillId="5" borderId="1" xfId="0" applyNumberFormat="1" applyFont="1" applyFill="1" applyBorder="1" applyAlignment="1">
      <x:alignment horizontal="left" vertical="center" wrapText="1"/>
    </x:xf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horizontal="right"/>
    </x:xf>
    <x:xf numFmtId="0" fontId="4" fillId="7" borderId="1" xfId="0" applyNumberFormat="1" applyFont="1" applyFill="1" applyBorder="1" applyAlignment="1">
      <x:alignment horizontal="right" vertical="center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1" xfId="0" applyNumberFormat="1" applyFont="1" applyFill="1" applyBorder="1"/>
    <x:xf numFmtId="0" fontId="4" fillId="11" borderId="1" xfId="0" applyNumberFormat="1" applyFont="1" applyFill="1" applyBorder="1" applyAlignment="1">
      <x:alignment horizontal="right"/>
    </x:xf>
    <x:xf numFmtId="0" fontId="4" fillId="11" borderId="1" xfId="0" applyNumberFormat="1" applyFont="1" applyFill="1" applyBorder="1" applyAlignment="1">
      <x:alignment horizontal="right" vertical="center"/>
    </x:xf>
    <x:xf numFmtId="200" fontId="4" fillId="7" borderId="1" xfId="0" applyNumberFormat="1" applyFont="1" applyFill="1" applyBorder="1" applyAlignment="1">
      <x:alignment horizontal="right" vertical="center"/>
    </x:xf>
    <x:xf numFmtId="0" fontId="4" fillId="9" borderId="0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4" fillId="9" borderId="1" xfId="0" applyNumberFormat="1" applyFont="1" applyFill="1" applyBorder="1" applyAlignment="1">
      <x:alignment horizontal="center"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left"/>
    </x:xf>
    <x:xf numFmtId="0" fontId="4" fillId="11" borderId="1" xfId="0" applyNumberFormat="1" applyFont="1" applyFill="1" applyBorder="1" applyAlignment="1">
      <x:alignment horizontal="left" vertical="center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horizontal="left" wrapText="1"/>
    </x:xf>
    <x:xf numFmtId="0" fontId="9" fillId="3" borderId="1" xfId="0" applyNumberFormat="1" applyFont="1" applyFill="1" applyBorder="1" applyAlignment="1">
      <x:alignment horizontal="left" vertical="center" wrapText="1"/>
    </x:xf>
    <x:xf numFmtId="0" fontId="4" fillId="7" borderId="1" xfId="0" applyNumberFormat="1" applyFont="1" applyFill="1" applyBorder="1" applyAlignment="1">
      <x:alignment horizontal="left"/>
    </x:xf>
    <x:xf numFmtId="0" fontId="4" fillId="7" borderId="1" xfId="0" applyNumberFormat="1" applyFont="1" applyFill="1" applyBorder="1" applyAlignment="1">
      <x:alignment horizontal="left" vertical="center"/>
    </x:xf>
    <x:xf numFmtId="0" fontId="4" fillId="7" borderId="1" xfId="0" applyNumberFormat="1" applyFont="1" applyFill="1" applyBorder="1" applyAlignment="1">
      <x:alignment horizontal="center"/>
    </x:xf>
    <x:xf numFmtId="0" fontId="4" fillId="11" borderId="1" xfId="0" applyNumberFormat="1" applyFont="1" applyFill="1" applyBorder="1" applyAlignment="1">
      <x:alignment horizontal="center"/>
    </x:xf>
    <x:xf numFmtId="0" fontId="4" fillId="11" borderId="1" xfId="0" applyNumberFormat="1" applyFont="1" applyFill="1" applyBorder="1" applyAlignment="1">
      <x:alignment horizontal="center" vertical="center"/>
    </x:xf>
    <x:xf numFmtId="0" fontId="10" fillId="9" borderId="0" xfId="0" applyNumberFormat="1" applyFont="1" applyFill="1" applyBorder="1"/>
    <x:xf numFmtId="0" fontId="10" fillId="9" borderId="1" xfId="0" applyNumberFormat="1" applyFont="1" applyFill="1" applyBorder="1"/>
    <x:xf numFmtId="0" fontId="10" fillId="9" borderId="1" xfId="0" applyNumberFormat="1" applyFont="1" applyFill="1" applyBorder="1" applyAlignment="1">
      <x:alignment wrapText="1"/>
    </x:xf>
    <x:xf numFmtId="0" fontId="10" fillId="9" borderId="1" xfId="0" applyNumberFormat="1" applyFont="1" applyFill="1" applyBorder="1" applyAlignment="1">
      <x:alignment horizontal="left" wrapText="1"/>
    </x:xf>
    <x:xf numFmtId="0" fontId="10" fillId="9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right"/>
    </x:xf>
    <x:xf numFmtId="0" fontId="4" fillId="3" borderId="1" xfId="0" applyNumberFormat="1" applyFont="1" applyFill="1" applyBorder="1" applyAlignment="1">
      <x:alignment horizontal="right" vertical="center"/>
    </x:xf>
    <x:xf numFmtId="0" fontId="4" fillId="4" borderId="1" xfId="0" applyNumberFormat="1" applyFont="1" applyFill="1" applyBorder="1" applyAlignment="1">
      <x:alignment horizontal="right" vertical="center"/>
    </x:xf>
    <x:xf numFmtId="0" fontId="1" fillId="4" borderId="1" xfId="0" applyNumberFormat="1" applyFont="1" applyFill="1" applyBorder="1" applyAlignment="1">
      <x:alignment horizontal="right" vertical="center"/>
    </x:xf>
    <x:xf numFmtId="0" fontId="1" fillId="4" borderId="1" xfId="0" applyNumberFormat="1" applyFont="1" applyFill="1" applyBorder="1" applyAlignment="1">
      <x:alignment horizontal="right" vertical="center" wrapText="1"/>
    </x:xf>
    <x:xf numFmtId="0" fontId="4" fillId="12" borderId="1" xfId="0" applyNumberFormat="1" applyFont="1" applyFill="1" applyBorder="1" applyAlignment="1">
      <x:alignment horizontal="left" vertical="center"/>
    </x:xf>
    <x:xf numFmtId="0" fontId="1" fillId="12" borderId="1" xfId="0" applyNumberFormat="1" applyFont="1" applyFill="1" applyBorder="1" applyAlignment="1">
      <x:alignment horizontal="left" vertical="center"/>
    </x:xf>
    <x:xf numFmtId="0" fontId="1" fillId="12" borderId="1" xfId="0" applyNumberFormat="1" applyFont="1" applyFill="1" applyBorder="1" applyAlignment="1">
      <x:alignment horizontal="left" vertical="center" wrapText="1"/>
    </x:xf>
    <x:xf numFmtId="0" fontId="1" fillId="12" borderId="1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right" vertical="center"/>
    </x:xf>
    <x:xf numFmtId="0" fontId="1" fillId="8" borderId="1" xfId="0" applyNumberFormat="1" applyFont="1" applyFill="1" applyBorder="1" applyAlignment="1">
      <x:alignment horizontal="right" vertical="center"/>
    </x:xf>
    <x:xf numFmtId="0" fontId="1" fillId="8" borderId="1" xfId="0" applyNumberFormat="1" applyFont="1" applyFill="1" applyBorder="1" applyAlignment="1">
      <x:alignment horizontal="right" vertical="center" wrapText="1"/>
    </x:xf>
    <x:xf numFmtId="0" fontId="4" fillId="2" borderId="1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10" fillId="9" borderId="1" xfId="0" applyNumberFormat="1" applyFont="1" applyFill="1" applyBorder="1" applyAlignment="1">
      <x:alignment horizontal="center" wrapText="1"/>
    </x:xf>
    <x:xf numFmtId="0" fontId="10" fillId="9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horizontal="right"/>
    </x:xf>
    <x:xf numFmtId="0" fontId="4" fillId="13" borderId="1" xfId="0" applyNumberFormat="1" applyFont="1" applyFill="1" applyBorder="1" applyAlignment="1">
      <x:alignment horizontal="right" vertical="center"/>
    </x:xf>
    <x:xf numFmtId="0" fontId="4" fillId="9" borderId="1" xfId="0" applyNumberFormat="1" applyFont="1" applyFill="1" applyBorder="1" applyAlignment="1">
      <x:alignment horizontal="right"/>
    </x:xf>
    <x:xf numFmtId="0" fontId="4" fillId="9" borderId="1" xfId="0" applyNumberFormat="1" applyFont="1" applyFill="1" applyBorder="1" applyAlignment="1">
      <x:alignment horizontal="right" vertical="center"/>
    </x:xf>
    <x:xf numFmtId="201" fontId="4" fillId="13" borderId="1" xfId="0" applyNumberFormat="1" applyFont="1" applyFill="1" applyBorder="1" applyAlignment="1">
      <x:alignment horizontal="right" vertical="center"/>
    </x:xf>
    <x:xf numFmtId="201" fontId="4" fillId="9" borderId="1" xfId="0" applyNumberFormat="1" applyFont="1" applyFill="1" applyBorder="1" applyAlignment="1">
      <x:alignment horizontal="right" vertical="center"/>
    </x:xf>
    <x:xf numFmtId="0" fontId="5" fillId="11" borderId="0" xfId="0" applyNumberFormat="1" applyFont="1" applyFill="1" applyBorder="1"/>
    <x:xf numFmtId="0" fontId="5" fillId="11" borderId="1" xfId="0" applyNumberFormat="1" applyFont="1" applyFill="1" applyBorder="1"/>
    <x:xf numFmtId="0" fontId="5" fillId="11" borderId="1" xfId="0" applyNumberFormat="1" applyFont="1" applyFill="1" applyBorder="1" applyAlignment="1">
      <x:alignment horizontal="left"/>
    </x:xf>
    <x:xf numFmtId="0" fontId="5" fillId="11" borderId="1" xfId="0" applyNumberFormat="1" applyFont="1" applyFill="1" applyBorder="1" applyAlignment="1">
      <x:alignment horizontal="left" vertical="center"/>
    </x:xf>
    <x:xf numFmtId="0" fontId="4" fillId="11" borderId="1" xfId="0" applyNumberFormat="1" applyFont="1" applyFill="1" applyBorder="1" applyAlignment="1">
      <x:alignment horizontal="left" vertical="center" wrapText="1"/>
    </x:xf>
    <x:xf numFmtId="202" fontId="5" fillId="11" borderId="1" xfId="0" applyNumberFormat="1" applyFont="1" applyFill="1" applyBorder="1"/>
    <x:xf numFmtId="202" fontId="5" fillId="11" borderId="1" xfId="0" applyNumberFormat="1" applyFont="1" applyFill="1" applyBorder="1" applyAlignment="1">
      <x:alignment horizontal="center"/>
    </x:xf>
    <x:xf numFmtId="202" fontId="5" fillId="11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horizontal="left" vertical="center"/>
    </x:xf>
    <x:xf numFmtId="0" fontId="6" fillId="9" borderId="1" xfId="0" applyNumberFormat="1" applyFont="1" applyFill="1" applyBorder="1" applyAlignment="1">
      <x:alignment wrapText="1"/>
    </x:xf>
    <x:xf numFmtId="0" fontId="6" fillId="9" borderId="1" xfId="0" applyNumberFormat="1" applyFont="1" applyFill="1" applyBorder="1" applyAlignment="1">
      <x:alignment horizontal="center" wrapText="1"/>
    </x:xf>
    <x:xf numFmtId="0" fontId="6" fillId="9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left" vertical="center"/>
    </x:xf>
    <x:xf numFmtId="0" fontId="1" fillId="4" borderId="1" xfId="0" applyNumberFormat="1" applyFont="1" applyFill="1" applyBorder="1" applyAlignment="1">
      <x:alignment horizontal="left" vertical="center"/>
    </x:xf>
    <x:xf numFmtId="0" fontId="1" fillId="4" borderId="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2139504bd24ba9" /><Relationship Type="http://schemas.openxmlformats.org/officeDocument/2006/relationships/theme" Target="/xl/theme/theme1.xml" Id="Ree85bbc010c447e2" /><Relationship Type="http://schemas.openxmlformats.org/officeDocument/2006/relationships/sharedStrings" Target="/xl/sharedStrings.xml" Id="R19761d13e02147c3" /><Relationship Type="http://schemas.openxmlformats.org/officeDocument/2006/relationships/worksheet" Target="/xl/worksheets/sheet1.xml" Id="Rfaefe96e09fb4177" /><Relationship Type="http://schemas.openxmlformats.org/officeDocument/2006/relationships/worksheet" Target="/xl/worksheets/sheet2.xml" Id="R46e16b08967b47cf" /><Relationship Type="http://schemas.openxmlformats.org/officeDocument/2006/relationships/worksheet" Target="/xl/worksheets/sheet3.xml" Id="R6987d8e9759a425c" /><Relationship Type="http://schemas.openxmlformats.org/officeDocument/2006/relationships/worksheet" Target="/xl/worksheets/sheet4.xml" Id="R86a8f88a7d41417c" /><Relationship Type="http://schemas.openxmlformats.org/officeDocument/2006/relationships/worksheet" Target="/xl/worksheets/sheet5.xml" Id="Ra9e4031d0b14460e" /><Relationship Type="http://schemas.openxmlformats.org/officeDocument/2006/relationships/worksheet" Target="/xl/worksheets/sheet6.xml" Id="Rdbe2406c4d784ca6" /><Relationship Type="http://schemas.openxmlformats.org/officeDocument/2006/relationships/worksheet" Target="/xl/worksheets/sheet7.xml" Id="Rad8b1fa149a546d1" /><Relationship Type="http://schemas.openxmlformats.org/officeDocument/2006/relationships/worksheet" Target="/xl/worksheets/sheet8.xml" Id="R380f7f6904754c80" /><Relationship Type="http://schemas.openxmlformats.org/officeDocument/2006/relationships/worksheet" Target="/xl/worksheets/sheet9.xml" Id="Rb0f77ed3f2e047cd" /><Relationship Type="http://schemas.openxmlformats.org/officeDocument/2006/relationships/worksheet" Target="/xl/worksheets/sheet10.xml" Id="R7477a210d02f4b77" /><Relationship Type="http://schemas.openxmlformats.org/officeDocument/2006/relationships/worksheet" Target="/xl/worksheets/sheet11.xml" Id="R5359ed83c6ce4d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d32bb843674fb9" /><Relationship Type="http://schemas.openxmlformats.org/officeDocument/2006/relationships/chart" Target="/xl/drawings/charts/chart2.xml" Id="R7caa75240062458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波预计息壤趋势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预计息壤/玩家</c:v>
          </c:tx>
          <c:marker>
            <c:symbol val="none"/>
          </c:marker>
          <c:cat>
            <c:strRef>
              <c:f>'总览'!$A$34:$A$45</c:f>
              <c:strCache>
                <c:ptCount val="0"/>
              </c:strCache>
            </c:strRef>
          </c:cat>
          <c:val>
            <c:numRef>
              <c:f>'总览'!$B$34:$B$45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预计息壤/队伍</c:v>
          </c:tx>
          <c:marker>
            <c:symbol val="none"/>
          </c:marker>
          <c:cat>
            <c:strRef>
              <c:f>'总览'!$A$34:$A$45</c:f>
              <c:strCache>
                <c:ptCount val="0"/>
              </c:strCache>
            </c:strRef>
          </c:cat>
          <c:val>
            <c:numRef>
              <c:f>'总览'!$C$34:$C$45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波实际敌人数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实际敌人数</c:v>
          </c:tx>
          <c:cat>
            <c:strRef>
              <c:f>'总览'!$A$52:$A$63</c:f>
              <c:strCache>
                <c:ptCount val="0"/>
              </c:strCache>
            </c:strRef>
          </c:cat>
          <c:val>
            <c:numRef>
              <c:f>'总览'!$B$52:$B$63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32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d32bb843674fb9"/>
        </a:graphicData>
      </a:graphic>
    </xdr:graphicFrame>
    <xdr:clientData/>
  </xdr:twoCellAnchor>
  <xdr:twoCellAnchor>
    <xdr:from>
      <xdr:col>4</xdr:col>
      <xdr:colOff>0</xdr:colOff>
      <xdr:row>50</xdr:row>
      <xdr:rowOff>0</xdr:rowOff>
    </xdr:from>
    <xdr:to>
      <xdr:col>14</xdr:col>
      <xdr:colOff>0</xdr:colOff>
      <xdr:row>66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aa75240062458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ca7a977660242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8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3" t="str">
        <x:v>塔防模式｜4 日战役智能设计器</x:v>
      </x:c>
      <x:c r="B1" s="3"/>
      <x:c r="C1" s="3"/>
      <x:c r="D1" s="3"/>
      <x:c r="E1" s="3"/>
      <x:c r="F1" s="3"/>
      <x:c r="G1" s="3"/>
      <x:c r="H1" s="3"/>
    </x:row>
    <x:row r="2">
      <x:c r="A2" s="9" t="str">
        <x:v>正式战役为第 1～3 日共 12 波；第 4 日白昼只进行铃兰 Boss。第 1 日前三波已锁定保留。</x:v>
      </x:c>
      <x:c r="B2" s="9"/>
      <x:c r="C2" s="9"/>
      <x:c r="D2" s="9"/>
      <x:c r="E2" s="9"/>
      <x:c r="F2" s="9"/>
      <x:c r="G2" s="9"/>
      <x:c r="H2" s="9"/>
    </x:row>
    <x:row r="4">
      <x:c r="A4" s="12" t="str">
        <x:v>建议工作流</x:v>
      </x:c>
      <x:c r="B4" s="12"/>
      <x:c r="C4" s="12"/>
      <x:c r="D4" s="12"/>
      <x:c r="E4" s="12"/>
      <x:c r="F4" s="12"/>
      <x:c r="G4" s="12"/>
      <x:c r="H4" s="12"/>
    </x:row>
    <x:row r="5" ht="24" customHeight="1">
      <x:c r="A5" s="17" t="n">
        <x:v>1</x:v>
      </x:c>
      <x:c r="B5" s="23" t="str">
        <x:v>先在“敌人目录”维护全局固定战斗数值、息壤与掉落概率。</x:v>
      </x:c>
    </x:row>
    <x:row r="6" ht="24" customHeight="1">
      <x:c r="A6" s="17" t="n">
        <x:v>2</x:v>
      </x:c>
      <x:c r="B6" s="23" t="str">
        <x:v>在“全局设置”调整模拟玩家数、击杀率，以及第 1～3 日独立地下探索行动力。</x:v>
      </x:c>
    </x:row>
    <x:row r="7" ht="24" customHeight="1">
      <x:c r="A7" s="17" t="n">
        <x:v>3</x:v>
      </x:c>
      <x:c r="B7" s="23" t="str">
        <x:v>在“第1日”至“第3日”编辑每波敌人、数量、出生点与刷怪节奏；第 4 日 Boss 面板只读。</x:v>
      </x:c>
    </x:row>
    <x:row r="8" ht="24" customHeight="1">
      <x:c r="A8" s="17" t="n">
        <x:v>4</x:v>
      </x:c>
      <x:c r="B8" s="23" t="str">
        <x:v>到“总览”检查 12 波统计、日汇总、地下探索行动力和 Boss 接续。</x:v>
      </x:c>
    </x:row>
    <x:row r="9" ht="24" customHeight="1">
      <x:c r="A9" s="17" t="n">
        <x:v>5</x:v>
      </x:c>
      <x:c r="B9" s="23" t="str">
        <x:v>完成后把工作簿交回 Codex；Codex 校验并转换为 schema v3 JSON。工作簿不会直接写入正式 .tres。</x:v>
      </x:c>
    </x:row>
    <x:row r="10" ht="24" customHeight="1"/>
    <x:row r="11" ht="24" customHeight="1">
      <x:c r="A11" s="12" t="str">
        <x:v>颜色与输入规则</x:v>
      </x:c>
      <x:c r="B11" s="12"/>
      <x:c r="C11" s="12"/>
      <x:c r="D11" s="12"/>
      <x:c r="E11" s="12"/>
      <x:c r="F11" s="12"/>
      <x:c r="G11" s="12"/>
      <x:c r="H11" s="12"/>
    </x:row>
    <x:row r="12" ht="24" customHeight="1">
      <x:c r="A12" s="28" t="str">
        <x:v>浅蓝</x:v>
      </x:c>
      <x:c r="B12" s="30" t="str">
        <x:v>波次名称、敌人、数量、出生点及节奏：可编辑</x:v>
      </x:c>
    </x:row>
    <x:row r="13" ht="24" customHeight="1">
      <x:c r="A13" s="28" t="str">
        <x:v>金黄</x:v>
      </x:c>
      <x:c r="B13" s="30" t="str">
        <x:v>敌人固定息壤与工作簿关键提醒</x:v>
      </x:c>
    </x:row>
    <x:row r="14" ht="24" customHeight="1">
      <x:c r="A14" s="28" t="str">
        <x:v>浅绿 / 浅紫</x:v>
      </x:c>
      <x:c r="B14" s="30" t="str">
        <x:v>敌人掉落概率：可编辑，输入 0%～100%</x:v>
      </x:c>
    </x:row>
    <x:row r="15" ht="24" customHeight="1">
      <x:c r="A15" s="28" t="str">
        <x:v>浅灰</x:v>
      </x:c>
      <x:c r="B15" s="30" t="str">
        <x:v>公式与权威结构字段：请勿手工覆盖</x:v>
      </x:c>
    </x:row>
    <x:row r="16" ht="24" customHeight="1">
      <x:c r="A16" s="28" t="str">
        <x:v>浅红</x:v>
      </x:c>
      <x:c r="B16" s="30" t="str">
        <x:v>校验失败：缺少输入、重复敌人或数值越界</x:v>
      </x:c>
    </x:row>
    <x:row r="17" ht="24" customHeight="1"/>
    <x:row r="18" ht="24" customHeight="1">
      <x:c r="A18" s="33" t="str">
        <x:v>四日流程（结构性约束）</x:v>
      </x:c>
      <x:c r="B18" s="33"/>
      <x:c r="C18" s="33"/>
      <x:c r="D18" s="33"/>
      <x:c r="E18" s="33"/>
      <x:c r="F18" s="33"/>
      <x:c r="G18" s="33"/>
      <x:c r="H18" s="33"/>
    </x:row>
    <x:row r="19" ht="24" customHeight="1">
      <x:c r="A19" s="38" t="str">
        <x:v>第1～3日</x:v>
      </x:c>
      <x:c r="B19" s="23" t="str">
        <x:v>每天 4 个普通波次；第 4、8、12 波完成后进入地下探索。</x:v>
      </x:c>
    </x:row>
    <x:row r="20" ht="24" customHeight="1">
      <x:c r="A20" s="38" t="str">
        <x:v>地下探索</x:v>
      </x:c>
      <x:c r="B20" s="23" t="str">
        <x:v>三日默认行动力分别为 5、5、5；配置为 0 时跳过。正式流程不再进入命运时间。</x:v>
      </x:c>
    </x:row>
    <x:row r="21" ht="24" customHeight="1">
      <x:c r="A21" s="38" t="str">
        <x:v>第4日</x:v>
      </x:c>
      <x:c r="B21" s="23" t="str">
        <x:v>白昼准备完成后只进行铃兰 Boss；不显示普通波次编号，击败后直接通关。</x:v>
      </x:c>
    </x:row>
    <x:row r="22" ht="24" customHeight="1">
      <x:c r="A22" s="38" t="str">
        <x:v>导入契约</x:v>
      </x:c>
      <x:c r="B22" s="23" t="str">
        <x:v>schema v3：12 波、4 日、Boss 位于第 12 波后、Boss 日为第 4 日白昼。</x:v>
      </x:c>
    </x:row>
    <x:row r="23" ht="24" customHeight="1"/>
    <x:row r="24" ht="24" customHeight="1">
      <x:c r="A24" s="44" t="str">
        <x:v>请勿直接编辑“敌人导入数据（勿改）”“导入数据（勿改）”与“系统数据（勿改）”；它们是稳定 ID 和反向回读契约。</x:v>
      </x:c>
      <x:c r="B24" s="44"/>
      <x:c r="C24" s="44"/>
      <x:c r="D24" s="44"/>
      <x:c r="E24" s="44"/>
      <x:c r="F24" s="44"/>
      <x:c r="G24" s="44"/>
      <x:c r="H24" s="44"/>
    </x:row>
  </x:sheetData>
  <x:mergeCells>
    <x:mergeCell ref="A1:H1"/>
    <x:mergeCell ref="A2:H2"/>
    <x:mergeCell ref="A4:H4"/>
    <x:mergeCell ref="A11:H11"/>
    <x:mergeCell ref="A18:H18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10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8" hidden="0" customWidth="1"/>
    <x:col min="11" max="11" width="18" hidden="0" customWidth="1"/>
    <x:col min="12" max="12" width="15" hidden="0" customWidth="1"/>
    <x:col min="13" max="13" width="13" hidden="0" customWidth="1"/>
    <x:col min="14" max="14" width="15" hidden="0" customWidth="1"/>
  </x:cols>
  <x:sheetData>
    <x:row r="1" ht="36" customHeight="1">
      <x:c r="A1" s="3" t="str">
        <x:v>塔防模式｜4 日战役总览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3" customHeight="1">
      <x:c r="A2" s="49" t="str">
        <x:v>第 1～3 日共 12 个普通波次；每日日终进入地下探索；第 4 日白昼只进行铃兰 Boss。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 ht="23" customHeight="1"/>
    <x:row r="4" ht="23" customHeight="1">
      <x:c r="A4" s="53" t="str">
        <x:v>可回读波次</x:v>
      </x:c>
      <x:c r="B4" s="53"/>
      <x:c r="C4" s="53"/>
      <x:c r="D4" s="53" t="str">
        <x:v>基础敌人数</x:v>
      </x:c>
      <x:c r="E4" s="53"/>
      <x:c r="F4" s="53"/>
      <x:c r="G4" s="53" t="str">
        <x:v>实际敌人数</x:v>
      </x:c>
      <x:c r="H4" s="53"/>
      <x:c r="I4" s="53"/>
      <x:c r="J4" s="53" t="str">
        <x:v>预计息壤/队伍</x:v>
      </x:c>
      <x:c r="K4" s="53"/>
      <x:c r="L4" s="53"/>
      <x:c r="M4" s="53" t="str">
        <x:v>Boss</x:v>
      </x:c>
      <x:c r="N4" s="53" t="str">
        <x:v>铃兰</x:v>
      </x:c>
    </x:row>
    <x:row r="5" ht="23" customHeight="1">
      <x:c r="A5" s="135" t="str">
        <x:f>COUNTIF(E9:E20,"可回读")&amp;" / 12"</x:f>
        <x:v>11 / 12</x:v>
      </x:c>
      <x:c r="B5" s="135"/>
      <x:c r="C5" s="135"/>
      <x:c r="D5" s="135" t="n">
        <x:f>SUM(F9:F20)</x:f>
        <x:v>11396</x:v>
      </x:c>
      <x:c r="E5" s="135"/>
      <x:c r="F5" s="135"/>
      <x:c r="G5" s="135" t="n">
        <x:f>SUM(G9:G20)</x:f>
        <x:v>11396</x:v>
      </x:c>
      <x:c r="H5" s="135"/>
      <x:c r="I5" s="135"/>
      <x:c r="J5" s="135" t="n">
        <x:f>SUM(K9:K20)</x:f>
        <x:v>13182</x:v>
      </x:c>
      <x:c r="K5" s="135"/>
      <x:c r="L5" s="135"/>
      <x:c r="M5" s="135" t="str">
        <x:v>第4日·白昼</x:v>
      </x:c>
      <x:c r="N5" s="135"/>
    </x:row>
    <x:row r="6" ht="23" customHeight="1">
      <x:c r="A6" s="135"/>
      <x:c r="B6" s="135"/>
      <x:c r="C6" s="135"/>
      <x:c r="D6" s="135"/>
      <x:c r="E6" s="135"/>
      <x:c r="F6" s="135"/>
      <x:c r="G6" s="135"/>
      <x:c r="H6" s="135"/>
      <x:c r="I6" s="135"/>
      <x:c r="J6" s="135"/>
      <x:c r="K6" s="135"/>
      <x:c r="L6" s="135"/>
      <x:c r="M6" s="135"/>
      <x:c r="N6" s="135"/>
    </x:row>
    <x:row r="7" ht="23" customHeight="1"/>
    <x:row r="8" ht="23" customHeight="1">
      <x:c r="A8" s="110" t="str">
        <x:v>波次</x:v>
      </x:c>
      <x:c r="B8" s="110" t="str">
        <x:v>日</x:v>
      </x:c>
      <x:c r="C8" s="110" t="str">
        <x:v>时段</x:v>
      </x:c>
      <x:c r="D8" s="110" t="str">
        <x:v>名称</x:v>
      </x:c>
      <x:c r="E8" s="110" t="str">
        <x:v>状态</x:v>
      </x:c>
      <x:c r="F8" s="110" t="str">
        <x:v>基础数量</x:v>
      </x:c>
      <x:c r="G8" s="110" t="str">
        <x:v>实际数量</x:v>
      </x:c>
      <x:c r="H8" s="110" t="str">
        <x:v>敌人种类</x:v>
      </x:c>
      <x:c r="I8" s="110" t="str">
        <x:v>最大息壤/玩家</x:v>
      </x:c>
      <x:c r="J8" s="110" t="str">
        <x:v>预计息壤/玩家</x:v>
      </x:c>
      <x:c r="K8" s="110" t="str">
        <x:v>预计息壤/队伍</x:v>
      </x:c>
      <x:c r="L8" s="110" t="str">
        <x:v>最短刷怪(s)</x:v>
      </x:c>
      <x:c r="M8" s="110" t="str">
        <x:v>存活上限</x:v>
      </x:c>
      <x:c r="N8" s="110" t="str">
        <x:v>启用出生点</x:v>
      </x:c>
    </x:row>
    <x:row r="9" ht="23" customHeight="1">
      <x:c r="A9" s="71" t="str">
        <x:v>第1波</x:v>
      </x:c>
      <x:c r="B9" s="71" t="n">
        <x:v>1</x:v>
      </x:c>
      <x:c r="C9" s="71" t="str">
        <x:v>白昼</x:v>
      </x:c>
      <x:c r="D9" s="71" t="str">
        <x:f>'第1日'!B3</x:f>
        <x:v>第1波 林地试探</x:v>
      </x:c>
      <x:c r="E9" s="71" t="str">
        <x:f>'第1日'!I4</x:f>
        <x:v>可回读</x:v>
      </x:c>
      <x:c r="F9" s="71" t="n">
        <x:f>SUM('第1日'!C7:C24)</x:f>
        <x:v>2500</x:v>
      </x:c>
      <x:c r="G9" s="71" t="n">
        <x:f>SUM('第1日'!D7:D24)</x:f>
        <x:v>2500</x:v>
      </x:c>
      <x:c r="H9" s="71" t="n">
        <x:f>COUNTA('第1日'!B7:B24)</x:f>
        <x:v>4</x:v>
      </x:c>
      <x:c r="I9" s="92" t="n">
        <x:f>SUM('第1日'!F7:F24)</x:f>
        <x:v>2500</x:v>
      </x:c>
      <x:c r="J9" s="92" t="n">
        <x:f>SUM('第1日'!G7:G24)</x:f>
        <x:v>2500</x:v>
      </x:c>
      <x:c r="K9" s="92" t="n">
        <x:f>SUM('第1日'!H7:H24)</x:f>
        <x:v>2500</x:v>
      </x:c>
      <x:c r="L9" s="71" t="n">
        <x:f>IF(G9=0,0,MAX(0,(ROUNDUP(G9/'第1日'!G3,0)-1)*'第1日'!E3))</x:f>
        <x:v>499.8</x:v>
      </x:c>
      <x:c r="M9" s="71" t="n">
        <x:f>'第1日'!I3</x:f>
        <x:v>300</x:v>
      </x:c>
      <x:c r="N9" s="71" t="n">
        <x:f>IF('第1日'!B4="点1·开启",1,0)+IF('第1日'!C4="点2·开启",1,0)+IF('第1日'!D4="点3·开启",1,0)+IF('第1日'!E4="点4·开启",1,0)+IF('第1日'!F4="点5·开启",1,0)+IF('第1日'!G4="点6·开启",1,0)</x:f>
        <x:v>4</x:v>
      </x:c>
    </x:row>
    <x:row r="10" ht="23" customHeight="1">
      <x:c r="A10" s="71" t="str">
        <x:v>第2波</x:v>
      </x:c>
      <x:c r="B10" s="71" t="n">
        <x:v>1</x:v>
      </x:c>
      <x:c r="C10" s="71" t="str">
        <x:v>白昼</x:v>
      </x:c>
      <x:c r="D10" s="71" t="str">
        <x:f>'第1日'!B32</x:f>
        <x:v>第2波 迅影与硬壳</x:v>
      </x:c>
      <x:c r="E10" s="71" t="str">
        <x:f>'第1日'!I33</x:f>
        <x:v>可回读</x:v>
      </x:c>
      <x:c r="F10" s="71" t="n">
        <x:f>SUM('第1日'!C36:C53)</x:f>
        <x:v>3850</x:v>
      </x:c>
      <x:c r="G10" s="71" t="n">
        <x:f>SUM('第1日'!D36:D53)</x:f>
        <x:v>3850</x:v>
      </x:c>
      <x:c r="H10" s="71" t="n">
        <x:f>COUNTA('第1日'!B36:B53)</x:f>
        <x:v>7</x:v>
      </x:c>
      <x:c r="I10" s="92" t="n">
        <x:f>SUM('第1日'!F36:F53)</x:f>
        <x:v>4050</x:v>
      </x:c>
      <x:c r="J10" s="92" t="n">
        <x:f>SUM('第1日'!G36:G53)</x:f>
        <x:v>4050</x:v>
      </x:c>
      <x:c r="K10" s="92" t="n">
        <x:f>SUM('第1日'!H36:H53)</x:f>
        <x:v>4050</x:v>
      </x:c>
      <x:c r="L10" s="71" t="n">
        <x:f>IF(G10=0,0,MAX(0,(ROUNDUP(G10/'第1日'!G32,0)-1)*'第1日'!E32))</x:f>
        <x:v>384.90000000000003</x:v>
      </x:c>
      <x:c r="M10" s="71" t="n">
        <x:f>'第1日'!I32</x:f>
        <x:v>300</x:v>
      </x:c>
      <x:c r="N10" s="71" t="n">
        <x:f>IF('第1日'!B33="点1·开启",1,0)+IF('第1日'!C33="点2·开启",1,0)+IF('第1日'!D33="点3·开启",1,0)+IF('第1日'!E33="点4·开启",1,0)+IF('第1日'!F33="点5·开启",1,0)+IF('第1日'!G33="点6·开启",1,0)</x:f>
        <x:v>4</x:v>
      </x:c>
    </x:row>
    <x:row r="11" ht="23" customHeight="1">
      <x:c r="A11" s="71" t="str">
        <x:v>第3波</x:v>
      </x:c>
      <x:c r="B11" s="71" t="n">
        <x:v>1</x:v>
      </x:c>
      <x:c r="C11" s="71" t="str">
        <x:v>夜晚</x:v>
      </x:c>
      <x:c r="D11" s="71" t="str">
        <x:f>'第1日'!B61</x:f>
        <x:v>第3波 火线初现</x:v>
      </x:c>
      <x:c r="E11" s="71" t="str">
        <x:f>'第1日'!I62</x:f>
        <x:v>可回读</x:v>
      </x:c>
      <x:c r="F11" s="71" t="n">
        <x:f>SUM('第1日'!C65:C82)</x:f>
        <x:v>3950</x:v>
      </x:c>
      <x:c r="G11" s="71" t="n">
        <x:f>SUM('第1日'!D65:D82)</x:f>
        <x:v>3950</x:v>
      </x:c>
      <x:c r="H11" s="71" t="n">
        <x:f>COUNTA('第1日'!B65:B82)</x:f>
        <x:v>8</x:v>
      </x:c>
      <x:c r="I11" s="92" t="n">
        <x:f>SUM('第1日'!F65:F82)</x:f>
        <x:v>5000</x:v>
      </x:c>
      <x:c r="J11" s="92" t="n">
        <x:f>SUM('第1日'!G65:G82)</x:f>
        <x:v>5000</x:v>
      </x:c>
      <x:c r="K11" s="92" t="n">
        <x:f>SUM('第1日'!H65:H82)</x:f>
        <x:v>5000</x:v>
      </x:c>
      <x:c r="L11" s="71" t="n">
        <x:f>IF(G11=0,0,MAX(0,(ROUNDUP(G11/'第1日'!G61,0)-1)*'第1日'!E61))</x:f>
        <x:v>394.90000000000003</x:v>
      </x:c>
      <x:c r="M11" s="71" t="n">
        <x:f>'第1日'!I61</x:f>
        <x:v>300</x:v>
      </x:c>
      <x:c r="N11" s="71" t="n">
        <x:f>IF('第1日'!B62="点1·开启",1,0)+IF('第1日'!C62="点2·开启",1,0)+IF('第1日'!D62="点3·开启",1,0)+IF('第1日'!E62="点4·开启",1,0)+IF('第1日'!F62="点5·开启",1,0)+IF('第1日'!G62="点6·开启",1,0)</x:f>
        <x:v>6</x:v>
      </x:c>
    </x:row>
    <x:row r="12" ht="23" customHeight="1">
      <x:c r="A12" s="71" t="str">
        <x:v>第4波</x:v>
      </x:c>
      <x:c r="B12" s="71" t="n">
        <x:v>1</x:v>
      </x:c>
      <x:c r="C12" s="71" t="str">
        <x:v>夜晚</x:v>
      </x:c>
      <x:c r="D12" s="71" t="str">
        <x:f>'第1日'!B90</x:f>
        <x:v>第4波 林地合围</x:v>
      </x:c>
      <x:c r="E12" s="71" t="str">
        <x:f>'第1日'!I91</x:f>
        <x:v>待设计</x:v>
      </x:c>
      <x:c r="F12" s="71" t="n">
        <x:f>SUM('第1日'!C94:C111)</x:f>
        <x:v>0</x:v>
      </x:c>
      <x:c r="G12" s="71" t="n">
        <x:f>SUM('第1日'!D94:D111)</x:f>
        <x:v>0</x:v>
      </x:c>
      <x:c r="H12" s="71" t="n">
        <x:f>COUNTA('第1日'!B94:B111)</x:f>
        <x:v>0</x:v>
      </x:c>
      <x:c r="I12" s="92" t="n">
        <x:f>SUM('第1日'!F94:F111)</x:f>
        <x:v>0</x:v>
      </x:c>
      <x:c r="J12" s="92" t="n">
        <x:f>SUM('第1日'!G94:G111)</x:f>
        <x:v>0</x:v>
      </x:c>
      <x:c r="K12" s="92" t="n">
        <x:f>SUM('第1日'!H94:H111)</x:f>
        <x:v>0</x:v>
      </x:c>
      <x:c r="L12" s="71" t="n">
        <x:f>IF(G12=0,0,MAX(0,(ROUNDUP(G12/'第1日'!G90,0)-1)*'第1日'!E90))</x:f>
        <x:v>0</x:v>
      </x:c>
      <x:c r="M12" s="71" t="n">
        <x:f>'第1日'!I90</x:f>
        <x:v>300</x:v>
      </x:c>
      <x:c r="N12" s="71" t="n">
        <x:f>IF('第1日'!B91="点1·开启",1,0)+IF('第1日'!C91="点2·开启",1,0)+IF('第1日'!D91="点3·开启",1,0)+IF('第1日'!E91="点4·开启",1,0)+IF('第1日'!F91="点5·开启",1,0)+IF('第1日'!G91="点6·开启",1,0)</x:f>
        <x:v>6</x:v>
      </x:c>
    </x:row>
    <x:row r="13" ht="23" customHeight="1">
      <x:c r="A13" s="71" t="str">
        <x:v>第5波</x:v>
      </x:c>
      <x:c r="B13" s="71" t="n">
        <x:v>2</x:v>
      </x:c>
      <x:c r="C13" s="71" t="str">
        <x:v>白昼</x:v>
      </x:c>
      <x:c r="D13" s="71" t="str">
        <x:f>'第2日'!B3</x:f>
        <x:v>第5波 沼泽先遣</x:v>
      </x:c>
      <x:c r="E13" s="71" t="str">
        <x:f>'第2日'!I4</x:f>
        <x:v>可回读</x:v>
      </x:c>
      <x:c r="F13" s="71" t="n">
        <x:f>SUM('第2日'!C7:C24)</x:f>
        <x:v>80</x:v>
      </x:c>
      <x:c r="G13" s="71" t="n">
        <x:f>SUM('第2日'!D7:D24)</x:f>
        <x:v>80</x:v>
      </x:c>
      <x:c r="H13" s="71" t="n">
        <x:f>COUNTA('第2日'!B7:B24)</x:f>
        <x:v>6</x:v>
      </x:c>
      <x:c r="I13" s="92" t="n">
        <x:f>SUM('第2日'!F7:F24)</x:f>
        <x:v>96</x:v>
      </x:c>
      <x:c r="J13" s="92" t="n">
        <x:f>SUM('第2日'!G7:G24)</x:f>
        <x:v>96</x:v>
      </x:c>
      <x:c r="K13" s="92" t="n">
        <x:f>SUM('第2日'!H7:H24)</x:f>
        <x:v>96</x:v>
      </x:c>
      <x:c r="L13" s="71" t="n">
        <x:f>IF(G13=0,0,MAX(0,(ROUNDUP(G13/'第2日'!G3,0)-1)*'第2日'!E3))</x:f>
        <x:v>35.550000000000004</x:v>
      </x:c>
      <x:c r="M13" s="71" t="n">
        <x:f>'第2日'!I3</x:f>
        <x:v>300</x:v>
      </x:c>
      <x:c r="N13" s="71" t="n">
        <x:f>IF('第2日'!B4="点1·开启",1,0)+IF('第2日'!C4="点2·开启",1,0)+IF('第2日'!D4="点3·开启",1,0)+IF('第2日'!E4="点4·开启",1,0)+IF('第2日'!F4="点5·开启",1,0)+IF('第2日'!G4="点6·开启",1,0)</x:f>
        <x:v>6</x:v>
      </x:c>
    </x:row>
    <x:row r="14" ht="23" customHeight="1">
      <x:c r="A14" s="71" t="str">
        <x:v>第6波</x:v>
      </x:c>
      <x:c r="B14" s="71" t="n">
        <x:v>2</x:v>
      </x:c>
      <x:c r="C14" s="71" t="str">
        <x:v>白昼</x:v>
      </x:c>
      <x:c r="D14" s="71" t="str">
        <x:f>'第2日'!B32</x:f>
        <x:v>第6波 守护阵列</x:v>
      </x:c>
      <x:c r="E14" s="71" t="str">
        <x:f>'第2日'!I33</x:f>
        <x:v>可回读</x:v>
      </x:c>
      <x:c r="F14" s="71" t="n">
        <x:f>SUM('第2日'!C36:C53)</x:f>
        <x:v>96</x:v>
      </x:c>
      <x:c r="G14" s="71" t="n">
        <x:f>SUM('第2日'!D36:D53)</x:f>
        <x:v>96</x:v>
      </x:c>
      <x:c r="H14" s="71" t="n">
        <x:f>COUNTA('第2日'!B36:B53)</x:f>
        <x:v>6</x:v>
      </x:c>
      <x:c r="I14" s="92" t="n">
        <x:f>SUM('第2日'!F36:F53)</x:f>
        <x:v>116</x:v>
      </x:c>
      <x:c r="J14" s="92" t="n">
        <x:f>SUM('第2日'!G36:G53)</x:f>
        <x:v>116</x:v>
      </x:c>
      <x:c r="K14" s="92" t="n">
        <x:f>SUM('第2日'!H36:H53)</x:f>
        <x:v>116</x:v>
      </x:c>
      <x:c r="L14" s="71" t="n">
        <x:f>IF(G14=0,0,MAX(0,(ROUNDUP(G14/'第2日'!G32,0)-1)*'第2日'!E32))</x:f>
        <x:v>38</x:v>
      </x:c>
      <x:c r="M14" s="71" t="n">
        <x:f>'第2日'!I32</x:f>
        <x:v>300</x:v>
      </x:c>
      <x:c r="N14" s="71" t="n">
        <x:f>IF('第2日'!B33="点1·开启",1,0)+IF('第2日'!C33="点2·开启",1,0)+IF('第2日'!D33="点3·开启",1,0)+IF('第2日'!E33="点4·开启",1,0)+IF('第2日'!F33="点5·开启",1,0)+IF('第2日'!G33="点6·开启",1,0)</x:f>
        <x:v>6</x:v>
      </x:c>
    </x:row>
    <x:row r="15" ht="23" customHeight="1">
      <x:c r="A15" s="71" t="str">
        <x:v>第7波</x:v>
      </x:c>
      <x:c r="B15" s="71" t="n">
        <x:v>2</x:v>
      </x:c>
      <x:c r="C15" s="71" t="str">
        <x:v>夜晚</x:v>
      </x:c>
      <x:c r="D15" s="71" t="str">
        <x:f>'第2日'!B61</x:f>
        <x:v>第7波 紫晶突袭</x:v>
      </x:c>
      <x:c r="E15" s="71" t="str">
        <x:f>'第2日'!I62</x:f>
        <x:v>可回读</x:v>
      </x:c>
      <x:c r="F15" s="71" t="n">
        <x:f>SUM('第2日'!C65:C82)</x:f>
        <x:v>112</x:v>
      </x:c>
      <x:c r="G15" s="71" t="n">
        <x:f>SUM('第2日'!D65:D82)</x:f>
        <x:v>112</x:v>
      </x:c>
      <x:c r="H15" s="71" t="n">
        <x:f>COUNTA('第2日'!B65:B82)</x:f>
        <x:v>7</x:v>
      </x:c>
      <x:c r="I15" s="92" t="n">
        <x:f>SUM('第2日'!F65:F82)</x:f>
        <x:v>144</x:v>
      </x:c>
      <x:c r="J15" s="92" t="n">
        <x:f>SUM('第2日'!G65:G82)</x:f>
        <x:v>144</x:v>
      </x:c>
      <x:c r="K15" s="92" t="n">
        <x:f>SUM('第2日'!H65:H82)</x:f>
        <x:v>144</x:v>
      </x:c>
      <x:c r="L15" s="71" t="n">
        <x:f>IF(G15=0,0,MAX(0,(ROUNDUP(G15/'第2日'!G61,0)-1)*'第2日'!E61))</x:f>
        <x:v>38.849999999999994</x:v>
      </x:c>
      <x:c r="M15" s="71" t="n">
        <x:f>'第2日'!I61</x:f>
        <x:v>300</x:v>
      </x:c>
      <x:c r="N15" s="71" t="n">
        <x:f>IF('第2日'!B62="点1·开启",1,0)+IF('第2日'!C62="点2·开启",1,0)+IF('第2日'!D62="点3·开启",1,0)+IF('第2日'!E62="点4·开启",1,0)+IF('第2日'!F62="点5·开启",1,0)+IF('第2日'!G62="点6·开启",1,0)</x:f>
        <x:v>6</x:v>
      </x:c>
    </x:row>
    <x:row r="16" ht="23" customHeight="1">
      <x:c r="A16" s="71" t="str">
        <x:v>第8波</x:v>
      </x:c>
      <x:c r="B16" s="71" t="n">
        <x:v>2</x:v>
      </x:c>
      <x:c r="C16" s="71" t="str">
        <x:v>夜晚</x:v>
      </x:c>
      <x:c r="D16" s="71" t="str">
        <x:f>'第2日'!B90</x:f>
        <x:v>第8波 沼泽合围</x:v>
      </x:c>
      <x:c r="E16" s="71" t="str">
        <x:f>'第2日'!I91</x:f>
        <x:v>可回读</x:v>
      </x:c>
      <x:c r="F16" s="71" t="n">
        <x:f>SUM('第2日'!C94:C111)</x:f>
        <x:v>128</x:v>
      </x:c>
      <x:c r="G16" s="71" t="n">
        <x:f>SUM('第2日'!D94:D111)</x:f>
        <x:v>128</x:v>
      </x:c>
      <x:c r="H16" s="71" t="n">
        <x:f>COUNTA('第2日'!B94:B111)</x:f>
        <x:v>7</x:v>
      </x:c>
      <x:c r="I16" s="92" t="n">
        <x:f>SUM('第2日'!F94:F111)</x:f>
        <x:v>172</x:v>
      </x:c>
      <x:c r="J16" s="92" t="n">
        <x:f>SUM('第2日'!G94:G111)</x:f>
        <x:v>172</x:v>
      </x:c>
      <x:c r="K16" s="92" t="n">
        <x:f>SUM('第2日'!H94:H111)</x:f>
        <x:v>172</x:v>
      </x:c>
      <x:c r="L16" s="71" t="n">
        <x:f>IF(G16=0,0,MAX(0,(ROUNDUP(G16/'第2日'!G90,0)-1)*'第2日'!E90))</x:f>
        <x:v>38.1</x:v>
      </x:c>
      <x:c r="M16" s="71" t="n">
        <x:f>'第2日'!I90</x:f>
        <x:v>300</x:v>
      </x:c>
      <x:c r="N16" s="71" t="n">
        <x:f>IF('第2日'!B91="点1·开启",1,0)+IF('第2日'!C91="点2·开启",1,0)+IF('第2日'!D91="点3·开启",1,0)+IF('第2日'!E91="点4·开启",1,0)+IF('第2日'!F91="点5·开启",1,0)+IF('第2日'!G91="点6·开启",1,0)</x:f>
        <x:v>6</x:v>
      </x:c>
    </x:row>
    <x:row r="17" ht="23" customHeight="1">
      <x:c r="A17" s="71" t="str">
        <x:v>第9波</x:v>
      </x:c>
      <x:c r="B17" s="71" t="n">
        <x:v>3</x:v>
      </x:c>
      <x:c r="C17" s="71" t="str">
        <x:v>白昼</x:v>
      </x:c>
      <x:c r="D17" s="71" t="str">
        <x:f>'第3日'!B3</x:f>
        <x:v>第9波 城镇前锋</x:v>
      </x:c>
      <x:c r="E17" s="71" t="str">
        <x:f>'第3日'!I4</x:f>
        <x:v>可回读</x:v>
      </x:c>
      <x:c r="F17" s="71" t="n">
        <x:f>SUM('第3日'!C7:C24)</x:f>
        <x:v>144</x:v>
      </x:c>
      <x:c r="G17" s="71" t="n">
        <x:f>SUM('第3日'!D7:D24)</x:f>
        <x:v>144</x:v>
      </x:c>
      <x:c r="H17" s="71" t="n">
        <x:f>COUNTA('第3日'!B7:B24)</x:f>
        <x:v>9</x:v>
      </x:c>
      <x:c r="I17" s="92" t="n">
        <x:f>SUM('第3日'!F7:F24)</x:f>
        <x:v>210</x:v>
      </x:c>
      <x:c r="J17" s="92" t="n">
        <x:f>SUM('第3日'!G7:G24)</x:f>
        <x:v>210</x:v>
      </x:c>
      <x:c r="K17" s="92" t="n">
        <x:f>SUM('第3日'!H7:H24)</x:f>
        <x:v>210</x:v>
      </x:c>
      <x:c r="L17" s="71" t="n">
        <x:f>IF(G17=0,0,MAX(0,(ROUNDUP(G17/'第3日'!G3,0)-1)*'第3日'!E3))</x:f>
        <x:v>40.040000000000006</x:v>
      </x:c>
      <x:c r="M17" s="71" t="n">
        <x:f>'第3日'!I3</x:f>
        <x:v>300</x:v>
      </x:c>
      <x:c r="N17" s="71" t="n">
        <x:f>IF('第3日'!B4="点1·开启",1,0)+IF('第3日'!C4="点2·开启",1,0)+IF('第3日'!D4="点3·开启",1,0)+IF('第3日'!E4="点4·开启",1,0)+IF('第3日'!F4="点5·开启",1,0)+IF('第3日'!G4="点6·开启",1,0)</x:f>
        <x:v>6</x:v>
      </x:c>
    </x:row>
    <x:row r="18" ht="23" customHeight="1">
      <x:c r="A18" s="71" t="str">
        <x:v>第10波</x:v>
      </x:c>
      <x:c r="B18" s="71" t="n">
        <x:v>3</x:v>
      </x:c>
      <x:c r="C18" s="71" t="str">
        <x:v>白昼</x:v>
      </x:c>
      <x:c r="D18" s="71" t="str">
        <x:f>'第3日'!B32</x:f>
        <x:v>第10波 火力交叉</x:v>
      </x:c>
      <x:c r="E18" s="71" t="str">
        <x:f>'第3日'!I33</x:f>
        <x:v>可回读</x:v>
      </x:c>
      <x:c r="F18" s="71" t="n">
        <x:f>SUM('第3日'!C36:C53)</x:f>
        <x:v>160</x:v>
      </x:c>
      <x:c r="G18" s="71" t="n">
        <x:f>SUM('第3日'!D36:D53)</x:f>
        <x:v>160</x:v>
      </x:c>
      <x:c r="H18" s="71" t="n">
        <x:f>COUNTA('第3日'!B36:B53)</x:f>
        <x:v>10</x:v>
      </x:c>
      <x:c r="I18" s="92" t="n">
        <x:f>SUM('第3日'!F36:F53)</x:f>
        <x:v>246</x:v>
      </x:c>
      <x:c r="J18" s="92" t="n">
        <x:f>SUM('第3日'!G36:G53)</x:f>
        <x:v>246</x:v>
      </x:c>
      <x:c r="K18" s="92" t="n">
        <x:f>SUM('第3日'!H36:H53)</x:f>
        <x:v>246</x:v>
      </x:c>
      <x:c r="L18" s="71" t="n">
        <x:f>IF(G18=0,0,MAX(0,(ROUNDUP(G18/'第3日'!G32,0)-1)*'第3日'!E32))</x:f>
        <x:v>41.34</x:v>
      </x:c>
      <x:c r="M18" s="71" t="n">
        <x:f>'第3日'!I32</x:f>
        <x:v>300</x:v>
      </x:c>
      <x:c r="N18" s="71" t="n">
        <x:f>IF('第3日'!B33="点1·开启",1,0)+IF('第3日'!C33="点2·开启",1,0)+IF('第3日'!D33="点3·开启",1,0)+IF('第3日'!E33="点4·开启",1,0)+IF('第3日'!F33="点5·开启",1,0)+IF('第3日'!G33="点6·开启",1,0)</x:f>
        <x:v>6</x:v>
      </x:c>
    </x:row>
    <x:row r="19" ht="23" customHeight="1">
      <x:c r="A19" s="71" t="str">
        <x:v>第11波</x:v>
      </x:c>
      <x:c r="B19" s="71" t="n">
        <x:v>3</x:v>
      </x:c>
      <x:c r="C19" s="71" t="str">
        <x:v>夜晚</x:v>
      </x:c>
      <x:c r="D19" s="71" t="str">
        <x:f>'第3日'!B61</x:f>
        <x:v>第11波 奥术重装</x:v>
      </x:c>
      <x:c r="E19" s="71" t="str">
        <x:f>'第3日'!I62</x:f>
        <x:v>可回读</x:v>
      </x:c>
      <x:c r="F19" s="71" t="n">
        <x:f>SUM('第3日'!C65:C82)</x:f>
        <x:v>176</x:v>
      </x:c>
      <x:c r="G19" s="71" t="n">
        <x:f>SUM('第3日'!D65:D82)</x:f>
        <x:v>176</x:v>
      </x:c>
      <x:c r="H19" s="71" t="n">
        <x:f>COUNTA('第3日'!B65:B82)</x:f>
        <x:v>12</x:v>
      </x:c>
      <x:c r="I19" s="92" t="n">
        <x:f>SUM('第3日'!F65:F82)</x:f>
        <x:v>306</x:v>
      </x:c>
      <x:c r="J19" s="92" t="n">
        <x:f>SUM('第3日'!G65:G82)</x:f>
        <x:v>306</x:v>
      </x:c>
      <x:c r="K19" s="92" t="n">
        <x:f>SUM('第3日'!H65:H82)</x:f>
        <x:v>306</x:v>
      </x:c>
      <x:c r="L19" s="71" t="n">
        <x:f>IF(G19=0,0,MAX(0,(ROUNDUP(G19/'第3日'!G61,0)-1)*'第3日'!E61))</x:f>
        <x:v>42</x:v>
      </x:c>
      <x:c r="M19" s="71" t="n">
        <x:f>'第3日'!I61</x:f>
        <x:v>300</x:v>
      </x:c>
      <x:c r="N19" s="71" t="n">
        <x:f>IF('第3日'!B62="点1·开启",1,0)+IF('第3日'!C62="点2·开启",1,0)+IF('第3日'!D62="点3·开启",1,0)+IF('第3日'!E62="点4·开启",1,0)+IF('第3日'!F62="点5·开启",1,0)+IF('第3日'!G62="点6·开启",1,0)</x:f>
        <x:v>6</x:v>
      </x:c>
    </x:row>
    <x:row r="20" ht="23" customHeight="1">
      <x:c r="A20" s="71" t="str">
        <x:v>第12波</x:v>
      </x:c>
      <x:c r="B20" s="71" t="n">
        <x:v>3</x:v>
      </x:c>
      <x:c r="C20" s="71" t="str">
        <x:v>夜晚</x:v>
      </x:c>
      <x:c r="D20" s="71" t="str">
        <x:f>'第3日'!B90</x:f>
        <x:v>第12波 城镇决战</x:v>
      </x:c>
      <x:c r="E20" s="71" t="str">
        <x:f>'第3日'!I91</x:f>
        <x:v>可回读</x:v>
      </x:c>
      <x:c r="F20" s="71" t="n">
        <x:f>SUM('第3日'!C94:C111)</x:f>
        <x:v>200</x:v>
      </x:c>
      <x:c r="G20" s="71" t="n">
        <x:f>SUM('第3日'!D94:D111)</x:f>
        <x:v>200</x:v>
      </x:c>
      <x:c r="H20" s="71" t="n">
        <x:f>COUNTA('第3日'!B94:B111)</x:f>
        <x:v>13</x:v>
      </x:c>
      <x:c r="I20" s="92" t="n">
        <x:f>SUM('第3日'!F94:F111)</x:f>
        <x:v>342</x:v>
      </x:c>
      <x:c r="J20" s="92" t="n">
        <x:f>SUM('第3日'!G94:G111)</x:f>
        <x:v>342</x:v>
      </x:c>
      <x:c r="K20" s="92" t="n">
        <x:f>SUM('第3日'!H94:H111)</x:f>
        <x:v>342</x:v>
      </x:c>
      <x:c r="L20" s="71" t="n">
        <x:f>IF(G20=0,0,MAX(0,(ROUNDUP(G20/'第3日'!G90,0)-1)*'第3日'!E90))</x:f>
        <x:v>43.78</x:v>
      </x:c>
      <x:c r="M20" s="71" t="n">
        <x:f>'第3日'!I90</x:f>
        <x:v>300</x:v>
      </x:c>
      <x:c r="N20" s="71" t="n">
        <x:f>IF('第3日'!B91="点1·开启",1,0)+IF('第3日'!C91="点2·开启",1,0)+IF('第3日'!D91="点3·开启",1,0)+IF('第3日'!E91="点4·开启",1,0)+IF('第3日'!F91="点5·开启",1,0)+IF('第3日'!G91="点6·开启",1,0)</x:f>
        <x:v>6</x:v>
      </x:c>
    </x:row>
    <x:row r="21" ht="23" customHeight="1"/>
    <x:row r="22" ht="23" customHeight="1">
      <x:c r="A22" s="139" t="str">
        <x:v>第 4 日·白昼｜60 秒准备 → 铃兰 Boss → 击败后直接通关（无普通波次编号、无日终探索）</x:v>
      </x:c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</x:row>
    <x:row r="23" ht="23" customHeight="1"/>
    <x:row r="24" ht="23" customHeight="1">
      <x:c r="A24" s="33" t="str">
        <x:v>每日汇总</x:v>
      </x:c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</x:row>
    <x:row r="25" ht="23" customHeight="1">
      <x:c r="A25" s="110" t="str">
        <x:v>日</x:v>
      </x:c>
      <x:c r="B25" s="110" t="str">
        <x:v>普通波次</x:v>
      </x:c>
      <x:c r="C25" s="110" t="str">
        <x:v>基础敌人</x:v>
      </x:c>
      <x:c r="D25" s="110" t="str">
        <x:v>实际敌人</x:v>
      </x:c>
      <x:c r="E25" s="110" t="str">
        <x:v>预计息壤/队伍</x:v>
      </x:c>
      <x:c r="F25" s="110" t="str">
        <x:v>日终地下探索 AP</x:v>
      </x:c>
    </x:row>
    <x:row r="26" ht="23" customHeight="1">
      <x:c r="A26" s="71" t="str">
        <x:v>第1日</x:v>
      </x:c>
      <x:c r="B26" s="71" t="n">
        <x:v>4</x:v>
      </x:c>
      <x:c r="C26" s="71" t="n">
        <x:f>SUM(F9:F12)</x:f>
        <x:v>10300</x:v>
      </x:c>
      <x:c r="D26" s="71" t="n">
        <x:f>SUM(G9:G12)</x:f>
        <x:v>10300</x:v>
      </x:c>
      <x:c r="E26" s="71" t="n">
        <x:f>SUM(K9:K12)</x:f>
        <x:v>11550</x:v>
      </x:c>
      <x:c r="F26" s="71" t="n">
        <x:f>'全局设置'!B16</x:f>
        <x:v>5</x:v>
      </x:c>
    </x:row>
    <x:row r="27" ht="23" customHeight="1">
      <x:c r="A27" s="71" t="str">
        <x:v>第2日</x:v>
      </x:c>
      <x:c r="B27" s="71" t="n">
        <x:v>4</x:v>
      </x:c>
      <x:c r="C27" s="71" t="n">
        <x:f>SUM(F13:F16)</x:f>
        <x:v>416</x:v>
      </x:c>
      <x:c r="D27" s="71" t="n">
        <x:f>SUM(G13:G16)</x:f>
        <x:v>416</x:v>
      </x:c>
      <x:c r="E27" s="71" t="n">
        <x:f>SUM(K13:K16)</x:f>
        <x:v>528</x:v>
      </x:c>
      <x:c r="F27" s="71" t="n">
        <x:f>'全局设置'!D16</x:f>
        <x:v>5</x:v>
      </x:c>
    </x:row>
    <x:row r="28" ht="23" customHeight="1">
      <x:c r="A28" s="71" t="str">
        <x:v>第3日</x:v>
      </x:c>
      <x:c r="B28" s="71" t="n">
        <x:v>4</x:v>
      </x:c>
      <x:c r="C28" s="71" t="n">
        <x:f>SUM(F17:F20)</x:f>
        <x:v>680</x:v>
      </x:c>
      <x:c r="D28" s="71" t="n">
        <x:f>SUM(G17:G20)</x:f>
        <x:v>680</x:v>
      </x:c>
      <x:c r="E28" s="71" t="n">
        <x:f>SUM(K17:K20)</x:f>
        <x:v>1104</x:v>
      </x:c>
      <x:c r="F28" s="71" t="n">
        <x:f>'全局设置'!F16</x:f>
        <x:v>5</x:v>
      </x:c>
    </x:row>
    <x:row r="29" ht="23" customHeight="1">
      <x:c r="A29" s="71" t="str">
        <x:v>第4日</x:v>
      </x:c>
      <x:c r="B29" s="71" t="n">
        <x:v>0</x:v>
      </x:c>
      <x:c r="C29" s="71" t="n">
        <x:v>0</x:v>
      </x:c>
      <x:c r="D29" s="71" t="n">
        <x:v>0</x:v>
      </x:c>
      <x:c r="E29" s="71" t="n">
        <x:v>0</x:v>
      </x:c>
      <x:c r="F29" s="71" t="str">
        <x:v>无（Boss 后通关）</x:v>
      </x:c>
    </x:row>
    <x:row r="30" ht="23" customHeight="1"/>
    <x:row r="31" ht="23" customHeight="1"/>
    <x:row r="32" ht="23" customHeight="1"/>
    <x:row r="33" ht="23" customHeight="1">
      <x:c r="A33" s="99" t="str">
        <x:v>波次</x:v>
      </x:c>
      <x:c r="B33" s="99" t="str">
        <x:v>预计息壤/玩家</x:v>
      </x:c>
      <x:c r="C33" s="99" t="str">
        <x:v>预计息壤/队伍</x:v>
      </x:c>
    </x:row>
    <x:row r="34" ht="23" customHeight="1">
      <x:c r="A34" s="71" t="str">
        <x:v>第1波</x:v>
      </x:c>
      <x:c r="B34" s="71" t="n">
        <x:f>J9</x:f>
        <x:v>2500</x:v>
      </x:c>
      <x:c r="C34" s="71" t="n">
        <x:f>K9</x:f>
        <x:v>2500</x:v>
      </x:c>
    </x:row>
    <x:row r="35" ht="23" customHeight="1">
      <x:c r="A35" s="71" t="str">
        <x:v>第2波</x:v>
      </x:c>
      <x:c r="B35" s="71" t="n">
        <x:f>J10</x:f>
        <x:v>4050</x:v>
      </x:c>
      <x:c r="C35" s="71" t="n">
        <x:f>K10</x:f>
        <x:v>4050</x:v>
      </x:c>
    </x:row>
    <x:row r="36" ht="23" customHeight="1">
      <x:c r="A36" s="71" t="str">
        <x:v>第3波</x:v>
      </x:c>
      <x:c r="B36" s="71" t="n">
        <x:f>J11</x:f>
        <x:v>5000</x:v>
      </x:c>
      <x:c r="C36" s="71" t="n">
        <x:f>K11</x:f>
        <x:v>5000</x:v>
      </x:c>
    </x:row>
    <x:row r="37" ht="23" customHeight="1">
      <x:c r="A37" s="71" t="str">
        <x:v>第4波</x:v>
      </x:c>
      <x:c r="B37" s="71" t="n">
        <x:f>J12</x:f>
        <x:v>0</x:v>
      </x:c>
      <x:c r="C37" s="71" t="n">
        <x:f>K12</x:f>
        <x:v>0</x:v>
      </x:c>
    </x:row>
    <x:row r="38" ht="23" customHeight="1">
      <x:c r="A38" s="71" t="str">
        <x:v>第5波</x:v>
      </x:c>
      <x:c r="B38" s="71" t="n">
        <x:f>J13</x:f>
        <x:v>96</x:v>
      </x:c>
      <x:c r="C38" s="71" t="n">
        <x:f>K13</x:f>
        <x:v>96</x:v>
      </x:c>
    </x:row>
    <x:row r="39" ht="23" customHeight="1">
      <x:c r="A39" s="71" t="str">
        <x:v>第6波</x:v>
      </x:c>
      <x:c r="B39" s="71" t="n">
        <x:f>J14</x:f>
        <x:v>116</x:v>
      </x:c>
      <x:c r="C39" s="71" t="n">
        <x:f>K14</x:f>
        <x:v>116</x:v>
      </x:c>
    </x:row>
    <x:row r="40" ht="23" customHeight="1">
      <x:c r="A40" s="71" t="str">
        <x:v>第7波</x:v>
      </x:c>
      <x:c r="B40" s="71" t="n">
        <x:f>J15</x:f>
        <x:v>144</x:v>
      </x:c>
      <x:c r="C40" s="71" t="n">
        <x:f>K15</x:f>
        <x:v>144</x:v>
      </x:c>
    </x:row>
    <x:row r="41" ht="23" customHeight="1">
      <x:c r="A41" s="71" t="str">
        <x:v>第8波</x:v>
      </x:c>
      <x:c r="B41" s="71" t="n">
        <x:f>J16</x:f>
        <x:v>172</x:v>
      </x:c>
      <x:c r="C41" s="71" t="n">
        <x:f>K16</x:f>
        <x:v>172</x:v>
      </x:c>
    </x:row>
    <x:row r="42" ht="23" customHeight="1">
      <x:c r="A42" s="71" t="str">
        <x:v>第9波</x:v>
      </x:c>
      <x:c r="B42" s="71" t="n">
        <x:f>J17</x:f>
        <x:v>210</x:v>
      </x:c>
      <x:c r="C42" s="71" t="n">
        <x:f>K17</x:f>
        <x:v>210</x:v>
      </x:c>
    </x:row>
    <x:row r="43" ht="23" customHeight="1">
      <x:c r="A43" s="71" t="str">
        <x:v>第10波</x:v>
      </x:c>
      <x:c r="B43" s="71" t="n">
        <x:f>J18</x:f>
        <x:v>246</x:v>
      </x:c>
      <x:c r="C43" s="71" t="n">
        <x:f>K18</x:f>
        <x:v>246</x:v>
      </x:c>
    </x:row>
    <x:row r="44" ht="23" customHeight="1">
      <x:c r="A44" s="71" t="str">
        <x:v>第11波</x:v>
      </x:c>
      <x:c r="B44" s="71" t="n">
        <x:f>J19</x:f>
        <x:v>306</x:v>
      </x:c>
      <x:c r="C44" s="71" t="n">
        <x:f>K19</x:f>
        <x:v>306</x:v>
      </x:c>
    </x:row>
    <x:row r="45" ht="23" customHeight="1">
      <x:c r="A45" s="71" t="str">
        <x:v>第12波</x:v>
      </x:c>
      <x:c r="B45" s="71" t="n">
        <x:f>J20</x:f>
        <x:v>342</x:v>
      </x:c>
      <x:c r="C45" s="71" t="n">
        <x:f>K20</x:f>
        <x:v>342</x:v>
      </x:c>
    </x:row>
    <x:row r="46" ht="23" customHeight="1"/>
    <x:row r="47" ht="23" customHeight="1"/>
    <x:row r="48" ht="23" customHeight="1"/>
    <x:row r="49" ht="23" customHeight="1"/>
    <x:row r="50" ht="23" customHeight="1"/>
    <x:row r="51" ht="23" customHeight="1">
      <x:c r="A51" s="53" t="str">
        <x:v>波次</x:v>
      </x:c>
      <x:c r="B51" s="53" t="str">
        <x:v>实际敌人数</x:v>
      </x:c>
    </x:row>
    <x:row r="52" ht="23" customHeight="1">
      <x:c r="A52" s="71" t="str">
        <x:v>第1波</x:v>
      </x:c>
      <x:c r="B52" s="71" t="n">
        <x:f>G9</x:f>
        <x:v>2500</x:v>
      </x:c>
    </x:row>
    <x:row r="53" ht="23" customHeight="1">
      <x:c r="A53" s="71" t="str">
        <x:v>第2波</x:v>
      </x:c>
      <x:c r="B53" s="71" t="n">
        <x:f>G10</x:f>
        <x:v>3850</x:v>
      </x:c>
    </x:row>
    <x:row r="54" ht="23" customHeight="1">
      <x:c r="A54" s="71" t="str">
        <x:v>第3波</x:v>
      </x:c>
      <x:c r="B54" s="71" t="n">
        <x:f>G11</x:f>
        <x:v>3950</x:v>
      </x:c>
    </x:row>
    <x:row r="55" ht="23" customHeight="1">
      <x:c r="A55" s="71" t="str">
        <x:v>第4波</x:v>
      </x:c>
      <x:c r="B55" s="71" t="n">
        <x:f>G12</x:f>
        <x:v>0</x:v>
      </x:c>
    </x:row>
    <x:row r="56" ht="23" customHeight="1">
      <x:c r="A56" s="71" t="str">
        <x:v>第5波</x:v>
      </x:c>
      <x:c r="B56" s="71" t="n">
        <x:f>G13</x:f>
        <x:v>80</x:v>
      </x:c>
    </x:row>
    <x:row r="57" ht="23" customHeight="1">
      <x:c r="A57" s="71" t="str">
        <x:v>第6波</x:v>
      </x:c>
      <x:c r="B57" s="71" t="n">
        <x:f>G14</x:f>
        <x:v>96</x:v>
      </x:c>
    </x:row>
    <x:row r="58" ht="23" customHeight="1">
      <x:c r="A58" s="71" t="str">
        <x:v>第7波</x:v>
      </x:c>
      <x:c r="B58" s="71" t="n">
        <x:f>G15</x:f>
        <x:v>112</x:v>
      </x:c>
    </x:row>
    <x:row r="59" ht="23" customHeight="1">
      <x:c r="A59" s="71" t="str">
        <x:v>第8波</x:v>
      </x:c>
      <x:c r="B59" s="71" t="n">
        <x:f>G16</x:f>
        <x:v>128</x:v>
      </x:c>
    </x:row>
    <x:row r="60" ht="23" customHeight="1">
      <x:c r="A60" s="71" t="str">
        <x:v>第9波</x:v>
      </x:c>
      <x:c r="B60" s="71" t="n">
        <x:f>G17</x:f>
        <x:v>144</x:v>
      </x:c>
    </x:row>
    <x:row r="61" ht="23" customHeight="1">
      <x:c r="A61" s="71" t="str">
        <x:v>第10波</x:v>
      </x:c>
      <x:c r="B61" s="71" t="n">
        <x:f>G18</x:f>
        <x:v>160</x:v>
      </x:c>
    </x:row>
    <x:row r="62" ht="23" customHeight="1">
      <x:c r="A62" s="71" t="str">
        <x:v>第11波</x:v>
      </x:c>
      <x:c r="B62" s="71" t="n">
        <x:f>G19</x:f>
        <x:v>176</x:v>
      </x:c>
    </x:row>
    <x:row r="63" ht="23" customHeight="1">
      <x:c r="A63" s="71" t="str">
        <x:v>第12波</x:v>
      </x:c>
      <x:c r="B63" s="71" t="n">
        <x:f>G20</x:f>
        <x:v>200</x:v>
      </x:c>
    </x:row>
    <x:row r="64" ht="23" customHeight="1"/>
    <x:row r="65" ht="23" customHeight="1"/>
    <x:row r="66" ht="23" customHeight="1"/>
  </x:sheetData>
  <x:mergeCells>
    <x:mergeCell ref="A1:N1"/>
    <x:mergeCell ref="A2:N2"/>
    <x:mergeCell ref="A5:C6"/>
    <x:mergeCell ref="D5:F6"/>
    <x:mergeCell ref="G5:I6"/>
    <x:mergeCell ref="J5:L6"/>
    <x:mergeCell ref="M5:N6"/>
    <x:mergeCell ref="A22:N22"/>
    <x:mergeCell ref="A24:N24"/>
  </x:mergeCells>
  <x:pageMargins left="0.7" right="0.7" top="0.75" bottom="0.75" header="0.3" footer="0.3"/>
  <x:drawing xmlns:r="http://schemas.openxmlformats.org/officeDocument/2006/relationships" r:id="Rdca7a977660242e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22" hidden="0" customWidth="1"/>
    <x:col min="4" max="4" width="14" hidden="0" customWidth="1"/>
    <x:col min="5" max="5" width="22" hidden="0" customWidth="1"/>
    <x:col min="6" max="6" width="14" hidden="0" customWidth="1"/>
  </x:cols>
  <x:sheetData>
    <x:row r="1" ht="34" customHeight="1">
      <x:c r="A1" s="3" t="str">
        <x:v>全局设置与四日战役契约</x:v>
      </x:c>
      <x:c r="B1" s="3"/>
      <x:c r="C1" s="3"/>
      <x:c r="D1" s="3"/>
      <x:c r="E1" s="3"/>
      <x:c r="F1" s="3"/>
    </x:row>
    <x:row r="2" ht="23" customHeight="1">
      <x:c r="A2" s="49" t="str">
        <x:v>蓝色项目影响平衡预览；地下探索行动力会进入 schema v3 并由正式成长配置读取。</x:v>
      </x:c>
      <x:c r="B2" s="49"/>
      <x:c r="C2" s="49"/>
      <x:c r="D2" s="49"/>
      <x:c r="E2" s="49"/>
      <x:c r="F2" s="49"/>
    </x:row>
    <x:row r="3" ht="23" customHeight="1"/>
    <x:row r="4" ht="23" customHeight="1">
      <x:c r="A4" s="53" t="str">
        <x:v>模拟参数</x:v>
      </x:c>
      <x:c r="B4" s="53" t="str">
        <x:v>当前值</x:v>
      </x:c>
    </x:row>
    <x:row r="5" ht="23" customHeight="1">
      <x:c r="A5" s="30" t="str">
        <x:v>玩家人数</x:v>
      </x:c>
      <x:c r="B5" s="57" t="n">
        <x:v>1</x:v>
      </x:c>
    </x:row>
    <x:row r="6" ht="23" customHeight="1">
      <x:c r="A6" s="30" t="str">
        <x:v>每名额外玩家敌人数增幅</x:v>
      </x:c>
      <x:c r="B6" s="63" t="n">
        <x:v>0.25</x:v>
      </x:c>
    </x:row>
    <x:row r="7" ht="23" customHeight="1">
      <x:c r="A7" s="30" t="str">
        <x:v>预计击杀率</x:v>
      </x:c>
      <x:c r="B7" s="63" t="n">
        <x:v>1</x:v>
      </x:c>
    </x:row>
    <x:row r="8" ht="23" customHeight="1">
      <x:c r="A8" s="30" t="str">
        <x:v>目标普通波次数</x:v>
      </x:c>
      <x:c r="B8" s="62" t="n">
        <x:v>12</x:v>
      </x:c>
    </x:row>
    <x:row r="9" ht="23" customHeight="1">
      <x:c r="A9" s="30" t="str">
        <x:v>总日数</x:v>
      </x:c>
      <x:c r="B9" s="62" t="n">
        <x:v>4</x:v>
      </x:c>
    </x:row>
    <x:row r="10" ht="23" customHeight="1">
      <x:c r="A10" s="30" t="str">
        <x:v>每日日内波次</x:v>
      </x:c>
      <x:c r="B10" s="62" t="n">
        <x:v>4</x:v>
      </x:c>
    </x:row>
    <x:row r="11" ht="23" customHeight="1">
      <x:c r="A11" s="30" t="str">
        <x:v>Boss 接续于</x:v>
      </x:c>
      <x:c r="B11" s="62" t="str">
        <x:v>第12波之后</x:v>
      </x:c>
    </x:row>
    <x:row r="12" ht="23" customHeight="1">
      <x:c r="A12" s="30" t="str">
        <x:v>Boss 日期</x:v>
      </x:c>
      <x:c r="B12" s="62" t="str">
        <x:v>第4日</x:v>
      </x:c>
    </x:row>
    <x:row r="13" ht="23" customHeight="1">
      <x:c r="A13" s="30" t="str">
        <x:v>Boss 时段</x:v>
      </x:c>
      <x:c r="B13" s="62" t="str">
        <x:v>白昼</x:v>
      </x:c>
    </x:row>
    <x:row r="14" ht="23" customHeight="1"/>
    <x:row r="15" ht="23" customHeight="1">
      <x:c r="A15" s="33" t="str">
        <x:v>第 1～3 日地下探索行动力（独立输入）</x:v>
      </x:c>
      <x:c r="B15" s="33"/>
      <x:c r="C15" s="33"/>
      <x:c r="D15" s="33"/>
      <x:c r="E15" s="33"/>
      <x:c r="F15" s="33"/>
    </x:row>
    <x:row r="16" ht="23" customHeight="1">
      <x:c r="A16" s="67" t="str">
        <x:v>第1日探索 AP</x:v>
      </x:c>
      <x:c r="B16" s="69" t="n">
        <x:v>5</x:v>
      </x:c>
      <x:c r="C16" s="67" t="str">
        <x:v>第2日探索 AP</x:v>
      </x:c>
      <x:c r="D16" s="69" t="n">
        <x:v>5</x:v>
      </x:c>
      <x:c r="E16" s="67" t="str">
        <x:v>第3日探索 AP</x:v>
      </x:c>
      <x:c r="F16" s="69" t="n">
        <x:v>5</x:v>
      </x:c>
    </x:row>
    <x:row r="17" ht="23" customHeight="1"/>
    <x:row r="18" ht="23" customHeight="1">
      <x:c r="A18" s="12" t="str">
        <x:v>设计完整度</x:v>
      </x:c>
      <x:c r="B18" s="12"/>
      <x:c r="C18" s="12"/>
      <x:c r="D18" s="12"/>
      <x:c r="E18" s="12"/>
      <x:c r="F18" s="12"/>
    </x:row>
    <x:row r="19" ht="23" customHeight="1">
      <x:c r="A19" s="30" t="str">
        <x:v>可回读波次</x:v>
      </x:c>
      <x:c r="B19" s="71" t="str">
        <x:f>COUNTIF('总览'!E9:E20,"可回读")&amp;" / 12"</x:f>
        <x:v>11 / 12</x:v>
      </x:c>
    </x:row>
    <x:row r="20" ht="23" customHeight="1">
      <x:c r="A20" s="30" t="str">
        <x:v>总体状态</x:v>
      </x:c>
      <x:c r="B20" s="71" t="str">
        <x:f>IF(B19="12 / 12","完整","仍有待设计或需修正")</x:f>
        <x:v>仍有待设计或需修正</x:v>
      </x:c>
    </x:row>
    <x:row r="21" ht="23" customHeight="1">
      <x:c r="A21" s="30" t="str">
        <x:v>敌人目录签名</x:v>
      </x:c>
      <x:c r="B21" s="71" t="str">
        <x:v>b1fe8380d773e1597266e16f821f218f409f50807d0f37e8e2cf139bc0c16be8</x:v>
      </x:c>
    </x:row>
    <x:row r="22" ht="23" customHeight="1">
      <x:c r="A22" s="30" t="str">
        <x:v>回读契约</x:v>
      </x:c>
      <x:c r="B22" s="71" t="str">
        <x:v>tower_defense_formal / schema v3</x:v>
      </x:c>
    </x:row>
    <x:row r="23" ht="23" customHeight="1"/>
    <x:row r="24" ht="23" customHeight="1">
      <x:c r="A24" s="76" t="str">
        <x:v>注意：本工作簿不会直接修改正式 wave_01～12.tres；Codex 会先校验 JSON 契约并明确审计差异。</x:v>
      </x:c>
      <x:c r="B24" s="76"/>
      <x:c r="C24" s="76"/>
      <x:c r="D24" s="76"/>
      <x:c r="E24" s="76"/>
      <x:c r="F24" s="76"/>
    </x:row>
  </x:sheetData>
  <x:mergeCells>
    <x:mergeCell ref="A1:F1"/>
    <x:mergeCell ref="A2:F2"/>
    <x:mergeCell ref="A15:F15"/>
    <x:mergeCell ref="A18:F18"/>
    <x:mergeCell ref="A24:F24"/>
  </x:mergeCells>
  <x:dataValidations count="5">
    <x:dataValidation type="whole" operator="between" sqref="B5">
      <x:formula1>1</x:formula1>
      <x:formula2>8</x:formula2>
    </x:dataValidation>
    <x:dataValidation type="decimal" operator="between" sqref="B6:B7">
      <x:formula1>0</x:formula1>
      <x:formula2>1</x:formula2>
    </x:dataValidation>
    <x:dataValidation type="whole" operator="between" sqref="B16">
      <x:formula1>0</x:formula1>
      <x:formula2>999</x:formula2>
    </x:dataValidation>
    <x:dataValidation type="whole" operator="between" sqref="D16">
      <x:formula1>0</x:formula1>
      <x:formula2>999</x:formula2>
    </x:dataValidation>
    <x:dataValidation type="whole" operator="between" sqref="F16">
      <x:formula1>0</x:formula1>
      <x:formula2>999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12" hidden="0" customWidth="1"/>
    <x:col min="4" max="4" width="12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3" hidden="0" customWidth="1"/>
  </x:cols>
  <x:sheetData>
    <x:row r="1" ht="34" customHeight="1">
      <x:c r="A1" s="3" t="str">
        <x:f>"第1日｜4 波配置｜日终地下探索 +"&amp;'全局设置'!B16&amp;" AP"</x:f>
        <x:v>第1日｜4 波配置｜日终地下探索 +5 AP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12" t="str">
        <x:v>第 1 波｜第 1 日·1/4｜白昼｜当前正式配置</x:v>
      </x:c>
      <x:c r="B2" s="12"/>
      <x:c r="C2" s="12"/>
      <x:c r="D2" s="12"/>
      <x:c r="E2" s="12"/>
      <x:c r="F2" s="12"/>
      <x:c r="G2" s="12"/>
      <x:c r="H2" s="12"/>
      <x:c r="I2" s="12"/>
    </x:row>
    <x:row r="3" ht="22" customHeight="1">
      <x:c r="A3" s="53" t="str">
        <x:v>波次名称</x:v>
      </x:c>
      <x:c r="B3" s="78" t="str">
        <x:v>第1波 林地试探</x:v>
      </x:c>
      <x:c r="C3" s="78" t="str">
        <x:v>第1波 林地试探</x:v>
      </x:c>
      <x:c r="D3" s="53" t="str">
        <x:v>出生间隔(s)</x:v>
      </x:c>
      <x:c r="E3" s="57" t="n">
        <x:v>0.2</x:v>
      </x:c>
      <x:c r="F3" s="53" t="str">
        <x:v>每Tick</x:v>
      </x:c>
      <x:c r="G3" s="57" t="n">
        <x:v>1</x:v>
      </x:c>
      <x:c r="H3" s="53" t="str">
        <x:v>存活上限</x:v>
      </x:c>
      <x:c r="I3" s="57" t="n">
        <x:v>300</x:v>
      </x:c>
    </x:row>
    <x:row r="4" ht="22" customHeight="1">
      <x:c r="A4" s="53" t="str">
        <x:v>出生点</x:v>
      </x:c>
      <x:c r="B4" s="68" t="str">
        <x:v>点1·开启</x:v>
      </x:c>
      <x:c r="C4" s="68" t="str">
        <x:v>点2·开启</x:v>
      </x:c>
      <x:c r="D4" s="68" t="str">
        <x:v>点3·开启</x:v>
      </x:c>
      <x:c r="E4" s="68" t="str">
        <x:v>点4·开启</x:v>
      </x:c>
      <x:c r="F4" s="68" t="str">
        <x:v>点5·关闭</x:v>
      </x:c>
      <x:c r="G4" s="68" t="str">
        <x:v>点6·关闭</x:v>
      </x:c>
      <x:c r="H4" s="53" t="str">
        <x:v>波次校验</x:v>
      </x:c>
      <x:c r="I4" s="81" t="str">
        <x:f>IF(COUNTA(B7:B24)=0,"待设计",IF(COUNTIF(I7:I24,"需修正")&gt;0,"需修正","可回读"))</x:f>
        <x:v>可回读</x:v>
      </x:c>
    </x:row>
    <x:row r="5" ht="22" customHeight="1">
      <x:c r="A5" s="86" t="str">
        <x:v>仅编辑蓝色列、敌人数值和出生点；所有公式、稳定 ID 与 schema 字段由机器区自动生成。</x:v>
      </x:c>
      <x:c r="B5" s="86"/>
      <x:c r="C5" s="86"/>
      <x:c r="D5" s="86"/>
      <x:c r="E5" s="86"/>
      <x:c r="F5" s="86"/>
      <x:c r="G5" s="86"/>
      <x:c r="H5" s="86"/>
      <x:c r="I5" s="86"/>
    </x:row>
    <x:row r="6" ht="22" customHeight="1">
      <x:c r="A6" s="53" t="str">
        <x:v>槽位</x:v>
      </x:c>
      <x:c r="B6" s="53" t="str">
        <x:v>敌人（下拉选择）</x:v>
      </x:c>
      <x:c r="C6" s="53" t="str">
        <x:v>基础数量</x:v>
      </x:c>
      <x:c r="D6" s="53" t="str">
        <x:v>实际数量</x:v>
      </x:c>
      <x:c r="E6" s="53" t="str">
        <x:v>息壤/击杀</x:v>
      </x:c>
      <x:c r="F6" s="53" t="str">
        <x:v>最大息壤/玩家</x:v>
      </x:c>
      <x:c r="G6" s="53" t="str">
        <x:v>预计息壤/玩家</x:v>
      </x:c>
      <x:c r="H6" s="53" t="str">
        <x:v>预计息壤/队伍</x:v>
      </x:c>
      <x:c r="I6" s="53" t="str">
        <x:v>校验</x:v>
      </x:c>
    </x:row>
    <x:row r="7" ht="22" customHeight="1">
      <x:c r="A7" s="88" t="n">
        <x:v>1</x:v>
      </x:c>
      <x:c r="B7" s="78" t="str">
        <x:v>史莱姆</x:v>
      </x:c>
      <x:c r="C7" s="78" t="n">
        <x:v>1300</x:v>
      </x:c>
      <x:c r="D7" s="62" t="n">
        <x:f>IF(B7="",0,ROUNDUP(C7*(1+('全局设置'!$B$5-1)*'全局设置'!$B$6),0))</x:f>
        <x:v>1300</x:v>
      </x:c>
      <x:c r="E7" s="92" t="n">
        <x:f>IF(B7="",0,IFERROR(VLOOKUP(B7,'敌人目录'!$A$6:$M$54,13,FALSE),0))</x:f>
        <x:v>1</x:v>
      </x:c>
      <x:c r="F7" s="92" t="n">
        <x:f>D7*E7</x:f>
        <x:v>1300</x:v>
      </x:c>
      <x:c r="G7" s="92" t="n">
        <x:f>F7*'全局设置'!$B$7</x:f>
        <x:v>1300</x:v>
      </x:c>
      <x:c r="H7" s="92" t="n">
        <x:f>G7*'全局设置'!$B$5</x:f>
        <x:v>1300</x:v>
      </x:c>
      <x:c r="I7" s="81" t="str">
        <x:f>IF(AND(B7="",C7=""),"",IF(AND(B7&lt;&gt;"",C7&gt;=1,COUNTIF($B$7:$B$24,B7)=1),"可回读","需修正"))</x:f>
        <x:v>可回读</x:v>
      </x:c>
    </x:row>
    <x:row r="8" ht="22" customHeight="1">
      <x:c r="A8" s="88" t="n">
        <x:v>2</x:v>
      </x:c>
      <x:c r="B8" s="78" t="str">
        <x:v>火焰史莱姆</x:v>
      </x:c>
      <x:c r="C8" s="78" t="n">
        <x:v>400</x:v>
      </x:c>
      <x:c r="D8" s="62" t="n">
        <x:f>IF(B8="",0,ROUNDUP(C8*(1+('全局设置'!$B$5-1)*'全局设置'!$B$6),0))</x:f>
        <x:v>400</x:v>
      </x:c>
      <x:c r="E8" s="92" t="n">
        <x:f>IF(B8="",0,IFERROR(VLOOKUP(B8,'敌人目录'!$A$6:$M$54,13,FALSE),0))</x:f>
        <x:v>1</x:v>
      </x:c>
      <x:c r="F8" s="92" t="n">
        <x:f>D8*E8</x:f>
        <x:v>400</x:v>
      </x:c>
      <x:c r="G8" s="92" t="n">
        <x:f>F8*'全局设置'!$B$7</x:f>
        <x:v>400</x:v>
      </x:c>
      <x:c r="H8" s="92" t="n">
        <x:f>G8*'全局设置'!$B$5</x:f>
        <x:v>400</x:v>
      </x:c>
      <x:c r="I8" s="81" t="str">
        <x:f>IF(AND(B8="",C8=""),"",IF(AND(B8&lt;&gt;"",C8&gt;=1,COUNTIF($B$7:$B$24,B8)=1),"可回读","需修正"))</x:f>
        <x:v>可回读</x:v>
      </x:c>
    </x:row>
    <x:row r="9" ht="22" customHeight="1">
      <x:c r="A9" s="88" t="n">
        <x:v>3</x:v>
      </x:c>
      <x:c r="B9" s="78" t="str">
        <x:v>普通原石虫</x:v>
      </x:c>
      <x:c r="C9" s="78" t="n">
        <x:v>500</x:v>
      </x:c>
      <x:c r="D9" s="62" t="n">
        <x:f>IF(B9="",0,ROUNDUP(C9*(1+('全局设置'!$B$5-1)*'全局设置'!$B$6),0))</x:f>
        <x:v>500</x:v>
      </x:c>
      <x:c r="E9" s="92" t="n">
        <x:f>IF(B9="",0,IFERROR(VLOOKUP(B9,'敌人目录'!$A$6:$M$54,13,FALSE),0))</x:f>
        <x:v>1</x:v>
      </x:c>
      <x:c r="F9" s="92" t="n">
        <x:f>D9*E9</x:f>
        <x:v>500</x:v>
      </x:c>
      <x:c r="G9" s="92" t="n">
        <x:f>F9*'全局设置'!$B$7</x:f>
        <x:v>500</x:v>
      </x:c>
      <x:c r="H9" s="92" t="n">
        <x:f>G9*'全局设置'!$B$5</x:f>
        <x:v>500</x:v>
      </x:c>
      <x:c r="I9" s="81" t="str">
        <x:f>IF(AND(B9="",C9=""),"",IF(AND(B9&lt;&gt;"",C9&gt;=1,COUNTIF($B$7:$B$24,B9)=1),"可回读","需修正"))</x:f>
        <x:v>可回读</x:v>
      </x:c>
    </x:row>
    <x:row r="10" ht="22" customHeight="1">
      <x:c r="A10" s="88" t="n">
        <x:v>4</x:v>
      </x:c>
      <x:c r="B10" s="78" t="str">
        <x:v>迅捷原石虫</x:v>
      </x:c>
      <x:c r="C10" s="78" t="n">
        <x:v>300</x:v>
      </x:c>
      <x:c r="D10" s="62" t="n">
        <x:f>IF(B10="",0,ROUNDUP(C10*(1+('全局设置'!$B$5-1)*'全局设置'!$B$6),0))</x:f>
        <x:v>300</x:v>
      </x:c>
      <x:c r="E10" s="92" t="n">
        <x:f>IF(B10="",0,IFERROR(VLOOKUP(B10,'敌人目录'!$A$6:$M$54,13,FALSE),0))</x:f>
        <x:v>1</x:v>
      </x:c>
      <x:c r="F10" s="92" t="n">
        <x:f>D10*E10</x:f>
        <x:v>300</x:v>
      </x:c>
      <x:c r="G10" s="92" t="n">
        <x:f>F10*'全局设置'!$B$7</x:f>
        <x:v>300</x:v>
      </x:c>
      <x:c r="H10" s="92" t="n">
        <x:f>G10*'全局设置'!$B$5</x:f>
        <x:v>300</x:v>
      </x:c>
      <x:c r="I10" s="81" t="str">
        <x:f>IF(AND(B10="",C10=""),"",IF(AND(B10&lt;&gt;"",C10&gt;=1,COUNTIF($B$7:$B$24,B10)=1),"可回读","需修正"))</x:f>
        <x:v>可回读</x:v>
      </x:c>
    </x:row>
    <x:row r="11" ht="22" customHeight="1">
      <x:c r="A11" s="88" t="n">
        <x:v>5</x:v>
      </x:c>
      <x:c r="B11" s="78"/>
      <x:c r="C11" s="78"/>
      <x:c r="D11" s="62" t="n">
        <x:f>IF(B11="",0,ROUNDUP(C11*(1+('全局设置'!$B$5-1)*'全局设置'!$B$6),0))</x:f>
        <x:v>0</x:v>
      </x:c>
      <x:c r="E11" s="92" t="n">
        <x:f>IF(B11="",0,IFERROR(VLOOKUP(B11,'敌人目录'!$A$6:$M$54,13,FALSE),0))</x:f>
        <x:v>0</x:v>
      </x:c>
      <x:c r="F11" s="92" t="n">
        <x:f>D11*E11</x:f>
        <x:v>0</x:v>
      </x:c>
      <x:c r="G11" s="92" t="n">
        <x:f>F11*'全局设置'!$B$7</x:f>
        <x:v>0</x:v>
      </x:c>
      <x:c r="H11" s="92" t="n">
        <x:f>G11*'全局设置'!$B$5</x:f>
        <x:v>0</x:v>
      </x:c>
      <x:c r="I11" s="81" t="str">
        <x:f>IF(AND(B11="",C11=""),"",IF(AND(B11&lt;&gt;"",C11&gt;=1,COUNTIF($B$7:$B$24,B11)=1),"可回读","需修正"))</x:f>
      </x:c>
    </x:row>
    <x:row r="12" ht="22" customHeight="1">
      <x:c r="A12" s="88" t="n">
        <x:v>6</x:v>
      </x:c>
      <x:c r="B12" s="78"/>
      <x:c r="C12" s="78"/>
      <x:c r="D12" s="62" t="n">
        <x:f>IF(B12="",0,ROUNDUP(C12*(1+('全局设置'!$B$5-1)*'全局设置'!$B$6),0))</x:f>
        <x:v>0</x:v>
      </x:c>
      <x:c r="E12" s="92" t="n">
        <x:f>IF(B12="",0,IFERROR(VLOOKUP(B12,'敌人目录'!$A$6:$M$54,13,FALSE),0))</x:f>
        <x:v>0</x:v>
      </x:c>
      <x:c r="F12" s="92" t="n">
        <x:f>D12*E12</x:f>
        <x:v>0</x:v>
      </x:c>
      <x:c r="G12" s="92" t="n">
        <x:f>F12*'全局设置'!$B$7</x:f>
        <x:v>0</x:v>
      </x:c>
      <x:c r="H12" s="92" t="n">
        <x:f>G12*'全局设置'!$B$5</x:f>
        <x:v>0</x:v>
      </x:c>
      <x:c r="I12" s="81" t="str">
        <x:f>IF(AND(B12="",C12=""),"",IF(AND(B12&lt;&gt;"",C12&gt;=1,COUNTIF($B$7:$B$24,B12)=1),"可回读","需修正"))</x:f>
      </x:c>
    </x:row>
    <x:row r="13" ht="22" customHeight="1">
      <x:c r="A13" s="88" t="n">
        <x:v>7</x:v>
      </x:c>
      <x:c r="B13" s="78"/>
      <x:c r="C13" s="78"/>
      <x:c r="D13" s="62" t="n">
        <x:f>IF(B13="",0,ROUNDUP(C13*(1+('全局设置'!$B$5-1)*'全局设置'!$B$6),0))</x:f>
        <x:v>0</x:v>
      </x:c>
      <x:c r="E13" s="92" t="n">
        <x:f>IF(B13="",0,IFERROR(VLOOKUP(B13,'敌人目录'!$A$6:$M$54,13,FALSE),0))</x:f>
        <x:v>0</x:v>
      </x:c>
      <x:c r="F13" s="92" t="n">
        <x:f>D13*E13</x:f>
        <x:v>0</x:v>
      </x:c>
      <x:c r="G13" s="92" t="n">
        <x:f>F13*'全局设置'!$B$7</x:f>
        <x:v>0</x:v>
      </x:c>
      <x:c r="H13" s="92" t="n">
        <x:f>G13*'全局设置'!$B$5</x:f>
        <x:v>0</x:v>
      </x:c>
      <x:c r="I13" s="81" t="str">
        <x:f>IF(AND(B13="",C13=""),"",IF(AND(B13&lt;&gt;"",C13&gt;=1,COUNTIF($B$7:$B$24,B13)=1),"可回读","需修正"))</x:f>
      </x:c>
    </x:row>
    <x:row r="14" ht="22" customHeight="1">
      <x:c r="A14" s="88" t="n">
        <x:v>8</x:v>
      </x:c>
      <x:c r="B14" s="78"/>
      <x:c r="C14" s="78"/>
      <x:c r="D14" s="62" t="n">
        <x:f>IF(B14="",0,ROUNDUP(C14*(1+('全局设置'!$B$5-1)*'全局设置'!$B$6),0))</x:f>
        <x:v>0</x:v>
      </x:c>
      <x:c r="E14" s="92" t="n">
        <x:f>IF(B14="",0,IFERROR(VLOOKUP(B14,'敌人目录'!$A$6:$M$54,13,FALSE),0))</x:f>
        <x:v>0</x:v>
      </x:c>
      <x:c r="F14" s="92" t="n">
        <x:f>D14*E14</x:f>
        <x:v>0</x:v>
      </x:c>
      <x:c r="G14" s="92" t="n">
        <x:f>F14*'全局设置'!$B$7</x:f>
        <x:v>0</x:v>
      </x:c>
      <x:c r="H14" s="92" t="n">
        <x:f>G14*'全局设置'!$B$5</x:f>
        <x:v>0</x:v>
      </x:c>
      <x:c r="I14" s="81" t="str">
        <x:f>IF(AND(B14="",C14=""),"",IF(AND(B14&lt;&gt;"",C14&gt;=1,COUNTIF($B$7:$B$24,B14)=1),"可回读","需修正"))</x:f>
      </x:c>
    </x:row>
    <x:row r="15" ht="22" customHeight="1">
      <x:c r="A15" s="88" t="n">
        <x:v>9</x:v>
      </x:c>
      <x:c r="B15" s="78"/>
      <x:c r="C15" s="78"/>
      <x:c r="D15" s="62" t="n">
        <x:f>IF(B15="",0,ROUNDUP(C15*(1+('全局设置'!$B$5-1)*'全局设置'!$B$6),0))</x:f>
        <x:v>0</x:v>
      </x:c>
      <x:c r="E15" s="92" t="n">
        <x:f>IF(B15="",0,IFERROR(VLOOKUP(B15,'敌人目录'!$A$6:$M$54,13,FALSE),0))</x:f>
        <x:v>0</x:v>
      </x:c>
      <x:c r="F15" s="92" t="n">
        <x:f>D15*E15</x:f>
        <x:v>0</x:v>
      </x:c>
      <x:c r="G15" s="92" t="n">
        <x:f>F15*'全局设置'!$B$7</x:f>
        <x:v>0</x:v>
      </x:c>
      <x:c r="H15" s="92" t="n">
        <x:f>G15*'全局设置'!$B$5</x:f>
        <x:v>0</x:v>
      </x:c>
      <x:c r="I15" s="81" t="str">
        <x:f>IF(AND(B15="",C15=""),"",IF(AND(B15&lt;&gt;"",C15&gt;=1,COUNTIF($B$7:$B$24,B15)=1),"可回读","需修正"))</x:f>
      </x:c>
    </x:row>
    <x:row r="16" ht="22" customHeight="1">
      <x:c r="A16" s="88" t="n">
        <x:v>10</x:v>
      </x:c>
      <x:c r="B16" s="78"/>
      <x:c r="C16" s="78"/>
      <x:c r="D16" s="62" t="n">
        <x:f>IF(B16="",0,ROUNDUP(C16*(1+('全局设置'!$B$5-1)*'全局设置'!$B$6),0))</x:f>
        <x:v>0</x:v>
      </x:c>
      <x:c r="E16" s="92" t="n">
        <x:f>IF(B16="",0,IFERROR(VLOOKUP(B16,'敌人目录'!$A$6:$M$54,13,FALSE),0))</x:f>
        <x:v>0</x:v>
      </x:c>
      <x:c r="F16" s="92" t="n">
        <x:f>D16*E16</x:f>
        <x:v>0</x:v>
      </x:c>
      <x:c r="G16" s="92" t="n">
        <x:f>F16*'全局设置'!$B$7</x:f>
        <x:v>0</x:v>
      </x:c>
      <x:c r="H16" s="92" t="n">
        <x:f>G16*'全局设置'!$B$5</x:f>
        <x:v>0</x:v>
      </x:c>
      <x:c r="I16" s="81" t="str">
        <x:f>IF(AND(B16="",C16=""),"",IF(AND(B16&lt;&gt;"",C16&gt;=1,COUNTIF($B$7:$B$24,B16)=1),"可回读","需修正"))</x:f>
      </x:c>
    </x:row>
    <x:row r="17" ht="22" customHeight="1">
      <x:c r="A17" s="88" t="n">
        <x:v>11</x:v>
      </x:c>
      <x:c r="B17" s="78"/>
      <x:c r="C17" s="78"/>
      <x:c r="D17" s="62" t="n">
        <x:f>IF(B17="",0,ROUNDUP(C17*(1+('全局设置'!$B$5-1)*'全局设置'!$B$6),0))</x:f>
        <x:v>0</x:v>
      </x:c>
      <x:c r="E17" s="92" t="n">
        <x:f>IF(B17="",0,IFERROR(VLOOKUP(B17,'敌人目录'!$A$6:$M$54,13,FALSE),0))</x:f>
        <x:v>0</x:v>
      </x:c>
      <x:c r="F17" s="92" t="n">
        <x:f>D17*E17</x:f>
        <x:v>0</x:v>
      </x:c>
      <x:c r="G17" s="92" t="n">
        <x:f>F17*'全局设置'!$B$7</x:f>
        <x:v>0</x:v>
      </x:c>
      <x:c r="H17" s="92" t="n">
        <x:f>G17*'全局设置'!$B$5</x:f>
        <x:v>0</x:v>
      </x:c>
      <x:c r="I17" s="81" t="str">
        <x:f>IF(AND(B17="",C17=""),"",IF(AND(B17&lt;&gt;"",C17&gt;=1,COUNTIF($B$7:$B$24,B17)=1),"可回读","需修正"))</x:f>
      </x:c>
    </x:row>
    <x:row r="18" ht="22" customHeight="1">
      <x:c r="A18" s="88" t="n">
        <x:v>12</x:v>
      </x:c>
      <x:c r="B18" s="78"/>
      <x:c r="C18" s="78"/>
      <x:c r="D18" s="62" t="n">
        <x:f>IF(B18="",0,ROUNDUP(C18*(1+('全局设置'!$B$5-1)*'全局设置'!$B$6),0))</x:f>
        <x:v>0</x:v>
      </x:c>
      <x:c r="E18" s="92" t="n">
        <x:f>IF(B18="",0,IFERROR(VLOOKUP(B18,'敌人目录'!$A$6:$M$54,13,FALSE),0))</x:f>
        <x:v>0</x:v>
      </x:c>
      <x:c r="F18" s="92" t="n">
        <x:f>D18*E18</x:f>
        <x:v>0</x:v>
      </x:c>
      <x:c r="G18" s="92" t="n">
        <x:f>F18*'全局设置'!$B$7</x:f>
        <x:v>0</x:v>
      </x:c>
      <x:c r="H18" s="92" t="n">
        <x:f>G18*'全局设置'!$B$5</x:f>
        <x:v>0</x:v>
      </x:c>
      <x:c r="I18" s="81" t="str">
        <x:f>IF(AND(B18="",C18=""),"",IF(AND(B18&lt;&gt;"",C18&gt;=1,COUNTIF($B$7:$B$24,B18)=1),"可回读","需修正"))</x:f>
      </x:c>
    </x:row>
    <x:row r="19" ht="22" customHeight="1">
      <x:c r="A19" s="88" t="n">
        <x:v>13</x:v>
      </x:c>
      <x:c r="B19" s="78"/>
      <x:c r="C19" s="78"/>
      <x:c r="D19" s="62" t="n">
        <x:f>IF(B19="",0,ROUNDUP(C19*(1+('全局设置'!$B$5-1)*'全局设置'!$B$6),0))</x:f>
        <x:v>0</x:v>
      </x:c>
      <x:c r="E19" s="92" t="n">
        <x:f>IF(B19="",0,IFERROR(VLOOKUP(B19,'敌人目录'!$A$6:$M$54,13,FALSE),0))</x:f>
        <x:v>0</x:v>
      </x:c>
      <x:c r="F19" s="92" t="n">
        <x:f>D19*E19</x:f>
        <x:v>0</x:v>
      </x:c>
      <x:c r="G19" s="92" t="n">
        <x:f>F19*'全局设置'!$B$7</x:f>
        <x:v>0</x:v>
      </x:c>
      <x:c r="H19" s="92" t="n">
        <x:f>G19*'全局设置'!$B$5</x:f>
        <x:v>0</x:v>
      </x:c>
      <x:c r="I19" s="81" t="str">
        <x:f>IF(AND(B19="",C19=""),"",IF(AND(B19&lt;&gt;"",C19&gt;=1,COUNTIF($B$7:$B$24,B19)=1),"可回读","需修正"))</x:f>
      </x:c>
    </x:row>
    <x:row r="20" ht="22" customHeight="1">
      <x:c r="A20" s="88" t="n">
        <x:v>14</x:v>
      </x:c>
      <x:c r="B20" s="78"/>
      <x:c r="C20" s="78"/>
      <x:c r="D20" s="62" t="n">
        <x:f>IF(B20="",0,ROUNDUP(C20*(1+('全局设置'!$B$5-1)*'全局设置'!$B$6),0))</x:f>
        <x:v>0</x:v>
      </x:c>
      <x:c r="E20" s="92" t="n">
        <x:f>IF(B20="",0,IFERROR(VLOOKUP(B20,'敌人目录'!$A$6:$M$54,13,FALSE),0))</x:f>
        <x:v>0</x:v>
      </x:c>
      <x:c r="F20" s="92" t="n">
        <x:f>D20*E20</x:f>
        <x:v>0</x:v>
      </x:c>
      <x:c r="G20" s="92" t="n">
        <x:f>F20*'全局设置'!$B$7</x:f>
        <x:v>0</x:v>
      </x:c>
      <x:c r="H20" s="92" t="n">
        <x:f>G20*'全局设置'!$B$5</x:f>
        <x:v>0</x:v>
      </x:c>
      <x:c r="I20" s="81" t="str">
        <x:f>IF(AND(B20="",C20=""),"",IF(AND(B20&lt;&gt;"",C20&gt;=1,COUNTIF($B$7:$B$24,B20)=1),"可回读","需修正"))</x:f>
      </x:c>
    </x:row>
    <x:row r="21" ht="22" customHeight="1">
      <x:c r="A21" s="88" t="n">
        <x:v>15</x:v>
      </x:c>
      <x:c r="B21" s="78"/>
      <x:c r="C21" s="78"/>
      <x:c r="D21" s="62" t="n">
        <x:f>IF(B21="",0,ROUNDUP(C21*(1+('全局设置'!$B$5-1)*'全局设置'!$B$6),0))</x:f>
        <x:v>0</x:v>
      </x:c>
      <x:c r="E21" s="92" t="n">
        <x:f>IF(B21="",0,IFERROR(VLOOKUP(B21,'敌人目录'!$A$6:$M$54,13,FALSE),0))</x:f>
        <x:v>0</x:v>
      </x:c>
      <x:c r="F21" s="92" t="n">
        <x:f>D21*E21</x:f>
        <x:v>0</x:v>
      </x:c>
      <x:c r="G21" s="92" t="n">
        <x:f>F21*'全局设置'!$B$7</x:f>
        <x:v>0</x:v>
      </x:c>
      <x:c r="H21" s="92" t="n">
        <x:f>G21*'全局设置'!$B$5</x:f>
        <x:v>0</x:v>
      </x:c>
      <x:c r="I21" s="81" t="str">
        <x:f>IF(AND(B21="",C21=""),"",IF(AND(B21&lt;&gt;"",C21&gt;=1,COUNTIF($B$7:$B$24,B21)=1),"可回读","需修正"))</x:f>
      </x:c>
    </x:row>
    <x:row r="22" ht="22" customHeight="1">
      <x:c r="A22" s="88" t="n">
        <x:v>16</x:v>
      </x:c>
      <x:c r="B22" s="78"/>
      <x:c r="C22" s="78"/>
      <x:c r="D22" s="62" t="n">
        <x:f>IF(B22="",0,ROUNDUP(C22*(1+('全局设置'!$B$5-1)*'全局设置'!$B$6),0))</x:f>
        <x:v>0</x:v>
      </x:c>
      <x:c r="E22" s="92" t="n">
        <x:f>IF(B22="",0,IFERROR(VLOOKUP(B22,'敌人目录'!$A$6:$M$54,13,FALSE),0))</x:f>
        <x:v>0</x:v>
      </x:c>
      <x:c r="F22" s="92" t="n">
        <x:f>D22*E22</x:f>
        <x:v>0</x:v>
      </x:c>
      <x:c r="G22" s="92" t="n">
        <x:f>F22*'全局设置'!$B$7</x:f>
        <x:v>0</x:v>
      </x:c>
      <x:c r="H22" s="92" t="n">
        <x:f>G22*'全局设置'!$B$5</x:f>
        <x:v>0</x:v>
      </x:c>
      <x:c r="I22" s="81" t="str">
        <x:f>IF(AND(B22="",C22=""),"",IF(AND(B22&lt;&gt;"",C22&gt;=1,COUNTIF($B$7:$B$24,B22)=1),"可回读","需修正"))</x:f>
      </x:c>
    </x:row>
    <x:row r="23" ht="22" customHeight="1">
      <x:c r="A23" s="88" t="n">
        <x:v>17</x:v>
      </x:c>
      <x:c r="B23" s="78"/>
      <x:c r="C23" s="78"/>
      <x:c r="D23" s="62" t="n">
        <x:f>IF(B23="",0,ROUNDUP(C23*(1+('全局设置'!$B$5-1)*'全局设置'!$B$6),0))</x:f>
        <x:v>0</x:v>
      </x:c>
      <x:c r="E23" s="92" t="n">
        <x:f>IF(B23="",0,IFERROR(VLOOKUP(B23,'敌人目录'!$A$6:$M$54,13,FALSE),0))</x:f>
        <x:v>0</x:v>
      </x:c>
      <x:c r="F23" s="92" t="n">
        <x:f>D23*E23</x:f>
        <x:v>0</x:v>
      </x:c>
      <x:c r="G23" s="92" t="n">
        <x:f>F23*'全局设置'!$B$7</x:f>
        <x:v>0</x:v>
      </x:c>
      <x:c r="H23" s="92" t="n">
        <x:f>G23*'全局设置'!$B$5</x:f>
        <x:v>0</x:v>
      </x:c>
      <x:c r="I23" s="81" t="str">
        <x:f>IF(AND(B23="",C23=""),"",IF(AND(B23&lt;&gt;"",C23&gt;=1,COUNTIF($B$7:$B$24,B23)=1),"可回读","需修正"))</x:f>
      </x:c>
    </x:row>
    <x:row r="24" ht="22" customHeight="1">
      <x:c r="A24" s="88" t="n">
        <x:v>18</x:v>
      </x:c>
      <x:c r="B24" s="78"/>
      <x:c r="C24" s="78"/>
      <x:c r="D24" s="62" t="n">
        <x:f>IF(B24="",0,ROUNDUP(C24*(1+('全局设置'!$B$5-1)*'全局设置'!$B$6),0))</x:f>
        <x:v>0</x:v>
      </x:c>
      <x:c r="E24" s="92" t="n">
        <x:f>IF(B24="",0,IFERROR(VLOOKUP(B24,'敌人目录'!$A$6:$M$54,13,FALSE),0))</x:f>
        <x:v>0</x:v>
      </x:c>
      <x:c r="F24" s="92" t="n">
        <x:f>D24*E24</x:f>
        <x:v>0</x:v>
      </x:c>
      <x:c r="G24" s="92" t="n">
        <x:f>F24*'全局设置'!$B$7</x:f>
        <x:v>0</x:v>
      </x:c>
      <x:c r="H24" s="92" t="n">
        <x:f>G24*'全局设置'!$B$5</x:f>
        <x:v>0</x:v>
      </x:c>
      <x:c r="I24" s="81" t="str">
        <x:f>IF(AND(B24="",C24=""),"",IF(AND(B24&lt;&gt;"",C24&gt;=1,COUNTIF($B$7:$B$24,B24)=1),"可回读","需修正"))</x:f>
      </x:c>
    </x:row>
    <x:row r="25" ht="22" customHeight="1"/>
    <x:row r="26" ht="22" customHeight="1">
      <x:c r="A26" s="53" t="str">
        <x:v>基础总数</x:v>
      </x:c>
      <x:c r="B26" s="62" t="n">
        <x:f>SUM(C7:C24)</x:f>
        <x:v>2500</x:v>
      </x:c>
      <x:c r="C26" s="53" t="str">
        <x:v>实际总数</x:v>
      </x:c>
      <x:c r="D26" s="62" t="n">
        <x:f>SUM(D7:D24)</x:f>
        <x:v>2500</x:v>
      </x:c>
      <x:c r="E26" s="53" t="str">
        <x:v>最大息壤/玩家</x:v>
      </x:c>
      <x:c r="F26" s="62" t="n">
        <x:f>SUM(F7:F24)</x:f>
        <x:v>2500</x:v>
      </x:c>
      <x:c r="G26" s="53" t="str">
        <x:v>预计息壤/玩家</x:v>
      </x:c>
      <x:c r="H26" s="62" t="n">
        <x:f>SUM(G7:G24)</x:f>
        <x:v>2500</x:v>
      </x:c>
      <x:c r="I26" s="62"/>
    </x:row>
    <x:row r="27" ht="22" customHeight="1">
      <x:c r="A27" s="99" t="str">
        <x:v>预计息壤/队伍</x:v>
      </x:c>
      <x:c r="B27" s="30" t="n">
        <x:f>SUM(H7:H24)</x:f>
        <x:v>2500</x:v>
      </x:c>
      <x:c r="C27" s="99" t="str">
        <x:v>说明</x:v>
      </x:c>
      <x:c r="D27" s="30" t="str">
        <x:v>预计息壤 = 实际数量 × 固定息壤 × 击杀率；已移除每日命运倍率。</x:v>
      </x:c>
      <x:c r="E27" s="30"/>
      <x:c r="F27" s="30"/>
      <x:c r="G27" s="30"/>
      <x:c r="H27" s="30"/>
      <x:c r="I27" s="30"/>
    </x:row>
    <x:row r="28" ht="22" customHeight="1"/>
    <x:row r="29" ht="22" customHeight="1"/>
    <x:row r="30" ht="22" customHeight="1"/>
    <x:row r="31" ht="22" customHeight="1">
      <x:c r="A31" s="12" t="str">
        <x:v>第 2 波｜第 1 日·2/4｜白昼｜当前正式配置</x:v>
      </x:c>
      <x:c r="B31" s="12"/>
      <x:c r="C31" s="12"/>
      <x:c r="D31" s="12"/>
      <x:c r="E31" s="12"/>
      <x:c r="F31" s="12"/>
      <x:c r="G31" s="12"/>
      <x:c r="H31" s="12"/>
      <x:c r="I31" s="12"/>
    </x:row>
    <x:row r="32" ht="22" customHeight="1">
      <x:c r="A32" s="53" t="str">
        <x:v>波次名称</x:v>
      </x:c>
      <x:c r="B32" s="78" t="str">
        <x:v>第2波 迅影与硬壳</x:v>
      </x:c>
      <x:c r="C32" s="78" t="str">
        <x:v>第2波 迅影与硬壳</x:v>
      </x:c>
      <x:c r="D32" s="53" t="str">
        <x:v>出生间隔(s)</x:v>
      </x:c>
      <x:c r="E32" s="57" t="n">
        <x:v>0.1</x:v>
      </x:c>
      <x:c r="F32" s="53" t="str">
        <x:v>每Tick</x:v>
      </x:c>
      <x:c r="G32" s="57" t="n">
        <x:v>1</x:v>
      </x:c>
      <x:c r="H32" s="53" t="str">
        <x:v>存活上限</x:v>
      </x:c>
      <x:c r="I32" s="57" t="n">
        <x:v>300</x:v>
      </x:c>
    </x:row>
    <x:row r="33" ht="22" customHeight="1">
      <x:c r="A33" s="53" t="str">
        <x:v>出生点</x:v>
      </x:c>
      <x:c r="B33" s="68" t="str">
        <x:v>点1·开启</x:v>
      </x:c>
      <x:c r="C33" s="68" t="str">
        <x:v>点2·开启</x:v>
      </x:c>
      <x:c r="D33" s="68" t="str">
        <x:v>点3·开启</x:v>
      </x:c>
      <x:c r="E33" s="68" t="str">
        <x:v>点4·开启</x:v>
      </x:c>
      <x:c r="F33" s="68" t="str">
        <x:v>点5·关闭</x:v>
      </x:c>
      <x:c r="G33" s="68" t="str">
        <x:v>点6·关闭</x:v>
      </x:c>
      <x:c r="H33" s="53" t="str">
        <x:v>波次校验</x:v>
      </x:c>
      <x:c r="I33" s="81" t="str">
        <x:f>IF(COUNTA(B36:B53)=0,"待设计",IF(COUNTIF(I36:I53,"需修正")&gt;0,"需修正","可回读"))</x:f>
        <x:v>可回读</x:v>
      </x:c>
    </x:row>
    <x:row r="34" ht="22" customHeight="1">
      <x:c r="A34" s="86" t="str">
        <x:v>仅编辑蓝色列、敌人数值和出生点；所有公式、稳定 ID 与 schema 字段由机器区自动生成。</x:v>
      </x:c>
      <x:c r="B34" s="86"/>
      <x:c r="C34" s="86"/>
      <x:c r="D34" s="86"/>
      <x:c r="E34" s="86"/>
      <x:c r="F34" s="86"/>
      <x:c r="G34" s="86"/>
      <x:c r="H34" s="86"/>
      <x:c r="I34" s="86"/>
    </x:row>
    <x:row r="35" ht="22" customHeight="1">
      <x:c r="A35" s="53" t="str">
        <x:v>槽位</x:v>
      </x:c>
      <x:c r="B35" s="53" t="str">
        <x:v>敌人（下拉选择）</x:v>
      </x:c>
      <x:c r="C35" s="53" t="str">
        <x:v>基础数量</x:v>
      </x:c>
      <x:c r="D35" s="53" t="str">
        <x:v>实际数量</x:v>
      </x:c>
      <x:c r="E35" s="53" t="str">
        <x:v>息壤/击杀</x:v>
      </x:c>
      <x:c r="F35" s="53" t="str">
        <x:v>最大息壤/玩家</x:v>
      </x:c>
      <x:c r="G35" s="53" t="str">
        <x:v>预计息壤/玩家</x:v>
      </x:c>
      <x:c r="H35" s="53" t="str">
        <x:v>预计息壤/队伍</x:v>
      </x:c>
      <x:c r="I35" s="53" t="str">
        <x:v>校验</x:v>
      </x:c>
    </x:row>
    <x:row r="36" ht="22" customHeight="1">
      <x:c r="A36" s="88" t="n">
        <x:v>1</x:v>
      </x:c>
      <x:c r="B36" s="78" t="str">
        <x:v>史莱姆</x:v>
      </x:c>
      <x:c r="C36" s="78" t="n">
        <x:v>2000</x:v>
      </x:c>
      <x:c r="D36" s="62" t="n">
        <x:f>IF(B36="",0,ROUNDUP(C36*(1+('全局设置'!$B$5-1)*'全局设置'!$B$6),0))</x:f>
        <x:v>2000</x:v>
      </x:c>
      <x:c r="E36" s="92" t="n">
        <x:f>IF(B36="",0,IFERROR(VLOOKUP(B36,'敌人目录'!$A$6:$M$54,13,FALSE),0))</x:f>
        <x:v>1</x:v>
      </x:c>
      <x:c r="F36" s="92" t="n">
        <x:f>D36*E36</x:f>
        <x:v>2000</x:v>
      </x:c>
      <x:c r="G36" s="92" t="n">
        <x:f>F36*'全局设置'!$B$7</x:f>
        <x:v>2000</x:v>
      </x:c>
      <x:c r="H36" s="92" t="n">
        <x:f>G36*'全局设置'!$B$5</x:f>
        <x:v>2000</x:v>
      </x:c>
      <x:c r="I36" s="81" t="str">
        <x:f>IF(AND(B36="",C36=""),"",IF(AND(B36&lt;&gt;"",C36&gt;=1,COUNTIF($B$36:$B$53,B36)=1),"可回读","需修正"))</x:f>
        <x:v>可回读</x:v>
      </x:c>
    </x:row>
    <x:row r="37" ht="22" customHeight="1">
      <x:c r="A37" s="88" t="n">
        <x:v>2</x:v>
      </x:c>
      <x:c r="B37" s="78" t="str">
        <x:v>火焰史莱姆</x:v>
      </x:c>
      <x:c r="C37" s="78" t="n">
        <x:v>400</x:v>
      </x:c>
      <x:c r="D37" s="62" t="n">
        <x:f>IF(B37="",0,ROUNDUP(C37*(1+('全局设置'!$B$5-1)*'全局设置'!$B$6),0))</x:f>
        <x:v>400</x:v>
      </x:c>
      <x:c r="E37" s="92" t="n">
        <x:f>IF(B37="",0,IFERROR(VLOOKUP(B37,'敌人目录'!$A$6:$M$54,13,FALSE),0))</x:f>
        <x:v>1</x:v>
      </x:c>
      <x:c r="F37" s="92" t="n">
        <x:f>D37*E37</x:f>
        <x:v>400</x:v>
      </x:c>
      <x:c r="G37" s="92" t="n">
        <x:f>F37*'全局设置'!$B$7</x:f>
        <x:v>400</x:v>
      </x:c>
      <x:c r="H37" s="92" t="n">
        <x:f>G37*'全局设置'!$B$5</x:f>
        <x:v>400</x:v>
      </x:c>
      <x:c r="I37" s="81" t="str">
        <x:f>IF(AND(B37="",C37=""),"",IF(AND(B37&lt;&gt;"",C37&gt;=1,COUNTIF($B$36:$B$53,B37)=1),"可回读","需修正"))</x:f>
        <x:v>可回读</x:v>
      </x:c>
    </x:row>
    <x:row r="38" ht="22" customHeight="1">
      <x:c r="A38" s="88" t="n">
        <x:v>3</x:v>
      </x:c>
      <x:c r="B38" s="78" t="str">
        <x:v>普通原石虫</x:v>
      </x:c>
      <x:c r="C38" s="78" t="n">
        <x:v>500</x:v>
      </x:c>
      <x:c r="D38" s="62" t="n">
        <x:f>IF(B38="",0,ROUNDUP(C38*(1+('全局设置'!$B$5-1)*'全局设置'!$B$6),0))</x:f>
        <x:v>500</x:v>
      </x:c>
      <x:c r="E38" s="92" t="n">
        <x:f>IF(B38="",0,IFERROR(VLOOKUP(B38,'敌人目录'!$A$6:$M$54,13,FALSE),0))</x:f>
        <x:v>1</x:v>
      </x:c>
      <x:c r="F38" s="92" t="n">
        <x:f>D38*E38</x:f>
        <x:v>500</x:v>
      </x:c>
      <x:c r="G38" s="92" t="n">
        <x:f>F38*'全局设置'!$B$7</x:f>
        <x:v>500</x:v>
      </x:c>
      <x:c r="H38" s="92" t="n">
        <x:f>G38*'全局设置'!$B$5</x:f>
        <x:v>500</x:v>
      </x:c>
      <x:c r="I38" s="81" t="str">
        <x:f>IF(AND(B38="",C38=""),"",IF(AND(B38&lt;&gt;"",C38&gt;=1,COUNTIF($B$36:$B$53,B38)=1),"可回读","需修正"))</x:f>
        <x:v>可回读</x:v>
      </x:c>
    </x:row>
    <x:row r="39" ht="22" customHeight="1">
      <x:c r="A39" s="88" t="n">
        <x:v>4</x:v>
      </x:c>
      <x:c r="B39" s="78" t="str">
        <x:v>迅捷原石虫</x:v>
      </x:c>
      <x:c r="C39" s="78" t="n">
        <x:v>300</x:v>
      </x:c>
      <x:c r="D39" s="62" t="n">
        <x:f>IF(B39="",0,ROUNDUP(C39*(1+('全局设置'!$B$5-1)*'全局设置'!$B$6),0))</x:f>
        <x:v>300</x:v>
      </x:c>
      <x:c r="E39" s="92" t="n">
        <x:f>IF(B39="",0,IFERROR(VLOOKUP(B39,'敌人目录'!$A$6:$M$54,13,FALSE),0))</x:f>
        <x:v>1</x:v>
      </x:c>
      <x:c r="F39" s="92" t="n">
        <x:f>D39*E39</x:f>
        <x:v>300</x:v>
      </x:c>
      <x:c r="G39" s="92" t="n">
        <x:f>F39*'全局设置'!$B$7</x:f>
        <x:v>300</x:v>
      </x:c>
      <x:c r="H39" s="92" t="n">
        <x:f>G39*'全局设置'!$B$5</x:f>
        <x:v>300</x:v>
      </x:c>
      <x:c r="I39" s="81" t="str">
        <x:f>IF(AND(B39="",C39=""),"",IF(AND(B39&lt;&gt;"",C39&gt;=1,COUNTIF($B$36:$B$53,B39)=1),"可回读","需修正"))</x:f>
        <x:v>可回读</x:v>
      </x:c>
    </x:row>
    <x:row r="40" ht="22" customHeight="1">
      <x:c r="A40" s="88" t="n">
        <x:v>5</x:v>
      </x:c>
      <x:c r="B40" s="78" t="str">
        <x:v>硬壳原石虫</x:v>
      </x:c>
      <x:c r="C40" s="78" t="n">
        <x:v>200</x:v>
      </x:c>
      <x:c r="D40" s="62" t="n">
        <x:f>IF(B40="",0,ROUNDUP(C40*(1+('全局设置'!$B$5-1)*'全局设置'!$B$6),0))</x:f>
        <x:v>200</x:v>
      </x:c>
      <x:c r="E40" s="92" t="n">
        <x:f>IF(B40="",0,IFERROR(VLOOKUP(B40,'敌人目录'!$A$6:$M$54,13,FALSE),0))</x:f>
        <x:v>2</x:v>
      </x:c>
      <x:c r="F40" s="92" t="n">
        <x:f>D40*E40</x:f>
        <x:v>400</x:v>
      </x:c>
      <x:c r="G40" s="92" t="n">
        <x:f>F40*'全局设置'!$B$7</x:f>
        <x:v>400</x:v>
      </x:c>
      <x:c r="H40" s="92" t="n">
        <x:f>G40*'全局设置'!$B$5</x:f>
        <x:v>400</x:v>
      </x:c>
      <x:c r="I40" s="81" t="str">
        <x:f>IF(AND(B40="",C40=""),"",IF(AND(B40&lt;&gt;"",C40&gt;=1,COUNTIF($B$36:$B$53,B40)=1),"可回读","需修正"))</x:f>
        <x:v>可回读</x:v>
      </x:c>
    </x:row>
    <x:row r="41" ht="22" customHeight="1">
      <x:c r="A41" s="88" t="n">
        <x:v>6</x:v>
      </x:c>
      <x:c r="B41" s="78" t="str">
        <x:v>火焰弹原石虫</x:v>
      </x:c>
      <x:c r="C41" s="78" t="n">
        <x:v>50</x:v>
      </x:c>
      <x:c r="D41" s="62" t="n">
        <x:f>IF(B41="",0,ROUNDUP(C41*(1+('全局设置'!$B$5-1)*'全局设置'!$B$6),0))</x:f>
        <x:v>50</x:v>
      </x:c>
      <x:c r="E41" s="92" t="n">
        <x:f>IF(B41="",0,IFERROR(VLOOKUP(B41,'敌人目录'!$A$6:$M$54,13,FALSE),0))</x:f>
        <x:v>1</x:v>
      </x:c>
      <x:c r="F41" s="92" t="n">
        <x:f>D41*E41</x:f>
        <x:v>50</x:v>
      </x:c>
      <x:c r="G41" s="92" t="n">
        <x:f>F41*'全局设置'!$B$7</x:f>
        <x:v>50</x:v>
      </x:c>
      <x:c r="H41" s="92" t="n">
        <x:f>G41*'全局设置'!$B$5</x:f>
        <x:v>50</x:v>
      </x:c>
      <x:c r="I41" s="81" t="str">
        <x:f>IF(AND(B41="",C41=""),"",IF(AND(B41&lt;&gt;"",C41&gt;=1,COUNTIF($B$36:$B$53,B41)=1),"可回读","需修正"))</x:f>
        <x:v>可回读</x:v>
      </x:c>
    </x:row>
    <x:row r="42" ht="22" customHeight="1">
      <x:c r="A42" s="88" t="n">
        <x:v>7</x:v>
      </x:c>
      <x:c r="B42" s="78" t="str">
        <x:v>寒冰史莱姆</x:v>
      </x:c>
      <x:c r="C42" s="78" t="n">
        <x:v>400</x:v>
      </x:c>
      <x:c r="D42" s="62" t="n">
        <x:f>IF(B42="",0,ROUNDUP(C42*(1+('全局设置'!$B$5-1)*'全局设置'!$B$6),0))</x:f>
        <x:v>400</x:v>
      </x:c>
      <x:c r="E42" s="92" t="n">
        <x:f>IF(B42="",0,IFERROR(VLOOKUP(B42,'敌人目录'!$A$6:$M$54,13,FALSE),0))</x:f>
        <x:v>1</x:v>
      </x:c>
      <x:c r="F42" s="92" t="n">
        <x:f>D42*E42</x:f>
        <x:v>400</x:v>
      </x:c>
      <x:c r="G42" s="92" t="n">
        <x:f>F42*'全局设置'!$B$7</x:f>
        <x:v>400</x:v>
      </x:c>
      <x:c r="H42" s="92" t="n">
        <x:f>G42*'全局设置'!$B$5</x:f>
        <x:v>400</x:v>
      </x:c>
      <x:c r="I42" s="81" t="str">
        <x:f>IF(AND(B42="",C42=""),"",IF(AND(B42&lt;&gt;"",C42&gt;=1,COUNTIF($B$36:$B$53,B42)=1),"可回读","需修正"))</x:f>
        <x:v>可回读</x:v>
      </x:c>
    </x:row>
    <x:row r="43" ht="22" customHeight="1">
      <x:c r="A43" s="88" t="n">
        <x:v>8</x:v>
      </x:c>
      <x:c r="B43" s="78"/>
      <x:c r="C43" s="78"/>
      <x:c r="D43" s="62" t="n">
        <x:f>IF(B43="",0,ROUNDUP(C43*(1+('全局设置'!$B$5-1)*'全局设置'!$B$6),0))</x:f>
        <x:v>0</x:v>
      </x:c>
      <x:c r="E43" s="92" t="n">
        <x:f>IF(B43="",0,IFERROR(VLOOKUP(B43,'敌人目录'!$A$6:$M$54,13,FALSE),0))</x:f>
        <x:v>0</x:v>
      </x:c>
      <x:c r="F43" s="92" t="n">
        <x:f>D43*E43</x:f>
        <x:v>0</x:v>
      </x:c>
      <x:c r="G43" s="92" t="n">
        <x:f>F43*'全局设置'!$B$7</x:f>
        <x:v>0</x:v>
      </x:c>
      <x:c r="H43" s="92" t="n">
        <x:f>G43*'全局设置'!$B$5</x:f>
        <x:v>0</x:v>
      </x:c>
      <x:c r="I43" s="81" t="str">
        <x:f>IF(AND(B43="",C43=""),"",IF(AND(B43&lt;&gt;"",C43&gt;=1,COUNTIF($B$36:$B$53,B43)=1),"可回读","需修正"))</x:f>
      </x:c>
    </x:row>
    <x:row r="44" ht="22" customHeight="1">
      <x:c r="A44" s="88" t="n">
        <x:v>9</x:v>
      </x:c>
      <x:c r="B44" s="78"/>
      <x:c r="C44" s="78"/>
      <x:c r="D44" s="62" t="n">
        <x:f>IF(B44="",0,ROUNDUP(C44*(1+('全局设置'!$B$5-1)*'全局设置'!$B$6),0))</x:f>
        <x:v>0</x:v>
      </x:c>
      <x:c r="E44" s="92" t="n">
        <x:f>IF(B44="",0,IFERROR(VLOOKUP(B44,'敌人目录'!$A$6:$M$54,13,FALSE),0))</x:f>
        <x:v>0</x:v>
      </x:c>
      <x:c r="F44" s="92" t="n">
        <x:f>D44*E44</x:f>
        <x:v>0</x:v>
      </x:c>
      <x:c r="G44" s="92" t="n">
        <x:f>F44*'全局设置'!$B$7</x:f>
        <x:v>0</x:v>
      </x:c>
      <x:c r="H44" s="92" t="n">
        <x:f>G44*'全局设置'!$B$5</x:f>
        <x:v>0</x:v>
      </x:c>
      <x:c r="I44" s="81" t="str">
        <x:f>IF(AND(B44="",C44=""),"",IF(AND(B44&lt;&gt;"",C44&gt;=1,COUNTIF($B$36:$B$53,B44)=1),"可回读","需修正"))</x:f>
      </x:c>
    </x:row>
    <x:row r="45" ht="22" customHeight="1">
      <x:c r="A45" s="88" t="n">
        <x:v>10</x:v>
      </x:c>
      <x:c r="B45" s="78"/>
      <x:c r="C45" s="78"/>
      <x:c r="D45" s="62" t="n">
        <x:f>IF(B45="",0,ROUNDUP(C45*(1+('全局设置'!$B$5-1)*'全局设置'!$B$6),0))</x:f>
        <x:v>0</x:v>
      </x:c>
      <x:c r="E45" s="92" t="n">
        <x:f>IF(B45="",0,IFERROR(VLOOKUP(B45,'敌人目录'!$A$6:$M$54,13,FALSE),0))</x:f>
        <x:v>0</x:v>
      </x:c>
      <x:c r="F45" s="92" t="n">
        <x:f>D45*E45</x:f>
        <x:v>0</x:v>
      </x:c>
      <x:c r="G45" s="92" t="n">
        <x:f>F45*'全局设置'!$B$7</x:f>
        <x:v>0</x:v>
      </x:c>
      <x:c r="H45" s="92" t="n">
        <x:f>G45*'全局设置'!$B$5</x:f>
        <x:v>0</x:v>
      </x:c>
      <x:c r="I45" s="81" t="str">
        <x:f>IF(AND(B45="",C45=""),"",IF(AND(B45&lt;&gt;"",C45&gt;=1,COUNTIF($B$36:$B$53,B45)=1),"可回读","需修正"))</x:f>
      </x:c>
    </x:row>
    <x:row r="46" ht="22" customHeight="1">
      <x:c r="A46" s="88" t="n">
        <x:v>11</x:v>
      </x:c>
      <x:c r="B46" s="78"/>
      <x:c r="C46" s="78"/>
      <x:c r="D46" s="62" t="n">
        <x:f>IF(B46="",0,ROUNDUP(C46*(1+('全局设置'!$B$5-1)*'全局设置'!$B$6),0))</x:f>
        <x:v>0</x:v>
      </x:c>
      <x:c r="E46" s="92" t="n">
        <x:f>IF(B46="",0,IFERROR(VLOOKUP(B46,'敌人目录'!$A$6:$M$54,13,FALSE),0))</x:f>
        <x:v>0</x:v>
      </x:c>
      <x:c r="F46" s="92" t="n">
        <x:f>D46*E46</x:f>
        <x:v>0</x:v>
      </x:c>
      <x:c r="G46" s="92" t="n">
        <x:f>F46*'全局设置'!$B$7</x:f>
        <x:v>0</x:v>
      </x:c>
      <x:c r="H46" s="92" t="n">
        <x:f>G46*'全局设置'!$B$5</x:f>
        <x:v>0</x:v>
      </x:c>
      <x:c r="I46" s="81" t="str">
        <x:f>IF(AND(B46="",C46=""),"",IF(AND(B46&lt;&gt;"",C46&gt;=1,COUNTIF($B$36:$B$53,B46)=1),"可回读","需修正"))</x:f>
      </x:c>
    </x:row>
    <x:row r="47" ht="22" customHeight="1">
      <x:c r="A47" s="88" t="n">
        <x:v>12</x:v>
      </x:c>
      <x:c r="B47" s="78"/>
      <x:c r="C47" s="78"/>
      <x:c r="D47" s="62" t="n">
        <x:f>IF(B47="",0,ROUNDUP(C47*(1+('全局设置'!$B$5-1)*'全局设置'!$B$6),0))</x:f>
        <x:v>0</x:v>
      </x:c>
      <x:c r="E47" s="92" t="n">
        <x:f>IF(B47="",0,IFERROR(VLOOKUP(B47,'敌人目录'!$A$6:$M$54,13,FALSE),0))</x:f>
        <x:v>0</x:v>
      </x:c>
      <x:c r="F47" s="92" t="n">
        <x:f>D47*E47</x:f>
        <x:v>0</x:v>
      </x:c>
      <x:c r="G47" s="92" t="n">
        <x:f>F47*'全局设置'!$B$7</x:f>
        <x:v>0</x:v>
      </x:c>
      <x:c r="H47" s="92" t="n">
        <x:f>G47*'全局设置'!$B$5</x:f>
        <x:v>0</x:v>
      </x:c>
      <x:c r="I47" s="81" t="str">
        <x:f>IF(AND(B47="",C47=""),"",IF(AND(B47&lt;&gt;"",C47&gt;=1,COUNTIF($B$36:$B$53,B47)=1),"可回读","需修正"))</x:f>
      </x:c>
    </x:row>
    <x:row r="48" ht="22" customHeight="1">
      <x:c r="A48" s="88" t="n">
        <x:v>13</x:v>
      </x:c>
      <x:c r="B48" s="78"/>
      <x:c r="C48" s="78"/>
      <x:c r="D48" s="62" t="n">
        <x:f>IF(B48="",0,ROUNDUP(C48*(1+('全局设置'!$B$5-1)*'全局设置'!$B$6),0))</x:f>
        <x:v>0</x:v>
      </x:c>
      <x:c r="E48" s="92" t="n">
        <x:f>IF(B48="",0,IFERROR(VLOOKUP(B48,'敌人目录'!$A$6:$M$54,13,FALSE),0))</x:f>
        <x:v>0</x:v>
      </x:c>
      <x:c r="F48" s="92" t="n">
        <x:f>D48*E48</x:f>
        <x:v>0</x:v>
      </x:c>
      <x:c r="G48" s="92" t="n">
        <x:f>F48*'全局设置'!$B$7</x:f>
        <x:v>0</x:v>
      </x:c>
      <x:c r="H48" s="92" t="n">
        <x:f>G48*'全局设置'!$B$5</x:f>
        <x:v>0</x:v>
      </x:c>
      <x:c r="I48" s="81" t="str">
        <x:f>IF(AND(B48="",C48=""),"",IF(AND(B48&lt;&gt;"",C48&gt;=1,COUNTIF($B$36:$B$53,B48)=1),"可回读","需修正"))</x:f>
      </x:c>
    </x:row>
    <x:row r="49" ht="22" customHeight="1">
      <x:c r="A49" s="88" t="n">
        <x:v>14</x:v>
      </x:c>
      <x:c r="B49" s="78"/>
      <x:c r="C49" s="78"/>
      <x:c r="D49" s="62" t="n">
        <x:f>IF(B49="",0,ROUNDUP(C49*(1+('全局设置'!$B$5-1)*'全局设置'!$B$6),0))</x:f>
        <x:v>0</x:v>
      </x:c>
      <x:c r="E49" s="92" t="n">
        <x:f>IF(B49="",0,IFERROR(VLOOKUP(B49,'敌人目录'!$A$6:$M$54,13,FALSE),0))</x:f>
        <x:v>0</x:v>
      </x:c>
      <x:c r="F49" s="92" t="n">
        <x:f>D49*E49</x:f>
        <x:v>0</x:v>
      </x:c>
      <x:c r="G49" s="92" t="n">
        <x:f>F49*'全局设置'!$B$7</x:f>
        <x:v>0</x:v>
      </x:c>
      <x:c r="H49" s="92" t="n">
        <x:f>G49*'全局设置'!$B$5</x:f>
        <x:v>0</x:v>
      </x:c>
      <x:c r="I49" s="81" t="str">
        <x:f>IF(AND(B49="",C49=""),"",IF(AND(B49&lt;&gt;"",C49&gt;=1,COUNTIF($B$36:$B$53,B49)=1),"可回读","需修正"))</x:f>
      </x:c>
    </x:row>
    <x:row r="50" ht="22" customHeight="1">
      <x:c r="A50" s="88" t="n">
        <x:v>15</x:v>
      </x:c>
      <x:c r="B50" s="78"/>
      <x:c r="C50" s="78"/>
      <x:c r="D50" s="62" t="n">
        <x:f>IF(B50="",0,ROUNDUP(C50*(1+('全局设置'!$B$5-1)*'全局设置'!$B$6),0))</x:f>
        <x:v>0</x:v>
      </x:c>
      <x:c r="E50" s="92" t="n">
        <x:f>IF(B50="",0,IFERROR(VLOOKUP(B50,'敌人目录'!$A$6:$M$54,13,FALSE),0))</x:f>
        <x:v>0</x:v>
      </x:c>
      <x:c r="F50" s="92" t="n">
        <x:f>D50*E50</x:f>
        <x:v>0</x:v>
      </x:c>
      <x:c r="G50" s="92" t="n">
        <x:f>F50*'全局设置'!$B$7</x:f>
        <x:v>0</x:v>
      </x:c>
      <x:c r="H50" s="92" t="n">
        <x:f>G50*'全局设置'!$B$5</x:f>
        <x:v>0</x:v>
      </x:c>
      <x:c r="I50" s="81" t="str">
        <x:f>IF(AND(B50="",C50=""),"",IF(AND(B50&lt;&gt;"",C50&gt;=1,COUNTIF($B$36:$B$53,B50)=1),"可回读","需修正"))</x:f>
      </x:c>
    </x:row>
    <x:row r="51" ht="22" customHeight="1">
      <x:c r="A51" s="88" t="n">
        <x:v>16</x:v>
      </x:c>
      <x:c r="B51" s="78"/>
      <x:c r="C51" s="78"/>
      <x:c r="D51" s="62" t="n">
        <x:f>IF(B51="",0,ROUNDUP(C51*(1+('全局设置'!$B$5-1)*'全局设置'!$B$6),0))</x:f>
        <x:v>0</x:v>
      </x:c>
      <x:c r="E51" s="92" t="n">
        <x:f>IF(B51="",0,IFERROR(VLOOKUP(B51,'敌人目录'!$A$6:$M$54,13,FALSE),0))</x:f>
        <x:v>0</x:v>
      </x:c>
      <x:c r="F51" s="92" t="n">
        <x:f>D51*E51</x:f>
        <x:v>0</x:v>
      </x:c>
      <x:c r="G51" s="92" t="n">
        <x:f>F51*'全局设置'!$B$7</x:f>
        <x:v>0</x:v>
      </x:c>
      <x:c r="H51" s="92" t="n">
        <x:f>G51*'全局设置'!$B$5</x:f>
        <x:v>0</x:v>
      </x:c>
      <x:c r="I51" s="81" t="str">
        <x:f>IF(AND(B51="",C51=""),"",IF(AND(B51&lt;&gt;"",C51&gt;=1,COUNTIF($B$36:$B$53,B51)=1),"可回读","需修正"))</x:f>
      </x:c>
    </x:row>
    <x:row r="52" ht="22" customHeight="1">
      <x:c r="A52" s="88" t="n">
        <x:v>17</x:v>
      </x:c>
      <x:c r="B52" s="78"/>
      <x:c r="C52" s="78"/>
      <x:c r="D52" s="62" t="n">
        <x:f>IF(B52="",0,ROUNDUP(C52*(1+('全局设置'!$B$5-1)*'全局设置'!$B$6),0))</x:f>
        <x:v>0</x:v>
      </x:c>
      <x:c r="E52" s="92" t="n">
        <x:f>IF(B52="",0,IFERROR(VLOOKUP(B52,'敌人目录'!$A$6:$M$54,13,FALSE),0))</x:f>
        <x:v>0</x:v>
      </x:c>
      <x:c r="F52" s="92" t="n">
        <x:f>D52*E52</x:f>
        <x:v>0</x:v>
      </x:c>
      <x:c r="G52" s="92" t="n">
        <x:f>F52*'全局设置'!$B$7</x:f>
        <x:v>0</x:v>
      </x:c>
      <x:c r="H52" s="92" t="n">
        <x:f>G52*'全局设置'!$B$5</x:f>
        <x:v>0</x:v>
      </x:c>
      <x:c r="I52" s="81" t="str">
        <x:f>IF(AND(B52="",C52=""),"",IF(AND(B52&lt;&gt;"",C52&gt;=1,COUNTIF($B$36:$B$53,B52)=1),"可回读","需修正"))</x:f>
      </x:c>
    </x:row>
    <x:row r="53" ht="22" customHeight="1">
      <x:c r="A53" s="88" t="n">
        <x:v>18</x:v>
      </x:c>
      <x:c r="B53" s="78"/>
      <x:c r="C53" s="78"/>
      <x:c r="D53" s="62" t="n">
        <x:f>IF(B53="",0,ROUNDUP(C53*(1+('全局设置'!$B$5-1)*'全局设置'!$B$6),0))</x:f>
        <x:v>0</x:v>
      </x:c>
      <x:c r="E53" s="92" t="n">
        <x:f>IF(B53="",0,IFERROR(VLOOKUP(B53,'敌人目录'!$A$6:$M$54,13,FALSE),0))</x:f>
        <x:v>0</x:v>
      </x:c>
      <x:c r="F53" s="92" t="n">
        <x:f>D53*E53</x:f>
        <x:v>0</x:v>
      </x:c>
      <x:c r="G53" s="92" t="n">
        <x:f>F53*'全局设置'!$B$7</x:f>
        <x:v>0</x:v>
      </x:c>
      <x:c r="H53" s="92" t="n">
        <x:f>G53*'全局设置'!$B$5</x:f>
        <x:v>0</x:v>
      </x:c>
      <x:c r="I53" s="81" t="str">
        <x:f>IF(AND(B53="",C53=""),"",IF(AND(B53&lt;&gt;"",C53&gt;=1,COUNTIF($B$36:$B$53,B53)=1),"可回读","需修正"))</x:f>
      </x:c>
    </x:row>
    <x:row r="54" ht="22" customHeight="1"/>
    <x:row r="55" ht="22" customHeight="1">
      <x:c r="A55" s="53" t="str">
        <x:v>基础总数</x:v>
      </x:c>
      <x:c r="B55" s="62" t="n">
        <x:f>SUM(C36:C53)</x:f>
        <x:v>3850</x:v>
      </x:c>
      <x:c r="C55" s="53" t="str">
        <x:v>实际总数</x:v>
      </x:c>
      <x:c r="D55" s="62" t="n">
        <x:f>SUM(D36:D53)</x:f>
        <x:v>3850</x:v>
      </x:c>
      <x:c r="E55" s="53" t="str">
        <x:v>最大息壤/玩家</x:v>
      </x:c>
      <x:c r="F55" s="62" t="n">
        <x:f>SUM(F36:F53)</x:f>
        <x:v>4050</x:v>
      </x:c>
      <x:c r="G55" s="53" t="str">
        <x:v>预计息壤/玩家</x:v>
      </x:c>
      <x:c r="H55" s="62" t="n">
        <x:f>SUM(G36:G53)</x:f>
        <x:v>4050</x:v>
      </x:c>
      <x:c r="I55" s="62"/>
    </x:row>
    <x:row r="56" ht="22" customHeight="1">
      <x:c r="A56" s="99" t="str">
        <x:v>预计息壤/队伍</x:v>
      </x:c>
      <x:c r="B56" s="30" t="n">
        <x:f>SUM(H36:H53)</x:f>
        <x:v>4050</x:v>
      </x:c>
      <x:c r="C56" s="99" t="str">
        <x:v>说明</x:v>
      </x:c>
      <x:c r="D56" s="30" t="str">
        <x:v>预计息壤 = 实际数量 × 固定息壤 × 击杀率；已移除每日命运倍率。</x:v>
      </x:c>
      <x:c r="E56" s="30"/>
      <x:c r="F56" s="30"/>
      <x:c r="G56" s="30"/>
      <x:c r="H56" s="30"/>
      <x:c r="I56" s="30"/>
    </x:row>
    <x:row r="57" ht="22" customHeight="1"/>
    <x:row r="58" ht="22" customHeight="1"/>
    <x:row r="59" ht="22" customHeight="1"/>
    <x:row r="60" ht="22" customHeight="1">
      <x:c r="A60" s="33" t="str">
        <x:v>第 3 波｜第 1 日·3/4｜夜晚｜当前正式配置</x:v>
      </x:c>
      <x:c r="B60" s="33"/>
      <x:c r="C60" s="33"/>
      <x:c r="D60" s="33"/>
      <x:c r="E60" s="33"/>
      <x:c r="F60" s="33"/>
      <x:c r="G60" s="33"/>
      <x:c r="H60" s="33"/>
      <x:c r="I60" s="33"/>
    </x:row>
    <x:row r="61" ht="22" customHeight="1">
      <x:c r="A61" s="103" t="str">
        <x:v>波次名称</x:v>
      </x:c>
      <x:c r="B61" s="78" t="str">
        <x:v>第3波 火线初现</x:v>
      </x:c>
      <x:c r="C61" s="78" t="str">
        <x:v>第3波 火线初现</x:v>
      </x:c>
      <x:c r="D61" s="103" t="str">
        <x:v>出生间隔(s)</x:v>
      </x:c>
      <x:c r="E61" s="57" t="n">
        <x:v>0.1</x:v>
      </x:c>
      <x:c r="F61" s="103" t="str">
        <x:v>每Tick</x:v>
      </x:c>
      <x:c r="G61" s="57" t="n">
        <x:v>1</x:v>
      </x:c>
      <x:c r="H61" s="103" t="str">
        <x:v>存活上限</x:v>
      </x:c>
      <x:c r="I61" s="57" t="n">
        <x:v>300</x:v>
      </x:c>
    </x:row>
    <x:row r="62" ht="22" customHeight="1">
      <x:c r="A62" s="103" t="str">
        <x:v>出生点</x:v>
      </x:c>
      <x:c r="B62" s="68" t="str">
        <x:v>点1·开启</x:v>
      </x:c>
      <x:c r="C62" s="68" t="str">
        <x:v>点2·开启</x:v>
      </x:c>
      <x:c r="D62" s="68" t="str">
        <x:v>点3·开启</x:v>
      </x:c>
      <x:c r="E62" s="68" t="str">
        <x:v>点4·开启</x:v>
      </x:c>
      <x:c r="F62" s="68" t="str">
        <x:v>点5·开启</x:v>
      </x:c>
      <x:c r="G62" s="68" t="str">
        <x:v>点6·开启</x:v>
      </x:c>
      <x:c r="H62" s="103" t="str">
        <x:v>波次校验</x:v>
      </x:c>
      <x:c r="I62" s="81" t="str">
        <x:f>IF(COUNTA(B65:B82)=0,"待设计",IF(COUNTIF(I65:I82,"需修正")&gt;0,"需修正","可回读"))</x:f>
        <x:v>可回读</x:v>
      </x:c>
    </x:row>
    <x:row r="63" ht="22" customHeight="1">
      <x:c r="A63" s="86" t="str">
        <x:v>仅编辑蓝色列、敌人数值和出生点；所有公式、稳定 ID 与 schema 字段由机器区自动生成。</x:v>
      </x:c>
      <x:c r="B63" s="86"/>
      <x:c r="C63" s="86"/>
      <x:c r="D63" s="86"/>
      <x:c r="E63" s="86"/>
      <x:c r="F63" s="86"/>
      <x:c r="G63" s="86"/>
      <x:c r="H63" s="86"/>
      <x:c r="I63" s="86"/>
    </x:row>
    <x:row r="64" ht="22" customHeight="1">
      <x:c r="A64" s="103" t="str">
        <x:v>槽位</x:v>
      </x:c>
      <x:c r="B64" s="103" t="str">
        <x:v>敌人（下拉选择）</x:v>
      </x:c>
      <x:c r="C64" s="103" t="str">
        <x:v>基础数量</x:v>
      </x:c>
      <x:c r="D64" s="103" t="str">
        <x:v>实际数量</x:v>
      </x:c>
      <x:c r="E64" s="103" t="str">
        <x:v>息壤/击杀</x:v>
      </x:c>
      <x:c r="F64" s="103" t="str">
        <x:v>最大息壤/玩家</x:v>
      </x:c>
      <x:c r="G64" s="103" t="str">
        <x:v>预计息壤/玩家</x:v>
      </x:c>
      <x:c r="H64" s="103" t="str">
        <x:v>预计息壤/队伍</x:v>
      </x:c>
      <x:c r="I64" s="103" t="str">
        <x:v>校验</x:v>
      </x:c>
    </x:row>
    <x:row r="65" ht="22" customHeight="1">
      <x:c r="A65" s="88" t="n">
        <x:v>1</x:v>
      </x:c>
      <x:c r="B65" s="78" t="str">
        <x:v>守护者原石虫</x:v>
      </x:c>
      <x:c r="C65" s="78" t="n">
        <x:v>50</x:v>
      </x:c>
      <x:c r="D65" s="62" t="n">
        <x:f>IF(B65="",0,ROUNDUP(C65*(1+('全局设置'!$B$5-1)*'全局设置'!$B$6),0))</x:f>
        <x:v>50</x:v>
      </x:c>
      <x:c r="E65" s="92" t="n">
        <x:f>IF(B65="",0,IFERROR(VLOOKUP(B65,'敌人目录'!$A$6:$M$54,13,FALSE),0))</x:f>
        <x:v>2</x:v>
      </x:c>
      <x:c r="F65" s="92" t="n">
        <x:f>D65*E65</x:f>
        <x:v>100</x:v>
      </x:c>
      <x:c r="G65" s="92" t="n">
        <x:f>F65*'全局设置'!$B$7</x:f>
        <x:v>100</x:v>
      </x:c>
      <x:c r="H65" s="92" t="n">
        <x:f>G65*'全局设置'!$B$5</x:f>
        <x:v>100</x:v>
      </x:c>
      <x:c r="I65" s="81" t="str">
        <x:f>IF(AND(B65="",C65=""),"",IF(AND(B65&lt;&gt;"",C65&gt;=1,COUNTIF($B$65:$B$82,B65)=1),"可回读","需修正"))</x:f>
        <x:v>可回读</x:v>
      </x:c>
    </x:row>
    <x:row r="66" ht="22" customHeight="1">
      <x:c r="A66" s="88" t="n">
        <x:v>2</x:v>
      </x:c>
      <x:c r="B66" s="78" t="str">
        <x:v>普通原石虫</x:v>
      </x:c>
      <x:c r="C66" s="78" t="n">
        <x:v>500</x:v>
      </x:c>
      <x:c r="D66" s="62" t="n">
        <x:f>IF(B66="",0,ROUNDUP(C66*(1+('全局设置'!$B$5-1)*'全局设置'!$B$6),0))</x:f>
        <x:v>500</x:v>
      </x:c>
      <x:c r="E66" s="92" t="n">
        <x:f>IF(B66="",0,IFERROR(VLOOKUP(B66,'敌人目录'!$A$6:$M$54,13,FALSE),0))</x:f>
        <x:v>1</x:v>
      </x:c>
      <x:c r="F66" s="92" t="n">
        <x:f>D66*E66</x:f>
        <x:v>500</x:v>
      </x:c>
      <x:c r="G66" s="92" t="n">
        <x:f>F66*'全局设置'!$B$7</x:f>
        <x:v>500</x:v>
      </x:c>
      <x:c r="H66" s="92" t="n">
        <x:f>G66*'全局设置'!$B$5</x:f>
        <x:v>500</x:v>
      </x:c>
      <x:c r="I66" s="81" t="str">
        <x:f>IF(AND(B66="",C66=""),"",IF(AND(B66&lt;&gt;"",C66&gt;=1,COUNTIF($B$65:$B$82,B66)=1),"可回读","需修正"))</x:f>
        <x:v>可回读</x:v>
      </x:c>
    </x:row>
    <x:row r="67" ht="22" customHeight="1">
      <x:c r="A67" s="88" t="n">
        <x:v>3</x:v>
      </x:c>
      <x:c r="B67" s="78" t="str">
        <x:v>硬壳原石虫</x:v>
      </x:c>
      <x:c r="C67" s="78" t="n">
        <x:v>1000</x:v>
      </x:c>
      <x:c r="D67" s="62" t="n">
        <x:f>IF(B67="",0,ROUNDUP(C67*(1+('全局设置'!$B$5-1)*'全局设置'!$B$6),0))</x:f>
        <x:v>1000</x:v>
      </x:c>
      <x:c r="E67" s="92" t="n">
        <x:f>IF(B67="",0,IFERROR(VLOOKUP(B67,'敌人目录'!$A$6:$M$54,13,FALSE),0))</x:f>
        <x:v>2</x:v>
      </x:c>
      <x:c r="F67" s="92" t="n">
        <x:f>D67*E67</x:f>
        <x:v>2000</x:v>
      </x:c>
      <x:c r="G67" s="92" t="n">
        <x:f>F67*'全局设置'!$B$7</x:f>
        <x:v>2000</x:v>
      </x:c>
      <x:c r="H67" s="92" t="n">
        <x:f>G67*'全局设置'!$B$5</x:f>
        <x:v>2000</x:v>
      </x:c>
      <x:c r="I67" s="81" t="str">
        <x:f>IF(AND(B67="",C67=""),"",IF(AND(B67&lt;&gt;"",C67&gt;=1,COUNTIF($B$65:$B$82,B67)=1),"可回读","需修正"))</x:f>
        <x:v>可回读</x:v>
      </x:c>
    </x:row>
    <x:row r="68" ht="22" customHeight="1">
      <x:c r="A68" s="88" t="n">
        <x:v>4</x:v>
      </x:c>
      <x:c r="B68" s="78" t="str">
        <x:v>自爆原石虫</x:v>
      </x:c>
      <x:c r="C68" s="78" t="n">
        <x:v>400</x:v>
      </x:c>
      <x:c r="D68" s="62" t="n">
        <x:f>IF(B68="",0,ROUNDUP(C68*(1+('全局设置'!$B$5-1)*'全局设置'!$B$6),0))</x:f>
        <x:v>400</x:v>
      </x:c>
      <x:c r="E68" s="92" t="n">
        <x:f>IF(B68="",0,IFERROR(VLOOKUP(B68,'敌人目录'!$A$6:$M$54,13,FALSE),0))</x:f>
        <x:v>1</x:v>
      </x:c>
      <x:c r="F68" s="92" t="n">
        <x:f>D68*E68</x:f>
        <x:v>400</x:v>
      </x:c>
      <x:c r="G68" s="92" t="n">
        <x:f>F68*'全局设置'!$B$7</x:f>
        <x:v>400</x:v>
      </x:c>
      <x:c r="H68" s="92" t="n">
        <x:f>G68*'全局设置'!$B$5</x:f>
        <x:v>400</x:v>
      </x:c>
      <x:c r="I68" s="81" t="str">
        <x:f>IF(AND(B68="",C68=""),"",IF(AND(B68&lt;&gt;"",C68&gt;=1,COUNTIF($B$65:$B$82,B68)=1),"可回读","需修正"))</x:f>
        <x:v>可回读</x:v>
      </x:c>
    </x:row>
    <x:row r="69" ht="22" customHeight="1">
      <x:c r="A69" s="88" t="n">
        <x:v>5</x:v>
      </x:c>
      <x:c r="B69" s="78" t="str">
        <x:v>绿色史莱姆</x:v>
      </x:c>
      <x:c r="C69" s="78" t="n">
        <x:v>100</x:v>
      </x:c>
      <x:c r="D69" s="62" t="n">
        <x:f>IF(B69="",0,ROUNDUP(C69*(1+('全局设置'!$B$5-1)*'全局设置'!$B$6),0))</x:f>
        <x:v>100</x:v>
      </x:c>
      <x:c r="E69" s="92" t="n">
        <x:f>IF(B69="",0,IFERROR(VLOOKUP(B69,'敌人目录'!$A$6:$M$54,13,FALSE),0))</x:f>
        <x:v>1</x:v>
      </x:c>
      <x:c r="F69" s="92" t="n">
        <x:f>D69*E69</x:f>
        <x:v>100</x:v>
      </x:c>
      <x:c r="G69" s="92" t="n">
        <x:f>F69*'全局设置'!$B$7</x:f>
        <x:v>100</x:v>
      </x:c>
      <x:c r="H69" s="92" t="n">
        <x:f>G69*'全局设置'!$B$5</x:f>
        <x:v>100</x:v>
      </x:c>
      <x:c r="I69" s="81" t="str">
        <x:f>IF(AND(B69="",C69=""),"",IF(AND(B69&lt;&gt;"",C69&gt;=1,COUNTIF($B$65:$B$82,B69)=1),"可回读","需修正"))</x:f>
        <x:v>可回读</x:v>
      </x:c>
    </x:row>
    <x:row r="70" ht="22" customHeight="1">
      <x:c r="A70" s="88" t="n">
        <x:v>6</x:v>
      </x:c>
      <x:c r="B70" s="78" t="str">
        <x:v>寒冰史莱姆</x:v>
      </x:c>
      <x:c r="C70" s="78" t="n">
        <x:v>400</x:v>
      </x:c>
      <x:c r="D70" s="62" t="n">
        <x:f>IF(B70="",0,ROUNDUP(C70*(1+('全局设置'!$B$5-1)*'全局设置'!$B$6),0))</x:f>
        <x:v>400</x:v>
      </x:c>
      <x:c r="E70" s="92" t="n">
        <x:f>IF(B70="",0,IFERROR(VLOOKUP(B70,'敌人目录'!$A$6:$M$54,13,FALSE),0))</x:f>
        <x:v>1</x:v>
      </x:c>
      <x:c r="F70" s="92" t="n">
        <x:f>D70*E70</x:f>
        <x:v>400</x:v>
      </x:c>
      <x:c r="G70" s="92" t="n">
        <x:f>F70*'全局设置'!$B$7</x:f>
        <x:v>400</x:v>
      </x:c>
      <x:c r="H70" s="92" t="n">
        <x:f>G70*'全局设置'!$B$5</x:f>
        <x:v>400</x:v>
      </x:c>
      <x:c r="I70" s="81" t="str">
        <x:f>IF(AND(B70="",C70=""),"",IF(AND(B70&lt;&gt;"",C70&gt;=1,COUNTIF($B$65:$B$82,B70)=1),"可回读","需修正"))</x:f>
        <x:v>可回读</x:v>
      </x:c>
    </x:row>
    <x:row r="71" ht="22" customHeight="1">
      <x:c r="A71" s="88" t="n">
        <x:v>7</x:v>
      </x:c>
      <x:c r="B71" s="78" t="str">
        <x:v>火焰弹原石虫</x:v>
      </x:c>
      <x:c r="C71" s="78" t="n">
        <x:v>500</x:v>
      </x:c>
      <x:c r="D71" s="62" t="n">
        <x:f>IF(B71="",0,ROUNDUP(C71*(1+('全局设置'!$B$5-1)*'全局设置'!$B$6),0))</x:f>
        <x:v>500</x:v>
      </x:c>
      <x:c r="E71" s="92" t="n">
        <x:f>IF(B71="",0,IFERROR(VLOOKUP(B71,'敌人目录'!$A$6:$M$54,13,FALSE),0))</x:f>
        <x:v>1</x:v>
      </x:c>
      <x:c r="F71" s="92" t="n">
        <x:f>D71*E71</x:f>
        <x:v>500</x:v>
      </x:c>
      <x:c r="G71" s="92" t="n">
        <x:f>F71*'全局设置'!$B$7</x:f>
        <x:v>500</x:v>
      </x:c>
      <x:c r="H71" s="92" t="n">
        <x:f>G71*'全局设置'!$B$5</x:f>
        <x:v>500</x:v>
      </x:c>
      <x:c r="I71" s="81" t="str">
        <x:f>IF(AND(B71="",C71=""),"",IF(AND(B71&lt;&gt;"",C71&gt;=1,COUNTIF($B$65:$B$82,B71)=1),"可回读","需修正"))</x:f>
        <x:v>可回读</x:v>
      </x:c>
    </x:row>
    <x:row r="72" ht="22" customHeight="1">
      <x:c r="A72" s="88" t="n">
        <x:v>8</x:v>
      </x:c>
      <x:c r="B72" s="78" t="str">
        <x:v>史莱姆</x:v>
      </x:c>
      <x:c r="C72" s="78" t="n">
        <x:v>1000</x:v>
      </x:c>
      <x:c r="D72" s="62" t="n">
        <x:f>IF(B72="",0,ROUNDUP(C72*(1+('全局设置'!$B$5-1)*'全局设置'!$B$6),0))</x:f>
        <x:v>1000</x:v>
      </x:c>
      <x:c r="E72" s="92" t="n">
        <x:f>IF(B72="",0,IFERROR(VLOOKUP(B72,'敌人目录'!$A$6:$M$54,13,FALSE),0))</x:f>
        <x:v>1</x:v>
      </x:c>
      <x:c r="F72" s="92" t="n">
        <x:f>D72*E72</x:f>
        <x:v>1000</x:v>
      </x:c>
      <x:c r="G72" s="92" t="n">
        <x:f>F72*'全局设置'!$B$7</x:f>
        <x:v>1000</x:v>
      </x:c>
      <x:c r="H72" s="92" t="n">
        <x:f>G72*'全局设置'!$B$5</x:f>
        <x:v>1000</x:v>
      </x:c>
      <x:c r="I72" s="81" t="str">
        <x:f>IF(AND(B72="",C72=""),"",IF(AND(B72&lt;&gt;"",C72&gt;=1,COUNTIF($B$65:$B$82,B72)=1),"可回读","需修正"))</x:f>
        <x:v>可回读</x:v>
      </x:c>
    </x:row>
    <x:row r="73" ht="22" customHeight="1">
      <x:c r="A73" s="88" t="n">
        <x:v>9</x:v>
      </x:c>
      <x:c r="B73" s="78"/>
      <x:c r="C73" s="78"/>
      <x:c r="D73" s="62" t="n">
        <x:f>IF(B73="",0,ROUNDUP(C73*(1+('全局设置'!$B$5-1)*'全局设置'!$B$6),0))</x:f>
        <x:v>0</x:v>
      </x:c>
      <x:c r="E73" s="92" t="n">
        <x:f>IF(B73="",0,IFERROR(VLOOKUP(B73,'敌人目录'!$A$6:$M$54,13,FALSE),0))</x:f>
        <x:v>0</x:v>
      </x:c>
      <x:c r="F73" s="92" t="n">
        <x:f>D73*E73</x:f>
        <x:v>0</x:v>
      </x:c>
      <x:c r="G73" s="92" t="n">
        <x:f>F73*'全局设置'!$B$7</x:f>
        <x:v>0</x:v>
      </x:c>
      <x:c r="H73" s="92" t="n">
        <x:f>G73*'全局设置'!$B$5</x:f>
        <x:v>0</x:v>
      </x:c>
      <x:c r="I73" s="81" t="str">
        <x:f>IF(AND(B73="",C73=""),"",IF(AND(B73&lt;&gt;"",C73&gt;=1,COUNTIF($B$65:$B$82,B73)=1),"可回读","需修正"))</x:f>
      </x:c>
    </x:row>
    <x:row r="74" ht="22" customHeight="1">
      <x:c r="A74" s="88" t="n">
        <x:v>10</x:v>
      </x:c>
      <x:c r="B74" s="78"/>
      <x:c r="C74" s="78"/>
      <x:c r="D74" s="62" t="n">
        <x:f>IF(B74="",0,ROUNDUP(C74*(1+('全局设置'!$B$5-1)*'全局设置'!$B$6),0))</x:f>
        <x:v>0</x:v>
      </x:c>
      <x:c r="E74" s="92" t="n">
        <x:f>IF(B74="",0,IFERROR(VLOOKUP(B74,'敌人目录'!$A$6:$M$54,13,FALSE),0))</x:f>
        <x:v>0</x:v>
      </x:c>
      <x:c r="F74" s="92" t="n">
        <x:f>D74*E74</x:f>
        <x:v>0</x:v>
      </x:c>
      <x:c r="G74" s="92" t="n">
        <x:f>F74*'全局设置'!$B$7</x:f>
        <x:v>0</x:v>
      </x:c>
      <x:c r="H74" s="92" t="n">
        <x:f>G74*'全局设置'!$B$5</x:f>
        <x:v>0</x:v>
      </x:c>
      <x:c r="I74" s="81" t="str">
        <x:f>IF(AND(B74="",C74=""),"",IF(AND(B74&lt;&gt;"",C74&gt;=1,COUNTIF($B$65:$B$82,B74)=1),"可回读","需修正"))</x:f>
      </x:c>
    </x:row>
    <x:row r="75" ht="22" customHeight="1">
      <x:c r="A75" s="88" t="n">
        <x:v>11</x:v>
      </x:c>
      <x:c r="B75" s="78"/>
      <x:c r="C75" s="78"/>
      <x:c r="D75" s="62" t="n">
        <x:f>IF(B75="",0,ROUNDUP(C75*(1+('全局设置'!$B$5-1)*'全局设置'!$B$6),0))</x:f>
        <x:v>0</x:v>
      </x:c>
      <x:c r="E75" s="92" t="n">
        <x:f>IF(B75="",0,IFERROR(VLOOKUP(B75,'敌人目录'!$A$6:$M$54,13,FALSE),0))</x:f>
        <x:v>0</x:v>
      </x:c>
      <x:c r="F75" s="92" t="n">
        <x:f>D75*E75</x:f>
        <x:v>0</x:v>
      </x:c>
      <x:c r="G75" s="92" t="n">
        <x:f>F75*'全局设置'!$B$7</x:f>
        <x:v>0</x:v>
      </x:c>
      <x:c r="H75" s="92" t="n">
        <x:f>G75*'全局设置'!$B$5</x:f>
        <x:v>0</x:v>
      </x:c>
      <x:c r="I75" s="81" t="str">
        <x:f>IF(AND(B75="",C75=""),"",IF(AND(B75&lt;&gt;"",C75&gt;=1,COUNTIF($B$65:$B$82,B75)=1),"可回读","需修正"))</x:f>
      </x:c>
    </x:row>
    <x:row r="76" ht="22" customHeight="1">
      <x:c r="A76" s="88" t="n">
        <x:v>12</x:v>
      </x:c>
      <x:c r="B76" s="78"/>
      <x:c r="C76" s="78"/>
      <x:c r="D76" s="62" t="n">
        <x:f>IF(B76="",0,ROUNDUP(C76*(1+('全局设置'!$B$5-1)*'全局设置'!$B$6),0))</x:f>
        <x:v>0</x:v>
      </x:c>
      <x:c r="E76" s="92" t="n">
        <x:f>IF(B76="",0,IFERROR(VLOOKUP(B76,'敌人目录'!$A$6:$M$54,13,FALSE),0))</x:f>
        <x:v>0</x:v>
      </x:c>
      <x:c r="F76" s="92" t="n">
        <x:f>D76*E76</x:f>
        <x:v>0</x:v>
      </x:c>
      <x:c r="G76" s="92" t="n">
        <x:f>F76*'全局设置'!$B$7</x:f>
        <x:v>0</x:v>
      </x:c>
      <x:c r="H76" s="92" t="n">
        <x:f>G76*'全局设置'!$B$5</x:f>
        <x:v>0</x:v>
      </x:c>
      <x:c r="I76" s="81" t="str">
        <x:f>IF(AND(B76="",C76=""),"",IF(AND(B76&lt;&gt;"",C76&gt;=1,COUNTIF($B$65:$B$82,B76)=1),"可回读","需修正"))</x:f>
      </x:c>
    </x:row>
    <x:row r="77" ht="22" customHeight="1">
      <x:c r="A77" s="88" t="n">
        <x:v>13</x:v>
      </x:c>
      <x:c r="B77" s="78"/>
      <x:c r="C77" s="78"/>
      <x:c r="D77" s="62" t="n">
        <x:f>IF(B77="",0,ROUNDUP(C77*(1+('全局设置'!$B$5-1)*'全局设置'!$B$6),0))</x:f>
        <x:v>0</x:v>
      </x:c>
      <x:c r="E77" s="92" t="n">
        <x:f>IF(B77="",0,IFERROR(VLOOKUP(B77,'敌人目录'!$A$6:$M$54,13,FALSE),0))</x:f>
        <x:v>0</x:v>
      </x:c>
      <x:c r="F77" s="92" t="n">
        <x:f>D77*E77</x:f>
        <x:v>0</x:v>
      </x:c>
      <x:c r="G77" s="92" t="n">
        <x:f>F77*'全局设置'!$B$7</x:f>
        <x:v>0</x:v>
      </x:c>
      <x:c r="H77" s="92" t="n">
        <x:f>G77*'全局设置'!$B$5</x:f>
        <x:v>0</x:v>
      </x:c>
      <x:c r="I77" s="81" t="str">
        <x:f>IF(AND(B77="",C77=""),"",IF(AND(B77&lt;&gt;"",C77&gt;=1,COUNTIF($B$65:$B$82,B77)=1),"可回读","需修正"))</x:f>
      </x:c>
    </x:row>
    <x:row r="78" ht="22" customHeight="1">
      <x:c r="A78" s="88" t="n">
        <x:v>14</x:v>
      </x:c>
      <x:c r="B78" s="78"/>
      <x:c r="C78" s="78"/>
      <x:c r="D78" s="62" t="n">
        <x:f>IF(B78="",0,ROUNDUP(C78*(1+('全局设置'!$B$5-1)*'全局设置'!$B$6),0))</x:f>
        <x:v>0</x:v>
      </x:c>
      <x:c r="E78" s="92" t="n">
        <x:f>IF(B78="",0,IFERROR(VLOOKUP(B78,'敌人目录'!$A$6:$M$54,13,FALSE),0))</x:f>
        <x:v>0</x:v>
      </x:c>
      <x:c r="F78" s="92" t="n">
        <x:f>D78*E78</x:f>
        <x:v>0</x:v>
      </x:c>
      <x:c r="G78" s="92" t="n">
        <x:f>F78*'全局设置'!$B$7</x:f>
        <x:v>0</x:v>
      </x:c>
      <x:c r="H78" s="92" t="n">
        <x:f>G78*'全局设置'!$B$5</x:f>
        <x:v>0</x:v>
      </x:c>
      <x:c r="I78" s="81" t="str">
        <x:f>IF(AND(B78="",C78=""),"",IF(AND(B78&lt;&gt;"",C78&gt;=1,COUNTIF($B$65:$B$82,B78)=1),"可回读","需修正"))</x:f>
      </x:c>
    </x:row>
    <x:row r="79" ht="22" customHeight="1">
      <x:c r="A79" s="88" t="n">
        <x:v>15</x:v>
      </x:c>
      <x:c r="B79" s="78"/>
      <x:c r="C79" s="78"/>
      <x:c r="D79" s="62" t="n">
        <x:f>IF(B79="",0,ROUNDUP(C79*(1+('全局设置'!$B$5-1)*'全局设置'!$B$6),0))</x:f>
        <x:v>0</x:v>
      </x:c>
      <x:c r="E79" s="92" t="n">
        <x:f>IF(B79="",0,IFERROR(VLOOKUP(B79,'敌人目录'!$A$6:$M$54,13,FALSE),0))</x:f>
        <x:v>0</x:v>
      </x:c>
      <x:c r="F79" s="92" t="n">
        <x:f>D79*E79</x:f>
        <x:v>0</x:v>
      </x:c>
      <x:c r="G79" s="92" t="n">
        <x:f>F79*'全局设置'!$B$7</x:f>
        <x:v>0</x:v>
      </x:c>
      <x:c r="H79" s="92" t="n">
        <x:f>G79*'全局设置'!$B$5</x:f>
        <x:v>0</x:v>
      </x:c>
      <x:c r="I79" s="81" t="str">
        <x:f>IF(AND(B79="",C79=""),"",IF(AND(B79&lt;&gt;"",C79&gt;=1,COUNTIF($B$65:$B$82,B79)=1),"可回读","需修正"))</x:f>
      </x:c>
    </x:row>
    <x:row r="80" ht="22" customHeight="1">
      <x:c r="A80" s="88" t="n">
        <x:v>16</x:v>
      </x:c>
      <x:c r="B80" s="78"/>
      <x:c r="C80" s="78"/>
      <x:c r="D80" s="62" t="n">
        <x:f>IF(B80="",0,ROUNDUP(C80*(1+('全局设置'!$B$5-1)*'全局设置'!$B$6),0))</x:f>
        <x:v>0</x:v>
      </x:c>
      <x:c r="E80" s="92" t="n">
        <x:f>IF(B80="",0,IFERROR(VLOOKUP(B80,'敌人目录'!$A$6:$M$54,13,FALSE),0))</x:f>
        <x:v>0</x:v>
      </x:c>
      <x:c r="F80" s="92" t="n">
        <x:f>D80*E80</x:f>
        <x:v>0</x:v>
      </x:c>
      <x:c r="G80" s="92" t="n">
        <x:f>F80*'全局设置'!$B$7</x:f>
        <x:v>0</x:v>
      </x:c>
      <x:c r="H80" s="92" t="n">
        <x:f>G80*'全局设置'!$B$5</x:f>
        <x:v>0</x:v>
      </x:c>
      <x:c r="I80" s="81" t="str">
        <x:f>IF(AND(B80="",C80=""),"",IF(AND(B80&lt;&gt;"",C80&gt;=1,COUNTIF($B$65:$B$82,B80)=1),"可回读","需修正"))</x:f>
      </x:c>
    </x:row>
    <x:row r="81" ht="22" customHeight="1">
      <x:c r="A81" s="88" t="n">
        <x:v>17</x:v>
      </x:c>
      <x:c r="B81" s="78"/>
      <x:c r="C81" s="78"/>
      <x:c r="D81" s="62" t="n">
        <x:f>IF(B81="",0,ROUNDUP(C81*(1+('全局设置'!$B$5-1)*'全局设置'!$B$6),0))</x:f>
        <x:v>0</x:v>
      </x:c>
      <x:c r="E81" s="92" t="n">
        <x:f>IF(B81="",0,IFERROR(VLOOKUP(B81,'敌人目录'!$A$6:$M$54,13,FALSE),0))</x:f>
        <x:v>0</x:v>
      </x:c>
      <x:c r="F81" s="92" t="n">
        <x:f>D81*E81</x:f>
        <x:v>0</x:v>
      </x:c>
      <x:c r="G81" s="92" t="n">
        <x:f>F81*'全局设置'!$B$7</x:f>
        <x:v>0</x:v>
      </x:c>
      <x:c r="H81" s="92" t="n">
        <x:f>G81*'全局设置'!$B$5</x:f>
        <x:v>0</x:v>
      </x:c>
      <x:c r="I81" s="81" t="str">
        <x:f>IF(AND(B81="",C81=""),"",IF(AND(B81&lt;&gt;"",C81&gt;=1,COUNTIF($B$65:$B$82,B81)=1),"可回读","需修正"))</x:f>
      </x:c>
    </x:row>
    <x:row r="82" ht="22" customHeight="1">
      <x:c r="A82" s="88" t="n">
        <x:v>18</x:v>
      </x:c>
      <x:c r="B82" s="78"/>
      <x:c r="C82" s="78"/>
      <x:c r="D82" s="62" t="n">
        <x:f>IF(B82="",0,ROUNDUP(C82*(1+('全局设置'!$B$5-1)*'全局设置'!$B$6),0))</x:f>
        <x:v>0</x:v>
      </x:c>
      <x:c r="E82" s="92" t="n">
        <x:f>IF(B82="",0,IFERROR(VLOOKUP(B82,'敌人目录'!$A$6:$M$54,13,FALSE),0))</x:f>
        <x:v>0</x:v>
      </x:c>
      <x:c r="F82" s="92" t="n">
        <x:f>D82*E82</x:f>
        <x:v>0</x:v>
      </x:c>
      <x:c r="G82" s="92" t="n">
        <x:f>F82*'全局设置'!$B$7</x:f>
        <x:v>0</x:v>
      </x:c>
      <x:c r="H82" s="92" t="n">
        <x:f>G82*'全局设置'!$B$5</x:f>
        <x:v>0</x:v>
      </x:c>
      <x:c r="I82" s="81" t="str">
        <x:f>IF(AND(B82="",C82=""),"",IF(AND(B82&lt;&gt;"",C82&gt;=1,COUNTIF($B$65:$B$82,B82)=1),"可回读","需修正"))</x:f>
      </x:c>
    </x:row>
    <x:row r="83" ht="22" customHeight="1"/>
    <x:row r="84" ht="22" customHeight="1">
      <x:c r="A84" s="103" t="str">
        <x:v>基础总数</x:v>
      </x:c>
      <x:c r="B84" s="62" t="n">
        <x:f>SUM(C65:C82)</x:f>
        <x:v>3950</x:v>
      </x:c>
      <x:c r="C84" s="103" t="str">
        <x:v>实际总数</x:v>
      </x:c>
      <x:c r="D84" s="62" t="n">
        <x:f>SUM(D65:D82)</x:f>
        <x:v>3950</x:v>
      </x:c>
      <x:c r="E84" s="103" t="str">
        <x:v>最大息壤/玩家</x:v>
      </x:c>
      <x:c r="F84" s="62" t="n">
        <x:f>SUM(F65:F82)</x:f>
        <x:v>5000</x:v>
      </x:c>
      <x:c r="G84" s="103" t="str">
        <x:v>预计息壤/玩家</x:v>
      </x:c>
      <x:c r="H84" s="62" t="n">
        <x:f>SUM(G65:G82)</x:f>
        <x:v>5000</x:v>
      </x:c>
      <x:c r="I84" s="62"/>
    </x:row>
    <x:row r="85" ht="22" customHeight="1">
      <x:c r="A85" s="99" t="str">
        <x:v>预计息壤/队伍</x:v>
      </x:c>
      <x:c r="B85" s="30" t="n">
        <x:f>SUM(H65:H82)</x:f>
        <x:v>5000</x:v>
      </x:c>
      <x:c r="C85" s="99" t="str">
        <x:v>说明</x:v>
      </x:c>
      <x:c r="D85" s="30" t="str">
        <x:v>预计息壤 = 实际数量 × 固定息壤 × 击杀率；已移除每日命运倍率。</x:v>
      </x:c>
      <x:c r="E85" s="30"/>
      <x:c r="F85" s="30"/>
      <x:c r="G85" s="30"/>
      <x:c r="H85" s="30"/>
      <x:c r="I85" s="30"/>
    </x:row>
    <x:row r="86" ht="22" customHeight="1"/>
    <x:row r="87" ht="22" customHeight="1"/>
    <x:row r="88" ht="22" customHeight="1"/>
    <x:row r="89" ht="22" customHeight="1">
      <x:c r="A89" s="33" t="str">
        <x:v>第 4 波｜第 1 日·4/4｜夜晚｜当前正式配置</x:v>
      </x:c>
      <x:c r="B89" s="33"/>
      <x:c r="C89" s="33"/>
      <x:c r="D89" s="33"/>
      <x:c r="E89" s="33"/>
      <x:c r="F89" s="33"/>
      <x:c r="G89" s="33"/>
      <x:c r="H89" s="33"/>
      <x:c r="I89" s="33"/>
    </x:row>
    <x:row r="90" ht="22" customHeight="1">
      <x:c r="A90" s="103" t="str">
        <x:v>波次名称</x:v>
      </x:c>
      <x:c r="B90" s="78" t="str">
        <x:v>第4波 林地合围</x:v>
      </x:c>
      <x:c r="C90" s="78" t="str">
        <x:v>第4波 林地合围</x:v>
      </x:c>
      <x:c r="D90" s="103" t="str">
        <x:v>出生间隔(s)</x:v>
      </x:c>
      <x:c r="E90" s="57" t="n">
        <x:v>0.1</x:v>
      </x:c>
      <x:c r="F90" s="103" t="str">
        <x:v>每Tick</x:v>
      </x:c>
      <x:c r="G90" s="57" t="n">
        <x:v>1</x:v>
      </x:c>
      <x:c r="H90" s="103" t="str">
        <x:v>存活上限</x:v>
      </x:c>
      <x:c r="I90" s="57" t="n">
        <x:v>300</x:v>
      </x:c>
    </x:row>
    <x:row r="91" ht="22" customHeight="1">
      <x:c r="A91" s="103" t="str">
        <x:v>出生点</x:v>
      </x:c>
      <x:c r="B91" s="68" t="str">
        <x:v>点1·开启</x:v>
      </x:c>
      <x:c r="C91" s="68" t="str">
        <x:v>点2·开启</x:v>
      </x:c>
      <x:c r="D91" s="68" t="str">
        <x:v>点3·开启</x:v>
      </x:c>
      <x:c r="E91" s="68" t="str">
        <x:v>点4·开启</x:v>
      </x:c>
      <x:c r="F91" s="68" t="str">
        <x:v>点5·开启</x:v>
      </x:c>
      <x:c r="G91" s="68" t="str">
        <x:v>点6·开启</x:v>
      </x:c>
      <x:c r="H91" s="103" t="str">
        <x:v>波次校验</x:v>
      </x:c>
      <x:c r="I91" s="81" t="str">
        <x:f>IF(COUNTA(B94:B111)=0,"待设计",IF(COUNTIF(I94:I111,"需修正")&gt;0,"需修正","可回读"))</x:f>
        <x:v>待设计</x:v>
      </x:c>
    </x:row>
    <x:row r="92" ht="22" customHeight="1">
      <x:c r="A92" s="86" t="str">
        <x:v>仅编辑蓝色列、敌人数值和出生点；所有公式、稳定 ID 与 schema 字段由机器区自动生成。</x:v>
      </x:c>
      <x:c r="B92" s="86"/>
      <x:c r="C92" s="86"/>
      <x:c r="D92" s="86"/>
      <x:c r="E92" s="86"/>
      <x:c r="F92" s="86"/>
      <x:c r="G92" s="86"/>
      <x:c r="H92" s="86"/>
      <x:c r="I92" s="86"/>
    </x:row>
    <x:row r="93" ht="22" customHeight="1">
      <x:c r="A93" s="103" t="str">
        <x:v>槽位</x:v>
      </x:c>
      <x:c r="B93" s="103" t="str">
        <x:v>敌人（下拉选择）</x:v>
      </x:c>
      <x:c r="C93" s="103" t="str">
        <x:v>基础数量</x:v>
      </x:c>
      <x:c r="D93" s="103" t="str">
        <x:v>实际数量</x:v>
      </x:c>
      <x:c r="E93" s="103" t="str">
        <x:v>息壤/击杀</x:v>
      </x:c>
      <x:c r="F93" s="103" t="str">
        <x:v>最大息壤/玩家</x:v>
      </x:c>
      <x:c r="G93" s="103" t="str">
        <x:v>预计息壤/玩家</x:v>
      </x:c>
      <x:c r="H93" s="103" t="str">
        <x:v>预计息壤/队伍</x:v>
      </x:c>
      <x:c r="I93" s="103" t="str">
        <x:v>校验</x:v>
      </x:c>
    </x:row>
    <x:row r="94" ht="22" customHeight="1">
      <x:c r="A94" s="88" t="n">
        <x:v>1</x:v>
      </x:c>
      <x:c r="B94" s="78"/>
      <x:c r="C94" s="78"/>
      <x:c r="D94" s="62" t="n">
        <x:f>IF(B94="",0,ROUNDUP(C94*(1+('全局设置'!$B$5-1)*'全局设置'!$B$6),0))</x:f>
        <x:v>0</x:v>
      </x:c>
      <x:c r="E94" s="92" t="n">
        <x:f>IF(B94="",0,IFERROR(VLOOKUP(B94,'敌人目录'!$A$6:$M$54,13,FALSE),0))</x:f>
        <x:v>0</x:v>
      </x:c>
      <x:c r="F94" s="92" t="n">
        <x:f>D94*E94</x:f>
        <x:v>0</x:v>
      </x:c>
      <x:c r="G94" s="92" t="n">
        <x:f>F94*'全局设置'!$B$7</x:f>
        <x:v>0</x:v>
      </x:c>
      <x:c r="H94" s="92" t="n">
        <x:f>G94*'全局设置'!$B$5</x:f>
        <x:v>0</x:v>
      </x:c>
      <x:c r="I94" s="81" t="str">
        <x:f>IF(AND(B94="",C94=""),"",IF(AND(B94&lt;&gt;"",C94&gt;=1,COUNTIF($B$94:$B$111,B94)=1),"可回读","需修正"))</x:f>
      </x:c>
    </x:row>
    <x:row r="95" ht="22" customHeight="1">
      <x:c r="A95" s="88" t="n">
        <x:v>2</x:v>
      </x:c>
      <x:c r="B95" s="78"/>
      <x:c r="C95" s="78"/>
      <x:c r="D95" s="62" t="n">
        <x:f>IF(B95="",0,ROUNDUP(C95*(1+('全局设置'!$B$5-1)*'全局设置'!$B$6),0))</x:f>
        <x:v>0</x:v>
      </x:c>
      <x:c r="E95" s="92" t="n">
        <x:f>IF(B95="",0,IFERROR(VLOOKUP(B95,'敌人目录'!$A$6:$M$54,13,FALSE),0))</x:f>
        <x:v>0</x:v>
      </x:c>
      <x:c r="F95" s="92" t="n">
        <x:f>D95*E95</x:f>
        <x:v>0</x:v>
      </x:c>
      <x:c r="G95" s="92" t="n">
        <x:f>F95*'全局设置'!$B$7</x:f>
        <x:v>0</x:v>
      </x:c>
      <x:c r="H95" s="92" t="n">
        <x:f>G95*'全局设置'!$B$5</x:f>
        <x:v>0</x:v>
      </x:c>
      <x:c r="I95" s="81" t="str">
        <x:f>IF(AND(B95="",C95=""),"",IF(AND(B95&lt;&gt;"",C95&gt;=1,COUNTIF($B$94:$B$111,B95)=1),"可回读","需修正"))</x:f>
      </x:c>
    </x:row>
    <x:row r="96" ht="22" customHeight="1">
      <x:c r="A96" s="88" t="n">
        <x:v>3</x:v>
      </x:c>
      <x:c r="B96" s="78"/>
      <x:c r="C96" s="78"/>
      <x:c r="D96" s="62" t="n">
        <x:f>IF(B96="",0,ROUNDUP(C96*(1+('全局设置'!$B$5-1)*'全局设置'!$B$6),0))</x:f>
        <x:v>0</x:v>
      </x:c>
      <x:c r="E96" s="92" t="n">
        <x:f>IF(B96="",0,IFERROR(VLOOKUP(B96,'敌人目录'!$A$6:$M$54,13,FALSE),0))</x:f>
        <x:v>0</x:v>
      </x:c>
      <x:c r="F96" s="92" t="n">
        <x:f>D96*E96</x:f>
        <x:v>0</x:v>
      </x:c>
      <x:c r="G96" s="92" t="n">
        <x:f>F96*'全局设置'!$B$7</x:f>
        <x:v>0</x:v>
      </x:c>
      <x:c r="H96" s="92" t="n">
        <x:f>G96*'全局设置'!$B$5</x:f>
        <x:v>0</x:v>
      </x:c>
      <x:c r="I96" s="81" t="str">
        <x:f>IF(AND(B96="",C96=""),"",IF(AND(B96&lt;&gt;"",C96&gt;=1,COUNTIF($B$94:$B$111,B96)=1),"可回读","需修正"))</x:f>
      </x:c>
    </x:row>
    <x:row r="97" ht="22" customHeight="1">
      <x:c r="A97" s="88" t="n">
        <x:v>4</x:v>
      </x:c>
      <x:c r="B97" s="78"/>
      <x:c r="C97" s="78"/>
      <x:c r="D97" s="62" t="n">
        <x:f>IF(B97="",0,ROUNDUP(C97*(1+('全局设置'!$B$5-1)*'全局设置'!$B$6),0))</x:f>
        <x:v>0</x:v>
      </x:c>
      <x:c r="E97" s="92" t="n">
        <x:f>IF(B97="",0,IFERROR(VLOOKUP(B97,'敌人目录'!$A$6:$M$54,13,FALSE),0))</x:f>
        <x:v>0</x:v>
      </x:c>
      <x:c r="F97" s="92" t="n">
        <x:f>D97*E97</x:f>
        <x:v>0</x:v>
      </x:c>
      <x:c r="G97" s="92" t="n">
        <x:f>F97*'全局设置'!$B$7</x:f>
        <x:v>0</x:v>
      </x:c>
      <x:c r="H97" s="92" t="n">
        <x:f>G97*'全局设置'!$B$5</x:f>
        <x:v>0</x:v>
      </x:c>
      <x:c r="I97" s="81" t="str">
        <x:f>IF(AND(B97="",C97=""),"",IF(AND(B97&lt;&gt;"",C97&gt;=1,COUNTIF($B$94:$B$111,B97)=1),"可回读","需修正"))</x:f>
      </x:c>
    </x:row>
    <x:row r="98" ht="22" customHeight="1">
      <x:c r="A98" s="88" t="n">
        <x:v>5</x:v>
      </x:c>
      <x:c r="B98" s="78"/>
      <x:c r="C98" s="78"/>
      <x:c r="D98" s="62" t="n">
        <x:f>IF(B98="",0,ROUNDUP(C98*(1+('全局设置'!$B$5-1)*'全局设置'!$B$6),0))</x:f>
        <x:v>0</x:v>
      </x:c>
      <x:c r="E98" s="92" t="n">
        <x:f>IF(B98="",0,IFERROR(VLOOKUP(B98,'敌人目录'!$A$6:$M$54,13,FALSE),0))</x:f>
        <x:v>0</x:v>
      </x:c>
      <x:c r="F98" s="92" t="n">
        <x:f>D98*E98</x:f>
        <x:v>0</x:v>
      </x:c>
      <x:c r="G98" s="92" t="n">
        <x:f>F98*'全局设置'!$B$7</x:f>
        <x:v>0</x:v>
      </x:c>
      <x:c r="H98" s="92" t="n">
        <x:f>G98*'全局设置'!$B$5</x:f>
        <x:v>0</x:v>
      </x:c>
      <x:c r="I98" s="81" t="str">
        <x:f>IF(AND(B98="",C98=""),"",IF(AND(B98&lt;&gt;"",C98&gt;=1,COUNTIF($B$94:$B$111,B98)=1),"可回读","需修正"))</x:f>
      </x:c>
    </x:row>
    <x:row r="99" ht="22" customHeight="1">
      <x:c r="A99" s="88" t="n">
        <x:v>6</x:v>
      </x:c>
      <x:c r="B99" s="78"/>
      <x:c r="C99" s="78"/>
      <x:c r="D99" s="62" t="n">
        <x:f>IF(B99="",0,ROUNDUP(C99*(1+('全局设置'!$B$5-1)*'全局设置'!$B$6),0))</x:f>
        <x:v>0</x:v>
      </x:c>
      <x:c r="E99" s="92" t="n">
        <x:f>IF(B99="",0,IFERROR(VLOOKUP(B99,'敌人目录'!$A$6:$M$54,13,FALSE),0))</x:f>
        <x:v>0</x:v>
      </x:c>
      <x:c r="F99" s="92" t="n">
        <x:f>D99*E99</x:f>
        <x:v>0</x:v>
      </x:c>
      <x:c r="G99" s="92" t="n">
        <x:f>F99*'全局设置'!$B$7</x:f>
        <x:v>0</x:v>
      </x:c>
      <x:c r="H99" s="92" t="n">
        <x:f>G99*'全局设置'!$B$5</x:f>
        <x:v>0</x:v>
      </x:c>
      <x:c r="I99" s="81" t="str">
        <x:f>IF(AND(B99="",C99=""),"",IF(AND(B99&lt;&gt;"",C99&gt;=1,COUNTIF($B$94:$B$111,B99)=1),"可回读","需修正"))</x:f>
      </x:c>
    </x:row>
    <x:row r="100" ht="22" customHeight="1">
      <x:c r="A100" s="88" t="n">
        <x:v>7</x:v>
      </x:c>
      <x:c r="B100" s="78"/>
      <x:c r="C100" s="78"/>
      <x:c r="D100" s="62" t="n">
        <x:f>IF(B100="",0,ROUNDUP(C100*(1+('全局设置'!$B$5-1)*'全局设置'!$B$6),0))</x:f>
        <x:v>0</x:v>
      </x:c>
      <x:c r="E100" s="92" t="n">
        <x:f>IF(B100="",0,IFERROR(VLOOKUP(B100,'敌人目录'!$A$6:$M$54,13,FALSE),0))</x:f>
        <x:v>0</x:v>
      </x:c>
      <x:c r="F100" s="92" t="n">
        <x:f>D100*E100</x:f>
        <x:v>0</x:v>
      </x:c>
      <x:c r="G100" s="92" t="n">
        <x:f>F100*'全局设置'!$B$7</x:f>
        <x:v>0</x:v>
      </x:c>
      <x:c r="H100" s="92" t="n">
        <x:f>G100*'全局设置'!$B$5</x:f>
        <x:v>0</x:v>
      </x:c>
      <x:c r="I100" s="81" t="str">
        <x:f>IF(AND(B100="",C100=""),"",IF(AND(B100&lt;&gt;"",C100&gt;=1,COUNTIF($B$94:$B$111,B100)=1),"可回读","需修正"))</x:f>
      </x:c>
    </x:row>
    <x:row r="101" ht="22" customHeight="1">
      <x:c r="A101" s="88" t="n">
        <x:v>8</x:v>
      </x:c>
      <x:c r="B101" s="78"/>
      <x:c r="C101" s="78"/>
      <x:c r="D101" s="62" t="n">
        <x:f>IF(B101="",0,ROUNDUP(C101*(1+('全局设置'!$B$5-1)*'全局设置'!$B$6),0))</x:f>
        <x:v>0</x:v>
      </x:c>
      <x:c r="E101" s="92" t="n">
        <x:f>IF(B101="",0,IFERROR(VLOOKUP(B101,'敌人目录'!$A$6:$M$54,13,FALSE),0))</x:f>
        <x:v>0</x:v>
      </x:c>
      <x:c r="F101" s="92" t="n">
        <x:f>D101*E101</x:f>
        <x:v>0</x:v>
      </x:c>
      <x:c r="G101" s="92" t="n">
        <x:f>F101*'全局设置'!$B$7</x:f>
        <x:v>0</x:v>
      </x:c>
      <x:c r="H101" s="92" t="n">
        <x:f>G101*'全局设置'!$B$5</x:f>
        <x:v>0</x:v>
      </x:c>
      <x:c r="I101" s="81" t="str">
        <x:f>IF(AND(B101="",C101=""),"",IF(AND(B101&lt;&gt;"",C101&gt;=1,COUNTIF($B$94:$B$111,B101)=1),"可回读","需修正"))</x:f>
      </x:c>
    </x:row>
    <x:row r="102" ht="22" customHeight="1">
      <x:c r="A102" s="88" t="n">
        <x:v>9</x:v>
      </x:c>
      <x:c r="B102" s="78"/>
      <x:c r="C102" s="78"/>
      <x:c r="D102" s="62" t="n">
        <x:f>IF(B102="",0,ROUNDUP(C102*(1+('全局设置'!$B$5-1)*'全局设置'!$B$6),0))</x:f>
        <x:v>0</x:v>
      </x:c>
      <x:c r="E102" s="92" t="n">
        <x:f>IF(B102="",0,IFERROR(VLOOKUP(B102,'敌人目录'!$A$6:$M$54,13,FALSE),0))</x:f>
        <x:v>0</x:v>
      </x:c>
      <x:c r="F102" s="92" t="n">
        <x:f>D102*E102</x:f>
        <x:v>0</x:v>
      </x:c>
      <x:c r="G102" s="92" t="n">
        <x:f>F102*'全局设置'!$B$7</x:f>
        <x:v>0</x:v>
      </x:c>
      <x:c r="H102" s="92" t="n">
        <x:f>G102*'全局设置'!$B$5</x:f>
        <x:v>0</x:v>
      </x:c>
      <x:c r="I102" s="81" t="str">
        <x:f>IF(AND(B102="",C102=""),"",IF(AND(B102&lt;&gt;"",C102&gt;=1,COUNTIF($B$94:$B$111,B102)=1),"可回读","需修正"))</x:f>
      </x:c>
    </x:row>
    <x:row r="103" ht="22" customHeight="1">
      <x:c r="A103" s="88" t="n">
        <x:v>10</x:v>
      </x:c>
      <x:c r="B103" s="78"/>
      <x:c r="C103" s="78"/>
      <x:c r="D103" s="62" t="n">
        <x:f>IF(B103="",0,ROUNDUP(C103*(1+('全局设置'!$B$5-1)*'全局设置'!$B$6),0))</x:f>
        <x:v>0</x:v>
      </x:c>
      <x:c r="E103" s="92" t="n">
        <x:f>IF(B103="",0,IFERROR(VLOOKUP(B103,'敌人目录'!$A$6:$M$54,13,FALSE),0))</x:f>
        <x:v>0</x:v>
      </x:c>
      <x:c r="F103" s="92" t="n">
        <x:f>D103*E103</x:f>
        <x:v>0</x:v>
      </x:c>
      <x:c r="G103" s="92" t="n">
        <x:f>F103*'全局设置'!$B$7</x:f>
        <x:v>0</x:v>
      </x:c>
      <x:c r="H103" s="92" t="n">
        <x:f>G103*'全局设置'!$B$5</x:f>
        <x:v>0</x:v>
      </x:c>
      <x:c r="I103" s="81" t="str">
        <x:f>IF(AND(B103="",C103=""),"",IF(AND(B103&lt;&gt;"",C103&gt;=1,COUNTIF($B$94:$B$111,B103)=1),"可回读","需修正"))</x:f>
      </x:c>
    </x:row>
    <x:row r="104" ht="22" customHeight="1">
      <x:c r="A104" s="88" t="n">
        <x:v>11</x:v>
      </x:c>
      <x:c r="B104" s="78"/>
      <x:c r="C104" s="78"/>
      <x:c r="D104" s="62" t="n">
        <x:f>IF(B104="",0,ROUNDUP(C104*(1+('全局设置'!$B$5-1)*'全局设置'!$B$6),0))</x:f>
        <x:v>0</x:v>
      </x:c>
      <x:c r="E104" s="92" t="n">
        <x:f>IF(B104="",0,IFERROR(VLOOKUP(B104,'敌人目录'!$A$6:$M$54,13,FALSE),0))</x:f>
        <x:v>0</x:v>
      </x:c>
      <x:c r="F104" s="92" t="n">
        <x:f>D104*E104</x:f>
        <x:v>0</x:v>
      </x:c>
      <x:c r="G104" s="92" t="n">
        <x:f>F104*'全局设置'!$B$7</x:f>
        <x:v>0</x:v>
      </x:c>
      <x:c r="H104" s="92" t="n">
        <x:f>G104*'全局设置'!$B$5</x:f>
        <x:v>0</x:v>
      </x:c>
      <x:c r="I104" s="81" t="str">
        <x:f>IF(AND(B104="",C104=""),"",IF(AND(B104&lt;&gt;"",C104&gt;=1,COUNTIF($B$94:$B$111,B104)=1),"可回读","需修正"))</x:f>
      </x:c>
    </x:row>
    <x:row r="105" ht="22" customHeight="1">
      <x:c r="A105" s="88" t="n">
        <x:v>12</x:v>
      </x:c>
      <x:c r="B105" s="78"/>
      <x:c r="C105" s="78"/>
      <x:c r="D105" s="62" t="n">
        <x:f>IF(B105="",0,ROUNDUP(C105*(1+('全局设置'!$B$5-1)*'全局设置'!$B$6),0))</x:f>
        <x:v>0</x:v>
      </x:c>
      <x:c r="E105" s="92" t="n">
        <x:f>IF(B105="",0,IFERROR(VLOOKUP(B105,'敌人目录'!$A$6:$M$54,13,FALSE),0))</x:f>
        <x:v>0</x:v>
      </x:c>
      <x:c r="F105" s="92" t="n">
        <x:f>D105*E105</x:f>
        <x:v>0</x:v>
      </x:c>
      <x:c r="G105" s="92" t="n">
        <x:f>F105*'全局设置'!$B$7</x:f>
        <x:v>0</x:v>
      </x:c>
      <x:c r="H105" s="92" t="n">
        <x:f>G105*'全局设置'!$B$5</x:f>
        <x:v>0</x:v>
      </x:c>
      <x:c r="I105" s="81" t="str">
        <x:f>IF(AND(B105="",C105=""),"",IF(AND(B105&lt;&gt;"",C105&gt;=1,COUNTIF($B$94:$B$111,B105)=1),"可回读","需修正"))</x:f>
      </x:c>
    </x:row>
    <x:row r="106" ht="22" customHeight="1">
      <x:c r="A106" s="88" t="n">
        <x:v>13</x:v>
      </x:c>
      <x:c r="B106" s="78"/>
      <x:c r="C106" s="78"/>
      <x:c r="D106" s="62" t="n">
        <x:f>IF(B106="",0,ROUNDUP(C106*(1+('全局设置'!$B$5-1)*'全局设置'!$B$6),0))</x:f>
        <x:v>0</x:v>
      </x:c>
      <x:c r="E106" s="92" t="n">
        <x:f>IF(B106="",0,IFERROR(VLOOKUP(B106,'敌人目录'!$A$6:$M$54,13,FALSE),0))</x:f>
        <x:v>0</x:v>
      </x:c>
      <x:c r="F106" s="92" t="n">
        <x:f>D106*E106</x:f>
        <x:v>0</x:v>
      </x:c>
      <x:c r="G106" s="92" t="n">
        <x:f>F106*'全局设置'!$B$7</x:f>
        <x:v>0</x:v>
      </x:c>
      <x:c r="H106" s="92" t="n">
        <x:f>G106*'全局设置'!$B$5</x:f>
        <x:v>0</x:v>
      </x:c>
      <x:c r="I106" s="81" t="str">
        <x:f>IF(AND(B106="",C106=""),"",IF(AND(B106&lt;&gt;"",C106&gt;=1,COUNTIF($B$94:$B$111,B106)=1),"可回读","需修正"))</x:f>
      </x:c>
    </x:row>
    <x:row r="107" ht="22" customHeight="1">
      <x:c r="A107" s="88" t="n">
        <x:v>14</x:v>
      </x:c>
      <x:c r="B107" s="78"/>
      <x:c r="C107" s="78"/>
      <x:c r="D107" s="62" t="n">
        <x:f>IF(B107="",0,ROUNDUP(C107*(1+('全局设置'!$B$5-1)*'全局设置'!$B$6),0))</x:f>
        <x:v>0</x:v>
      </x:c>
      <x:c r="E107" s="92" t="n">
        <x:f>IF(B107="",0,IFERROR(VLOOKUP(B107,'敌人目录'!$A$6:$M$54,13,FALSE),0))</x:f>
        <x:v>0</x:v>
      </x:c>
      <x:c r="F107" s="92" t="n">
        <x:f>D107*E107</x:f>
        <x:v>0</x:v>
      </x:c>
      <x:c r="G107" s="92" t="n">
        <x:f>F107*'全局设置'!$B$7</x:f>
        <x:v>0</x:v>
      </x:c>
      <x:c r="H107" s="92" t="n">
        <x:f>G107*'全局设置'!$B$5</x:f>
        <x:v>0</x:v>
      </x:c>
      <x:c r="I107" s="81" t="str">
        <x:f>IF(AND(B107="",C107=""),"",IF(AND(B107&lt;&gt;"",C107&gt;=1,COUNTIF($B$94:$B$111,B107)=1),"可回读","需修正"))</x:f>
      </x:c>
    </x:row>
    <x:row r="108" ht="22" customHeight="1">
      <x:c r="A108" s="88" t="n">
        <x:v>15</x:v>
      </x:c>
      <x:c r="B108" s="78"/>
      <x:c r="C108" s="78"/>
      <x:c r="D108" s="62" t="n">
        <x:f>IF(B108="",0,ROUNDUP(C108*(1+('全局设置'!$B$5-1)*'全局设置'!$B$6),0))</x:f>
        <x:v>0</x:v>
      </x:c>
      <x:c r="E108" s="92" t="n">
        <x:f>IF(B108="",0,IFERROR(VLOOKUP(B108,'敌人目录'!$A$6:$M$54,13,FALSE),0))</x:f>
        <x:v>0</x:v>
      </x:c>
      <x:c r="F108" s="92" t="n">
        <x:f>D108*E108</x:f>
        <x:v>0</x:v>
      </x:c>
      <x:c r="G108" s="92" t="n">
        <x:f>F108*'全局设置'!$B$7</x:f>
        <x:v>0</x:v>
      </x:c>
      <x:c r="H108" s="92" t="n">
        <x:f>G108*'全局设置'!$B$5</x:f>
        <x:v>0</x:v>
      </x:c>
      <x:c r="I108" s="81" t="str">
        <x:f>IF(AND(B108="",C108=""),"",IF(AND(B108&lt;&gt;"",C108&gt;=1,COUNTIF($B$94:$B$111,B108)=1),"可回读","需修正"))</x:f>
      </x:c>
    </x:row>
    <x:row r="109" ht="22" customHeight="1">
      <x:c r="A109" s="88" t="n">
        <x:v>16</x:v>
      </x:c>
      <x:c r="B109" s="78"/>
      <x:c r="C109" s="78"/>
      <x:c r="D109" s="62" t="n">
        <x:f>IF(B109="",0,ROUNDUP(C109*(1+('全局设置'!$B$5-1)*'全局设置'!$B$6),0))</x:f>
        <x:v>0</x:v>
      </x:c>
      <x:c r="E109" s="92" t="n">
        <x:f>IF(B109="",0,IFERROR(VLOOKUP(B109,'敌人目录'!$A$6:$M$54,13,FALSE),0))</x:f>
        <x:v>0</x:v>
      </x:c>
      <x:c r="F109" s="92" t="n">
        <x:f>D109*E109</x:f>
        <x:v>0</x:v>
      </x:c>
      <x:c r="G109" s="92" t="n">
        <x:f>F109*'全局设置'!$B$7</x:f>
        <x:v>0</x:v>
      </x:c>
      <x:c r="H109" s="92" t="n">
        <x:f>G109*'全局设置'!$B$5</x:f>
        <x:v>0</x:v>
      </x:c>
      <x:c r="I109" s="81" t="str">
        <x:f>IF(AND(B109="",C109=""),"",IF(AND(B109&lt;&gt;"",C109&gt;=1,COUNTIF($B$94:$B$111,B109)=1),"可回读","需修正"))</x:f>
      </x:c>
    </x:row>
    <x:row r="110" ht="22" customHeight="1">
      <x:c r="A110" s="88" t="n">
        <x:v>17</x:v>
      </x:c>
      <x:c r="B110" s="78"/>
      <x:c r="C110" s="78"/>
      <x:c r="D110" s="62" t="n">
        <x:f>IF(B110="",0,ROUNDUP(C110*(1+('全局设置'!$B$5-1)*'全局设置'!$B$6),0))</x:f>
        <x:v>0</x:v>
      </x:c>
      <x:c r="E110" s="92" t="n">
        <x:f>IF(B110="",0,IFERROR(VLOOKUP(B110,'敌人目录'!$A$6:$M$54,13,FALSE),0))</x:f>
        <x:v>0</x:v>
      </x:c>
      <x:c r="F110" s="92" t="n">
        <x:f>D110*E110</x:f>
        <x:v>0</x:v>
      </x:c>
      <x:c r="G110" s="92" t="n">
        <x:f>F110*'全局设置'!$B$7</x:f>
        <x:v>0</x:v>
      </x:c>
      <x:c r="H110" s="92" t="n">
        <x:f>G110*'全局设置'!$B$5</x:f>
        <x:v>0</x:v>
      </x:c>
      <x:c r="I110" s="81" t="str">
        <x:f>IF(AND(B110="",C110=""),"",IF(AND(B110&lt;&gt;"",C110&gt;=1,COUNTIF($B$94:$B$111,B110)=1),"可回读","需修正"))</x:f>
      </x:c>
    </x:row>
    <x:row r="111" ht="22" customHeight="1">
      <x:c r="A111" s="88" t="n">
        <x:v>18</x:v>
      </x:c>
      <x:c r="B111" s="78"/>
      <x:c r="C111" s="78"/>
      <x:c r="D111" s="62" t="n">
        <x:f>IF(B111="",0,ROUNDUP(C111*(1+('全局设置'!$B$5-1)*'全局设置'!$B$6),0))</x:f>
        <x:v>0</x:v>
      </x:c>
      <x:c r="E111" s="92" t="n">
        <x:f>IF(B111="",0,IFERROR(VLOOKUP(B111,'敌人目录'!$A$6:$M$54,13,FALSE),0))</x:f>
        <x:v>0</x:v>
      </x:c>
      <x:c r="F111" s="92" t="n">
        <x:f>D111*E111</x:f>
        <x:v>0</x:v>
      </x:c>
      <x:c r="G111" s="92" t="n">
        <x:f>F111*'全局设置'!$B$7</x:f>
        <x:v>0</x:v>
      </x:c>
      <x:c r="H111" s="92" t="n">
        <x:f>G111*'全局设置'!$B$5</x:f>
        <x:v>0</x:v>
      </x:c>
      <x:c r="I111" s="81" t="str">
        <x:f>IF(AND(B111="",C111=""),"",IF(AND(B111&lt;&gt;"",C111&gt;=1,COUNTIF($B$94:$B$111,B111)=1),"可回读","需修正"))</x:f>
      </x:c>
    </x:row>
    <x:row r="112" ht="22" customHeight="1"/>
    <x:row r="113" ht="22" customHeight="1">
      <x:c r="A113" s="103" t="str">
        <x:v>基础总数</x:v>
      </x:c>
      <x:c r="B113" s="62" t="n">
        <x:f>SUM(C94:C111)</x:f>
        <x:v>0</x:v>
      </x:c>
      <x:c r="C113" s="103" t="str">
        <x:v>实际总数</x:v>
      </x:c>
      <x:c r="D113" s="62" t="n">
        <x:f>SUM(D94:D111)</x:f>
        <x:v>0</x:v>
      </x:c>
      <x:c r="E113" s="103" t="str">
        <x:v>最大息壤/玩家</x:v>
      </x:c>
      <x:c r="F113" s="62" t="n">
        <x:f>SUM(F94:F111)</x:f>
        <x:v>0</x:v>
      </x:c>
      <x:c r="G113" s="103" t="str">
        <x:v>预计息壤/玩家</x:v>
      </x:c>
      <x:c r="H113" s="62" t="n">
        <x:f>SUM(G94:G111)</x:f>
        <x:v>0</x:v>
      </x:c>
      <x:c r="I113" s="62"/>
    </x:row>
    <x:row r="114" ht="22" customHeight="1">
      <x:c r="A114" s="99" t="str">
        <x:v>预计息壤/队伍</x:v>
      </x:c>
      <x:c r="B114" s="30" t="n">
        <x:f>SUM(H94:H111)</x:f>
        <x:v>0</x:v>
      </x:c>
      <x:c r="C114" s="99" t="str">
        <x:v>说明</x:v>
      </x:c>
      <x:c r="D114" s="30" t="str">
        <x:v>预计息壤 = 实际数量 × 固定息壤 × 击杀率；已移除每日命运倍率。</x:v>
      </x:c>
      <x:c r="E114" s="30"/>
      <x:c r="F114" s="30"/>
      <x:c r="G114" s="30"/>
      <x:c r="H114" s="30"/>
      <x:c r="I114" s="3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B61:C61"/>
    <x:mergeCell ref="A63:I63"/>
    <x:mergeCell ref="D85:I85"/>
    <x:mergeCell ref="A89:I89"/>
    <x:mergeCell ref="B90:C90"/>
    <x:mergeCell ref="A92:I92"/>
    <x:mergeCell ref="D114:I114"/>
  </x:mergeCells>
  <x:dataValidations count="44">
    <x:dataValidation type="list" sqref="B4">
      <x:formula1>"点1·开启,点1·关闭"</x:formula1>
    </x:dataValidation>
    <x:dataValidation type="list" sqref="C4">
      <x:formula1>"点2·开启,点2·关闭"</x:formula1>
    </x:dataValidation>
    <x:dataValidation type="list" sqref="D4">
      <x:formula1>"点3·开启,点3·关闭"</x:formula1>
    </x:dataValidation>
    <x:dataValidation type="list" sqref="E4">
      <x:formula1>"点4·开启,点4·关闭"</x:formula1>
    </x:dataValidation>
    <x:dataValidation type="list" sqref="F4">
      <x:formula1>"点5·开启,点5·关闭"</x:formula1>
    </x:dataValidation>
    <x:dataValidation type="list" sqref="G4">
      <x:formula1>"点6·开启,点6·关闭"</x:formula1>
    </x:dataValidation>
    <x:dataValidation type="list" sqref="B7:B24">
      <x:formula1>'敌人目录'!$A$6:$A$54</x:formula1>
    </x:dataValidation>
    <x:dataValidation type="whole" operator="between" sqref="C7:C24">
      <x:formula1>1</x:formula1>
      <x:formula2>9999</x:formula2>
    </x:dataValidation>
    <x:dataValidation type="decimal" operator="between" sqref="E3">
      <x:formula1>0.025</x:formula1>
      <x:formula2>60</x:formula2>
    </x:dataValidation>
    <x:dataValidation type="whole" operator="between" sqref="G3">
      <x:formula1>1</x:formula1>
      <x:formula2>4</x:formula2>
    </x:dataValidation>
    <x:dataValidation type="whole" operator="between" sqref="I3">
      <x:formula1>1</x:formula1>
      <x:formula2>999</x:formula2>
    </x:dataValidation>
    <x:dataValidation type="list" sqref="B33">
      <x:formula1>"点1·开启,点1·关闭"</x:formula1>
    </x:dataValidation>
    <x:dataValidation type="list" sqref="C33">
      <x:formula1>"点2·开启,点2·关闭"</x:formula1>
    </x:dataValidation>
    <x:dataValidation type="list" sqref="D33">
      <x:formula1>"点3·开启,点3·关闭"</x:formula1>
    </x:dataValidation>
    <x:dataValidation type="list" sqref="E33">
      <x:formula1>"点4·开启,点4·关闭"</x:formula1>
    </x:dataValidation>
    <x:dataValidation type="list" sqref="F33">
      <x:formula1>"点5·开启,点5·关闭"</x:formula1>
    </x:dataValidation>
    <x:dataValidation type="list" sqref="G33">
      <x:formula1>"点6·开启,点6·关闭"</x:formula1>
    </x:dataValidation>
    <x:dataValidation type="list" sqref="B36:B53">
      <x:formula1>'敌人目录'!$A$6:$A$54</x:formula1>
    </x:dataValidation>
    <x:dataValidation type="whole" operator="between" sqref="C36:C53">
      <x:formula1>1</x:formula1>
      <x:formula2>9999</x:formula2>
    </x:dataValidation>
    <x:dataValidation type="decimal" operator="between" sqref="E32">
      <x:formula1>0.025</x:formula1>
      <x:formula2>60</x:formula2>
    </x:dataValidation>
    <x:dataValidation type="whole" operator="between" sqref="G32">
      <x:formula1>1</x:formula1>
      <x:formula2>4</x:formula2>
    </x:dataValidation>
    <x:dataValidation type="whole" operator="between" sqref="I32">
      <x:formula1>1</x:formula1>
      <x:formula2>999</x:formula2>
    </x:dataValidation>
    <x:dataValidation type="list" sqref="B62">
      <x:formula1>"点1·开启,点1·关闭"</x:formula1>
    </x:dataValidation>
    <x:dataValidation type="list" sqref="C62">
      <x:formula1>"点2·开启,点2·关闭"</x:formula1>
    </x:dataValidation>
    <x:dataValidation type="list" sqref="D62">
      <x:formula1>"点3·开启,点3·关闭"</x:formula1>
    </x:dataValidation>
    <x:dataValidation type="list" sqref="E62">
      <x:formula1>"点4·开启,点4·关闭"</x:formula1>
    </x:dataValidation>
    <x:dataValidation type="list" sqref="F62">
      <x:formula1>"点5·开启,点5·关闭"</x:formula1>
    </x:dataValidation>
    <x:dataValidation type="list" sqref="G62">
      <x:formula1>"点6·开启,点6·关闭"</x:formula1>
    </x:dataValidation>
    <x:dataValidation type="list" sqref="B65:B82">
      <x:formula1>'敌人目录'!$A$6:$A$54</x:formula1>
    </x:dataValidation>
    <x:dataValidation type="whole" operator="between" sqref="C65:C82">
      <x:formula1>1</x:formula1>
      <x:formula2>9999</x:formula2>
    </x:dataValidation>
    <x:dataValidation type="decimal" operator="between" sqref="E61">
      <x:formula1>0.025</x:formula1>
      <x:formula2>60</x:formula2>
    </x:dataValidation>
    <x:dataValidation type="whole" operator="between" sqref="G61">
      <x:formula1>1</x:formula1>
      <x:formula2>4</x:formula2>
    </x:dataValidation>
    <x:dataValidation type="whole" operator="between" sqref="I61">
      <x:formula1>1</x:formula1>
      <x:formula2>999</x:formula2>
    </x:dataValidation>
    <x:dataValidation type="list" sqref="B91">
      <x:formula1>"点1·开启,点1·关闭"</x:formula1>
    </x:dataValidation>
    <x:dataValidation type="list" sqref="C91">
      <x:formula1>"点2·开启,点2·关闭"</x:formula1>
    </x:dataValidation>
    <x:dataValidation type="list" sqref="D91">
      <x:formula1>"点3·开启,点3·关闭"</x:formula1>
    </x:dataValidation>
    <x:dataValidation type="list" sqref="E91">
      <x:formula1>"点4·开启,点4·关闭"</x:formula1>
    </x:dataValidation>
    <x:dataValidation type="list" sqref="F91">
      <x:formula1>"点5·开启,点5·关闭"</x:formula1>
    </x:dataValidation>
    <x:dataValidation type="list" sqref="G91">
      <x:formula1>"点6·开启,点6·关闭"</x:formula1>
    </x:dataValidation>
    <x:dataValidation type="list" sqref="B94:B111">
      <x:formula1>'敌人目录'!$A$6:$A$54</x:formula1>
    </x:dataValidation>
    <x:dataValidation type="whole" operator="between" sqref="C94:C111">
      <x:formula1>1</x:formula1>
      <x:formula2>9999</x:formula2>
    </x:dataValidation>
    <x:dataValidation type="decimal" operator="between" sqref="E90">
      <x:formula1>0.025</x:formula1>
      <x:formula2>60</x:formula2>
    </x:dataValidation>
    <x:dataValidation type="whole" operator="between" sqref="G90">
      <x:formula1>1</x:formula1>
      <x:formula2>4</x:formula2>
    </x:dataValidation>
    <x:dataValidation type="whole" operator="between" sqref="I90">
      <x:formula1>1</x:formula1>
      <x:formula2>999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12" hidden="0" customWidth="1"/>
    <x:col min="4" max="4" width="12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3" hidden="0" customWidth="1"/>
  </x:cols>
  <x:sheetData>
    <x:row r="1" ht="34" customHeight="1">
      <x:c r="A1" s="3" t="str">
        <x:f>"第2日｜4 波配置｜日终地下探索 +"&amp;'全局设置'!D16&amp;" AP"</x:f>
        <x:v>第2日｜4 波配置｜日终地下探索 +5 AP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12" t="str">
        <x:v>第 5 波｜第 2 日·1/4｜白昼｜当前正式配置</x:v>
      </x:c>
      <x:c r="B2" s="12"/>
      <x:c r="C2" s="12"/>
      <x:c r="D2" s="12"/>
      <x:c r="E2" s="12"/>
      <x:c r="F2" s="12"/>
      <x:c r="G2" s="12"/>
      <x:c r="H2" s="12"/>
      <x:c r="I2" s="12"/>
    </x:row>
    <x:row r="3" ht="22" customHeight="1">
      <x:c r="A3" s="53" t="str">
        <x:v>波次名称</x:v>
      </x:c>
      <x:c r="B3" s="78" t="str">
        <x:v>第5波 沼泽先遣</x:v>
      </x:c>
      <x:c r="C3" s="78" t="str">
        <x:v>第5波 沼泽先遣</x:v>
      </x:c>
      <x:c r="D3" s="53" t="str">
        <x:v>出生间隔(s)</x:v>
      </x:c>
      <x:c r="E3" s="57" t="n">
        <x:v>0.45</x:v>
      </x:c>
      <x:c r="F3" s="53" t="str">
        <x:v>每Tick</x:v>
      </x:c>
      <x:c r="G3" s="57" t="n">
        <x:v>1</x:v>
      </x:c>
      <x:c r="H3" s="53" t="str">
        <x:v>存活上限</x:v>
      </x:c>
      <x:c r="I3" s="57" t="n">
        <x:v>300</x:v>
      </x:c>
    </x:row>
    <x:row r="4" ht="22" customHeight="1">
      <x:c r="A4" s="53" t="str">
        <x:v>出生点</x:v>
      </x:c>
      <x:c r="B4" s="68" t="str">
        <x:v>点1·开启</x:v>
      </x:c>
      <x:c r="C4" s="68" t="str">
        <x:v>点2·开启</x:v>
      </x:c>
      <x:c r="D4" s="68" t="str">
        <x:v>点3·开启</x:v>
      </x:c>
      <x:c r="E4" s="68" t="str">
        <x:v>点4·开启</x:v>
      </x:c>
      <x:c r="F4" s="68" t="str">
        <x:v>点5·开启</x:v>
      </x:c>
      <x:c r="G4" s="68" t="str">
        <x:v>点6·开启</x:v>
      </x:c>
      <x:c r="H4" s="53" t="str">
        <x:v>波次校验</x:v>
      </x:c>
      <x:c r="I4" s="81" t="str">
        <x:f>IF(COUNTA(B7:B24)=0,"待设计",IF(COUNTIF(I7:I24,"需修正")&gt;0,"需修正","可回读"))</x:f>
        <x:v>可回读</x:v>
      </x:c>
    </x:row>
    <x:row r="5" ht="22" customHeight="1">
      <x:c r="A5" s="86" t="str">
        <x:v>仅编辑蓝色列、敌人数值和出生点；所有公式、稳定 ID 与 schema 字段由机器区自动生成。</x:v>
      </x:c>
      <x:c r="B5" s="86"/>
      <x:c r="C5" s="86"/>
      <x:c r="D5" s="86"/>
      <x:c r="E5" s="86"/>
      <x:c r="F5" s="86"/>
      <x:c r="G5" s="86"/>
      <x:c r="H5" s="86"/>
      <x:c r="I5" s="86"/>
    </x:row>
    <x:row r="6" ht="22" customHeight="1">
      <x:c r="A6" s="53" t="str">
        <x:v>槽位</x:v>
      </x:c>
      <x:c r="B6" s="53" t="str">
        <x:v>敌人（下拉选择）</x:v>
      </x:c>
      <x:c r="C6" s="53" t="str">
        <x:v>基础数量</x:v>
      </x:c>
      <x:c r="D6" s="53" t="str">
        <x:v>实际数量</x:v>
      </x:c>
      <x:c r="E6" s="53" t="str">
        <x:v>息壤/击杀</x:v>
      </x:c>
      <x:c r="F6" s="53" t="str">
        <x:v>最大息壤/玩家</x:v>
      </x:c>
      <x:c r="G6" s="53" t="str">
        <x:v>预计息壤/玩家</x:v>
      </x:c>
      <x:c r="H6" s="53" t="str">
        <x:v>预计息壤/队伍</x:v>
      </x:c>
      <x:c r="I6" s="53" t="str">
        <x:v>校验</x:v>
      </x:c>
    </x:row>
    <x:row r="7" ht="22" customHeight="1">
      <x:c r="A7" s="88" t="n">
        <x:v>1</x:v>
      </x:c>
      <x:c r="B7" s="78" t="str">
        <x:v>普通原石虫</x:v>
      </x:c>
      <x:c r="C7" s="78" t="n">
        <x:v>28</x:v>
      </x:c>
      <x:c r="D7" s="62" t="n">
        <x:f>IF(B7="",0,ROUNDUP(C7*(1+('全局设置'!$B$5-1)*'全局设置'!$B$6),0))</x:f>
        <x:v>28</x:v>
      </x:c>
      <x:c r="E7" s="92" t="n">
        <x:f>IF(B7="",0,IFERROR(VLOOKUP(B7,'敌人目录'!$A$6:$M$54,13,FALSE),0))</x:f>
        <x:v>1</x:v>
      </x:c>
      <x:c r="F7" s="92" t="n">
        <x:f>D7*E7</x:f>
        <x:v>28</x:v>
      </x:c>
      <x:c r="G7" s="92" t="n">
        <x:f>F7*'全局设置'!$B$7</x:f>
        <x:v>28</x:v>
      </x:c>
      <x:c r="H7" s="92" t="n">
        <x:f>G7*'全局设置'!$B$5</x:f>
        <x:v>28</x:v>
      </x:c>
      <x:c r="I7" s="81" t="str">
        <x:f>IF(AND(B7="",C7=""),"",IF(AND(B7&lt;&gt;"",C7&gt;=1,COUNTIF($B$7:$B$24,B7)=1),"可回读","需修正"))</x:f>
        <x:v>可回读</x:v>
      </x:c>
    </x:row>
    <x:row r="8" ht="22" customHeight="1">
      <x:c r="A8" s="88" t="n">
        <x:v>2</x:v>
      </x:c>
      <x:c r="B8" s="78" t="str">
        <x:v>迅捷原石虫</x:v>
      </x:c>
      <x:c r="C8" s="78" t="n">
        <x:v>20</x:v>
      </x:c>
      <x:c r="D8" s="62" t="n">
        <x:f>IF(B8="",0,ROUNDUP(C8*(1+('全局设置'!$B$5-1)*'全局设置'!$B$6),0))</x:f>
        <x:v>20</x:v>
      </x:c>
      <x:c r="E8" s="92" t="n">
        <x:f>IF(B8="",0,IFERROR(VLOOKUP(B8,'敌人目录'!$A$6:$M$54,13,FALSE),0))</x:f>
        <x:v>1</x:v>
      </x:c>
      <x:c r="F8" s="92" t="n">
        <x:f>D8*E8</x:f>
        <x:v>20</x:v>
      </x:c>
      <x:c r="G8" s="92" t="n">
        <x:f>F8*'全局设置'!$B$7</x:f>
        <x:v>20</x:v>
      </x:c>
      <x:c r="H8" s="92" t="n">
        <x:f>G8*'全局设置'!$B$5</x:f>
        <x:v>20</x:v>
      </x:c>
      <x:c r="I8" s="81" t="str">
        <x:f>IF(AND(B8="",C8=""),"",IF(AND(B8&lt;&gt;"",C8&gt;=1,COUNTIF($B$7:$B$24,B8)=1),"可回读","需修正"))</x:f>
        <x:v>可回读</x:v>
      </x:c>
    </x:row>
    <x:row r="9" ht="22" customHeight="1">
      <x:c r="A9" s="88" t="n">
        <x:v>3</x:v>
      </x:c>
      <x:c r="B9" s="78" t="str">
        <x:v>硬壳原石虫</x:v>
      </x:c>
      <x:c r="C9" s="78" t="n">
        <x:v>12</x:v>
      </x:c>
      <x:c r="D9" s="62" t="n">
        <x:f>IF(B9="",0,ROUNDUP(C9*(1+('全局设置'!$B$5-1)*'全局设置'!$B$6),0))</x:f>
        <x:v>12</x:v>
      </x:c>
      <x:c r="E9" s="92" t="n">
        <x:f>IF(B9="",0,IFERROR(VLOOKUP(B9,'敌人目录'!$A$6:$M$54,13,FALSE),0))</x:f>
        <x:v>2</x:v>
      </x:c>
      <x:c r="F9" s="92" t="n">
        <x:f>D9*E9</x:f>
        <x:v>24</x:v>
      </x:c>
      <x:c r="G9" s="92" t="n">
        <x:f>F9*'全局设置'!$B$7</x:f>
        <x:v>24</x:v>
      </x:c>
      <x:c r="H9" s="92" t="n">
        <x:f>G9*'全局设置'!$B$5</x:f>
        <x:v>24</x:v>
      </x:c>
      <x:c r="I9" s="81" t="str">
        <x:f>IF(AND(B9="",C9=""),"",IF(AND(B9&lt;&gt;"",C9&gt;=1,COUNTIF($B$7:$B$24,B9)=1),"可回读","需修正"))</x:f>
        <x:v>可回读</x:v>
      </x:c>
    </x:row>
    <x:row r="10" ht="22" customHeight="1">
      <x:c r="A10" s="88" t="n">
        <x:v>4</x:v>
      </x:c>
      <x:c r="B10" s="78" t="str">
        <x:v>自爆原石虫</x:v>
      </x:c>
      <x:c r="C10" s="78" t="n">
        <x:v>8</x:v>
      </x:c>
      <x:c r="D10" s="62" t="n">
        <x:f>IF(B10="",0,ROUNDUP(C10*(1+('全局设置'!$B$5-1)*'全局设置'!$B$6),0))</x:f>
        <x:v>8</x:v>
      </x:c>
      <x:c r="E10" s="92" t="n">
        <x:f>IF(B10="",0,IFERROR(VLOOKUP(B10,'敌人目录'!$A$6:$M$54,13,FALSE),0))</x:f>
        <x:v>1</x:v>
      </x:c>
      <x:c r="F10" s="92" t="n">
        <x:f>D10*E10</x:f>
        <x:v>8</x:v>
      </x:c>
      <x:c r="G10" s="92" t="n">
        <x:f>F10*'全局设置'!$B$7</x:f>
        <x:v>8</x:v>
      </x:c>
      <x:c r="H10" s="92" t="n">
        <x:f>G10*'全局设置'!$B$5</x:f>
        <x:v>8</x:v>
      </x:c>
      <x:c r="I10" s="81" t="str">
        <x:f>IF(AND(B10="",C10=""),"",IF(AND(B10&lt;&gt;"",C10&gt;=1,COUNTIF($B$7:$B$24,B10)=1),"可回读","需修正"))</x:f>
        <x:v>可回读</x:v>
      </x:c>
    </x:row>
    <x:row r="11" ht="22" customHeight="1">
      <x:c r="A11" s="88" t="n">
        <x:v>5</x:v>
      </x:c>
      <x:c r="B11" s="78" t="str">
        <x:v>火焰弹原石虫</x:v>
      </x:c>
      <x:c r="C11" s="78" t="n">
        <x:v>8</x:v>
      </x:c>
      <x:c r="D11" s="62" t="n">
        <x:f>IF(B11="",0,ROUNDUP(C11*(1+('全局设置'!$B$5-1)*'全局设置'!$B$6),0))</x:f>
        <x:v>8</x:v>
      </x:c>
      <x:c r="E11" s="92" t="n">
        <x:f>IF(B11="",0,IFERROR(VLOOKUP(B11,'敌人目录'!$A$6:$M$54,13,FALSE),0))</x:f>
        <x:v>1</x:v>
      </x:c>
      <x:c r="F11" s="92" t="n">
        <x:f>D11*E11</x:f>
        <x:v>8</x:v>
      </x:c>
      <x:c r="G11" s="92" t="n">
        <x:f>F11*'全局设置'!$B$7</x:f>
        <x:v>8</x:v>
      </x:c>
      <x:c r="H11" s="92" t="n">
        <x:f>G11*'全局设置'!$B$5</x:f>
        <x:v>8</x:v>
      </x:c>
      <x:c r="I11" s="81" t="str">
        <x:f>IF(AND(B11="",C11=""),"",IF(AND(B11&lt;&gt;"",C11&gt;=1,COUNTIF($B$7:$B$24,B11)=1),"可回读","需修正"))</x:f>
        <x:v>可回读</x:v>
      </x:c>
    </x:row>
    <x:row r="12" ht="22" customHeight="1">
      <x:c r="A12" s="88" t="n">
        <x:v>6</x:v>
      </x:c>
      <x:c r="B12" s="78" t="str">
        <x:v>守护者原石虫</x:v>
      </x:c>
      <x:c r="C12" s="78" t="n">
        <x:v>4</x:v>
      </x:c>
      <x:c r="D12" s="62" t="n">
        <x:f>IF(B12="",0,ROUNDUP(C12*(1+('全局设置'!$B$5-1)*'全局设置'!$B$6),0))</x:f>
        <x:v>4</x:v>
      </x:c>
      <x:c r="E12" s="92" t="n">
        <x:f>IF(B12="",0,IFERROR(VLOOKUP(B12,'敌人目录'!$A$6:$M$54,13,FALSE),0))</x:f>
        <x:v>2</x:v>
      </x:c>
      <x:c r="F12" s="92" t="n">
        <x:f>D12*E12</x:f>
        <x:v>8</x:v>
      </x:c>
      <x:c r="G12" s="92" t="n">
        <x:f>F12*'全局设置'!$B$7</x:f>
        <x:v>8</x:v>
      </x:c>
      <x:c r="H12" s="92" t="n">
        <x:f>G12*'全局设置'!$B$5</x:f>
        <x:v>8</x:v>
      </x:c>
      <x:c r="I12" s="81" t="str">
        <x:f>IF(AND(B12="",C12=""),"",IF(AND(B12&lt;&gt;"",C12&gt;=1,COUNTIF($B$7:$B$24,B12)=1),"可回读","需修正"))</x:f>
        <x:v>可回读</x:v>
      </x:c>
    </x:row>
    <x:row r="13" ht="22" customHeight="1">
      <x:c r="A13" s="88" t="n">
        <x:v>7</x:v>
      </x:c>
      <x:c r="B13" s="78"/>
      <x:c r="C13" s="78"/>
      <x:c r="D13" s="62" t="n">
        <x:f>IF(B13="",0,ROUNDUP(C13*(1+('全局设置'!$B$5-1)*'全局设置'!$B$6),0))</x:f>
        <x:v>0</x:v>
      </x:c>
      <x:c r="E13" s="92" t="n">
        <x:f>IF(B13="",0,IFERROR(VLOOKUP(B13,'敌人目录'!$A$6:$M$54,13,FALSE),0))</x:f>
        <x:v>0</x:v>
      </x:c>
      <x:c r="F13" s="92" t="n">
        <x:f>D13*E13</x:f>
        <x:v>0</x:v>
      </x:c>
      <x:c r="G13" s="92" t="n">
        <x:f>F13*'全局设置'!$B$7</x:f>
        <x:v>0</x:v>
      </x:c>
      <x:c r="H13" s="92" t="n">
        <x:f>G13*'全局设置'!$B$5</x:f>
        <x:v>0</x:v>
      </x:c>
      <x:c r="I13" s="81" t="str">
        <x:f>IF(AND(B13="",C13=""),"",IF(AND(B13&lt;&gt;"",C13&gt;=1,COUNTIF($B$7:$B$24,B13)=1),"可回读","需修正"))</x:f>
      </x:c>
    </x:row>
    <x:row r="14" ht="22" customHeight="1">
      <x:c r="A14" s="88" t="n">
        <x:v>8</x:v>
      </x:c>
      <x:c r="B14" s="78"/>
      <x:c r="C14" s="78"/>
      <x:c r="D14" s="62" t="n">
        <x:f>IF(B14="",0,ROUNDUP(C14*(1+('全局设置'!$B$5-1)*'全局设置'!$B$6),0))</x:f>
        <x:v>0</x:v>
      </x:c>
      <x:c r="E14" s="92" t="n">
        <x:f>IF(B14="",0,IFERROR(VLOOKUP(B14,'敌人目录'!$A$6:$M$54,13,FALSE),0))</x:f>
        <x:v>0</x:v>
      </x:c>
      <x:c r="F14" s="92" t="n">
        <x:f>D14*E14</x:f>
        <x:v>0</x:v>
      </x:c>
      <x:c r="G14" s="92" t="n">
        <x:f>F14*'全局设置'!$B$7</x:f>
        <x:v>0</x:v>
      </x:c>
      <x:c r="H14" s="92" t="n">
        <x:f>G14*'全局设置'!$B$5</x:f>
        <x:v>0</x:v>
      </x:c>
      <x:c r="I14" s="81" t="str">
        <x:f>IF(AND(B14="",C14=""),"",IF(AND(B14&lt;&gt;"",C14&gt;=1,COUNTIF($B$7:$B$24,B14)=1),"可回读","需修正"))</x:f>
      </x:c>
    </x:row>
    <x:row r="15" ht="22" customHeight="1">
      <x:c r="A15" s="88" t="n">
        <x:v>9</x:v>
      </x:c>
      <x:c r="B15" s="78"/>
      <x:c r="C15" s="78"/>
      <x:c r="D15" s="62" t="n">
        <x:f>IF(B15="",0,ROUNDUP(C15*(1+('全局设置'!$B$5-1)*'全局设置'!$B$6),0))</x:f>
        <x:v>0</x:v>
      </x:c>
      <x:c r="E15" s="92" t="n">
        <x:f>IF(B15="",0,IFERROR(VLOOKUP(B15,'敌人目录'!$A$6:$M$54,13,FALSE),0))</x:f>
        <x:v>0</x:v>
      </x:c>
      <x:c r="F15" s="92" t="n">
        <x:f>D15*E15</x:f>
        <x:v>0</x:v>
      </x:c>
      <x:c r="G15" s="92" t="n">
        <x:f>F15*'全局设置'!$B$7</x:f>
        <x:v>0</x:v>
      </x:c>
      <x:c r="H15" s="92" t="n">
        <x:f>G15*'全局设置'!$B$5</x:f>
        <x:v>0</x:v>
      </x:c>
      <x:c r="I15" s="81" t="str">
        <x:f>IF(AND(B15="",C15=""),"",IF(AND(B15&lt;&gt;"",C15&gt;=1,COUNTIF($B$7:$B$24,B15)=1),"可回读","需修正"))</x:f>
      </x:c>
    </x:row>
    <x:row r="16" ht="22" customHeight="1">
      <x:c r="A16" s="88" t="n">
        <x:v>10</x:v>
      </x:c>
      <x:c r="B16" s="78"/>
      <x:c r="C16" s="78"/>
      <x:c r="D16" s="62" t="n">
        <x:f>IF(B16="",0,ROUNDUP(C16*(1+('全局设置'!$B$5-1)*'全局设置'!$B$6),0))</x:f>
        <x:v>0</x:v>
      </x:c>
      <x:c r="E16" s="92" t="n">
        <x:f>IF(B16="",0,IFERROR(VLOOKUP(B16,'敌人目录'!$A$6:$M$54,13,FALSE),0))</x:f>
        <x:v>0</x:v>
      </x:c>
      <x:c r="F16" s="92" t="n">
        <x:f>D16*E16</x:f>
        <x:v>0</x:v>
      </x:c>
      <x:c r="G16" s="92" t="n">
        <x:f>F16*'全局设置'!$B$7</x:f>
        <x:v>0</x:v>
      </x:c>
      <x:c r="H16" s="92" t="n">
        <x:f>G16*'全局设置'!$B$5</x:f>
        <x:v>0</x:v>
      </x:c>
      <x:c r="I16" s="81" t="str">
        <x:f>IF(AND(B16="",C16=""),"",IF(AND(B16&lt;&gt;"",C16&gt;=1,COUNTIF($B$7:$B$24,B16)=1),"可回读","需修正"))</x:f>
      </x:c>
    </x:row>
    <x:row r="17" ht="22" customHeight="1">
      <x:c r="A17" s="88" t="n">
        <x:v>11</x:v>
      </x:c>
      <x:c r="B17" s="78"/>
      <x:c r="C17" s="78"/>
      <x:c r="D17" s="62" t="n">
        <x:f>IF(B17="",0,ROUNDUP(C17*(1+('全局设置'!$B$5-1)*'全局设置'!$B$6),0))</x:f>
        <x:v>0</x:v>
      </x:c>
      <x:c r="E17" s="92" t="n">
        <x:f>IF(B17="",0,IFERROR(VLOOKUP(B17,'敌人目录'!$A$6:$M$54,13,FALSE),0))</x:f>
        <x:v>0</x:v>
      </x:c>
      <x:c r="F17" s="92" t="n">
        <x:f>D17*E17</x:f>
        <x:v>0</x:v>
      </x:c>
      <x:c r="G17" s="92" t="n">
        <x:f>F17*'全局设置'!$B$7</x:f>
        <x:v>0</x:v>
      </x:c>
      <x:c r="H17" s="92" t="n">
        <x:f>G17*'全局设置'!$B$5</x:f>
        <x:v>0</x:v>
      </x:c>
      <x:c r="I17" s="81" t="str">
        <x:f>IF(AND(B17="",C17=""),"",IF(AND(B17&lt;&gt;"",C17&gt;=1,COUNTIF($B$7:$B$24,B17)=1),"可回读","需修正"))</x:f>
      </x:c>
    </x:row>
    <x:row r="18" ht="22" customHeight="1">
      <x:c r="A18" s="88" t="n">
        <x:v>12</x:v>
      </x:c>
      <x:c r="B18" s="78"/>
      <x:c r="C18" s="78"/>
      <x:c r="D18" s="62" t="n">
        <x:f>IF(B18="",0,ROUNDUP(C18*(1+('全局设置'!$B$5-1)*'全局设置'!$B$6),0))</x:f>
        <x:v>0</x:v>
      </x:c>
      <x:c r="E18" s="92" t="n">
        <x:f>IF(B18="",0,IFERROR(VLOOKUP(B18,'敌人目录'!$A$6:$M$54,13,FALSE),0))</x:f>
        <x:v>0</x:v>
      </x:c>
      <x:c r="F18" s="92" t="n">
        <x:f>D18*E18</x:f>
        <x:v>0</x:v>
      </x:c>
      <x:c r="G18" s="92" t="n">
        <x:f>F18*'全局设置'!$B$7</x:f>
        <x:v>0</x:v>
      </x:c>
      <x:c r="H18" s="92" t="n">
        <x:f>G18*'全局设置'!$B$5</x:f>
        <x:v>0</x:v>
      </x:c>
      <x:c r="I18" s="81" t="str">
        <x:f>IF(AND(B18="",C18=""),"",IF(AND(B18&lt;&gt;"",C18&gt;=1,COUNTIF($B$7:$B$24,B18)=1),"可回读","需修正"))</x:f>
      </x:c>
    </x:row>
    <x:row r="19" ht="22" customHeight="1">
      <x:c r="A19" s="88" t="n">
        <x:v>13</x:v>
      </x:c>
      <x:c r="B19" s="78"/>
      <x:c r="C19" s="78"/>
      <x:c r="D19" s="62" t="n">
        <x:f>IF(B19="",0,ROUNDUP(C19*(1+('全局设置'!$B$5-1)*'全局设置'!$B$6),0))</x:f>
        <x:v>0</x:v>
      </x:c>
      <x:c r="E19" s="92" t="n">
        <x:f>IF(B19="",0,IFERROR(VLOOKUP(B19,'敌人目录'!$A$6:$M$54,13,FALSE),0))</x:f>
        <x:v>0</x:v>
      </x:c>
      <x:c r="F19" s="92" t="n">
        <x:f>D19*E19</x:f>
        <x:v>0</x:v>
      </x:c>
      <x:c r="G19" s="92" t="n">
        <x:f>F19*'全局设置'!$B$7</x:f>
        <x:v>0</x:v>
      </x:c>
      <x:c r="H19" s="92" t="n">
        <x:f>G19*'全局设置'!$B$5</x:f>
        <x:v>0</x:v>
      </x:c>
      <x:c r="I19" s="81" t="str">
        <x:f>IF(AND(B19="",C19=""),"",IF(AND(B19&lt;&gt;"",C19&gt;=1,COUNTIF($B$7:$B$24,B19)=1),"可回读","需修正"))</x:f>
      </x:c>
    </x:row>
    <x:row r="20" ht="22" customHeight="1">
      <x:c r="A20" s="88" t="n">
        <x:v>14</x:v>
      </x:c>
      <x:c r="B20" s="78"/>
      <x:c r="C20" s="78"/>
      <x:c r="D20" s="62" t="n">
        <x:f>IF(B20="",0,ROUNDUP(C20*(1+('全局设置'!$B$5-1)*'全局设置'!$B$6),0))</x:f>
        <x:v>0</x:v>
      </x:c>
      <x:c r="E20" s="92" t="n">
        <x:f>IF(B20="",0,IFERROR(VLOOKUP(B20,'敌人目录'!$A$6:$M$54,13,FALSE),0))</x:f>
        <x:v>0</x:v>
      </x:c>
      <x:c r="F20" s="92" t="n">
        <x:f>D20*E20</x:f>
        <x:v>0</x:v>
      </x:c>
      <x:c r="G20" s="92" t="n">
        <x:f>F20*'全局设置'!$B$7</x:f>
        <x:v>0</x:v>
      </x:c>
      <x:c r="H20" s="92" t="n">
        <x:f>G20*'全局设置'!$B$5</x:f>
        <x:v>0</x:v>
      </x:c>
      <x:c r="I20" s="81" t="str">
        <x:f>IF(AND(B20="",C20=""),"",IF(AND(B20&lt;&gt;"",C20&gt;=1,COUNTIF($B$7:$B$24,B20)=1),"可回读","需修正"))</x:f>
      </x:c>
    </x:row>
    <x:row r="21" ht="22" customHeight="1">
      <x:c r="A21" s="88" t="n">
        <x:v>15</x:v>
      </x:c>
      <x:c r="B21" s="78"/>
      <x:c r="C21" s="78"/>
      <x:c r="D21" s="62" t="n">
        <x:f>IF(B21="",0,ROUNDUP(C21*(1+('全局设置'!$B$5-1)*'全局设置'!$B$6),0))</x:f>
        <x:v>0</x:v>
      </x:c>
      <x:c r="E21" s="92" t="n">
        <x:f>IF(B21="",0,IFERROR(VLOOKUP(B21,'敌人目录'!$A$6:$M$54,13,FALSE),0))</x:f>
        <x:v>0</x:v>
      </x:c>
      <x:c r="F21" s="92" t="n">
        <x:f>D21*E21</x:f>
        <x:v>0</x:v>
      </x:c>
      <x:c r="G21" s="92" t="n">
        <x:f>F21*'全局设置'!$B$7</x:f>
        <x:v>0</x:v>
      </x:c>
      <x:c r="H21" s="92" t="n">
        <x:f>G21*'全局设置'!$B$5</x:f>
        <x:v>0</x:v>
      </x:c>
      <x:c r="I21" s="81" t="str">
        <x:f>IF(AND(B21="",C21=""),"",IF(AND(B21&lt;&gt;"",C21&gt;=1,COUNTIF($B$7:$B$24,B21)=1),"可回读","需修正"))</x:f>
      </x:c>
    </x:row>
    <x:row r="22" ht="22" customHeight="1">
      <x:c r="A22" s="88" t="n">
        <x:v>16</x:v>
      </x:c>
      <x:c r="B22" s="78"/>
      <x:c r="C22" s="78"/>
      <x:c r="D22" s="62" t="n">
        <x:f>IF(B22="",0,ROUNDUP(C22*(1+('全局设置'!$B$5-1)*'全局设置'!$B$6),0))</x:f>
        <x:v>0</x:v>
      </x:c>
      <x:c r="E22" s="92" t="n">
        <x:f>IF(B22="",0,IFERROR(VLOOKUP(B22,'敌人目录'!$A$6:$M$54,13,FALSE),0))</x:f>
        <x:v>0</x:v>
      </x:c>
      <x:c r="F22" s="92" t="n">
        <x:f>D22*E22</x:f>
        <x:v>0</x:v>
      </x:c>
      <x:c r="G22" s="92" t="n">
        <x:f>F22*'全局设置'!$B$7</x:f>
        <x:v>0</x:v>
      </x:c>
      <x:c r="H22" s="92" t="n">
        <x:f>G22*'全局设置'!$B$5</x:f>
        <x:v>0</x:v>
      </x:c>
      <x:c r="I22" s="81" t="str">
        <x:f>IF(AND(B22="",C22=""),"",IF(AND(B22&lt;&gt;"",C22&gt;=1,COUNTIF($B$7:$B$24,B22)=1),"可回读","需修正"))</x:f>
      </x:c>
    </x:row>
    <x:row r="23" ht="22" customHeight="1">
      <x:c r="A23" s="88" t="n">
        <x:v>17</x:v>
      </x:c>
      <x:c r="B23" s="78"/>
      <x:c r="C23" s="78"/>
      <x:c r="D23" s="62" t="n">
        <x:f>IF(B23="",0,ROUNDUP(C23*(1+('全局设置'!$B$5-1)*'全局设置'!$B$6),0))</x:f>
        <x:v>0</x:v>
      </x:c>
      <x:c r="E23" s="92" t="n">
        <x:f>IF(B23="",0,IFERROR(VLOOKUP(B23,'敌人目录'!$A$6:$M$54,13,FALSE),0))</x:f>
        <x:v>0</x:v>
      </x:c>
      <x:c r="F23" s="92" t="n">
        <x:f>D23*E23</x:f>
        <x:v>0</x:v>
      </x:c>
      <x:c r="G23" s="92" t="n">
        <x:f>F23*'全局设置'!$B$7</x:f>
        <x:v>0</x:v>
      </x:c>
      <x:c r="H23" s="92" t="n">
        <x:f>G23*'全局设置'!$B$5</x:f>
        <x:v>0</x:v>
      </x:c>
      <x:c r="I23" s="81" t="str">
        <x:f>IF(AND(B23="",C23=""),"",IF(AND(B23&lt;&gt;"",C23&gt;=1,COUNTIF($B$7:$B$24,B23)=1),"可回读","需修正"))</x:f>
      </x:c>
    </x:row>
    <x:row r="24" ht="22" customHeight="1">
      <x:c r="A24" s="88" t="n">
        <x:v>18</x:v>
      </x:c>
      <x:c r="B24" s="78"/>
      <x:c r="C24" s="78"/>
      <x:c r="D24" s="62" t="n">
        <x:f>IF(B24="",0,ROUNDUP(C24*(1+('全局设置'!$B$5-1)*'全局设置'!$B$6),0))</x:f>
        <x:v>0</x:v>
      </x:c>
      <x:c r="E24" s="92" t="n">
        <x:f>IF(B24="",0,IFERROR(VLOOKUP(B24,'敌人目录'!$A$6:$M$54,13,FALSE),0))</x:f>
        <x:v>0</x:v>
      </x:c>
      <x:c r="F24" s="92" t="n">
        <x:f>D24*E24</x:f>
        <x:v>0</x:v>
      </x:c>
      <x:c r="G24" s="92" t="n">
        <x:f>F24*'全局设置'!$B$7</x:f>
        <x:v>0</x:v>
      </x:c>
      <x:c r="H24" s="92" t="n">
        <x:f>G24*'全局设置'!$B$5</x:f>
        <x:v>0</x:v>
      </x:c>
      <x:c r="I24" s="81" t="str">
        <x:f>IF(AND(B24="",C24=""),"",IF(AND(B24&lt;&gt;"",C24&gt;=1,COUNTIF($B$7:$B$24,B24)=1),"可回读","需修正"))</x:f>
      </x:c>
    </x:row>
    <x:row r="25" ht="22" customHeight="1"/>
    <x:row r="26" ht="22" customHeight="1">
      <x:c r="A26" s="53" t="str">
        <x:v>基础总数</x:v>
      </x:c>
      <x:c r="B26" s="62" t="n">
        <x:f>SUM(C7:C24)</x:f>
        <x:v>80</x:v>
      </x:c>
      <x:c r="C26" s="53" t="str">
        <x:v>实际总数</x:v>
      </x:c>
      <x:c r="D26" s="62" t="n">
        <x:f>SUM(D7:D24)</x:f>
        <x:v>80</x:v>
      </x:c>
      <x:c r="E26" s="53" t="str">
        <x:v>最大息壤/玩家</x:v>
      </x:c>
      <x:c r="F26" s="62" t="n">
        <x:f>SUM(F7:F24)</x:f>
        <x:v>96</x:v>
      </x:c>
      <x:c r="G26" s="53" t="str">
        <x:v>预计息壤/玩家</x:v>
      </x:c>
      <x:c r="H26" s="62" t="n">
        <x:f>SUM(G7:G24)</x:f>
        <x:v>96</x:v>
      </x:c>
      <x:c r="I26" s="62"/>
    </x:row>
    <x:row r="27" ht="22" customHeight="1">
      <x:c r="A27" s="99" t="str">
        <x:v>预计息壤/队伍</x:v>
      </x:c>
      <x:c r="B27" s="30" t="n">
        <x:f>SUM(H7:H24)</x:f>
        <x:v>96</x:v>
      </x:c>
      <x:c r="C27" s="99" t="str">
        <x:v>说明</x:v>
      </x:c>
      <x:c r="D27" s="30" t="str">
        <x:v>预计息壤 = 实际数量 × 固定息壤 × 击杀率；已移除每日命运倍率。</x:v>
      </x:c>
      <x:c r="E27" s="30"/>
      <x:c r="F27" s="30"/>
      <x:c r="G27" s="30"/>
      <x:c r="H27" s="30"/>
      <x:c r="I27" s="30"/>
    </x:row>
    <x:row r="28" ht="22" customHeight="1"/>
    <x:row r="29" ht="22" customHeight="1"/>
    <x:row r="30" ht="22" customHeight="1"/>
    <x:row r="31" ht="22" customHeight="1">
      <x:c r="A31" s="12" t="str">
        <x:v>第 6 波｜第 2 日·2/4｜白昼｜当前正式配置</x:v>
      </x:c>
      <x:c r="B31" s="12"/>
      <x:c r="C31" s="12"/>
      <x:c r="D31" s="12"/>
      <x:c r="E31" s="12"/>
      <x:c r="F31" s="12"/>
      <x:c r="G31" s="12"/>
      <x:c r="H31" s="12"/>
      <x:c r="I31" s="12"/>
    </x:row>
    <x:row r="32" ht="22" customHeight="1">
      <x:c r="A32" s="53" t="str">
        <x:v>波次名称</x:v>
      </x:c>
      <x:c r="B32" s="78" t="str">
        <x:v>第6波 守护阵列</x:v>
      </x:c>
      <x:c r="C32" s="78" t="str">
        <x:v>第6波 守护阵列</x:v>
      </x:c>
      <x:c r="D32" s="53" t="str">
        <x:v>出生间隔(s)</x:v>
      </x:c>
      <x:c r="E32" s="57" t="n">
        <x:v>0.4</x:v>
      </x:c>
      <x:c r="F32" s="53" t="str">
        <x:v>每Tick</x:v>
      </x:c>
      <x:c r="G32" s="57" t="n">
        <x:v>1</x:v>
      </x:c>
      <x:c r="H32" s="53" t="str">
        <x:v>存活上限</x:v>
      </x:c>
      <x:c r="I32" s="57" t="n">
        <x:v>300</x:v>
      </x:c>
    </x:row>
    <x:row r="33" ht="22" customHeight="1">
      <x:c r="A33" s="53" t="str">
        <x:v>出生点</x:v>
      </x:c>
      <x:c r="B33" s="68" t="str">
        <x:v>点1·开启</x:v>
      </x:c>
      <x:c r="C33" s="68" t="str">
        <x:v>点2·开启</x:v>
      </x:c>
      <x:c r="D33" s="68" t="str">
        <x:v>点3·开启</x:v>
      </x:c>
      <x:c r="E33" s="68" t="str">
        <x:v>点4·开启</x:v>
      </x:c>
      <x:c r="F33" s="68" t="str">
        <x:v>点5·开启</x:v>
      </x:c>
      <x:c r="G33" s="68" t="str">
        <x:v>点6·开启</x:v>
      </x:c>
      <x:c r="H33" s="53" t="str">
        <x:v>波次校验</x:v>
      </x:c>
      <x:c r="I33" s="81" t="str">
        <x:f>IF(COUNTA(B36:B53)=0,"待设计",IF(COUNTIF(I36:I53,"需修正")&gt;0,"需修正","可回读"))</x:f>
        <x:v>可回读</x:v>
      </x:c>
    </x:row>
    <x:row r="34" ht="22" customHeight="1">
      <x:c r="A34" s="86" t="str">
        <x:v>仅编辑蓝色列、敌人数值和出生点；所有公式、稳定 ID 与 schema 字段由机器区自动生成。</x:v>
      </x:c>
      <x:c r="B34" s="86"/>
      <x:c r="C34" s="86"/>
      <x:c r="D34" s="86"/>
      <x:c r="E34" s="86"/>
      <x:c r="F34" s="86"/>
      <x:c r="G34" s="86"/>
      <x:c r="H34" s="86"/>
      <x:c r="I34" s="86"/>
    </x:row>
    <x:row r="35" ht="22" customHeight="1">
      <x:c r="A35" s="53" t="str">
        <x:v>槽位</x:v>
      </x:c>
      <x:c r="B35" s="53" t="str">
        <x:v>敌人（下拉选择）</x:v>
      </x:c>
      <x:c r="C35" s="53" t="str">
        <x:v>基础数量</x:v>
      </x:c>
      <x:c r="D35" s="53" t="str">
        <x:v>实际数量</x:v>
      </x:c>
      <x:c r="E35" s="53" t="str">
        <x:v>息壤/击杀</x:v>
      </x:c>
      <x:c r="F35" s="53" t="str">
        <x:v>最大息壤/玩家</x:v>
      </x:c>
      <x:c r="G35" s="53" t="str">
        <x:v>预计息壤/玩家</x:v>
      </x:c>
      <x:c r="H35" s="53" t="str">
        <x:v>预计息壤/队伍</x:v>
      </x:c>
      <x:c r="I35" s="53" t="str">
        <x:v>校验</x:v>
      </x:c>
    </x:row>
    <x:row r="36" ht="22" customHeight="1">
      <x:c r="A36" s="88" t="n">
        <x:v>1</x:v>
      </x:c>
      <x:c r="B36" s="78" t="str">
        <x:v>普通原石虫</x:v>
      </x:c>
      <x:c r="C36" s="78" t="n">
        <x:v>28</x:v>
      </x:c>
      <x:c r="D36" s="62" t="n">
        <x:f>IF(B36="",0,ROUNDUP(C36*(1+('全局设置'!$B$5-1)*'全局设置'!$B$6),0))</x:f>
        <x:v>28</x:v>
      </x:c>
      <x:c r="E36" s="92" t="n">
        <x:f>IF(B36="",0,IFERROR(VLOOKUP(B36,'敌人目录'!$A$6:$M$54,13,FALSE),0))</x:f>
        <x:v>1</x:v>
      </x:c>
      <x:c r="F36" s="92" t="n">
        <x:f>D36*E36</x:f>
        <x:v>28</x:v>
      </x:c>
      <x:c r="G36" s="92" t="n">
        <x:f>F36*'全局设置'!$B$7</x:f>
        <x:v>28</x:v>
      </x:c>
      <x:c r="H36" s="92" t="n">
        <x:f>G36*'全局设置'!$B$5</x:f>
        <x:v>28</x:v>
      </x:c>
      <x:c r="I36" s="81" t="str">
        <x:f>IF(AND(B36="",C36=""),"",IF(AND(B36&lt;&gt;"",C36&gt;=1,COUNTIF($B$36:$B$53,B36)=1),"可回读","需修正"))</x:f>
        <x:v>可回读</x:v>
      </x:c>
    </x:row>
    <x:row r="37" ht="22" customHeight="1">
      <x:c r="A37" s="88" t="n">
        <x:v>2</x:v>
      </x:c>
      <x:c r="B37" s="78" t="str">
        <x:v>迅捷原石虫</x:v>
      </x:c>
      <x:c r="C37" s="78" t="n">
        <x:v>24</x:v>
      </x:c>
      <x:c r="D37" s="62" t="n">
        <x:f>IF(B37="",0,ROUNDUP(C37*(1+('全局设置'!$B$5-1)*'全局设置'!$B$6),0))</x:f>
        <x:v>24</x:v>
      </x:c>
      <x:c r="E37" s="92" t="n">
        <x:f>IF(B37="",0,IFERROR(VLOOKUP(B37,'敌人目录'!$A$6:$M$54,13,FALSE),0))</x:f>
        <x:v>1</x:v>
      </x:c>
      <x:c r="F37" s="92" t="n">
        <x:f>D37*E37</x:f>
        <x:v>24</x:v>
      </x:c>
      <x:c r="G37" s="92" t="n">
        <x:f>F37*'全局设置'!$B$7</x:f>
        <x:v>24</x:v>
      </x:c>
      <x:c r="H37" s="92" t="n">
        <x:f>G37*'全局设置'!$B$5</x:f>
        <x:v>24</x:v>
      </x:c>
      <x:c r="I37" s="81" t="str">
        <x:f>IF(AND(B37="",C37=""),"",IF(AND(B37&lt;&gt;"",C37&gt;=1,COUNTIF($B$36:$B$53,B37)=1),"可回读","需修正"))</x:f>
        <x:v>可回读</x:v>
      </x:c>
    </x:row>
    <x:row r="38" ht="22" customHeight="1">
      <x:c r="A38" s="88" t="n">
        <x:v>3</x:v>
      </x:c>
      <x:c r="B38" s="78" t="str">
        <x:v>硬壳原石虫</x:v>
      </x:c>
      <x:c r="C38" s="78" t="n">
        <x:v>12</x:v>
      </x:c>
      <x:c r="D38" s="62" t="n">
        <x:f>IF(B38="",0,ROUNDUP(C38*(1+('全局设置'!$B$5-1)*'全局设置'!$B$6),0))</x:f>
        <x:v>12</x:v>
      </x:c>
      <x:c r="E38" s="92" t="n">
        <x:f>IF(B38="",0,IFERROR(VLOOKUP(B38,'敌人目录'!$A$6:$M$54,13,FALSE),0))</x:f>
        <x:v>2</x:v>
      </x:c>
      <x:c r="F38" s="92" t="n">
        <x:f>D38*E38</x:f>
        <x:v>24</x:v>
      </x:c>
      <x:c r="G38" s="92" t="n">
        <x:f>F38*'全局设置'!$B$7</x:f>
        <x:v>24</x:v>
      </x:c>
      <x:c r="H38" s="92" t="n">
        <x:f>G38*'全局设置'!$B$5</x:f>
        <x:v>24</x:v>
      </x:c>
      <x:c r="I38" s="81" t="str">
        <x:f>IF(AND(B38="",C38=""),"",IF(AND(B38&lt;&gt;"",C38&gt;=1,COUNTIF($B$36:$B$53,B38)=1),"可回读","需修正"))</x:f>
        <x:v>可回读</x:v>
      </x:c>
    </x:row>
    <x:row r="39" ht="22" customHeight="1">
      <x:c r="A39" s="88" t="n">
        <x:v>4</x:v>
      </x:c>
      <x:c r="B39" s="78" t="str">
        <x:v>自爆原石虫</x:v>
      </x:c>
      <x:c r="C39" s="78" t="n">
        <x:v>12</x:v>
      </x:c>
      <x:c r="D39" s="62" t="n">
        <x:f>IF(B39="",0,ROUNDUP(C39*(1+('全局设置'!$B$5-1)*'全局设置'!$B$6),0))</x:f>
        <x:v>12</x:v>
      </x:c>
      <x:c r="E39" s="92" t="n">
        <x:f>IF(B39="",0,IFERROR(VLOOKUP(B39,'敌人目录'!$A$6:$M$54,13,FALSE),0))</x:f>
        <x:v>1</x:v>
      </x:c>
      <x:c r="F39" s="92" t="n">
        <x:f>D39*E39</x:f>
        <x:v>12</x:v>
      </x:c>
      <x:c r="G39" s="92" t="n">
        <x:f>F39*'全局设置'!$B$7</x:f>
        <x:v>12</x:v>
      </x:c>
      <x:c r="H39" s="92" t="n">
        <x:f>G39*'全局设置'!$B$5</x:f>
        <x:v>12</x:v>
      </x:c>
      <x:c r="I39" s="81" t="str">
        <x:f>IF(AND(B39="",C39=""),"",IF(AND(B39&lt;&gt;"",C39&gt;=1,COUNTIF($B$36:$B$53,B39)=1),"可回读","需修正"))</x:f>
        <x:v>可回读</x:v>
      </x:c>
    </x:row>
    <x:row r="40" ht="22" customHeight="1">
      <x:c r="A40" s="88" t="n">
        <x:v>5</x:v>
      </x:c>
      <x:c r="B40" s="78" t="str">
        <x:v>火焰弹原石虫</x:v>
      </x:c>
      <x:c r="C40" s="78" t="n">
        <x:v>12</x:v>
      </x:c>
      <x:c r="D40" s="62" t="n">
        <x:f>IF(B40="",0,ROUNDUP(C40*(1+('全局设置'!$B$5-1)*'全局设置'!$B$6),0))</x:f>
        <x:v>12</x:v>
      </x:c>
      <x:c r="E40" s="92" t="n">
        <x:f>IF(B40="",0,IFERROR(VLOOKUP(B40,'敌人目录'!$A$6:$M$54,13,FALSE),0))</x:f>
        <x:v>1</x:v>
      </x:c>
      <x:c r="F40" s="92" t="n">
        <x:f>D40*E40</x:f>
        <x:v>12</x:v>
      </x:c>
      <x:c r="G40" s="92" t="n">
        <x:f>F40*'全局设置'!$B$7</x:f>
        <x:v>12</x:v>
      </x:c>
      <x:c r="H40" s="92" t="n">
        <x:f>G40*'全局设置'!$B$5</x:f>
        <x:v>12</x:v>
      </x:c>
      <x:c r="I40" s="81" t="str">
        <x:f>IF(AND(B40="",C40=""),"",IF(AND(B40&lt;&gt;"",C40&gt;=1,COUNTIF($B$36:$B$53,B40)=1),"可回读","需修正"))</x:f>
        <x:v>可回读</x:v>
      </x:c>
    </x:row>
    <x:row r="41" ht="22" customHeight="1">
      <x:c r="A41" s="88" t="n">
        <x:v>6</x:v>
      </x:c>
      <x:c r="B41" s="78" t="str">
        <x:v>守护者原石虫</x:v>
      </x:c>
      <x:c r="C41" s="78" t="n">
        <x:v>8</x:v>
      </x:c>
      <x:c r="D41" s="62" t="n">
        <x:f>IF(B41="",0,ROUNDUP(C41*(1+('全局设置'!$B$5-1)*'全局设置'!$B$6),0))</x:f>
        <x:v>8</x:v>
      </x:c>
      <x:c r="E41" s="92" t="n">
        <x:f>IF(B41="",0,IFERROR(VLOOKUP(B41,'敌人目录'!$A$6:$M$54,13,FALSE),0))</x:f>
        <x:v>2</x:v>
      </x:c>
      <x:c r="F41" s="92" t="n">
        <x:f>D41*E41</x:f>
        <x:v>16</x:v>
      </x:c>
      <x:c r="G41" s="92" t="n">
        <x:f>F41*'全局设置'!$B$7</x:f>
        <x:v>16</x:v>
      </x:c>
      <x:c r="H41" s="92" t="n">
        <x:f>G41*'全局设置'!$B$5</x:f>
        <x:v>16</x:v>
      </x:c>
      <x:c r="I41" s="81" t="str">
        <x:f>IF(AND(B41="",C41=""),"",IF(AND(B41&lt;&gt;"",C41&gt;=1,COUNTIF($B$36:$B$53,B41)=1),"可回读","需修正"))</x:f>
        <x:v>可回读</x:v>
      </x:c>
    </x:row>
    <x:row r="42" ht="22" customHeight="1">
      <x:c r="A42" s="88" t="n">
        <x:v>7</x:v>
      </x:c>
      <x:c r="B42" s="78"/>
      <x:c r="C42" s="78"/>
      <x:c r="D42" s="62" t="n">
        <x:f>IF(B42="",0,ROUNDUP(C42*(1+('全局设置'!$B$5-1)*'全局设置'!$B$6),0))</x:f>
        <x:v>0</x:v>
      </x:c>
      <x:c r="E42" s="92" t="n">
        <x:f>IF(B42="",0,IFERROR(VLOOKUP(B42,'敌人目录'!$A$6:$M$54,13,FALSE),0))</x:f>
        <x:v>0</x:v>
      </x:c>
      <x:c r="F42" s="92" t="n">
        <x:f>D42*E42</x:f>
        <x:v>0</x:v>
      </x:c>
      <x:c r="G42" s="92" t="n">
        <x:f>F42*'全局设置'!$B$7</x:f>
        <x:v>0</x:v>
      </x:c>
      <x:c r="H42" s="92" t="n">
        <x:f>G42*'全局设置'!$B$5</x:f>
        <x:v>0</x:v>
      </x:c>
      <x:c r="I42" s="81" t="str">
        <x:f>IF(AND(B42="",C42=""),"",IF(AND(B42&lt;&gt;"",C42&gt;=1,COUNTIF($B$36:$B$53,B42)=1),"可回读","需修正"))</x:f>
      </x:c>
    </x:row>
    <x:row r="43" ht="22" customHeight="1">
      <x:c r="A43" s="88" t="n">
        <x:v>8</x:v>
      </x:c>
      <x:c r="B43" s="78"/>
      <x:c r="C43" s="78"/>
      <x:c r="D43" s="62" t="n">
        <x:f>IF(B43="",0,ROUNDUP(C43*(1+('全局设置'!$B$5-1)*'全局设置'!$B$6),0))</x:f>
        <x:v>0</x:v>
      </x:c>
      <x:c r="E43" s="92" t="n">
        <x:f>IF(B43="",0,IFERROR(VLOOKUP(B43,'敌人目录'!$A$6:$M$54,13,FALSE),0))</x:f>
        <x:v>0</x:v>
      </x:c>
      <x:c r="F43" s="92" t="n">
        <x:f>D43*E43</x:f>
        <x:v>0</x:v>
      </x:c>
      <x:c r="G43" s="92" t="n">
        <x:f>F43*'全局设置'!$B$7</x:f>
        <x:v>0</x:v>
      </x:c>
      <x:c r="H43" s="92" t="n">
        <x:f>G43*'全局设置'!$B$5</x:f>
        <x:v>0</x:v>
      </x:c>
      <x:c r="I43" s="81" t="str">
        <x:f>IF(AND(B43="",C43=""),"",IF(AND(B43&lt;&gt;"",C43&gt;=1,COUNTIF($B$36:$B$53,B43)=1),"可回读","需修正"))</x:f>
      </x:c>
    </x:row>
    <x:row r="44" ht="22" customHeight="1">
      <x:c r="A44" s="88" t="n">
        <x:v>9</x:v>
      </x:c>
      <x:c r="B44" s="78"/>
      <x:c r="C44" s="78"/>
      <x:c r="D44" s="62" t="n">
        <x:f>IF(B44="",0,ROUNDUP(C44*(1+('全局设置'!$B$5-1)*'全局设置'!$B$6),0))</x:f>
        <x:v>0</x:v>
      </x:c>
      <x:c r="E44" s="92" t="n">
        <x:f>IF(B44="",0,IFERROR(VLOOKUP(B44,'敌人目录'!$A$6:$M$54,13,FALSE),0))</x:f>
        <x:v>0</x:v>
      </x:c>
      <x:c r="F44" s="92" t="n">
        <x:f>D44*E44</x:f>
        <x:v>0</x:v>
      </x:c>
      <x:c r="G44" s="92" t="n">
        <x:f>F44*'全局设置'!$B$7</x:f>
        <x:v>0</x:v>
      </x:c>
      <x:c r="H44" s="92" t="n">
        <x:f>G44*'全局设置'!$B$5</x:f>
        <x:v>0</x:v>
      </x:c>
      <x:c r="I44" s="81" t="str">
        <x:f>IF(AND(B44="",C44=""),"",IF(AND(B44&lt;&gt;"",C44&gt;=1,COUNTIF($B$36:$B$53,B44)=1),"可回读","需修正"))</x:f>
      </x:c>
    </x:row>
    <x:row r="45" ht="22" customHeight="1">
      <x:c r="A45" s="88" t="n">
        <x:v>10</x:v>
      </x:c>
      <x:c r="B45" s="78"/>
      <x:c r="C45" s="78"/>
      <x:c r="D45" s="62" t="n">
        <x:f>IF(B45="",0,ROUNDUP(C45*(1+('全局设置'!$B$5-1)*'全局设置'!$B$6),0))</x:f>
        <x:v>0</x:v>
      </x:c>
      <x:c r="E45" s="92" t="n">
        <x:f>IF(B45="",0,IFERROR(VLOOKUP(B45,'敌人目录'!$A$6:$M$54,13,FALSE),0))</x:f>
        <x:v>0</x:v>
      </x:c>
      <x:c r="F45" s="92" t="n">
        <x:f>D45*E45</x:f>
        <x:v>0</x:v>
      </x:c>
      <x:c r="G45" s="92" t="n">
        <x:f>F45*'全局设置'!$B$7</x:f>
        <x:v>0</x:v>
      </x:c>
      <x:c r="H45" s="92" t="n">
        <x:f>G45*'全局设置'!$B$5</x:f>
        <x:v>0</x:v>
      </x:c>
      <x:c r="I45" s="81" t="str">
        <x:f>IF(AND(B45="",C45=""),"",IF(AND(B45&lt;&gt;"",C45&gt;=1,COUNTIF($B$36:$B$53,B45)=1),"可回读","需修正"))</x:f>
      </x:c>
    </x:row>
    <x:row r="46" ht="22" customHeight="1">
      <x:c r="A46" s="88" t="n">
        <x:v>11</x:v>
      </x:c>
      <x:c r="B46" s="78"/>
      <x:c r="C46" s="78"/>
      <x:c r="D46" s="62" t="n">
        <x:f>IF(B46="",0,ROUNDUP(C46*(1+('全局设置'!$B$5-1)*'全局设置'!$B$6),0))</x:f>
        <x:v>0</x:v>
      </x:c>
      <x:c r="E46" s="92" t="n">
        <x:f>IF(B46="",0,IFERROR(VLOOKUP(B46,'敌人目录'!$A$6:$M$54,13,FALSE),0))</x:f>
        <x:v>0</x:v>
      </x:c>
      <x:c r="F46" s="92" t="n">
        <x:f>D46*E46</x:f>
        <x:v>0</x:v>
      </x:c>
      <x:c r="G46" s="92" t="n">
        <x:f>F46*'全局设置'!$B$7</x:f>
        <x:v>0</x:v>
      </x:c>
      <x:c r="H46" s="92" t="n">
        <x:f>G46*'全局设置'!$B$5</x:f>
        <x:v>0</x:v>
      </x:c>
      <x:c r="I46" s="81" t="str">
        <x:f>IF(AND(B46="",C46=""),"",IF(AND(B46&lt;&gt;"",C46&gt;=1,COUNTIF($B$36:$B$53,B46)=1),"可回读","需修正"))</x:f>
      </x:c>
    </x:row>
    <x:row r="47" ht="22" customHeight="1">
      <x:c r="A47" s="88" t="n">
        <x:v>12</x:v>
      </x:c>
      <x:c r="B47" s="78"/>
      <x:c r="C47" s="78"/>
      <x:c r="D47" s="62" t="n">
        <x:f>IF(B47="",0,ROUNDUP(C47*(1+('全局设置'!$B$5-1)*'全局设置'!$B$6),0))</x:f>
        <x:v>0</x:v>
      </x:c>
      <x:c r="E47" s="92" t="n">
        <x:f>IF(B47="",0,IFERROR(VLOOKUP(B47,'敌人目录'!$A$6:$M$54,13,FALSE),0))</x:f>
        <x:v>0</x:v>
      </x:c>
      <x:c r="F47" s="92" t="n">
        <x:f>D47*E47</x:f>
        <x:v>0</x:v>
      </x:c>
      <x:c r="G47" s="92" t="n">
        <x:f>F47*'全局设置'!$B$7</x:f>
        <x:v>0</x:v>
      </x:c>
      <x:c r="H47" s="92" t="n">
        <x:f>G47*'全局设置'!$B$5</x:f>
        <x:v>0</x:v>
      </x:c>
      <x:c r="I47" s="81" t="str">
        <x:f>IF(AND(B47="",C47=""),"",IF(AND(B47&lt;&gt;"",C47&gt;=1,COUNTIF($B$36:$B$53,B47)=1),"可回读","需修正"))</x:f>
      </x:c>
    </x:row>
    <x:row r="48" ht="22" customHeight="1">
      <x:c r="A48" s="88" t="n">
        <x:v>13</x:v>
      </x:c>
      <x:c r="B48" s="78"/>
      <x:c r="C48" s="78"/>
      <x:c r="D48" s="62" t="n">
        <x:f>IF(B48="",0,ROUNDUP(C48*(1+('全局设置'!$B$5-1)*'全局设置'!$B$6),0))</x:f>
        <x:v>0</x:v>
      </x:c>
      <x:c r="E48" s="92" t="n">
        <x:f>IF(B48="",0,IFERROR(VLOOKUP(B48,'敌人目录'!$A$6:$M$54,13,FALSE),0))</x:f>
        <x:v>0</x:v>
      </x:c>
      <x:c r="F48" s="92" t="n">
        <x:f>D48*E48</x:f>
        <x:v>0</x:v>
      </x:c>
      <x:c r="G48" s="92" t="n">
        <x:f>F48*'全局设置'!$B$7</x:f>
        <x:v>0</x:v>
      </x:c>
      <x:c r="H48" s="92" t="n">
        <x:f>G48*'全局设置'!$B$5</x:f>
        <x:v>0</x:v>
      </x:c>
      <x:c r="I48" s="81" t="str">
        <x:f>IF(AND(B48="",C48=""),"",IF(AND(B48&lt;&gt;"",C48&gt;=1,COUNTIF($B$36:$B$53,B48)=1),"可回读","需修正"))</x:f>
      </x:c>
    </x:row>
    <x:row r="49" ht="22" customHeight="1">
      <x:c r="A49" s="88" t="n">
        <x:v>14</x:v>
      </x:c>
      <x:c r="B49" s="78"/>
      <x:c r="C49" s="78"/>
      <x:c r="D49" s="62" t="n">
        <x:f>IF(B49="",0,ROUNDUP(C49*(1+('全局设置'!$B$5-1)*'全局设置'!$B$6),0))</x:f>
        <x:v>0</x:v>
      </x:c>
      <x:c r="E49" s="92" t="n">
        <x:f>IF(B49="",0,IFERROR(VLOOKUP(B49,'敌人目录'!$A$6:$M$54,13,FALSE),0))</x:f>
        <x:v>0</x:v>
      </x:c>
      <x:c r="F49" s="92" t="n">
        <x:f>D49*E49</x:f>
        <x:v>0</x:v>
      </x:c>
      <x:c r="G49" s="92" t="n">
        <x:f>F49*'全局设置'!$B$7</x:f>
        <x:v>0</x:v>
      </x:c>
      <x:c r="H49" s="92" t="n">
        <x:f>G49*'全局设置'!$B$5</x:f>
        <x:v>0</x:v>
      </x:c>
      <x:c r="I49" s="81" t="str">
        <x:f>IF(AND(B49="",C49=""),"",IF(AND(B49&lt;&gt;"",C49&gt;=1,COUNTIF($B$36:$B$53,B49)=1),"可回读","需修正"))</x:f>
      </x:c>
    </x:row>
    <x:row r="50" ht="22" customHeight="1">
      <x:c r="A50" s="88" t="n">
        <x:v>15</x:v>
      </x:c>
      <x:c r="B50" s="78"/>
      <x:c r="C50" s="78"/>
      <x:c r="D50" s="62" t="n">
        <x:f>IF(B50="",0,ROUNDUP(C50*(1+('全局设置'!$B$5-1)*'全局设置'!$B$6),0))</x:f>
        <x:v>0</x:v>
      </x:c>
      <x:c r="E50" s="92" t="n">
        <x:f>IF(B50="",0,IFERROR(VLOOKUP(B50,'敌人目录'!$A$6:$M$54,13,FALSE),0))</x:f>
        <x:v>0</x:v>
      </x:c>
      <x:c r="F50" s="92" t="n">
        <x:f>D50*E50</x:f>
        <x:v>0</x:v>
      </x:c>
      <x:c r="G50" s="92" t="n">
        <x:f>F50*'全局设置'!$B$7</x:f>
        <x:v>0</x:v>
      </x:c>
      <x:c r="H50" s="92" t="n">
        <x:f>G50*'全局设置'!$B$5</x:f>
        <x:v>0</x:v>
      </x:c>
      <x:c r="I50" s="81" t="str">
        <x:f>IF(AND(B50="",C50=""),"",IF(AND(B50&lt;&gt;"",C50&gt;=1,COUNTIF($B$36:$B$53,B50)=1),"可回读","需修正"))</x:f>
      </x:c>
    </x:row>
    <x:row r="51" ht="22" customHeight="1">
      <x:c r="A51" s="88" t="n">
        <x:v>16</x:v>
      </x:c>
      <x:c r="B51" s="78"/>
      <x:c r="C51" s="78"/>
      <x:c r="D51" s="62" t="n">
        <x:f>IF(B51="",0,ROUNDUP(C51*(1+('全局设置'!$B$5-1)*'全局设置'!$B$6),0))</x:f>
        <x:v>0</x:v>
      </x:c>
      <x:c r="E51" s="92" t="n">
        <x:f>IF(B51="",0,IFERROR(VLOOKUP(B51,'敌人目录'!$A$6:$M$54,13,FALSE),0))</x:f>
        <x:v>0</x:v>
      </x:c>
      <x:c r="F51" s="92" t="n">
        <x:f>D51*E51</x:f>
        <x:v>0</x:v>
      </x:c>
      <x:c r="G51" s="92" t="n">
        <x:f>F51*'全局设置'!$B$7</x:f>
        <x:v>0</x:v>
      </x:c>
      <x:c r="H51" s="92" t="n">
        <x:f>G51*'全局设置'!$B$5</x:f>
        <x:v>0</x:v>
      </x:c>
      <x:c r="I51" s="81" t="str">
        <x:f>IF(AND(B51="",C51=""),"",IF(AND(B51&lt;&gt;"",C51&gt;=1,COUNTIF($B$36:$B$53,B51)=1),"可回读","需修正"))</x:f>
      </x:c>
    </x:row>
    <x:row r="52" ht="22" customHeight="1">
      <x:c r="A52" s="88" t="n">
        <x:v>17</x:v>
      </x:c>
      <x:c r="B52" s="78"/>
      <x:c r="C52" s="78"/>
      <x:c r="D52" s="62" t="n">
        <x:f>IF(B52="",0,ROUNDUP(C52*(1+('全局设置'!$B$5-1)*'全局设置'!$B$6),0))</x:f>
        <x:v>0</x:v>
      </x:c>
      <x:c r="E52" s="92" t="n">
        <x:f>IF(B52="",0,IFERROR(VLOOKUP(B52,'敌人目录'!$A$6:$M$54,13,FALSE),0))</x:f>
        <x:v>0</x:v>
      </x:c>
      <x:c r="F52" s="92" t="n">
        <x:f>D52*E52</x:f>
        <x:v>0</x:v>
      </x:c>
      <x:c r="G52" s="92" t="n">
        <x:f>F52*'全局设置'!$B$7</x:f>
        <x:v>0</x:v>
      </x:c>
      <x:c r="H52" s="92" t="n">
        <x:f>G52*'全局设置'!$B$5</x:f>
        <x:v>0</x:v>
      </x:c>
      <x:c r="I52" s="81" t="str">
        <x:f>IF(AND(B52="",C52=""),"",IF(AND(B52&lt;&gt;"",C52&gt;=1,COUNTIF($B$36:$B$53,B52)=1),"可回读","需修正"))</x:f>
      </x:c>
    </x:row>
    <x:row r="53" ht="22" customHeight="1">
      <x:c r="A53" s="88" t="n">
        <x:v>18</x:v>
      </x:c>
      <x:c r="B53" s="78"/>
      <x:c r="C53" s="78"/>
      <x:c r="D53" s="62" t="n">
        <x:f>IF(B53="",0,ROUNDUP(C53*(1+('全局设置'!$B$5-1)*'全局设置'!$B$6),0))</x:f>
        <x:v>0</x:v>
      </x:c>
      <x:c r="E53" s="92" t="n">
        <x:f>IF(B53="",0,IFERROR(VLOOKUP(B53,'敌人目录'!$A$6:$M$54,13,FALSE),0))</x:f>
        <x:v>0</x:v>
      </x:c>
      <x:c r="F53" s="92" t="n">
        <x:f>D53*E53</x:f>
        <x:v>0</x:v>
      </x:c>
      <x:c r="G53" s="92" t="n">
        <x:f>F53*'全局设置'!$B$7</x:f>
        <x:v>0</x:v>
      </x:c>
      <x:c r="H53" s="92" t="n">
        <x:f>G53*'全局设置'!$B$5</x:f>
        <x:v>0</x:v>
      </x:c>
      <x:c r="I53" s="81" t="str">
        <x:f>IF(AND(B53="",C53=""),"",IF(AND(B53&lt;&gt;"",C53&gt;=1,COUNTIF($B$36:$B$53,B53)=1),"可回读","需修正"))</x:f>
      </x:c>
    </x:row>
    <x:row r="54" ht="22" customHeight="1"/>
    <x:row r="55" ht="22" customHeight="1">
      <x:c r="A55" s="53" t="str">
        <x:v>基础总数</x:v>
      </x:c>
      <x:c r="B55" s="62" t="n">
        <x:f>SUM(C36:C53)</x:f>
        <x:v>96</x:v>
      </x:c>
      <x:c r="C55" s="53" t="str">
        <x:v>实际总数</x:v>
      </x:c>
      <x:c r="D55" s="62" t="n">
        <x:f>SUM(D36:D53)</x:f>
        <x:v>96</x:v>
      </x:c>
      <x:c r="E55" s="53" t="str">
        <x:v>最大息壤/玩家</x:v>
      </x:c>
      <x:c r="F55" s="62" t="n">
        <x:f>SUM(F36:F53)</x:f>
        <x:v>116</x:v>
      </x:c>
      <x:c r="G55" s="53" t="str">
        <x:v>预计息壤/玩家</x:v>
      </x:c>
      <x:c r="H55" s="62" t="n">
        <x:f>SUM(G36:G53)</x:f>
        <x:v>116</x:v>
      </x:c>
      <x:c r="I55" s="62"/>
    </x:row>
    <x:row r="56" ht="22" customHeight="1">
      <x:c r="A56" s="99" t="str">
        <x:v>预计息壤/队伍</x:v>
      </x:c>
      <x:c r="B56" s="30" t="n">
        <x:f>SUM(H36:H53)</x:f>
        <x:v>116</x:v>
      </x:c>
      <x:c r="C56" s="99" t="str">
        <x:v>说明</x:v>
      </x:c>
      <x:c r="D56" s="30" t="str">
        <x:v>预计息壤 = 实际数量 × 固定息壤 × 击杀率；已移除每日命运倍率。</x:v>
      </x:c>
      <x:c r="E56" s="30"/>
      <x:c r="F56" s="30"/>
      <x:c r="G56" s="30"/>
      <x:c r="H56" s="30"/>
      <x:c r="I56" s="30"/>
    </x:row>
    <x:row r="57" ht="22" customHeight="1"/>
    <x:row r="58" ht="22" customHeight="1"/>
    <x:row r="59" ht="22" customHeight="1"/>
    <x:row r="60" ht="22" customHeight="1">
      <x:c r="A60" s="33" t="str">
        <x:v>第 7 波｜第 2 日·3/4｜夜晚｜当前正式配置</x:v>
      </x:c>
      <x:c r="B60" s="33"/>
      <x:c r="C60" s="33"/>
      <x:c r="D60" s="33"/>
      <x:c r="E60" s="33"/>
      <x:c r="F60" s="33"/>
      <x:c r="G60" s="33"/>
      <x:c r="H60" s="33"/>
      <x:c r="I60" s="33"/>
    </x:row>
    <x:row r="61" ht="22" customHeight="1">
      <x:c r="A61" s="103" t="str">
        <x:v>波次名称</x:v>
      </x:c>
      <x:c r="B61" s="78" t="str">
        <x:v>第7波 紫晶突袭</x:v>
      </x:c>
      <x:c r="C61" s="78" t="str">
        <x:v>第7波 紫晶突袭</x:v>
      </x:c>
      <x:c r="D61" s="103" t="str">
        <x:v>出生间隔(s)</x:v>
      </x:c>
      <x:c r="E61" s="57" t="n">
        <x:v>0.35</x:v>
      </x:c>
      <x:c r="F61" s="103" t="str">
        <x:v>每Tick</x:v>
      </x:c>
      <x:c r="G61" s="57" t="n">
        <x:v>1</x:v>
      </x:c>
      <x:c r="H61" s="103" t="str">
        <x:v>存活上限</x:v>
      </x:c>
      <x:c r="I61" s="57" t="n">
        <x:v>300</x:v>
      </x:c>
    </x:row>
    <x:row r="62" ht="22" customHeight="1">
      <x:c r="A62" s="103" t="str">
        <x:v>出生点</x:v>
      </x:c>
      <x:c r="B62" s="68" t="str">
        <x:v>点1·开启</x:v>
      </x:c>
      <x:c r="C62" s="68" t="str">
        <x:v>点2·开启</x:v>
      </x:c>
      <x:c r="D62" s="68" t="str">
        <x:v>点3·开启</x:v>
      </x:c>
      <x:c r="E62" s="68" t="str">
        <x:v>点4·开启</x:v>
      </x:c>
      <x:c r="F62" s="68" t="str">
        <x:v>点5·开启</x:v>
      </x:c>
      <x:c r="G62" s="68" t="str">
        <x:v>点6·开启</x:v>
      </x:c>
      <x:c r="H62" s="103" t="str">
        <x:v>波次校验</x:v>
      </x:c>
      <x:c r="I62" s="81" t="str">
        <x:f>IF(COUNTA(B65:B82)=0,"待设计",IF(COUNTIF(I65:I82,"需修正")&gt;0,"需修正","可回读"))</x:f>
        <x:v>可回读</x:v>
      </x:c>
    </x:row>
    <x:row r="63" ht="22" customHeight="1">
      <x:c r="A63" s="86" t="str">
        <x:v>仅编辑蓝色列、敌人数值和出生点；所有公式、稳定 ID 与 schema 字段由机器区自动生成。</x:v>
      </x:c>
      <x:c r="B63" s="86"/>
      <x:c r="C63" s="86"/>
      <x:c r="D63" s="86"/>
      <x:c r="E63" s="86"/>
      <x:c r="F63" s="86"/>
      <x:c r="G63" s="86"/>
      <x:c r="H63" s="86"/>
      <x:c r="I63" s="86"/>
    </x:row>
    <x:row r="64" ht="22" customHeight="1">
      <x:c r="A64" s="103" t="str">
        <x:v>槽位</x:v>
      </x:c>
      <x:c r="B64" s="103" t="str">
        <x:v>敌人（下拉选择）</x:v>
      </x:c>
      <x:c r="C64" s="103" t="str">
        <x:v>基础数量</x:v>
      </x:c>
      <x:c r="D64" s="103" t="str">
        <x:v>实际数量</x:v>
      </x:c>
      <x:c r="E64" s="103" t="str">
        <x:v>息壤/击杀</x:v>
      </x:c>
      <x:c r="F64" s="103" t="str">
        <x:v>最大息壤/玩家</x:v>
      </x:c>
      <x:c r="G64" s="103" t="str">
        <x:v>预计息壤/玩家</x:v>
      </x:c>
      <x:c r="H64" s="103" t="str">
        <x:v>预计息壤/队伍</x:v>
      </x:c>
      <x:c r="I64" s="103" t="str">
        <x:v>校验</x:v>
      </x:c>
    </x:row>
    <x:row r="65" ht="22" customHeight="1">
      <x:c r="A65" s="88" t="n">
        <x:v>1</x:v>
      </x:c>
      <x:c r="B65" s="78" t="str">
        <x:v>普通原石虫</x:v>
      </x:c>
      <x:c r="C65" s="78" t="n">
        <x:v>24</x:v>
      </x:c>
      <x:c r="D65" s="62" t="n">
        <x:f>IF(B65="",0,ROUNDUP(C65*(1+('全局设置'!$B$5-1)*'全局设置'!$B$6),0))</x:f>
        <x:v>24</x:v>
      </x:c>
      <x:c r="E65" s="92" t="n">
        <x:f>IF(B65="",0,IFERROR(VLOOKUP(B65,'敌人目录'!$A$6:$M$54,13,FALSE),0))</x:f>
        <x:v>1</x:v>
      </x:c>
      <x:c r="F65" s="92" t="n">
        <x:f>D65*E65</x:f>
        <x:v>24</x:v>
      </x:c>
      <x:c r="G65" s="92" t="n">
        <x:f>F65*'全局设置'!$B$7</x:f>
        <x:v>24</x:v>
      </x:c>
      <x:c r="H65" s="92" t="n">
        <x:f>G65*'全局设置'!$B$5</x:f>
        <x:v>24</x:v>
      </x:c>
      <x:c r="I65" s="81" t="str">
        <x:f>IF(AND(B65="",C65=""),"",IF(AND(B65&lt;&gt;"",C65&gt;=1,COUNTIF($B$65:$B$82,B65)=1),"可回读","需修正"))</x:f>
        <x:v>可回读</x:v>
      </x:c>
    </x:row>
    <x:row r="66" ht="22" customHeight="1">
      <x:c r="A66" s="88" t="n">
        <x:v>2</x:v>
      </x:c>
      <x:c r="B66" s="78" t="str">
        <x:v>迅捷原石虫</x:v>
      </x:c>
      <x:c r="C66" s="78" t="n">
        <x:v>24</x:v>
      </x:c>
      <x:c r="D66" s="62" t="n">
        <x:f>IF(B66="",0,ROUNDUP(C66*(1+('全局设置'!$B$5-1)*'全局设置'!$B$6),0))</x:f>
        <x:v>24</x:v>
      </x:c>
      <x:c r="E66" s="92" t="n">
        <x:f>IF(B66="",0,IFERROR(VLOOKUP(B66,'敌人目录'!$A$6:$M$54,13,FALSE),0))</x:f>
        <x:v>1</x:v>
      </x:c>
      <x:c r="F66" s="92" t="n">
        <x:f>D66*E66</x:f>
        <x:v>24</x:v>
      </x:c>
      <x:c r="G66" s="92" t="n">
        <x:f>F66*'全局设置'!$B$7</x:f>
        <x:v>24</x:v>
      </x:c>
      <x:c r="H66" s="92" t="n">
        <x:f>G66*'全局设置'!$B$5</x:f>
        <x:v>24</x:v>
      </x:c>
      <x:c r="I66" s="81" t="str">
        <x:f>IF(AND(B66="",C66=""),"",IF(AND(B66&lt;&gt;"",C66&gt;=1,COUNTIF($B$65:$B$82,B66)=1),"可回读","需修正"))</x:f>
        <x:v>可回读</x:v>
      </x:c>
    </x:row>
    <x:row r="67" ht="22" customHeight="1">
      <x:c r="A67" s="88" t="n">
        <x:v>3</x:v>
      </x:c>
      <x:c r="B67" s="78" t="str">
        <x:v>硬壳原石虫</x:v>
      </x:c>
      <x:c r="C67" s="78" t="n">
        <x:v>16</x:v>
      </x:c>
      <x:c r="D67" s="62" t="n">
        <x:f>IF(B67="",0,ROUNDUP(C67*(1+('全局设置'!$B$5-1)*'全局设置'!$B$6),0))</x:f>
        <x:v>16</x:v>
      </x:c>
      <x:c r="E67" s="92" t="n">
        <x:f>IF(B67="",0,IFERROR(VLOOKUP(B67,'敌人目录'!$A$6:$M$54,13,FALSE),0))</x:f>
        <x:v>2</x:v>
      </x:c>
      <x:c r="F67" s="92" t="n">
        <x:f>D67*E67</x:f>
        <x:v>32</x:v>
      </x:c>
      <x:c r="G67" s="92" t="n">
        <x:f>F67*'全局设置'!$B$7</x:f>
        <x:v>32</x:v>
      </x:c>
      <x:c r="H67" s="92" t="n">
        <x:f>G67*'全局设置'!$B$5</x:f>
        <x:v>32</x:v>
      </x:c>
      <x:c r="I67" s="81" t="str">
        <x:f>IF(AND(B67="",C67=""),"",IF(AND(B67&lt;&gt;"",C67&gt;=1,COUNTIF($B$65:$B$82,B67)=1),"可回读","需修正"))</x:f>
        <x:v>可回读</x:v>
      </x:c>
    </x:row>
    <x:row r="68" ht="22" customHeight="1">
      <x:c r="A68" s="88" t="n">
        <x:v>4</x:v>
      </x:c>
      <x:c r="B68" s="78" t="str">
        <x:v>自爆原石虫</x:v>
      </x:c>
      <x:c r="C68" s="78" t="n">
        <x:v>16</x:v>
      </x:c>
      <x:c r="D68" s="62" t="n">
        <x:f>IF(B68="",0,ROUNDUP(C68*(1+('全局设置'!$B$5-1)*'全局设置'!$B$6),0))</x:f>
        <x:v>16</x:v>
      </x:c>
      <x:c r="E68" s="92" t="n">
        <x:f>IF(B68="",0,IFERROR(VLOOKUP(B68,'敌人目录'!$A$6:$M$54,13,FALSE),0))</x:f>
        <x:v>1</x:v>
      </x:c>
      <x:c r="F68" s="92" t="n">
        <x:f>D68*E68</x:f>
        <x:v>16</x:v>
      </x:c>
      <x:c r="G68" s="92" t="n">
        <x:f>F68*'全局设置'!$B$7</x:f>
        <x:v>16</x:v>
      </x:c>
      <x:c r="H68" s="92" t="n">
        <x:f>G68*'全局设置'!$B$5</x:f>
        <x:v>16</x:v>
      </x:c>
      <x:c r="I68" s="81" t="str">
        <x:f>IF(AND(B68="",C68=""),"",IF(AND(B68&lt;&gt;"",C68&gt;=1,COUNTIF($B$65:$B$82,B68)=1),"可回读","需修正"))</x:f>
        <x:v>可回读</x:v>
      </x:c>
    </x:row>
    <x:row r="69" ht="22" customHeight="1">
      <x:c r="A69" s="88" t="n">
        <x:v>5</x:v>
      </x:c>
      <x:c r="B69" s="78" t="str">
        <x:v>紫晶自爆原石虫</x:v>
      </x:c>
      <x:c r="C69" s="78" t="n">
        <x:v>8</x:v>
      </x:c>
      <x:c r="D69" s="62" t="n">
        <x:f>IF(B69="",0,ROUNDUP(C69*(1+('全局设置'!$B$5-1)*'全局设置'!$B$6),0))</x:f>
        <x:v>8</x:v>
      </x:c>
      <x:c r="E69" s="92" t="n">
        <x:f>IF(B69="",0,IFERROR(VLOOKUP(B69,'敌人目录'!$A$6:$M$54,13,FALSE),0))</x:f>
        <x:v>2</x:v>
      </x:c>
      <x:c r="F69" s="92" t="n">
        <x:f>D69*E69</x:f>
        <x:v>16</x:v>
      </x:c>
      <x:c r="G69" s="92" t="n">
        <x:f>F69*'全局设置'!$B$7</x:f>
        <x:v>16</x:v>
      </x:c>
      <x:c r="H69" s="92" t="n">
        <x:f>G69*'全局设置'!$B$5</x:f>
        <x:v>16</x:v>
      </x:c>
      <x:c r="I69" s="81" t="str">
        <x:f>IF(AND(B69="",C69=""),"",IF(AND(B69&lt;&gt;"",C69&gt;=1,COUNTIF($B$65:$B$82,B69)=1),"可回读","需修正"))</x:f>
        <x:v>可回读</x:v>
      </x:c>
    </x:row>
    <x:row r="70" ht="22" customHeight="1">
      <x:c r="A70" s="88" t="n">
        <x:v>6</x:v>
      </x:c>
      <x:c r="B70" s="78" t="str">
        <x:v>火焰弹原石虫</x:v>
      </x:c>
      <x:c r="C70" s="78" t="n">
        <x:v>16</x:v>
      </x:c>
      <x:c r="D70" s="62" t="n">
        <x:f>IF(B70="",0,ROUNDUP(C70*(1+('全局设置'!$B$5-1)*'全局设置'!$B$6),0))</x:f>
        <x:v>16</x:v>
      </x:c>
      <x:c r="E70" s="92" t="n">
        <x:f>IF(B70="",0,IFERROR(VLOOKUP(B70,'敌人目录'!$A$6:$M$54,13,FALSE),0))</x:f>
        <x:v>1</x:v>
      </x:c>
      <x:c r="F70" s="92" t="n">
        <x:f>D70*E70</x:f>
        <x:v>16</x:v>
      </x:c>
      <x:c r="G70" s="92" t="n">
        <x:f>F70*'全局设置'!$B$7</x:f>
        <x:v>16</x:v>
      </x:c>
      <x:c r="H70" s="92" t="n">
        <x:f>G70*'全局设置'!$B$5</x:f>
        <x:v>16</x:v>
      </x:c>
      <x:c r="I70" s="81" t="str">
        <x:f>IF(AND(B70="",C70=""),"",IF(AND(B70&lt;&gt;"",C70&gt;=1,COUNTIF($B$65:$B$82,B70)=1),"可回读","需修正"))</x:f>
        <x:v>可回读</x:v>
      </x:c>
    </x:row>
    <x:row r="71" ht="22" customHeight="1">
      <x:c r="A71" s="88" t="n">
        <x:v>7</x:v>
      </x:c>
      <x:c r="B71" s="78" t="str">
        <x:v>守护者原石虫</x:v>
      </x:c>
      <x:c r="C71" s="78" t="n">
        <x:v>8</x:v>
      </x:c>
      <x:c r="D71" s="62" t="n">
        <x:f>IF(B71="",0,ROUNDUP(C71*(1+('全局设置'!$B$5-1)*'全局设置'!$B$6),0))</x:f>
        <x:v>8</x:v>
      </x:c>
      <x:c r="E71" s="92" t="n">
        <x:f>IF(B71="",0,IFERROR(VLOOKUP(B71,'敌人目录'!$A$6:$M$54,13,FALSE),0))</x:f>
        <x:v>2</x:v>
      </x:c>
      <x:c r="F71" s="92" t="n">
        <x:f>D71*E71</x:f>
        <x:v>16</x:v>
      </x:c>
      <x:c r="G71" s="92" t="n">
        <x:f>F71*'全局设置'!$B$7</x:f>
        <x:v>16</x:v>
      </x:c>
      <x:c r="H71" s="92" t="n">
        <x:f>G71*'全局设置'!$B$5</x:f>
        <x:v>16</x:v>
      </x:c>
      <x:c r="I71" s="81" t="str">
        <x:f>IF(AND(B71="",C71=""),"",IF(AND(B71&lt;&gt;"",C71&gt;=1,COUNTIF($B$65:$B$82,B71)=1),"可回读","需修正"))</x:f>
        <x:v>可回读</x:v>
      </x:c>
    </x:row>
    <x:row r="72" ht="22" customHeight="1">
      <x:c r="A72" s="88" t="n">
        <x:v>8</x:v>
      </x:c>
      <x:c r="B72" s="78"/>
      <x:c r="C72" s="78"/>
      <x:c r="D72" s="62" t="n">
        <x:f>IF(B72="",0,ROUNDUP(C72*(1+('全局设置'!$B$5-1)*'全局设置'!$B$6),0))</x:f>
        <x:v>0</x:v>
      </x:c>
      <x:c r="E72" s="92" t="n">
        <x:f>IF(B72="",0,IFERROR(VLOOKUP(B72,'敌人目录'!$A$6:$M$54,13,FALSE),0))</x:f>
        <x:v>0</x:v>
      </x:c>
      <x:c r="F72" s="92" t="n">
        <x:f>D72*E72</x:f>
        <x:v>0</x:v>
      </x:c>
      <x:c r="G72" s="92" t="n">
        <x:f>F72*'全局设置'!$B$7</x:f>
        <x:v>0</x:v>
      </x:c>
      <x:c r="H72" s="92" t="n">
        <x:f>G72*'全局设置'!$B$5</x:f>
        <x:v>0</x:v>
      </x:c>
      <x:c r="I72" s="81" t="str">
        <x:f>IF(AND(B72="",C72=""),"",IF(AND(B72&lt;&gt;"",C72&gt;=1,COUNTIF($B$65:$B$82,B72)=1),"可回读","需修正"))</x:f>
      </x:c>
    </x:row>
    <x:row r="73" ht="22" customHeight="1">
      <x:c r="A73" s="88" t="n">
        <x:v>9</x:v>
      </x:c>
      <x:c r="B73" s="78"/>
      <x:c r="C73" s="78"/>
      <x:c r="D73" s="62" t="n">
        <x:f>IF(B73="",0,ROUNDUP(C73*(1+('全局设置'!$B$5-1)*'全局设置'!$B$6),0))</x:f>
        <x:v>0</x:v>
      </x:c>
      <x:c r="E73" s="92" t="n">
        <x:f>IF(B73="",0,IFERROR(VLOOKUP(B73,'敌人目录'!$A$6:$M$54,13,FALSE),0))</x:f>
        <x:v>0</x:v>
      </x:c>
      <x:c r="F73" s="92" t="n">
        <x:f>D73*E73</x:f>
        <x:v>0</x:v>
      </x:c>
      <x:c r="G73" s="92" t="n">
        <x:f>F73*'全局设置'!$B$7</x:f>
        <x:v>0</x:v>
      </x:c>
      <x:c r="H73" s="92" t="n">
        <x:f>G73*'全局设置'!$B$5</x:f>
        <x:v>0</x:v>
      </x:c>
      <x:c r="I73" s="81" t="str">
        <x:f>IF(AND(B73="",C73=""),"",IF(AND(B73&lt;&gt;"",C73&gt;=1,COUNTIF($B$65:$B$82,B73)=1),"可回读","需修正"))</x:f>
      </x:c>
    </x:row>
    <x:row r="74" ht="22" customHeight="1">
      <x:c r="A74" s="88" t="n">
        <x:v>10</x:v>
      </x:c>
      <x:c r="B74" s="78"/>
      <x:c r="C74" s="78"/>
      <x:c r="D74" s="62" t="n">
        <x:f>IF(B74="",0,ROUNDUP(C74*(1+('全局设置'!$B$5-1)*'全局设置'!$B$6),0))</x:f>
        <x:v>0</x:v>
      </x:c>
      <x:c r="E74" s="92" t="n">
        <x:f>IF(B74="",0,IFERROR(VLOOKUP(B74,'敌人目录'!$A$6:$M$54,13,FALSE),0))</x:f>
        <x:v>0</x:v>
      </x:c>
      <x:c r="F74" s="92" t="n">
        <x:f>D74*E74</x:f>
        <x:v>0</x:v>
      </x:c>
      <x:c r="G74" s="92" t="n">
        <x:f>F74*'全局设置'!$B$7</x:f>
        <x:v>0</x:v>
      </x:c>
      <x:c r="H74" s="92" t="n">
        <x:f>G74*'全局设置'!$B$5</x:f>
        <x:v>0</x:v>
      </x:c>
      <x:c r="I74" s="81" t="str">
        <x:f>IF(AND(B74="",C74=""),"",IF(AND(B74&lt;&gt;"",C74&gt;=1,COUNTIF($B$65:$B$82,B74)=1),"可回读","需修正"))</x:f>
      </x:c>
    </x:row>
    <x:row r="75" ht="22" customHeight="1">
      <x:c r="A75" s="88" t="n">
        <x:v>11</x:v>
      </x:c>
      <x:c r="B75" s="78"/>
      <x:c r="C75" s="78"/>
      <x:c r="D75" s="62" t="n">
        <x:f>IF(B75="",0,ROUNDUP(C75*(1+('全局设置'!$B$5-1)*'全局设置'!$B$6),0))</x:f>
        <x:v>0</x:v>
      </x:c>
      <x:c r="E75" s="92" t="n">
        <x:f>IF(B75="",0,IFERROR(VLOOKUP(B75,'敌人目录'!$A$6:$M$54,13,FALSE),0))</x:f>
        <x:v>0</x:v>
      </x:c>
      <x:c r="F75" s="92" t="n">
        <x:f>D75*E75</x:f>
        <x:v>0</x:v>
      </x:c>
      <x:c r="G75" s="92" t="n">
        <x:f>F75*'全局设置'!$B$7</x:f>
        <x:v>0</x:v>
      </x:c>
      <x:c r="H75" s="92" t="n">
        <x:f>G75*'全局设置'!$B$5</x:f>
        <x:v>0</x:v>
      </x:c>
      <x:c r="I75" s="81" t="str">
        <x:f>IF(AND(B75="",C75=""),"",IF(AND(B75&lt;&gt;"",C75&gt;=1,COUNTIF($B$65:$B$82,B75)=1),"可回读","需修正"))</x:f>
      </x:c>
    </x:row>
    <x:row r="76" ht="22" customHeight="1">
      <x:c r="A76" s="88" t="n">
        <x:v>12</x:v>
      </x:c>
      <x:c r="B76" s="78"/>
      <x:c r="C76" s="78"/>
      <x:c r="D76" s="62" t="n">
        <x:f>IF(B76="",0,ROUNDUP(C76*(1+('全局设置'!$B$5-1)*'全局设置'!$B$6),0))</x:f>
        <x:v>0</x:v>
      </x:c>
      <x:c r="E76" s="92" t="n">
        <x:f>IF(B76="",0,IFERROR(VLOOKUP(B76,'敌人目录'!$A$6:$M$54,13,FALSE),0))</x:f>
        <x:v>0</x:v>
      </x:c>
      <x:c r="F76" s="92" t="n">
        <x:f>D76*E76</x:f>
        <x:v>0</x:v>
      </x:c>
      <x:c r="G76" s="92" t="n">
        <x:f>F76*'全局设置'!$B$7</x:f>
        <x:v>0</x:v>
      </x:c>
      <x:c r="H76" s="92" t="n">
        <x:f>G76*'全局设置'!$B$5</x:f>
        <x:v>0</x:v>
      </x:c>
      <x:c r="I76" s="81" t="str">
        <x:f>IF(AND(B76="",C76=""),"",IF(AND(B76&lt;&gt;"",C76&gt;=1,COUNTIF($B$65:$B$82,B76)=1),"可回读","需修正"))</x:f>
      </x:c>
    </x:row>
    <x:row r="77" ht="22" customHeight="1">
      <x:c r="A77" s="88" t="n">
        <x:v>13</x:v>
      </x:c>
      <x:c r="B77" s="78"/>
      <x:c r="C77" s="78"/>
      <x:c r="D77" s="62" t="n">
        <x:f>IF(B77="",0,ROUNDUP(C77*(1+('全局设置'!$B$5-1)*'全局设置'!$B$6),0))</x:f>
        <x:v>0</x:v>
      </x:c>
      <x:c r="E77" s="92" t="n">
        <x:f>IF(B77="",0,IFERROR(VLOOKUP(B77,'敌人目录'!$A$6:$M$54,13,FALSE),0))</x:f>
        <x:v>0</x:v>
      </x:c>
      <x:c r="F77" s="92" t="n">
        <x:f>D77*E77</x:f>
        <x:v>0</x:v>
      </x:c>
      <x:c r="G77" s="92" t="n">
        <x:f>F77*'全局设置'!$B$7</x:f>
        <x:v>0</x:v>
      </x:c>
      <x:c r="H77" s="92" t="n">
        <x:f>G77*'全局设置'!$B$5</x:f>
        <x:v>0</x:v>
      </x:c>
      <x:c r="I77" s="81" t="str">
        <x:f>IF(AND(B77="",C77=""),"",IF(AND(B77&lt;&gt;"",C77&gt;=1,COUNTIF($B$65:$B$82,B77)=1),"可回读","需修正"))</x:f>
      </x:c>
    </x:row>
    <x:row r="78" ht="22" customHeight="1">
      <x:c r="A78" s="88" t="n">
        <x:v>14</x:v>
      </x:c>
      <x:c r="B78" s="78"/>
      <x:c r="C78" s="78"/>
      <x:c r="D78" s="62" t="n">
        <x:f>IF(B78="",0,ROUNDUP(C78*(1+('全局设置'!$B$5-1)*'全局设置'!$B$6),0))</x:f>
        <x:v>0</x:v>
      </x:c>
      <x:c r="E78" s="92" t="n">
        <x:f>IF(B78="",0,IFERROR(VLOOKUP(B78,'敌人目录'!$A$6:$M$54,13,FALSE),0))</x:f>
        <x:v>0</x:v>
      </x:c>
      <x:c r="F78" s="92" t="n">
        <x:f>D78*E78</x:f>
        <x:v>0</x:v>
      </x:c>
      <x:c r="G78" s="92" t="n">
        <x:f>F78*'全局设置'!$B$7</x:f>
        <x:v>0</x:v>
      </x:c>
      <x:c r="H78" s="92" t="n">
        <x:f>G78*'全局设置'!$B$5</x:f>
        <x:v>0</x:v>
      </x:c>
      <x:c r="I78" s="81" t="str">
        <x:f>IF(AND(B78="",C78=""),"",IF(AND(B78&lt;&gt;"",C78&gt;=1,COUNTIF($B$65:$B$82,B78)=1),"可回读","需修正"))</x:f>
      </x:c>
    </x:row>
    <x:row r="79" ht="22" customHeight="1">
      <x:c r="A79" s="88" t="n">
        <x:v>15</x:v>
      </x:c>
      <x:c r="B79" s="78"/>
      <x:c r="C79" s="78"/>
      <x:c r="D79" s="62" t="n">
        <x:f>IF(B79="",0,ROUNDUP(C79*(1+('全局设置'!$B$5-1)*'全局设置'!$B$6),0))</x:f>
        <x:v>0</x:v>
      </x:c>
      <x:c r="E79" s="92" t="n">
        <x:f>IF(B79="",0,IFERROR(VLOOKUP(B79,'敌人目录'!$A$6:$M$54,13,FALSE),0))</x:f>
        <x:v>0</x:v>
      </x:c>
      <x:c r="F79" s="92" t="n">
        <x:f>D79*E79</x:f>
        <x:v>0</x:v>
      </x:c>
      <x:c r="G79" s="92" t="n">
        <x:f>F79*'全局设置'!$B$7</x:f>
        <x:v>0</x:v>
      </x:c>
      <x:c r="H79" s="92" t="n">
        <x:f>G79*'全局设置'!$B$5</x:f>
        <x:v>0</x:v>
      </x:c>
      <x:c r="I79" s="81" t="str">
        <x:f>IF(AND(B79="",C79=""),"",IF(AND(B79&lt;&gt;"",C79&gt;=1,COUNTIF($B$65:$B$82,B79)=1),"可回读","需修正"))</x:f>
      </x:c>
    </x:row>
    <x:row r="80" ht="22" customHeight="1">
      <x:c r="A80" s="88" t="n">
        <x:v>16</x:v>
      </x:c>
      <x:c r="B80" s="78"/>
      <x:c r="C80" s="78"/>
      <x:c r="D80" s="62" t="n">
        <x:f>IF(B80="",0,ROUNDUP(C80*(1+('全局设置'!$B$5-1)*'全局设置'!$B$6),0))</x:f>
        <x:v>0</x:v>
      </x:c>
      <x:c r="E80" s="92" t="n">
        <x:f>IF(B80="",0,IFERROR(VLOOKUP(B80,'敌人目录'!$A$6:$M$54,13,FALSE),0))</x:f>
        <x:v>0</x:v>
      </x:c>
      <x:c r="F80" s="92" t="n">
        <x:f>D80*E80</x:f>
        <x:v>0</x:v>
      </x:c>
      <x:c r="G80" s="92" t="n">
        <x:f>F80*'全局设置'!$B$7</x:f>
        <x:v>0</x:v>
      </x:c>
      <x:c r="H80" s="92" t="n">
        <x:f>G80*'全局设置'!$B$5</x:f>
        <x:v>0</x:v>
      </x:c>
      <x:c r="I80" s="81" t="str">
        <x:f>IF(AND(B80="",C80=""),"",IF(AND(B80&lt;&gt;"",C80&gt;=1,COUNTIF($B$65:$B$82,B80)=1),"可回读","需修正"))</x:f>
      </x:c>
    </x:row>
    <x:row r="81" ht="22" customHeight="1">
      <x:c r="A81" s="88" t="n">
        <x:v>17</x:v>
      </x:c>
      <x:c r="B81" s="78"/>
      <x:c r="C81" s="78"/>
      <x:c r="D81" s="62" t="n">
        <x:f>IF(B81="",0,ROUNDUP(C81*(1+('全局设置'!$B$5-1)*'全局设置'!$B$6),0))</x:f>
        <x:v>0</x:v>
      </x:c>
      <x:c r="E81" s="92" t="n">
        <x:f>IF(B81="",0,IFERROR(VLOOKUP(B81,'敌人目录'!$A$6:$M$54,13,FALSE),0))</x:f>
        <x:v>0</x:v>
      </x:c>
      <x:c r="F81" s="92" t="n">
        <x:f>D81*E81</x:f>
        <x:v>0</x:v>
      </x:c>
      <x:c r="G81" s="92" t="n">
        <x:f>F81*'全局设置'!$B$7</x:f>
        <x:v>0</x:v>
      </x:c>
      <x:c r="H81" s="92" t="n">
        <x:f>G81*'全局设置'!$B$5</x:f>
        <x:v>0</x:v>
      </x:c>
      <x:c r="I81" s="81" t="str">
        <x:f>IF(AND(B81="",C81=""),"",IF(AND(B81&lt;&gt;"",C81&gt;=1,COUNTIF($B$65:$B$82,B81)=1),"可回读","需修正"))</x:f>
      </x:c>
    </x:row>
    <x:row r="82" ht="22" customHeight="1">
      <x:c r="A82" s="88" t="n">
        <x:v>18</x:v>
      </x:c>
      <x:c r="B82" s="78"/>
      <x:c r="C82" s="78"/>
      <x:c r="D82" s="62" t="n">
        <x:f>IF(B82="",0,ROUNDUP(C82*(1+('全局设置'!$B$5-1)*'全局设置'!$B$6),0))</x:f>
        <x:v>0</x:v>
      </x:c>
      <x:c r="E82" s="92" t="n">
        <x:f>IF(B82="",0,IFERROR(VLOOKUP(B82,'敌人目录'!$A$6:$M$54,13,FALSE),0))</x:f>
        <x:v>0</x:v>
      </x:c>
      <x:c r="F82" s="92" t="n">
        <x:f>D82*E82</x:f>
        <x:v>0</x:v>
      </x:c>
      <x:c r="G82" s="92" t="n">
        <x:f>F82*'全局设置'!$B$7</x:f>
        <x:v>0</x:v>
      </x:c>
      <x:c r="H82" s="92" t="n">
        <x:f>G82*'全局设置'!$B$5</x:f>
        <x:v>0</x:v>
      </x:c>
      <x:c r="I82" s="81" t="str">
        <x:f>IF(AND(B82="",C82=""),"",IF(AND(B82&lt;&gt;"",C82&gt;=1,COUNTIF($B$65:$B$82,B82)=1),"可回读","需修正"))</x:f>
      </x:c>
    </x:row>
    <x:row r="83" ht="22" customHeight="1"/>
    <x:row r="84" ht="22" customHeight="1">
      <x:c r="A84" s="103" t="str">
        <x:v>基础总数</x:v>
      </x:c>
      <x:c r="B84" s="62" t="n">
        <x:f>SUM(C65:C82)</x:f>
        <x:v>112</x:v>
      </x:c>
      <x:c r="C84" s="103" t="str">
        <x:v>实际总数</x:v>
      </x:c>
      <x:c r="D84" s="62" t="n">
        <x:f>SUM(D65:D82)</x:f>
        <x:v>112</x:v>
      </x:c>
      <x:c r="E84" s="103" t="str">
        <x:v>最大息壤/玩家</x:v>
      </x:c>
      <x:c r="F84" s="62" t="n">
        <x:f>SUM(F65:F82)</x:f>
        <x:v>144</x:v>
      </x:c>
      <x:c r="G84" s="103" t="str">
        <x:v>预计息壤/玩家</x:v>
      </x:c>
      <x:c r="H84" s="62" t="n">
        <x:f>SUM(G65:G82)</x:f>
        <x:v>144</x:v>
      </x:c>
      <x:c r="I84" s="62"/>
    </x:row>
    <x:row r="85" ht="22" customHeight="1">
      <x:c r="A85" s="99" t="str">
        <x:v>预计息壤/队伍</x:v>
      </x:c>
      <x:c r="B85" s="30" t="n">
        <x:f>SUM(H65:H82)</x:f>
        <x:v>144</x:v>
      </x:c>
      <x:c r="C85" s="99" t="str">
        <x:v>说明</x:v>
      </x:c>
      <x:c r="D85" s="30" t="str">
        <x:v>预计息壤 = 实际数量 × 固定息壤 × 击杀率；已移除每日命运倍率。</x:v>
      </x:c>
      <x:c r="E85" s="30"/>
      <x:c r="F85" s="30"/>
      <x:c r="G85" s="30"/>
      <x:c r="H85" s="30"/>
      <x:c r="I85" s="30"/>
    </x:row>
    <x:row r="86" ht="22" customHeight="1"/>
    <x:row r="87" ht="22" customHeight="1"/>
    <x:row r="88" ht="22" customHeight="1"/>
    <x:row r="89" ht="22" customHeight="1">
      <x:c r="A89" s="33" t="str">
        <x:v>第 8 波｜第 2 日·4/4｜夜晚｜当前正式配置</x:v>
      </x:c>
      <x:c r="B89" s="33"/>
      <x:c r="C89" s="33"/>
      <x:c r="D89" s="33"/>
      <x:c r="E89" s="33"/>
      <x:c r="F89" s="33"/>
      <x:c r="G89" s="33"/>
      <x:c r="H89" s="33"/>
      <x:c r="I89" s="33"/>
    </x:row>
    <x:row r="90" ht="22" customHeight="1">
      <x:c r="A90" s="103" t="str">
        <x:v>波次名称</x:v>
      </x:c>
      <x:c r="B90" s="78" t="str">
        <x:v>第8波 沼泽合围</x:v>
      </x:c>
      <x:c r="C90" s="78" t="str">
        <x:v>第8波 沼泽合围</x:v>
      </x:c>
      <x:c r="D90" s="103" t="str">
        <x:v>出生间隔(s)</x:v>
      </x:c>
      <x:c r="E90" s="57" t="n">
        <x:v>0.3</x:v>
      </x:c>
      <x:c r="F90" s="103" t="str">
        <x:v>每Tick</x:v>
      </x:c>
      <x:c r="G90" s="57" t="n">
        <x:v>1</x:v>
      </x:c>
      <x:c r="H90" s="103" t="str">
        <x:v>存活上限</x:v>
      </x:c>
      <x:c r="I90" s="57" t="n">
        <x:v>300</x:v>
      </x:c>
    </x:row>
    <x:row r="91" ht="22" customHeight="1">
      <x:c r="A91" s="103" t="str">
        <x:v>出生点</x:v>
      </x:c>
      <x:c r="B91" s="68" t="str">
        <x:v>点1·开启</x:v>
      </x:c>
      <x:c r="C91" s="68" t="str">
        <x:v>点2·开启</x:v>
      </x:c>
      <x:c r="D91" s="68" t="str">
        <x:v>点3·开启</x:v>
      </x:c>
      <x:c r="E91" s="68" t="str">
        <x:v>点4·开启</x:v>
      </x:c>
      <x:c r="F91" s="68" t="str">
        <x:v>点5·开启</x:v>
      </x:c>
      <x:c r="G91" s="68" t="str">
        <x:v>点6·开启</x:v>
      </x:c>
      <x:c r="H91" s="103" t="str">
        <x:v>波次校验</x:v>
      </x:c>
      <x:c r="I91" s="81" t="str">
        <x:f>IF(COUNTA(B94:B111)=0,"待设计",IF(COUNTIF(I94:I111,"需修正")&gt;0,"需修正","可回读"))</x:f>
        <x:v>可回读</x:v>
      </x:c>
    </x:row>
    <x:row r="92" ht="22" customHeight="1">
      <x:c r="A92" s="86" t="str">
        <x:v>仅编辑蓝色列、敌人数值和出生点；所有公式、稳定 ID 与 schema 字段由机器区自动生成。</x:v>
      </x:c>
      <x:c r="B92" s="86"/>
      <x:c r="C92" s="86"/>
      <x:c r="D92" s="86"/>
      <x:c r="E92" s="86"/>
      <x:c r="F92" s="86"/>
      <x:c r="G92" s="86"/>
      <x:c r="H92" s="86"/>
      <x:c r="I92" s="86"/>
    </x:row>
    <x:row r="93" ht="22" customHeight="1">
      <x:c r="A93" s="103" t="str">
        <x:v>槽位</x:v>
      </x:c>
      <x:c r="B93" s="103" t="str">
        <x:v>敌人（下拉选择）</x:v>
      </x:c>
      <x:c r="C93" s="103" t="str">
        <x:v>基础数量</x:v>
      </x:c>
      <x:c r="D93" s="103" t="str">
        <x:v>实际数量</x:v>
      </x:c>
      <x:c r="E93" s="103" t="str">
        <x:v>息壤/击杀</x:v>
      </x:c>
      <x:c r="F93" s="103" t="str">
        <x:v>最大息壤/玩家</x:v>
      </x:c>
      <x:c r="G93" s="103" t="str">
        <x:v>预计息壤/玩家</x:v>
      </x:c>
      <x:c r="H93" s="103" t="str">
        <x:v>预计息壤/队伍</x:v>
      </x:c>
      <x:c r="I93" s="103" t="str">
        <x:v>校验</x:v>
      </x:c>
    </x:row>
    <x:row r="94" ht="22" customHeight="1">
      <x:c r="A94" s="88" t="n">
        <x:v>1</x:v>
      </x:c>
      <x:c r="B94" s="78" t="str">
        <x:v>普通原石虫</x:v>
      </x:c>
      <x:c r="C94" s="78" t="n">
        <x:v>24</x:v>
      </x:c>
      <x:c r="D94" s="62" t="n">
        <x:f>IF(B94="",0,ROUNDUP(C94*(1+('全局设置'!$B$5-1)*'全局设置'!$B$6),0))</x:f>
        <x:v>24</x:v>
      </x:c>
      <x:c r="E94" s="92" t="n">
        <x:f>IF(B94="",0,IFERROR(VLOOKUP(B94,'敌人目录'!$A$6:$M$54,13,FALSE),0))</x:f>
        <x:v>1</x:v>
      </x:c>
      <x:c r="F94" s="92" t="n">
        <x:f>D94*E94</x:f>
        <x:v>24</x:v>
      </x:c>
      <x:c r="G94" s="92" t="n">
        <x:f>F94*'全局设置'!$B$7</x:f>
        <x:v>24</x:v>
      </x:c>
      <x:c r="H94" s="92" t="n">
        <x:f>G94*'全局设置'!$B$5</x:f>
        <x:v>24</x:v>
      </x:c>
      <x:c r="I94" s="81" t="str">
        <x:f>IF(AND(B94="",C94=""),"",IF(AND(B94&lt;&gt;"",C94&gt;=1,COUNTIF($B$94:$B$111,B94)=1),"可回读","需修正"))</x:f>
        <x:v>可回读</x:v>
      </x:c>
    </x:row>
    <x:row r="95" ht="22" customHeight="1">
      <x:c r="A95" s="88" t="n">
        <x:v>2</x:v>
      </x:c>
      <x:c r="B95" s="78" t="str">
        <x:v>迅捷原石虫</x:v>
      </x:c>
      <x:c r="C95" s="78" t="n">
        <x:v>24</x:v>
      </x:c>
      <x:c r="D95" s="62" t="n">
        <x:f>IF(B95="",0,ROUNDUP(C95*(1+('全局设置'!$B$5-1)*'全局设置'!$B$6),0))</x:f>
        <x:v>24</x:v>
      </x:c>
      <x:c r="E95" s="92" t="n">
        <x:f>IF(B95="",0,IFERROR(VLOOKUP(B95,'敌人目录'!$A$6:$M$54,13,FALSE),0))</x:f>
        <x:v>1</x:v>
      </x:c>
      <x:c r="F95" s="92" t="n">
        <x:f>D95*E95</x:f>
        <x:v>24</x:v>
      </x:c>
      <x:c r="G95" s="92" t="n">
        <x:f>F95*'全局设置'!$B$7</x:f>
        <x:v>24</x:v>
      </x:c>
      <x:c r="H95" s="92" t="n">
        <x:f>G95*'全局设置'!$B$5</x:f>
        <x:v>24</x:v>
      </x:c>
      <x:c r="I95" s="81" t="str">
        <x:f>IF(AND(B95="",C95=""),"",IF(AND(B95&lt;&gt;"",C95&gt;=1,COUNTIF($B$94:$B$111,B95)=1),"可回读","需修正"))</x:f>
        <x:v>可回读</x:v>
      </x:c>
    </x:row>
    <x:row r="96" ht="22" customHeight="1">
      <x:c r="A96" s="88" t="n">
        <x:v>3</x:v>
      </x:c>
      <x:c r="B96" s="78" t="str">
        <x:v>硬壳原石虫</x:v>
      </x:c>
      <x:c r="C96" s="78" t="n">
        <x:v>20</x:v>
      </x:c>
      <x:c r="D96" s="62" t="n">
        <x:f>IF(B96="",0,ROUNDUP(C96*(1+('全局设置'!$B$5-1)*'全局设置'!$B$6),0))</x:f>
        <x:v>20</x:v>
      </x:c>
      <x:c r="E96" s="92" t="n">
        <x:f>IF(B96="",0,IFERROR(VLOOKUP(B96,'敌人目录'!$A$6:$M$54,13,FALSE),0))</x:f>
        <x:v>2</x:v>
      </x:c>
      <x:c r="F96" s="92" t="n">
        <x:f>D96*E96</x:f>
        <x:v>40</x:v>
      </x:c>
      <x:c r="G96" s="92" t="n">
        <x:f>F96*'全局设置'!$B$7</x:f>
        <x:v>40</x:v>
      </x:c>
      <x:c r="H96" s="92" t="n">
        <x:f>G96*'全局设置'!$B$5</x:f>
        <x:v>40</x:v>
      </x:c>
      <x:c r="I96" s="81" t="str">
        <x:f>IF(AND(B96="",C96=""),"",IF(AND(B96&lt;&gt;"",C96&gt;=1,COUNTIF($B$94:$B$111,B96)=1),"可回读","需修正"))</x:f>
        <x:v>可回读</x:v>
      </x:c>
    </x:row>
    <x:row r="97" ht="22" customHeight="1">
      <x:c r="A97" s="88" t="n">
        <x:v>4</x:v>
      </x:c>
      <x:c r="B97" s="78" t="str">
        <x:v>自爆原石虫</x:v>
      </x:c>
      <x:c r="C97" s="78" t="n">
        <x:v>20</x:v>
      </x:c>
      <x:c r="D97" s="62" t="n">
        <x:f>IF(B97="",0,ROUNDUP(C97*(1+('全局设置'!$B$5-1)*'全局设置'!$B$6),0))</x:f>
        <x:v>20</x:v>
      </x:c>
      <x:c r="E97" s="92" t="n">
        <x:f>IF(B97="",0,IFERROR(VLOOKUP(B97,'敌人目录'!$A$6:$M$54,13,FALSE),0))</x:f>
        <x:v>1</x:v>
      </x:c>
      <x:c r="F97" s="92" t="n">
        <x:f>D97*E97</x:f>
        <x:v>20</x:v>
      </x:c>
      <x:c r="G97" s="92" t="n">
        <x:f>F97*'全局设置'!$B$7</x:f>
        <x:v>20</x:v>
      </x:c>
      <x:c r="H97" s="92" t="n">
        <x:f>G97*'全局设置'!$B$5</x:f>
        <x:v>20</x:v>
      </x:c>
      <x:c r="I97" s="81" t="str">
        <x:f>IF(AND(B97="",C97=""),"",IF(AND(B97&lt;&gt;"",C97&gt;=1,COUNTIF($B$94:$B$111,B97)=1),"可回读","需修正"))</x:f>
        <x:v>可回读</x:v>
      </x:c>
    </x:row>
    <x:row r="98" ht="22" customHeight="1">
      <x:c r="A98" s="88" t="n">
        <x:v>5</x:v>
      </x:c>
      <x:c r="B98" s="78" t="str">
        <x:v>紫晶自爆原石虫</x:v>
      </x:c>
      <x:c r="C98" s="78" t="n">
        <x:v>12</x:v>
      </x:c>
      <x:c r="D98" s="62" t="n">
        <x:f>IF(B98="",0,ROUNDUP(C98*(1+('全局设置'!$B$5-1)*'全局设置'!$B$6),0))</x:f>
        <x:v>12</x:v>
      </x:c>
      <x:c r="E98" s="92" t="n">
        <x:f>IF(B98="",0,IFERROR(VLOOKUP(B98,'敌人目录'!$A$6:$M$54,13,FALSE),0))</x:f>
        <x:v>2</x:v>
      </x:c>
      <x:c r="F98" s="92" t="n">
        <x:f>D98*E98</x:f>
        <x:v>24</x:v>
      </x:c>
      <x:c r="G98" s="92" t="n">
        <x:f>F98*'全局设置'!$B$7</x:f>
        <x:v>24</x:v>
      </x:c>
      <x:c r="H98" s="92" t="n">
        <x:f>G98*'全局设置'!$B$5</x:f>
        <x:v>24</x:v>
      </x:c>
      <x:c r="I98" s="81" t="str">
        <x:f>IF(AND(B98="",C98=""),"",IF(AND(B98&lt;&gt;"",C98&gt;=1,COUNTIF($B$94:$B$111,B98)=1),"可回读","需修正"))</x:f>
        <x:v>可回读</x:v>
      </x:c>
    </x:row>
    <x:row r="99" ht="22" customHeight="1">
      <x:c r="A99" s="88" t="n">
        <x:v>6</x:v>
      </x:c>
      <x:c r="B99" s="78" t="str">
        <x:v>火焰弹原石虫</x:v>
      </x:c>
      <x:c r="C99" s="78" t="n">
        <x:v>16</x:v>
      </x:c>
      <x:c r="D99" s="62" t="n">
        <x:f>IF(B99="",0,ROUNDUP(C99*(1+('全局设置'!$B$5-1)*'全局设置'!$B$6),0))</x:f>
        <x:v>16</x:v>
      </x:c>
      <x:c r="E99" s="92" t="n">
        <x:f>IF(B99="",0,IFERROR(VLOOKUP(B99,'敌人目录'!$A$6:$M$54,13,FALSE),0))</x:f>
        <x:v>1</x:v>
      </x:c>
      <x:c r="F99" s="92" t="n">
        <x:f>D99*E99</x:f>
        <x:v>16</x:v>
      </x:c>
      <x:c r="G99" s="92" t="n">
        <x:f>F99*'全局设置'!$B$7</x:f>
        <x:v>16</x:v>
      </x:c>
      <x:c r="H99" s="92" t="n">
        <x:f>G99*'全局设置'!$B$5</x:f>
        <x:v>16</x:v>
      </x:c>
      <x:c r="I99" s="81" t="str">
        <x:f>IF(AND(B99="",C99=""),"",IF(AND(B99&lt;&gt;"",C99&gt;=1,COUNTIF($B$94:$B$111,B99)=1),"可回读","需修正"))</x:f>
        <x:v>可回读</x:v>
      </x:c>
    </x:row>
    <x:row r="100" ht="22" customHeight="1">
      <x:c r="A100" s="88" t="n">
        <x:v>7</x:v>
      </x:c>
      <x:c r="B100" s="78" t="str">
        <x:v>守护者原石虫</x:v>
      </x:c>
      <x:c r="C100" s="78" t="n">
        <x:v>12</x:v>
      </x:c>
      <x:c r="D100" s="62" t="n">
        <x:f>IF(B100="",0,ROUNDUP(C100*(1+('全局设置'!$B$5-1)*'全局设置'!$B$6),0))</x:f>
        <x:v>12</x:v>
      </x:c>
      <x:c r="E100" s="92" t="n">
        <x:f>IF(B100="",0,IFERROR(VLOOKUP(B100,'敌人目录'!$A$6:$M$54,13,FALSE),0))</x:f>
        <x:v>2</x:v>
      </x:c>
      <x:c r="F100" s="92" t="n">
        <x:f>D100*E100</x:f>
        <x:v>24</x:v>
      </x:c>
      <x:c r="G100" s="92" t="n">
        <x:f>F100*'全局设置'!$B$7</x:f>
        <x:v>24</x:v>
      </x:c>
      <x:c r="H100" s="92" t="n">
        <x:f>G100*'全局设置'!$B$5</x:f>
        <x:v>24</x:v>
      </x:c>
      <x:c r="I100" s="81" t="str">
        <x:f>IF(AND(B100="",C100=""),"",IF(AND(B100&lt;&gt;"",C100&gt;=1,COUNTIF($B$94:$B$111,B100)=1),"可回读","需修正"))</x:f>
        <x:v>可回读</x:v>
      </x:c>
    </x:row>
    <x:row r="101" ht="22" customHeight="1">
      <x:c r="A101" s="88" t="n">
        <x:v>8</x:v>
      </x:c>
      <x:c r="B101" s="78"/>
      <x:c r="C101" s="78"/>
      <x:c r="D101" s="62" t="n">
        <x:f>IF(B101="",0,ROUNDUP(C101*(1+('全局设置'!$B$5-1)*'全局设置'!$B$6),0))</x:f>
        <x:v>0</x:v>
      </x:c>
      <x:c r="E101" s="92" t="n">
        <x:f>IF(B101="",0,IFERROR(VLOOKUP(B101,'敌人目录'!$A$6:$M$54,13,FALSE),0))</x:f>
        <x:v>0</x:v>
      </x:c>
      <x:c r="F101" s="92" t="n">
        <x:f>D101*E101</x:f>
        <x:v>0</x:v>
      </x:c>
      <x:c r="G101" s="92" t="n">
        <x:f>F101*'全局设置'!$B$7</x:f>
        <x:v>0</x:v>
      </x:c>
      <x:c r="H101" s="92" t="n">
        <x:f>G101*'全局设置'!$B$5</x:f>
        <x:v>0</x:v>
      </x:c>
      <x:c r="I101" s="81" t="str">
        <x:f>IF(AND(B101="",C101=""),"",IF(AND(B101&lt;&gt;"",C101&gt;=1,COUNTIF($B$94:$B$111,B101)=1),"可回读","需修正"))</x:f>
      </x:c>
    </x:row>
    <x:row r="102" ht="22" customHeight="1">
      <x:c r="A102" s="88" t="n">
        <x:v>9</x:v>
      </x:c>
      <x:c r="B102" s="78"/>
      <x:c r="C102" s="78"/>
      <x:c r="D102" s="62" t="n">
        <x:f>IF(B102="",0,ROUNDUP(C102*(1+('全局设置'!$B$5-1)*'全局设置'!$B$6),0))</x:f>
        <x:v>0</x:v>
      </x:c>
      <x:c r="E102" s="92" t="n">
        <x:f>IF(B102="",0,IFERROR(VLOOKUP(B102,'敌人目录'!$A$6:$M$54,13,FALSE),0))</x:f>
        <x:v>0</x:v>
      </x:c>
      <x:c r="F102" s="92" t="n">
        <x:f>D102*E102</x:f>
        <x:v>0</x:v>
      </x:c>
      <x:c r="G102" s="92" t="n">
        <x:f>F102*'全局设置'!$B$7</x:f>
        <x:v>0</x:v>
      </x:c>
      <x:c r="H102" s="92" t="n">
        <x:f>G102*'全局设置'!$B$5</x:f>
        <x:v>0</x:v>
      </x:c>
      <x:c r="I102" s="81" t="str">
        <x:f>IF(AND(B102="",C102=""),"",IF(AND(B102&lt;&gt;"",C102&gt;=1,COUNTIF($B$94:$B$111,B102)=1),"可回读","需修正"))</x:f>
      </x:c>
    </x:row>
    <x:row r="103" ht="22" customHeight="1">
      <x:c r="A103" s="88" t="n">
        <x:v>10</x:v>
      </x:c>
      <x:c r="B103" s="78"/>
      <x:c r="C103" s="78"/>
      <x:c r="D103" s="62" t="n">
        <x:f>IF(B103="",0,ROUNDUP(C103*(1+('全局设置'!$B$5-1)*'全局设置'!$B$6),0))</x:f>
        <x:v>0</x:v>
      </x:c>
      <x:c r="E103" s="92" t="n">
        <x:f>IF(B103="",0,IFERROR(VLOOKUP(B103,'敌人目录'!$A$6:$M$54,13,FALSE),0))</x:f>
        <x:v>0</x:v>
      </x:c>
      <x:c r="F103" s="92" t="n">
        <x:f>D103*E103</x:f>
        <x:v>0</x:v>
      </x:c>
      <x:c r="G103" s="92" t="n">
        <x:f>F103*'全局设置'!$B$7</x:f>
        <x:v>0</x:v>
      </x:c>
      <x:c r="H103" s="92" t="n">
        <x:f>G103*'全局设置'!$B$5</x:f>
        <x:v>0</x:v>
      </x:c>
      <x:c r="I103" s="81" t="str">
        <x:f>IF(AND(B103="",C103=""),"",IF(AND(B103&lt;&gt;"",C103&gt;=1,COUNTIF($B$94:$B$111,B103)=1),"可回读","需修正"))</x:f>
      </x:c>
    </x:row>
    <x:row r="104" ht="22" customHeight="1">
      <x:c r="A104" s="88" t="n">
        <x:v>11</x:v>
      </x:c>
      <x:c r="B104" s="78"/>
      <x:c r="C104" s="78"/>
      <x:c r="D104" s="62" t="n">
        <x:f>IF(B104="",0,ROUNDUP(C104*(1+('全局设置'!$B$5-1)*'全局设置'!$B$6),0))</x:f>
        <x:v>0</x:v>
      </x:c>
      <x:c r="E104" s="92" t="n">
        <x:f>IF(B104="",0,IFERROR(VLOOKUP(B104,'敌人目录'!$A$6:$M$54,13,FALSE),0))</x:f>
        <x:v>0</x:v>
      </x:c>
      <x:c r="F104" s="92" t="n">
        <x:f>D104*E104</x:f>
        <x:v>0</x:v>
      </x:c>
      <x:c r="G104" s="92" t="n">
        <x:f>F104*'全局设置'!$B$7</x:f>
        <x:v>0</x:v>
      </x:c>
      <x:c r="H104" s="92" t="n">
        <x:f>G104*'全局设置'!$B$5</x:f>
        <x:v>0</x:v>
      </x:c>
      <x:c r="I104" s="81" t="str">
        <x:f>IF(AND(B104="",C104=""),"",IF(AND(B104&lt;&gt;"",C104&gt;=1,COUNTIF($B$94:$B$111,B104)=1),"可回读","需修正"))</x:f>
      </x:c>
    </x:row>
    <x:row r="105" ht="22" customHeight="1">
      <x:c r="A105" s="88" t="n">
        <x:v>12</x:v>
      </x:c>
      <x:c r="B105" s="78"/>
      <x:c r="C105" s="78"/>
      <x:c r="D105" s="62" t="n">
        <x:f>IF(B105="",0,ROUNDUP(C105*(1+('全局设置'!$B$5-1)*'全局设置'!$B$6),0))</x:f>
        <x:v>0</x:v>
      </x:c>
      <x:c r="E105" s="92" t="n">
        <x:f>IF(B105="",0,IFERROR(VLOOKUP(B105,'敌人目录'!$A$6:$M$54,13,FALSE),0))</x:f>
        <x:v>0</x:v>
      </x:c>
      <x:c r="F105" s="92" t="n">
        <x:f>D105*E105</x:f>
        <x:v>0</x:v>
      </x:c>
      <x:c r="G105" s="92" t="n">
        <x:f>F105*'全局设置'!$B$7</x:f>
        <x:v>0</x:v>
      </x:c>
      <x:c r="H105" s="92" t="n">
        <x:f>G105*'全局设置'!$B$5</x:f>
        <x:v>0</x:v>
      </x:c>
      <x:c r="I105" s="81" t="str">
        <x:f>IF(AND(B105="",C105=""),"",IF(AND(B105&lt;&gt;"",C105&gt;=1,COUNTIF($B$94:$B$111,B105)=1),"可回读","需修正"))</x:f>
      </x:c>
    </x:row>
    <x:row r="106" ht="22" customHeight="1">
      <x:c r="A106" s="88" t="n">
        <x:v>13</x:v>
      </x:c>
      <x:c r="B106" s="78"/>
      <x:c r="C106" s="78"/>
      <x:c r="D106" s="62" t="n">
        <x:f>IF(B106="",0,ROUNDUP(C106*(1+('全局设置'!$B$5-1)*'全局设置'!$B$6),0))</x:f>
        <x:v>0</x:v>
      </x:c>
      <x:c r="E106" s="92" t="n">
        <x:f>IF(B106="",0,IFERROR(VLOOKUP(B106,'敌人目录'!$A$6:$M$54,13,FALSE),0))</x:f>
        <x:v>0</x:v>
      </x:c>
      <x:c r="F106" s="92" t="n">
        <x:f>D106*E106</x:f>
        <x:v>0</x:v>
      </x:c>
      <x:c r="G106" s="92" t="n">
        <x:f>F106*'全局设置'!$B$7</x:f>
        <x:v>0</x:v>
      </x:c>
      <x:c r="H106" s="92" t="n">
        <x:f>G106*'全局设置'!$B$5</x:f>
        <x:v>0</x:v>
      </x:c>
      <x:c r="I106" s="81" t="str">
        <x:f>IF(AND(B106="",C106=""),"",IF(AND(B106&lt;&gt;"",C106&gt;=1,COUNTIF($B$94:$B$111,B106)=1),"可回读","需修正"))</x:f>
      </x:c>
    </x:row>
    <x:row r="107" ht="22" customHeight="1">
      <x:c r="A107" s="88" t="n">
        <x:v>14</x:v>
      </x:c>
      <x:c r="B107" s="78"/>
      <x:c r="C107" s="78"/>
      <x:c r="D107" s="62" t="n">
        <x:f>IF(B107="",0,ROUNDUP(C107*(1+('全局设置'!$B$5-1)*'全局设置'!$B$6),0))</x:f>
        <x:v>0</x:v>
      </x:c>
      <x:c r="E107" s="92" t="n">
        <x:f>IF(B107="",0,IFERROR(VLOOKUP(B107,'敌人目录'!$A$6:$M$54,13,FALSE),0))</x:f>
        <x:v>0</x:v>
      </x:c>
      <x:c r="F107" s="92" t="n">
        <x:f>D107*E107</x:f>
        <x:v>0</x:v>
      </x:c>
      <x:c r="G107" s="92" t="n">
        <x:f>F107*'全局设置'!$B$7</x:f>
        <x:v>0</x:v>
      </x:c>
      <x:c r="H107" s="92" t="n">
        <x:f>G107*'全局设置'!$B$5</x:f>
        <x:v>0</x:v>
      </x:c>
      <x:c r="I107" s="81" t="str">
        <x:f>IF(AND(B107="",C107=""),"",IF(AND(B107&lt;&gt;"",C107&gt;=1,COUNTIF($B$94:$B$111,B107)=1),"可回读","需修正"))</x:f>
      </x:c>
    </x:row>
    <x:row r="108" ht="22" customHeight="1">
      <x:c r="A108" s="88" t="n">
        <x:v>15</x:v>
      </x:c>
      <x:c r="B108" s="78"/>
      <x:c r="C108" s="78"/>
      <x:c r="D108" s="62" t="n">
        <x:f>IF(B108="",0,ROUNDUP(C108*(1+('全局设置'!$B$5-1)*'全局设置'!$B$6),0))</x:f>
        <x:v>0</x:v>
      </x:c>
      <x:c r="E108" s="92" t="n">
        <x:f>IF(B108="",0,IFERROR(VLOOKUP(B108,'敌人目录'!$A$6:$M$54,13,FALSE),0))</x:f>
        <x:v>0</x:v>
      </x:c>
      <x:c r="F108" s="92" t="n">
        <x:f>D108*E108</x:f>
        <x:v>0</x:v>
      </x:c>
      <x:c r="G108" s="92" t="n">
        <x:f>F108*'全局设置'!$B$7</x:f>
        <x:v>0</x:v>
      </x:c>
      <x:c r="H108" s="92" t="n">
        <x:f>G108*'全局设置'!$B$5</x:f>
        <x:v>0</x:v>
      </x:c>
      <x:c r="I108" s="81" t="str">
        <x:f>IF(AND(B108="",C108=""),"",IF(AND(B108&lt;&gt;"",C108&gt;=1,COUNTIF($B$94:$B$111,B108)=1),"可回读","需修正"))</x:f>
      </x:c>
    </x:row>
    <x:row r="109" ht="22" customHeight="1">
      <x:c r="A109" s="88" t="n">
        <x:v>16</x:v>
      </x:c>
      <x:c r="B109" s="78"/>
      <x:c r="C109" s="78"/>
      <x:c r="D109" s="62" t="n">
        <x:f>IF(B109="",0,ROUNDUP(C109*(1+('全局设置'!$B$5-1)*'全局设置'!$B$6),0))</x:f>
        <x:v>0</x:v>
      </x:c>
      <x:c r="E109" s="92" t="n">
        <x:f>IF(B109="",0,IFERROR(VLOOKUP(B109,'敌人目录'!$A$6:$M$54,13,FALSE),0))</x:f>
        <x:v>0</x:v>
      </x:c>
      <x:c r="F109" s="92" t="n">
        <x:f>D109*E109</x:f>
        <x:v>0</x:v>
      </x:c>
      <x:c r="G109" s="92" t="n">
        <x:f>F109*'全局设置'!$B$7</x:f>
        <x:v>0</x:v>
      </x:c>
      <x:c r="H109" s="92" t="n">
        <x:f>G109*'全局设置'!$B$5</x:f>
        <x:v>0</x:v>
      </x:c>
      <x:c r="I109" s="81" t="str">
        <x:f>IF(AND(B109="",C109=""),"",IF(AND(B109&lt;&gt;"",C109&gt;=1,COUNTIF($B$94:$B$111,B109)=1),"可回读","需修正"))</x:f>
      </x:c>
    </x:row>
    <x:row r="110" ht="22" customHeight="1">
      <x:c r="A110" s="88" t="n">
        <x:v>17</x:v>
      </x:c>
      <x:c r="B110" s="78"/>
      <x:c r="C110" s="78"/>
      <x:c r="D110" s="62" t="n">
        <x:f>IF(B110="",0,ROUNDUP(C110*(1+('全局设置'!$B$5-1)*'全局设置'!$B$6),0))</x:f>
        <x:v>0</x:v>
      </x:c>
      <x:c r="E110" s="92" t="n">
        <x:f>IF(B110="",0,IFERROR(VLOOKUP(B110,'敌人目录'!$A$6:$M$54,13,FALSE),0))</x:f>
        <x:v>0</x:v>
      </x:c>
      <x:c r="F110" s="92" t="n">
        <x:f>D110*E110</x:f>
        <x:v>0</x:v>
      </x:c>
      <x:c r="G110" s="92" t="n">
        <x:f>F110*'全局设置'!$B$7</x:f>
        <x:v>0</x:v>
      </x:c>
      <x:c r="H110" s="92" t="n">
        <x:f>G110*'全局设置'!$B$5</x:f>
        <x:v>0</x:v>
      </x:c>
      <x:c r="I110" s="81" t="str">
        <x:f>IF(AND(B110="",C110=""),"",IF(AND(B110&lt;&gt;"",C110&gt;=1,COUNTIF($B$94:$B$111,B110)=1),"可回读","需修正"))</x:f>
      </x:c>
    </x:row>
    <x:row r="111" ht="22" customHeight="1">
      <x:c r="A111" s="88" t="n">
        <x:v>18</x:v>
      </x:c>
      <x:c r="B111" s="78"/>
      <x:c r="C111" s="78"/>
      <x:c r="D111" s="62" t="n">
        <x:f>IF(B111="",0,ROUNDUP(C111*(1+('全局设置'!$B$5-1)*'全局设置'!$B$6),0))</x:f>
        <x:v>0</x:v>
      </x:c>
      <x:c r="E111" s="92" t="n">
        <x:f>IF(B111="",0,IFERROR(VLOOKUP(B111,'敌人目录'!$A$6:$M$54,13,FALSE),0))</x:f>
        <x:v>0</x:v>
      </x:c>
      <x:c r="F111" s="92" t="n">
        <x:f>D111*E111</x:f>
        <x:v>0</x:v>
      </x:c>
      <x:c r="G111" s="92" t="n">
        <x:f>F111*'全局设置'!$B$7</x:f>
        <x:v>0</x:v>
      </x:c>
      <x:c r="H111" s="92" t="n">
        <x:f>G111*'全局设置'!$B$5</x:f>
        <x:v>0</x:v>
      </x:c>
      <x:c r="I111" s="81" t="str">
        <x:f>IF(AND(B111="",C111=""),"",IF(AND(B111&lt;&gt;"",C111&gt;=1,COUNTIF($B$94:$B$111,B111)=1),"可回读","需修正"))</x:f>
      </x:c>
    </x:row>
    <x:row r="112" ht="22" customHeight="1"/>
    <x:row r="113" ht="22" customHeight="1">
      <x:c r="A113" s="103" t="str">
        <x:v>基础总数</x:v>
      </x:c>
      <x:c r="B113" s="62" t="n">
        <x:f>SUM(C94:C111)</x:f>
        <x:v>128</x:v>
      </x:c>
      <x:c r="C113" s="103" t="str">
        <x:v>实际总数</x:v>
      </x:c>
      <x:c r="D113" s="62" t="n">
        <x:f>SUM(D94:D111)</x:f>
        <x:v>128</x:v>
      </x:c>
      <x:c r="E113" s="103" t="str">
        <x:v>最大息壤/玩家</x:v>
      </x:c>
      <x:c r="F113" s="62" t="n">
        <x:f>SUM(F94:F111)</x:f>
        <x:v>172</x:v>
      </x:c>
      <x:c r="G113" s="103" t="str">
        <x:v>预计息壤/玩家</x:v>
      </x:c>
      <x:c r="H113" s="62" t="n">
        <x:f>SUM(G94:G111)</x:f>
        <x:v>172</x:v>
      </x:c>
      <x:c r="I113" s="62"/>
    </x:row>
    <x:row r="114" ht="22" customHeight="1">
      <x:c r="A114" s="99" t="str">
        <x:v>预计息壤/队伍</x:v>
      </x:c>
      <x:c r="B114" s="30" t="n">
        <x:f>SUM(H94:H111)</x:f>
        <x:v>172</x:v>
      </x:c>
      <x:c r="C114" s="99" t="str">
        <x:v>说明</x:v>
      </x:c>
      <x:c r="D114" s="30" t="str">
        <x:v>预计息壤 = 实际数量 × 固定息壤 × 击杀率；已移除每日命运倍率。</x:v>
      </x:c>
      <x:c r="E114" s="30"/>
      <x:c r="F114" s="30"/>
      <x:c r="G114" s="30"/>
      <x:c r="H114" s="30"/>
      <x:c r="I114" s="3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B61:C61"/>
    <x:mergeCell ref="A63:I63"/>
    <x:mergeCell ref="D85:I85"/>
    <x:mergeCell ref="A89:I89"/>
    <x:mergeCell ref="B90:C90"/>
    <x:mergeCell ref="A92:I92"/>
    <x:mergeCell ref="D114:I114"/>
  </x:mergeCells>
  <x:dataValidations count="44">
    <x:dataValidation type="list" sqref="B4">
      <x:formula1>"点1·开启,点1·关闭"</x:formula1>
    </x:dataValidation>
    <x:dataValidation type="list" sqref="C4">
      <x:formula1>"点2·开启,点2·关闭"</x:formula1>
    </x:dataValidation>
    <x:dataValidation type="list" sqref="D4">
      <x:formula1>"点3·开启,点3·关闭"</x:formula1>
    </x:dataValidation>
    <x:dataValidation type="list" sqref="E4">
      <x:formula1>"点4·开启,点4·关闭"</x:formula1>
    </x:dataValidation>
    <x:dataValidation type="list" sqref="F4">
      <x:formula1>"点5·开启,点5·关闭"</x:formula1>
    </x:dataValidation>
    <x:dataValidation type="list" sqref="G4">
      <x:formula1>"点6·开启,点6·关闭"</x:formula1>
    </x:dataValidation>
    <x:dataValidation type="list" sqref="B7:B24">
      <x:formula1>'敌人目录'!$A$6:$A$54</x:formula1>
    </x:dataValidation>
    <x:dataValidation type="whole" operator="between" sqref="C7:C24">
      <x:formula1>1</x:formula1>
      <x:formula2>9999</x:formula2>
    </x:dataValidation>
    <x:dataValidation type="decimal" operator="between" sqref="E3">
      <x:formula1>0.025</x:formula1>
      <x:formula2>60</x:formula2>
    </x:dataValidation>
    <x:dataValidation type="whole" operator="between" sqref="G3">
      <x:formula1>1</x:formula1>
      <x:formula2>4</x:formula2>
    </x:dataValidation>
    <x:dataValidation type="whole" operator="between" sqref="I3">
      <x:formula1>1</x:formula1>
      <x:formula2>999</x:formula2>
    </x:dataValidation>
    <x:dataValidation type="list" sqref="B33">
      <x:formula1>"点1·开启,点1·关闭"</x:formula1>
    </x:dataValidation>
    <x:dataValidation type="list" sqref="C33">
      <x:formula1>"点2·开启,点2·关闭"</x:formula1>
    </x:dataValidation>
    <x:dataValidation type="list" sqref="D33">
      <x:formula1>"点3·开启,点3·关闭"</x:formula1>
    </x:dataValidation>
    <x:dataValidation type="list" sqref="E33">
      <x:formula1>"点4·开启,点4·关闭"</x:formula1>
    </x:dataValidation>
    <x:dataValidation type="list" sqref="F33">
      <x:formula1>"点5·开启,点5·关闭"</x:formula1>
    </x:dataValidation>
    <x:dataValidation type="list" sqref="G33">
      <x:formula1>"点6·开启,点6·关闭"</x:formula1>
    </x:dataValidation>
    <x:dataValidation type="list" sqref="B36:B53">
      <x:formula1>'敌人目录'!$A$6:$A$54</x:formula1>
    </x:dataValidation>
    <x:dataValidation type="whole" operator="between" sqref="C36:C53">
      <x:formula1>1</x:formula1>
      <x:formula2>9999</x:formula2>
    </x:dataValidation>
    <x:dataValidation type="decimal" operator="between" sqref="E32">
      <x:formula1>0.025</x:formula1>
      <x:formula2>60</x:formula2>
    </x:dataValidation>
    <x:dataValidation type="whole" operator="between" sqref="G32">
      <x:formula1>1</x:formula1>
      <x:formula2>4</x:formula2>
    </x:dataValidation>
    <x:dataValidation type="whole" operator="between" sqref="I32">
      <x:formula1>1</x:formula1>
      <x:formula2>999</x:formula2>
    </x:dataValidation>
    <x:dataValidation type="list" sqref="B62">
      <x:formula1>"点1·开启,点1·关闭"</x:formula1>
    </x:dataValidation>
    <x:dataValidation type="list" sqref="C62">
      <x:formula1>"点2·开启,点2·关闭"</x:formula1>
    </x:dataValidation>
    <x:dataValidation type="list" sqref="D62">
      <x:formula1>"点3·开启,点3·关闭"</x:formula1>
    </x:dataValidation>
    <x:dataValidation type="list" sqref="E62">
      <x:formula1>"点4·开启,点4·关闭"</x:formula1>
    </x:dataValidation>
    <x:dataValidation type="list" sqref="F62">
      <x:formula1>"点5·开启,点5·关闭"</x:formula1>
    </x:dataValidation>
    <x:dataValidation type="list" sqref="G62">
      <x:formula1>"点6·开启,点6·关闭"</x:formula1>
    </x:dataValidation>
    <x:dataValidation type="list" sqref="B65:B82">
      <x:formula1>'敌人目录'!$A$6:$A$54</x:formula1>
    </x:dataValidation>
    <x:dataValidation type="whole" operator="between" sqref="C65:C82">
      <x:formula1>1</x:formula1>
      <x:formula2>9999</x:formula2>
    </x:dataValidation>
    <x:dataValidation type="decimal" operator="between" sqref="E61">
      <x:formula1>0.025</x:formula1>
      <x:formula2>60</x:formula2>
    </x:dataValidation>
    <x:dataValidation type="whole" operator="between" sqref="G61">
      <x:formula1>1</x:formula1>
      <x:formula2>4</x:formula2>
    </x:dataValidation>
    <x:dataValidation type="whole" operator="between" sqref="I61">
      <x:formula1>1</x:formula1>
      <x:formula2>999</x:formula2>
    </x:dataValidation>
    <x:dataValidation type="list" sqref="B91">
      <x:formula1>"点1·开启,点1·关闭"</x:formula1>
    </x:dataValidation>
    <x:dataValidation type="list" sqref="C91">
      <x:formula1>"点2·开启,点2·关闭"</x:formula1>
    </x:dataValidation>
    <x:dataValidation type="list" sqref="D91">
      <x:formula1>"点3·开启,点3·关闭"</x:formula1>
    </x:dataValidation>
    <x:dataValidation type="list" sqref="E91">
      <x:formula1>"点4·开启,点4·关闭"</x:formula1>
    </x:dataValidation>
    <x:dataValidation type="list" sqref="F91">
      <x:formula1>"点5·开启,点5·关闭"</x:formula1>
    </x:dataValidation>
    <x:dataValidation type="list" sqref="G91">
      <x:formula1>"点6·开启,点6·关闭"</x:formula1>
    </x:dataValidation>
    <x:dataValidation type="list" sqref="B94:B111">
      <x:formula1>'敌人目录'!$A$6:$A$54</x:formula1>
    </x:dataValidation>
    <x:dataValidation type="whole" operator="between" sqref="C94:C111">
      <x:formula1>1</x:formula1>
      <x:formula2>9999</x:formula2>
    </x:dataValidation>
    <x:dataValidation type="decimal" operator="between" sqref="E90">
      <x:formula1>0.025</x:formula1>
      <x:formula2>60</x:formula2>
    </x:dataValidation>
    <x:dataValidation type="whole" operator="between" sqref="G90">
      <x:formula1>1</x:formula1>
      <x:formula2>4</x:formula2>
    </x:dataValidation>
    <x:dataValidation type="whole" operator="between" sqref="I90">
      <x:formula1>1</x:formula1>
      <x:formula2>999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12" hidden="0" customWidth="1"/>
    <x:col min="4" max="4" width="12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3" hidden="0" customWidth="1"/>
  </x:cols>
  <x:sheetData>
    <x:row r="1" ht="34" customHeight="1">
      <x:c r="A1" s="33" t="str">
        <x:f>"第3日｜4 波配置｜日终地下探索 +"&amp;'全局设置'!F16&amp;" AP"</x:f>
        <x:v>第3日｜4 波配置｜日终地下探索 +5 AP</x:v>
      </x:c>
      <x:c r="B1" s="33"/>
      <x:c r="C1" s="33"/>
      <x:c r="D1" s="33"/>
      <x:c r="E1" s="33"/>
      <x:c r="F1" s="33"/>
      <x:c r="G1" s="33"/>
      <x:c r="H1" s="33"/>
      <x:c r="I1" s="33"/>
    </x:row>
    <x:row r="2" ht="22" customHeight="1">
      <x:c r="A2" s="12" t="str">
        <x:v>第 9 波｜第 3 日·1/4｜白昼｜当前正式配置</x:v>
      </x:c>
      <x:c r="B2" s="12"/>
      <x:c r="C2" s="12"/>
      <x:c r="D2" s="12"/>
      <x:c r="E2" s="12"/>
      <x:c r="F2" s="12"/>
      <x:c r="G2" s="12"/>
      <x:c r="H2" s="12"/>
      <x:c r="I2" s="12"/>
    </x:row>
    <x:row r="3" ht="22" customHeight="1">
      <x:c r="A3" s="53" t="str">
        <x:v>波次名称</x:v>
      </x:c>
      <x:c r="B3" s="78" t="str">
        <x:v>第9波 城镇前锋</x:v>
      </x:c>
      <x:c r="C3" s="78" t="str">
        <x:v>第9波 城镇前锋</x:v>
      </x:c>
      <x:c r="D3" s="53" t="str">
        <x:v>出生间隔(s)</x:v>
      </x:c>
      <x:c r="E3" s="57" t="n">
        <x:v>0.28</x:v>
      </x:c>
      <x:c r="F3" s="53" t="str">
        <x:v>每Tick</x:v>
      </x:c>
      <x:c r="G3" s="57" t="n">
        <x:v>1</x:v>
      </x:c>
      <x:c r="H3" s="53" t="str">
        <x:v>存活上限</x:v>
      </x:c>
      <x:c r="I3" s="57" t="n">
        <x:v>300</x:v>
      </x:c>
    </x:row>
    <x:row r="4" ht="22" customHeight="1">
      <x:c r="A4" s="53" t="str">
        <x:v>出生点</x:v>
      </x:c>
      <x:c r="B4" s="68" t="str">
        <x:v>点1·开启</x:v>
      </x:c>
      <x:c r="C4" s="68" t="str">
        <x:v>点2·开启</x:v>
      </x:c>
      <x:c r="D4" s="68" t="str">
        <x:v>点3·开启</x:v>
      </x:c>
      <x:c r="E4" s="68" t="str">
        <x:v>点4·开启</x:v>
      </x:c>
      <x:c r="F4" s="68" t="str">
        <x:v>点5·开启</x:v>
      </x:c>
      <x:c r="G4" s="68" t="str">
        <x:v>点6·开启</x:v>
      </x:c>
      <x:c r="H4" s="53" t="str">
        <x:v>波次校验</x:v>
      </x:c>
      <x:c r="I4" s="81" t="str">
        <x:f>IF(COUNTA(B7:B24)=0,"待设计",IF(COUNTIF(I7:I24,"需修正")&gt;0,"需修正","可回读"))</x:f>
        <x:v>可回读</x:v>
      </x:c>
    </x:row>
    <x:row r="5" ht="22" customHeight="1">
      <x:c r="A5" s="86" t="str">
        <x:v>仅编辑蓝色列、敌人数值和出生点；所有公式、稳定 ID 与 schema 字段由机器区自动生成。</x:v>
      </x:c>
      <x:c r="B5" s="86"/>
      <x:c r="C5" s="86"/>
      <x:c r="D5" s="86"/>
      <x:c r="E5" s="86"/>
      <x:c r="F5" s="86"/>
      <x:c r="G5" s="86"/>
      <x:c r="H5" s="86"/>
      <x:c r="I5" s="86"/>
    </x:row>
    <x:row r="6" ht="22" customHeight="1">
      <x:c r="A6" s="53" t="str">
        <x:v>槽位</x:v>
      </x:c>
      <x:c r="B6" s="53" t="str">
        <x:v>敌人（下拉选择）</x:v>
      </x:c>
      <x:c r="C6" s="53" t="str">
        <x:v>基础数量</x:v>
      </x:c>
      <x:c r="D6" s="53" t="str">
        <x:v>实际数量</x:v>
      </x:c>
      <x:c r="E6" s="53" t="str">
        <x:v>息壤/击杀</x:v>
      </x:c>
      <x:c r="F6" s="53" t="str">
        <x:v>最大息壤/玩家</x:v>
      </x:c>
      <x:c r="G6" s="53" t="str">
        <x:v>预计息壤/玩家</x:v>
      </x:c>
      <x:c r="H6" s="53" t="str">
        <x:v>预计息壤/队伍</x:v>
      </x:c>
      <x:c r="I6" s="53" t="str">
        <x:v>校验</x:v>
      </x:c>
    </x:row>
    <x:row r="7" ht="22" customHeight="1">
      <x:c r="A7" s="88" t="n">
        <x:v>1</x:v>
      </x:c>
      <x:c r="B7" s="78" t="str">
        <x:v>普通原石虫</x:v>
      </x:c>
      <x:c r="C7" s="78" t="n">
        <x:v>26</x:v>
      </x:c>
      <x:c r="D7" s="62" t="n">
        <x:f>IF(B7="",0,ROUNDUP(C7*(1+('全局设置'!$B$5-1)*'全局设置'!$B$6),0))</x:f>
        <x:v>26</x:v>
      </x:c>
      <x:c r="E7" s="92" t="n">
        <x:f>IF(B7="",0,IFERROR(VLOOKUP(B7,'敌人目录'!$A$6:$M$54,13,FALSE),0))</x:f>
        <x:v>1</x:v>
      </x:c>
      <x:c r="F7" s="92" t="n">
        <x:f>D7*E7</x:f>
        <x:v>26</x:v>
      </x:c>
      <x:c r="G7" s="92" t="n">
        <x:f>F7*'全局设置'!$B$7</x:f>
        <x:v>26</x:v>
      </x:c>
      <x:c r="H7" s="92" t="n">
        <x:f>G7*'全局设置'!$B$5</x:f>
        <x:v>26</x:v>
      </x:c>
      <x:c r="I7" s="81" t="str">
        <x:f>IF(AND(B7="",C7=""),"",IF(AND(B7&lt;&gt;"",C7&gt;=1,COUNTIF($B$7:$B$24,B7)=1),"可回读","需修正"))</x:f>
        <x:v>可回读</x:v>
      </x:c>
    </x:row>
    <x:row r="8" ht="22" customHeight="1">
      <x:c r="A8" s="88" t="n">
        <x:v>2</x:v>
      </x:c>
      <x:c r="B8" s="78" t="str">
        <x:v>迅捷原石虫</x:v>
      </x:c>
      <x:c r="C8" s="78" t="n">
        <x:v>20</x:v>
      </x:c>
      <x:c r="D8" s="62" t="n">
        <x:f>IF(B8="",0,ROUNDUP(C8*(1+('全局设置'!$B$5-1)*'全局设置'!$B$6),0))</x:f>
        <x:v>20</x:v>
      </x:c>
      <x:c r="E8" s="92" t="n">
        <x:f>IF(B8="",0,IFERROR(VLOOKUP(B8,'敌人目录'!$A$6:$M$54,13,FALSE),0))</x:f>
        <x:v>1</x:v>
      </x:c>
      <x:c r="F8" s="92" t="n">
        <x:f>D8*E8</x:f>
        <x:v>20</x:v>
      </x:c>
      <x:c r="G8" s="92" t="n">
        <x:f>F8*'全局设置'!$B$7</x:f>
        <x:v>20</x:v>
      </x:c>
      <x:c r="H8" s="92" t="n">
        <x:f>G8*'全局设置'!$B$5</x:f>
        <x:v>20</x:v>
      </x:c>
      <x:c r="I8" s="81" t="str">
        <x:f>IF(AND(B8="",C8=""),"",IF(AND(B8&lt;&gt;"",C8&gt;=1,COUNTIF($B$7:$B$24,B8)=1),"可回读","需修正"))</x:f>
        <x:v>可回读</x:v>
      </x:c>
    </x:row>
    <x:row r="9" ht="22" customHeight="1">
      <x:c r="A9" s="88" t="n">
        <x:v>3</x:v>
      </x:c>
      <x:c r="B9" s="78" t="str">
        <x:v>硬壳原石虫</x:v>
      </x:c>
      <x:c r="C9" s="78" t="n">
        <x:v>20</x:v>
      </x:c>
      <x:c r="D9" s="62" t="n">
        <x:f>IF(B9="",0,ROUNDUP(C9*(1+('全局设置'!$B$5-1)*'全局设置'!$B$6),0))</x:f>
        <x:v>20</x:v>
      </x:c>
      <x:c r="E9" s="92" t="n">
        <x:f>IF(B9="",0,IFERROR(VLOOKUP(B9,'敌人目录'!$A$6:$M$54,13,FALSE),0))</x:f>
        <x:v>2</x:v>
      </x:c>
      <x:c r="F9" s="92" t="n">
        <x:f>D9*E9</x:f>
        <x:v>40</x:v>
      </x:c>
      <x:c r="G9" s="92" t="n">
        <x:f>F9*'全局设置'!$B$7</x:f>
        <x:v>40</x:v>
      </x:c>
      <x:c r="H9" s="92" t="n">
        <x:f>G9*'全局设置'!$B$5</x:f>
        <x:v>40</x:v>
      </x:c>
      <x:c r="I9" s="81" t="str">
        <x:f>IF(AND(B9="",C9=""),"",IF(AND(B9&lt;&gt;"",C9&gt;=1,COUNTIF($B$7:$B$24,B9)=1),"可回读","需修正"))</x:f>
        <x:v>可回读</x:v>
      </x:c>
    </x:row>
    <x:row r="10" ht="22" customHeight="1">
      <x:c r="A10" s="88" t="n">
        <x:v>4</x:v>
      </x:c>
      <x:c r="B10" s="78" t="str">
        <x:v>自爆原石虫</x:v>
      </x:c>
      <x:c r="C10" s="78" t="n">
        <x:v>16</x:v>
      </x:c>
      <x:c r="D10" s="62" t="n">
        <x:f>IF(B10="",0,ROUNDUP(C10*(1+('全局设置'!$B$5-1)*'全局设置'!$B$6),0))</x:f>
        <x:v>16</x:v>
      </x:c>
      <x:c r="E10" s="92" t="n">
        <x:f>IF(B10="",0,IFERROR(VLOOKUP(B10,'敌人目录'!$A$6:$M$54,13,FALSE),0))</x:f>
        <x:v>1</x:v>
      </x:c>
      <x:c r="F10" s="92" t="n">
        <x:f>D10*E10</x:f>
        <x:v>16</x:v>
      </x:c>
      <x:c r="G10" s="92" t="n">
        <x:f>F10*'全局设置'!$B$7</x:f>
        <x:v>16</x:v>
      </x:c>
      <x:c r="H10" s="92" t="n">
        <x:f>G10*'全局设置'!$B$5</x:f>
        <x:v>16</x:v>
      </x:c>
      <x:c r="I10" s="81" t="str">
        <x:f>IF(AND(B10="",C10=""),"",IF(AND(B10&lt;&gt;"",C10&gt;=1,COUNTIF($B$7:$B$24,B10)=1),"可回读","需修正"))</x:f>
        <x:v>可回读</x:v>
      </x:c>
    </x:row>
    <x:row r="11" ht="22" customHeight="1">
      <x:c r="A11" s="88" t="n">
        <x:v>5</x:v>
      </x:c>
      <x:c r="B11" s="78" t="str">
        <x:v>紫晶自爆原石虫</x:v>
      </x:c>
      <x:c r="C11" s="78" t="n">
        <x:v>12</x:v>
      </x:c>
      <x:c r="D11" s="62" t="n">
        <x:f>IF(B11="",0,ROUNDUP(C11*(1+('全局设置'!$B$5-1)*'全局设置'!$B$6),0))</x:f>
        <x:v>12</x:v>
      </x:c>
      <x:c r="E11" s="92" t="n">
        <x:f>IF(B11="",0,IFERROR(VLOOKUP(B11,'敌人目录'!$A$6:$M$54,13,FALSE),0))</x:f>
        <x:v>2</x:v>
      </x:c>
      <x:c r="F11" s="92" t="n">
        <x:f>D11*E11</x:f>
        <x:v>24</x:v>
      </x:c>
      <x:c r="G11" s="92" t="n">
        <x:f>F11*'全局设置'!$B$7</x:f>
        <x:v>24</x:v>
      </x:c>
      <x:c r="H11" s="92" t="n">
        <x:f>G11*'全局设置'!$B$5</x:f>
        <x:v>24</x:v>
      </x:c>
      <x:c r="I11" s="81" t="str">
        <x:f>IF(AND(B11="",C11=""),"",IF(AND(B11&lt;&gt;"",C11&gt;=1,COUNTIF($B$7:$B$24,B11)=1),"可回读","需修正"))</x:f>
        <x:v>可回读</x:v>
      </x:c>
    </x:row>
    <x:row r="12" ht="22" customHeight="1">
      <x:c r="A12" s="88" t="n">
        <x:v>6</x:v>
      </x:c>
      <x:c r="B12" s="78" t="str">
        <x:v>火焰弹原石虫</x:v>
      </x:c>
      <x:c r="C12" s="78" t="n">
        <x:v>20</x:v>
      </x:c>
      <x:c r="D12" s="62" t="n">
        <x:f>IF(B12="",0,ROUNDUP(C12*(1+('全局设置'!$B$5-1)*'全局设置'!$B$6),0))</x:f>
        <x:v>20</x:v>
      </x:c>
      <x:c r="E12" s="92" t="n">
        <x:f>IF(B12="",0,IFERROR(VLOOKUP(B12,'敌人目录'!$A$6:$M$54,13,FALSE),0))</x:f>
        <x:v>1</x:v>
      </x:c>
      <x:c r="F12" s="92" t="n">
        <x:f>D12*E12</x:f>
        <x:v>20</x:v>
      </x:c>
      <x:c r="G12" s="92" t="n">
        <x:f>F12*'全局设置'!$B$7</x:f>
        <x:v>20</x:v>
      </x:c>
      <x:c r="H12" s="92" t="n">
        <x:f>G12*'全局设置'!$B$5</x:f>
        <x:v>20</x:v>
      </x:c>
      <x:c r="I12" s="81" t="str">
        <x:f>IF(AND(B12="",C12=""),"",IF(AND(B12&lt;&gt;"",C12&gt;=1,COUNTIF($B$7:$B$24,B12)=1),"可回读","需修正"))</x:f>
        <x:v>可回读</x:v>
      </x:c>
    </x:row>
    <x:row r="13" ht="22" customHeight="1">
      <x:c r="A13" s="88" t="n">
        <x:v>7</x:v>
      </x:c>
      <x:c r="B13" s="78" t="str">
        <x:v>翠壳原石虫</x:v>
      </x:c>
      <x:c r="C13" s="78" t="n">
        <x:v>16</x:v>
      </x:c>
      <x:c r="D13" s="62" t="n">
        <x:f>IF(B13="",0,ROUNDUP(C13*(1+('全局设置'!$B$5-1)*'全局设置'!$B$6),0))</x:f>
        <x:v>16</x:v>
      </x:c>
      <x:c r="E13" s="92" t="n">
        <x:f>IF(B13="",0,IFERROR(VLOOKUP(B13,'敌人目录'!$A$6:$M$54,13,FALSE),0))</x:f>
        <x:v>2</x:v>
      </x:c>
      <x:c r="F13" s="92" t="n">
        <x:f>D13*E13</x:f>
        <x:v>32</x:v>
      </x:c>
      <x:c r="G13" s="92" t="n">
        <x:f>F13*'全局设置'!$B$7</x:f>
        <x:v>32</x:v>
      </x:c>
      <x:c r="H13" s="92" t="n">
        <x:f>G13*'全局设置'!$B$5</x:f>
        <x:v>32</x:v>
      </x:c>
      <x:c r="I13" s="81" t="str">
        <x:f>IF(AND(B13="",C13=""),"",IF(AND(B13&lt;&gt;"",C13&gt;=1,COUNTIF($B$7:$B$24,B13)=1),"可回读","需修正"))</x:f>
        <x:v>可回读</x:v>
      </x:c>
    </x:row>
    <x:row r="14" ht="22" customHeight="1">
      <x:c r="A14" s="88" t="n">
        <x:v>8</x:v>
      </x:c>
      <x:c r="B14" s="78" t="str">
        <x:v>守护者原石虫</x:v>
      </x:c>
      <x:c r="C14" s="78" t="n">
        <x:v>12</x:v>
      </x:c>
      <x:c r="D14" s="62" t="n">
        <x:f>IF(B14="",0,ROUNDUP(C14*(1+('全局设置'!$B$5-1)*'全局设置'!$B$6),0))</x:f>
        <x:v>12</x:v>
      </x:c>
      <x:c r="E14" s="92" t="n">
        <x:f>IF(B14="",0,IFERROR(VLOOKUP(B14,'敌人目录'!$A$6:$M$54,13,FALSE),0))</x:f>
        <x:v>2</x:v>
      </x:c>
      <x:c r="F14" s="92" t="n">
        <x:f>D14*E14</x:f>
        <x:v>24</x:v>
      </x:c>
      <x:c r="G14" s="92" t="n">
        <x:f>F14*'全局设置'!$B$7</x:f>
        <x:v>24</x:v>
      </x:c>
      <x:c r="H14" s="92" t="n">
        <x:f>G14*'全局设置'!$B$5</x:f>
        <x:v>24</x:v>
      </x:c>
      <x:c r="I14" s="81" t="str">
        <x:f>IF(AND(B14="",C14=""),"",IF(AND(B14&lt;&gt;"",C14&gt;=1,COUNTIF($B$7:$B$24,B14)=1),"可回读","需修正"))</x:f>
        <x:v>可回读</x:v>
      </x:c>
    </x:row>
    <x:row r="15" ht="22" customHeight="1">
      <x:c r="A15" s="88" t="n">
        <x:v>9</x:v>
      </x:c>
      <x:c r="B15" s="78" t="str">
        <x:v>骑士猫猫虫</x:v>
      </x:c>
      <x:c r="C15" s="78" t="n">
        <x:v>2</x:v>
      </x:c>
      <x:c r="D15" s="62" t="n">
        <x:f>IF(B15="",0,ROUNDUP(C15*(1+('全局设置'!$B$5-1)*'全局设置'!$B$6),0))</x:f>
        <x:v>2</x:v>
      </x:c>
      <x:c r="E15" s="92" t="n">
        <x:f>IF(B15="",0,IFERROR(VLOOKUP(B15,'敌人目录'!$A$6:$M$54,13,FALSE),0))</x:f>
        <x:v>4</x:v>
      </x:c>
      <x:c r="F15" s="92" t="n">
        <x:f>D15*E15</x:f>
        <x:v>8</x:v>
      </x:c>
      <x:c r="G15" s="92" t="n">
        <x:f>F15*'全局设置'!$B$7</x:f>
        <x:v>8</x:v>
      </x:c>
      <x:c r="H15" s="92" t="n">
        <x:f>G15*'全局设置'!$B$5</x:f>
        <x:v>8</x:v>
      </x:c>
      <x:c r="I15" s="81" t="str">
        <x:f>IF(AND(B15="",C15=""),"",IF(AND(B15&lt;&gt;"",C15&gt;=1,COUNTIF($B$7:$B$24,B15)=1),"可回读","需修正"))</x:f>
        <x:v>可回读</x:v>
      </x:c>
    </x:row>
    <x:row r="16" ht="22" customHeight="1">
      <x:c r="A16" s="88" t="n">
        <x:v>10</x:v>
      </x:c>
      <x:c r="B16" s="78"/>
      <x:c r="C16" s="78"/>
      <x:c r="D16" s="62" t="n">
        <x:f>IF(B16="",0,ROUNDUP(C16*(1+('全局设置'!$B$5-1)*'全局设置'!$B$6),0))</x:f>
        <x:v>0</x:v>
      </x:c>
      <x:c r="E16" s="92" t="n">
        <x:f>IF(B16="",0,IFERROR(VLOOKUP(B16,'敌人目录'!$A$6:$M$54,13,FALSE),0))</x:f>
        <x:v>0</x:v>
      </x:c>
      <x:c r="F16" s="92" t="n">
        <x:f>D16*E16</x:f>
        <x:v>0</x:v>
      </x:c>
      <x:c r="G16" s="92" t="n">
        <x:f>F16*'全局设置'!$B$7</x:f>
        <x:v>0</x:v>
      </x:c>
      <x:c r="H16" s="92" t="n">
        <x:f>G16*'全局设置'!$B$5</x:f>
        <x:v>0</x:v>
      </x:c>
      <x:c r="I16" s="81" t="str">
        <x:f>IF(AND(B16="",C16=""),"",IF(AND(B16&lt;&gt;"",C16&gt;=1,COUNTIF($B$7:$B$24,B16)=1),"可回读","需修正"))</x:f>
      </x:c>
    </x:row>
    <x:row r="17" ht="22" customHeight="1">
      <x:c r="A17" s="88" t="n">
        <x:v>11</x:v>
      </x:c>
      <x:c r="B17" s="78"/>
      <x:c r="C17" s="78"/>
      <x:c r="D17" s="62" t="n">
        <x:f>IF(B17="",0,ROUNDUP(C17*(1+('全局设置'!$B$5-1)*'全局设置'!$B$6),0))</x:f>
        <x:v>0</x:v>
      </x:c>
      <x:c r="E17" s="92" t="n">
        <x:f>IF(B17="",0,IFERROR(VLOOKUP(B17,'敌人目录'!$A$6:$M$54,13,FALSE),0))</x:f>
        <x:v>0</x:v>
      </x:c>
      <x:c r="F17" s="92" t="n">
        <x:f>D17*E17</x:f>
        <x:v>0</x:v>
      </x:c>
      <x:c r="G17" s="92" t="n">
        <x:f>F17*'全局设置'!$B$7</x:f>
        <x:v>0</x:v>
      </x:c>
      <x:c r="H17" s="92" t="n">
        <x:f>G17*'全局设置'!$B$5</x:f>
        <x:v>0</x:v>
      </x:c>
      <x:c r="I17" s="81" t="str">
        <x:f>IF(AND(B17="",C17=""),"",IF(AND(B17&lt;&gt;"",C17&gt;=1,COUNTIF($B$7:$B$24,B17)=1),"可回读","需修正"))</x:f>
      </x:c>
    </x:row>
    <x:row r="18" ht="22" customHeight="1">
      <x:c r="A18" s="88" t="n">
        <x:v>12</x:v>
      </x:c>
      <x:c r="B18" s="78"/>
      <x:c r="C18" s="78"/>
      <x:c r="D18" s="62" t="n">
        <x:f>IF(B18="",0,ROUNDUP(C18*(1+('全局设置'!$B$5-1)*'全局设置'!$B$6),0))</x:f>
        <x:v>0</x:v>
      </x:c>
      <x:c r="E18" s="92" t="n">
        <x:f>IF(B18="",0,IFERROR(VLOOKUP(B18,'敌人目录'!$A$6:$M$54,13,FALSE),0))</x:f>
        <x:v>0</x:v>
      </x:c>
      <x:c r="F18" s="92" t="n">
        <x:f>D18*E18</x:f>
        <x:v>0</x:v>
      </x:c>
      <x:c r="G18" s="92" t="n">
        <x:f>F18*'全局设置'!$B$7</x:f>
        <x:v>0</x:v>
      </x:c>
      <x:c r="H18" s="92" t="n">
        <x:f>G18*'全局设置'!$B$5</x:f>
        <x:v>0</x:v>
      </x:c>
      <x:c r="I18" s="81" t="str">
        <x:f>IF(AND(B18="",C18=""),"",IF(AND(B18&lt;&gt;"",C18&gt;=1,COUNTIF($B$7:$B$24,B18)=1),"可回读","需修正"))</x:f>
      </x:c>
    </x:row>
    <x:row r="19" ht="22" customHeight="1">
      <x:c r="A19" s="88" t="n">
        <x:v>13</x:v>
      </x:c>
      <x:c r="B19" s="78"/>
      <x:c r="C19" s="78"/>
      <x:c r="D19" s="62" t="n">
        <x:f>IF(B19="",0,ROUNDUP(C19*(1+('全局设置'!$B$5-1)*'全局设置'!$B$6),0))</x:f>
        <x:v>0</x:v>
      </x:c>
      <x:c r="E19" s="92" t="n">
        <x:f>IF(B19="",0,IFERROR(VLOOKUP(B19,'敌人目录'!$A$6:$M$54,13,FALSE),0))</x:f>
        <x:v>0</x:v>
      </x:c>
      <x:c r="F19" s="92" t="n">
        <x:f>D19*E19</x:f>
        <x:v>0</x:v>
      </x:c>
      <x:c r="G19" s="92" t="n">
        <x:f>F19*'全局设置'!$B$7</x:f>
        <x:v>0</x:v>
      </x:c>
      <x:c r="H19" s="92" t="n">
        <x:f>G19*'全局设置'!$B$5</x:f>
        <x:v>0</x:v>
      </x:c>
      <x:c r="I19" s="81" t="str">
        <x:f>IF(AND(B19="",C19=""),"",IF(AND(B19&lt;&gt;"",C19&gt;=1,COUNTIF($B$7:$B$24,B19)=1),"可回读","需修正"))</x:f>
      </x:c>
    </x:row>
    <x:row r="20" ht="22" customHeight="1">
      <x:c r="A20" s="88" t="n">
        <x:v>14</x:v>
      </x:c>
      <x:c r="B20" s="78"/>
      <x:c r="C20" s="78"/>
      <x:c r="D20" s="62" t="n">
        <x:f>IF(B20="",0,ROUNDUP(C20*(1+('全局设置'!$B$5-1)*'全局设置'!$B$6),0))</x:f>
        <x:v>0</x:v>
      </x:c>
      <x:c r="E20" s="92" t="n">
        <x:f>IF(B20="",0,IFERROR(VLOOKUP(B20,'敌人目录'!$A$6:$M$54,13,FALSE),0))</x:f>
        <x:v>0</x:v>
      </x:c>
      <x:c r="F20" s="92" t="n">
        <x:f>D20*E20</x:f>
        <x:v>0</x:v>
      </x:c>
      <x:c r="G20" s="92" t="n">
        <x:f>F20*'全局设置'!$B$7</x:f>
        <x:v>0</x:v>
      </x:c>
      <x:c r="H20" s="92" t="n">
        <x:f>G20*'全局设置'!$B$5</x:f>
        <x:v>0</x:v>
      </x:c>
      <x:c r="I20" s="81" t="str">
        <x:f>IF(AND(B20="",C20=""),"",IF(AND(B20&lt;&gt;"",C20&gt;=1,COUNTIF($B$7:$B$24,B20)=1),"可回读","需修正"))</x:f>
      </x:c>
    </x:row>
    <x:row r="21" ht="22" customHeight="1">
      <x:c r="A21" s="88" t="n">
        <x:v>15</x:v>
      </x:c>
      <x:c r="B21" s="78"/>
      <x:c r="C21" s="78"/>
      <x:c r="D21" s="62" t="n">
        <x:f>IF(B21="",0,ROUNDUP(C21*(1+('全局设置'!$B$5-1)*'全局设置'!$B$6),0))</x:f>
        <x:v>0</x:v>
      </x:c>
      <x:c r="E21" s="92" t="n">
        <x:f>IF(B21="",0,IFERROR(VLOOKUP(B21,'敌人目录'!$A$6:$M$54,13,FALSE),0))</x:f>
        <x:v>0</x:v>
      </x:c>
      <x:c r="F21" s="92" t="n">
        <x:f>D21*E21</x:f>
        <x:v>0</x:v>
      </x:c>
      <x:c r="G21" s="92" t="n">
        <x:f>F21*'全局设置'!$B$7</x:f>
        <x:v>0</x:v>
      </x:c>
      <x:c r="H21" s="92" t="n">
        <x:f>G21*'全局设置'!$B$5</x:f>
        <x:v>0</x:v>
      </x:c>
      <x:c r="I21" s="81" t="str">
        <x:f>IF(AND(B21="",C21=""),"",IF(AND(B21&lt;&gt;"",C21&gt;=1,COUNTIF($B$7:$B$24,B21)=1),"可回读","需修正"))</x:f>
      </x:c>
    </x:row>
    <x:row r="22" ht="22" customHeight="1">
      <x:c r="A22" s="88" t="n">
        <x:v>16</x:v>
      </x:c>
      <x:c r="B22" s="78"/>
      <x:c r="C22" s="78"/>
      <x:c r="D22" s="62" t="n">
        <x:f>IF(B22="",0,ROUNDUP(C22*(1+('全局设置'!$B$5-1)*'全局设置'!$B$6),0))</x:f>
        <x:v>0</x:v>
      </x:c>
      <x:c r="E22" s="92" t="n">
        <x:f>IF(B22="",0,IFERROR(VLOOKUP(B22,'敌人目录'!$A$6:$M$54,13,FALSE),0))</x:f>
        <x:v>0</x:v>
      </x:c>
      <x:c r="F22" s="92" t="n">
        <x:f>D22*E22</x:f>
        <x:v>0</x:v>
      </x:c>
      <x:c r="G22" s="92" t="n">
        <x:f>F22*'全局设置'!$B$7</x:f>
        <x:v>0</x:v>
      </x:c>
      <x:c r="H22" s="92" t="n">
        <x:f>G22*'全局设置'!$B$5</x:f>
        <x:v>0</x:v>
      </x:c>
      <x:c r="I22" s="81" t="str">
        <x:f>IF(AND(B22="",C22=""),"",IF(AND(B22&lt;&gt;"",C22&gt;=1,COUNTIF($B$7:$B$24,B22)=1),"可回读","需修正"))</x:f>
      </x:c>
    </x:row>
    <x:row r="23" ht="22" customHeight="1">
      <x:c r="A23" s="88" t="n">
        <x:v>17</x:v>
      </x:c>
      <x:c r="B23" s="78"/>
      <x:c r="C23" s="78"/>
      <x:c r="D23" s="62" t="n">
        <x:f>IF(B23="",0,ROUNDUP(C23*(1+('全局设置'!$B$5-1)*'全局设置'!$B$6),0))</x:f>
        <x:v>0</x:v>
      </x:c>
      <x:c r="E23" s="92" t="n">
        <x:f>IF(B23="",0,IFERROR(VLOOKUP(B23,'敌人目录'!$A$6:$M$54,13,FALSE),0))</x:f>
        <x:v>0</x:v>
      </x:c>
      <x:c r="F23" s="92" t="n">
        <x:f>D23*E23</x:f>
        <x:v>0</x:v>
      </x:c>
      <x:c r="G23" s="92" t="n">
        <x:f>F23*'全局设置'!$B$7</x:f>
        <x:v>0</x:v>
      </x:c>
      <x:c r="H23" s="92" t="n">
        <x:f>G23*'全局设置'!$B$5</x:f>
        <x:v>0</x:v>
      </x:c>
      <x:c r="I23" s="81" t="str">
        <x:f>IF(AND(B23="",C23=""),"",IF(AND(B23&lt;&gt;"",C23&gt;=1,COUNTIF($B$7:$B$24,B23)=1),"可回读","需修正"))</x:f>
      </x:c>
    </x:row>
    <x:row r="24" ht="22" customHeight="1">
      <x:c r="A24" s="88" t="n">
        <x:v>18</x:v>
      </x:c>
      <x:c r="B24" s="78"/>
      <x:c r="C24" s="78"/>
      <x:c r="D24" s="62" t="n">
        <x:f>IF(B24="",0,ROUNDUP(C24*(1+('全局设置'!$B$5-1)*'全局设置'!$B$6),0))</x:f>
        <x:v>0</x:v>
      </x:c>
      <x:c r="E24" s="92" t="n">
        <x:f>IF(B24="",0,IFERROR(VLOOKUP(B24,'敌人目录'!$A$6:$M$54,13,FALSE),0))</x:f>
        <x:v>0</x:v>
      </x:c>
      <x:c r="F24" s="92" t="n">
        <x:f>D24*E24</x:f>
        <x:v>0</x:v>
      </x:c>
      <x:c r="G24" s="92" t="n">
        <x:f>F24*'全局设置'!$B$7</x:f>
        <x:v>0</x:v>
      </x:c>
      <x:c r="H24" s="92" t="n">
        <x:f>G24*'全局设置'!$B$5</x:f>
        <x:v>0</x:v>
      </x:c>
      <x:c r="I24" s="81" t="str">
        <x:f>IF(AND(B24="",C24=""),"",IF(AND(B24&lt;&gt;"",C24&gt;=1,COUNTIF($B$7:$B$24,B24)=1),"可回读","需修正"))</x:f>
      </x:c>
    </x:row>
    <x:row r="25" ht="22" customHeight="1"/>
    <x:row r="26" ht="22" customHeight="1">
      <x:c r="A26" s="53" t="str">
        <x:v>基础总数</x:v>
      </x:c>
      <x:c r="B26" s="62" t="n">
        <x:f>SUM(C7:C24)</x:f>
        <x:v>144</x:v>
      </x:c>
      <x:c r="C26" s="53" t="str">
        <x:v>实际总数</x:v>
      </x:c>
      <x:c r="D26" s="62" t="n">
        <x:f>SUM(D7:D24)</x:f>
        <x:v>144</x:v>
      </x:c>
      <x:c r="E26" s="53" t="str">
        <x:v>最大息壤/玩家</x:v>
      </x:c>
      <x:c r="F26" s="62" t="n">
        <x:f>SUM(F7:F24)</x:f>
        <x:v>210</x:v>
      </x:c>
      <x:c r="G26" s="53" t="str">
        <x:v>预计息壤/玩家</x:v>
      </x:c>
      <x:c r="H26" s="62" t="n">
        <x:f>SUM(G7:G24)</x:f>
        <x:v>210</x:v>
      </x:c>
      <x:c r="I26" s="62"/>
    </x:row>
    <x:row r="27" ht="22" customHeight="1">
      <x:c r="A27" s="99" t="str">
        <x:v>预计息壤/队伍</x:v>
      </x:c>
      <x:c r="B27" s="30" t="n">
        <x:f>SUM(H7:H24)</x:f>
        <x:v>210</x:v>
      </x:c>
      <x:c r="C27" s="99" t="str">
        <x:v>说明</x:v>
      </x:c>
      <x:c r="D27" s="30" t="str">
        <x:v>预计息壤 = 实际数量 × 固定息壤 × 击杀率；已移除每日命运倍率。</x:v>
      </x:c>
      <x:c r="E27" s="30"/>
      <x:c r="F27" s="30"/>
      <x:c r="G27" s="30"/>
      <x:c r="H27" s="30"/>
      <x:c r="I27" s="30"/>
    </x:row>
    <x:row r="28" ht="22" customHeight="1"/>
    <x:row r="29" ht="22" customHeight="1"/>
    <x:row r="30" ht="22" customHeight="1"/>
    <x:row r="31" ht="22" customHeight="1">
      <x:c r="A31" s="12" t="str">
        <x:v>第 10 波｜第 3 日·2/4｜白昼｜当前正式配置</x:v>
      </x:c>
      <x:c r="B31" s="12"/>
      <x:c r="C31" s="12"/>
      <x:c r="D31" s="12"/>
      <x:c r="E31" s="12"/>
      <x:c r="F31" s="12"/>
      <x:c r="G31" s="12"/>
      <x:c r="H31" s="12"/>
      <x:c r="I31" s="12"/>
    </x:row>
    <x:row r="32" ht="22" customHeight="1">
      <x:c r="A32" s="53" t="str">
        <x:v>波次名称</x:v>
      </x:c>
      <x:c r="B32" s="78" t="str">
        <x:v>第10波 火力交叉</x:v>
      </x:c>
      <x:c r="C32" s="78" t="str">
        <x:v>第10波 火力交叉</x:v>
      </x:c>
      <x:c r="D32" s="53" t="str">
        <x:v>出生间隔(s)</x:v>
      </x:c>
      <x:c r="E32" s="57" t="n">
        <x:v>0.26</x:v>
      </x:c>
      <x:c r="F32" s="53" t="str">
        <x:v>每Tick</x:v>
      </x:c>
      <x:c r="G32" s="57" t="n">
        <x:v>1</x:v>
      </x:c>
      <x:c r="H32" s="53" t="str">
        <x:v>存活上限</x:v>
      </x:c>
      <x:c r="I32" s="57" t="n">
        <x:v>300</x:v>
      </x:c>
    </x:row>
    <x:row r="33" ht="22" customHeight="1">
      <x:c r="A33" s="53" t="str">
        <x:v>出生点</x:v>
      </x:c>
      <x:c r="B33" s="68" t="str">
        <x:v>点1·开启</x:v>
      </x:c>
      <x:c r="C33" s="68" t="str">
        <x:v>点2·开启</x:v>
      </x:c>
      <x:c r="D33" s="68" t="str">
        <x:v>点3·开启</x:v>
      </x:c>
      <x:c r="E33" s="68" t="str">
        <x:v>点4·开启</x:v>
      </x:c>
      <x:c r="F33" s="68" t="str">
        <x:v>点5·开启</x:v>
      </x:c>
      <x:c r="G33" s="68" t="str">
        <x:v>点6·开启</x:v>
      </x:c>
      <x:c r="H33" s="53" t="str">
        <x:v>波次校验</x:v>
      </x:c>
      <x:c r="I33" s="81" t="str">
        <x:f>IF(COUNTA(B36:B53)=0,"待设计",IF(COUNTIF(I36:I53,"需修正")&gt;0,"需修正","可回读"))</x:f>
        <x:v>可回读</x:v>
      </x:c>
    </x:row>
    <x:row r="34" ht="22" customHeight="1">
      <x:c r="A34" s="86" t="str">
        <x:v>仅编辑蓝色列、敌人数值和出生点；所有公式、稳定 ID 与 schema 字段由机器区自动生成。</x:v>
      </x:c>
      <x:c r="B34" s="86"/>
      <x:c r="C34" s="86"/>
      <x:c r="D34" s="86"/>
      <x:c r="E34" s="86"/>
      <x:c r="F34" s="86"/>
      <x:c r="G34" s="86"/>
      <x:c r="H34" s="86"/>
      <x:c r="I34" s="86"/>
    </x:row>
    <x:row r="35" ht="22" customHeight="1">
      <x:c r="A35" s="53" t="str">
        <x:v>槽位</x:v>
      </x:c>
      <x:c r="B35" s="53" t="str">
        <x:v>敌人（下拉选择）</x:v>
      </x:c>
      <x:c r="C35" s="53" t="str">
        <x:v>基础数量</x:v>
      </x:c>
      <x:c r="D35" s="53" t="str">
        <x:v>实际数量</x:v>
      </x:c>
      <x:c r="E35" s="53" t="str">
        <x:v>息壤/击杀</x:v>
      </x:c>
      <x:c r="F35" s="53" t="str">
        <x:v>最大息壤/玩家</x:v>
      </x:c>
      <x:c r="G35" s="53" t="str">
        <x:v>预计息壤/玩家</x:v>
      </x:c>
      <x:c r="H35" s="53" t="str">
        <x:v>预计息壤/队伍</x:v>
      </x:c>
      <x:c r="I35" s="53" t="str">
        <x:v>校验</x:v>
      </x:c>
    </x:row>
    <x:row r="36" ht="22" customHeight="1">
      <x:c r="A36" s="88" t="n">
        <x:v>1</x:v>
      </x:c>
      <x:c r="B36" s="78" t="str">
        <x:v>普通原石虫</x:v>
      </x:c>
      <x:c r="C36" s="78" t="n">
        <x:v>20</x:v>
      </x:c>
      <x:c r="D36" s="62" t="n">
        <x:f>IF(B36="",0,ROUNDUP(C36*(1+('全局设置'!$B$5-1)*'全局设置'!$B$6),0))</x:f>
        <x:v>20</x:v>
      </x:c>
      <x:c r="E36" s="92" t="n">
        <x:f>IF(B36="",0,IFERROR(VLOOKUP(B36,'敌人目录'!$A$6:$M$54,13,FALSE),0))</x:f>
        <x:v>1</x:v>
      </x:c>
      <x:c r="F36" s="92" t="n">
        <x:f>D36*E36</x:f>
        <x:v>20</x:v>
      </x:c>
      <x:c r="G36" s="92" t="n">
        <x:f>F36*'全局设置'!$B$7</x:f>
        <x:v>20</x:v>
      </x:c>
      <x:c r="H36" s="92" t="n">
        <x:f>G36*'全局设置'!$B$5</x:f>
        <x:v>20</x:v>
      </x:c>
      <x:c r="I36" s="81" t="str">
        <x:f>IF(AND(B36="",C36=""),"",IF(AND(B36&lt;&gt;"",C36&gt;=1,COUNTIF($B$36:$B$53,B36)=1),"可回读","需修正"))</x:f>
        <x:v>可回读</x:v>
      </x:c>
    </x:row>
    <x:row r="37" ht="22" customHeight="1">
      <x:c r="A37" s="88" t="n">
        <x:v>2</x:v>
      </x:c>
      <x:c r="B37" s="78" t="str">
        <x:v>迅捷原石虫</x:v>
      </x:c>
      <x:c r="C37" s="78" t="n">
        <x:v>24</x:v>
      </x:c>
      <x:c r="D37" s="62" t="n">
        <x:f>IF(B37="",0,ROUNDUP(C37*(1+('全局设置'!$B$5-1)*'全局设置'!$B$6),0))</x:f>
        <x:v>24</x:v>
      </x:c>
      <x:c r="E37" s="92" t="n">
        <x:f>IF(B37="",0,IFERROR(VLOOKUP(B37,'敌人目录'!$A$6:$M$54,13,FALSE),0))</x:f>
        <x:v>1</x:v>
      </x:c>
      <x:c r="F37" s="92" t="n">
        <x:f>D37*E37</x:f>
        <x:v>24</x:v>
      </x:c>
      <x:c r="G37" s="92" t="n">
        <x:f>F37*'全局设置'!$B$7</x:f>
        <x:v>24</x:v>
      </x:c>
      <x:c r="H37" s="92" t="n">
        <x:f>G37*'全局设置'!$B$5</x:f>
        <x:v>24</x:v>
      </x:c>
      <x:c r="I37" s="81" t="str">
        <x:f>IF(AND(B37="",C37=""),"",IF(AND(B37&lt;&gt;"",C37&gt;=1,COUNTIF($B$36:$B$53,B37)=1),"可回读","需修正"))</x:f>
        <x:v>可回读</x:v>
      </x:c>
    </x:row>
    <x:row r="38" ht="22" customHeight="1">
      <x:c r="A38" s="88" t="n">
        <x:v>3</x:v>
      </x:c>
      <x:c r="B38" s="78" t="str">
        <x:v>硬壳原石虫</x:v>
      </x:c>
      <x:c r="C38" s="78" t="n">
        <x:v>24</x:v>
      </x:c>
      <x:c r="D38" s="62" t="n">
        <x:f>IF(B38="",0,ROUNDUP(C38*(1+('全局设置'!$B$5-1)*'全局设置'!$B$6),0))</x:f>
        <x:v>24</x:v>
      </x:c>
      <x:c r="E38" s="92" t="n">
        <x:f>IF(B38="",0,IFERROR(VLOOKUP(B38,'敌人目录'!$A$6:$M$54,13,FALSE),0))</x:f>
        <x:v>2</x:v>
      </x:c>
      <x:c r="F38" s="92" t="n">
        <x:f>D38*E38</x:f>
        <x:v>48</x:v>
      </x:c>
      <x:c r="G38" s="92" t="n">
        <x:f>F38*'全局设置'!$B$7</x:f>
        <x:v>48</x:v>
      </x:c>
      <x:c r="H38" s="92" t="n">
        <x:f>G38*'全局设置'!$B$5</x:f>
        <x:v>48</x:v>
      </x:c>
      <x:c r="I38" s="81" t="str">
        <x:f>IF(AND(B38="",C38=""),"",IF(AND(B38&lt;&gt;"",C38&gt;=1,COUNTIF($B$36:$B$53,B38)=1),"可回读","需修正"))</x:f>
        <x:v>可回读</x:v>
      </x:c>
    </x:row>
    <x:row r="39" ht="22" customHeight="1">
      <x:c r="A39" s="88" t="n">
        <x:v>4</x:v>
      </x:c>
      <x:c r="B39" s="78" t="str">
        <x:v>自爆原石虫</x:v>
      </x:c>
      <x:c r="C39" s="78" t="n">
        <x:v>20</x:v>
      </x:c>
      <x:c r="D39" s="62" t="n">
        <x:f>IF(B39="",0,ROUNDUP(C39*(1+('全局设置'!$B$5-1)*'全局设置'!$B$6),0))</x:f>
        <x:v>20</x:v>
      </x:c>
      <x:c r="E39" s="92" t="n">
        <x:f>IF(B39="",0,IFERROR(VLOOKUP(B39,'敌人目录'!$A$6:$M$54,13,FALSE),0))</x:f>
        <x:v>1</x:v>
      </x:c>
      <x:c r="F39" s="92" t="n">
        <x:f>D39*E39</x:f>
        <x:v>20</x:v>
      </x:c>
      <x:c r="G39" s="92" t="n">
        <x:f>F39*'全局设置'!$B$7</x:f>
        <x:v>20</x:v>
      </x:c>
      <x:c r="H39" s="92" t="n">
        <x:f>G39*'全局设置'!$B$5</x:f>
        <x:v>20</x:v>
      </x:c>
      <x:c r="I39" s="81" t="str">
        <x:f>IF(AND(B39="",C39=""),"",IF(AND(B39&lt;&gt;"",C39&gt;=1,COUNTIF($B$36:$B$53,B39)=1),"可回读","需修正"))</x:f>
        <x:v>可回读</x:v>
      </x:c>
    </x:row>
    <x:row r="40" ht="22" customHeight="1">
      <x:c r="A40" s="88" t="n">
        <x:v>5</x:v>
      </x:c>
      <x:c r="B40" s="78" t="str">
        <x:v>紫晶自爆原石虫</x:v>
      </x:c>
      <x:c r="C40" s="78" t="n">
        <x:v>16</x:v>
      </x:c>
      <x:c r="D40" s="62" t="n">
        <x:f>IF(B40="",0,ROUNDUP(C40*(1+('全局设置'!$B$5-1)*'全局设置'!$B$6),0))</x:f>
        <x:v>16</x:v>
      </x:c>
      <x:c r="E40" s="92" t="n">
        <x:f>IF(B40="",0,IFERROR(VLOOKUP(B40,'敌人目录'!$A$6:$M$54,13,FALSE),0))</x:f>
        <x:v>2</x:v>
      </x:c>
      <x:c r="F40" s="92" t="n">
        <x:f>D40*E40</x:f>
        <x:v>32</x:v>
      </x:c>
      <x:c r="G40" s="92" t="n">
        <x:f>F40*'全局设置'!$B$7</x:f>
        <x:v>32</x:v>
      </x:c>
      <x:c r="H40" s="92" t="n">
        <x:f>G40*'全局设置'!$B$5</x:f>
        <x:v>32</x:v>
      </x:c>
      <x:c r="I40" s="81" t="str">
        <x:f>IF(AND(B40="",C40=""),"",IF(AND(B40&lt;&gt;"",C40&gt;=1,COUNTIF($B$36:$B$53,B40)=1),"可回读","需修正"))</x:f>
        <x:v>可回读</x:v>
      </x:c>
    </x:row>
    <x:row r="41" ht="22" customHeight="1">
      <x:c r="A41" s="88" t="n">
        <x:v>6</x:v>
      </x:c>
      <x:c r="B41" s="78" t="str">
        <x:v>火焰弹原石虫</x:v>
      </x:c>
      <x:c r="C41" s="78" t="n">
        <x:v>20</x:v>
      </x:c>
      <x:c r="D41" s="62" t="n">
        <x:f>IF(B41="",0,ROUNDUP(C41*(1+('全局设置'!$B$5-1)*'全局设置'!$B$6),0))</x:f>
        <x:v>20</x:v>
      </x:c>
      <x:c r="E41" s="92" t="n">
        <x:f>IF(B41="",0,IFERROR(VLOOKUP(B41,'敌人目录'!$A$6:$M$54,13,FALSE),0))</x:f>
        <x:v>1</x:v>
      </x:c>
      <x:c r="F41" s="92" t="n">
        <x:f>D41*E41</x:f>
        <x:v>20</x:v>
      </x:c>
      <x:c r="G41" s="92" t="n">
        <x:f>F41*'全局设置'!$B$7</x:f>
        <x:v>20</x:v>
      </x:c>
      <x:c r="H41" s="92" t="n">
        <x:f>G41*'全局设置'!$B$5</x:f>
        <x:v>20</x:v>
      </x:c>
      <x:c r="I41" s="81" t="str">
        <x:f>IF(AND(B41="",C41=""),"",IF(AND(B41&lt;&gt;"",C41&gt;=1,COUNTIF($B$36:$B$53,B41)=1),"可回读","需修正"))</x:f>
        <x:v>可回读</x:v>
      </x:c>
    </x:row>
    <x:row r="42" ht="22" customHeight="1">
      <x:c r="A42" s="88" t="n">
        <x:v>7</x:v>
      </x:c>
      <x:c r="B42" s="78" t="str">
        <x:v>翠壳原石虫</x:v>
      </x:c>
      <x:c r="C42" s="78" t="n">
        <x:v>16</x:v>
      </x:c>
      <x:c r="D42" s="62" t="n">
        <x:f>IF(B42="",0,ROUNDUP(C42*(1+('全局设置'!$B$5-1)*'全局设置'!$B$6),0))</x:f>
        <x:v>16</x:v>
      </x:c>
      <x:c r="E42" s="92" t="n">
        <x:f>IF(B42="",0,IFERROR(VLOOKUP(B42,'敌人目录'!$A$6:$M$54,13,FALSE),0))</x:f>
        <x:v>2</x:v>
      </x:c>
      <x:c r="F42" s="92" t="n">
        <x:f>D42*E42</x:f>
        <x:v>32</x:v>
      </x:c>
      <x:c r="G42" s="92" t="n">
        <x:f>F42*'全局设置'!$B$7</x:f>
        <x:v>32</x:v>
      </x:c>
      <x:c r="H42" s="92" t="n">
        <x:f>G42*'全局设置'!$B$5</x:f>
        <x:v>32</x:v>
      </x:c>
      <x:c r="I42" s="81" t="str">
        <x:f>IF(AND(B42="",C42=""),"",IF(AND(B42&lt;&gt;"",C42&gt;=1,COUNTIF($B$36:$B$53,B42)=1),"可回读","需修正"))</x:f>
        <x:v>可回读</x:v>
      </x:c>
    </x:row>
    <x:row r="43" ht="22" customHeight="1">
      <x:c r="A43" s="88" t="n">
        <x:v>8</x:v>
      </x:c>
      <x:c r="B43" s="78" t="str">
        <x:v>守护者原石虫</x:v>
      </x:c>
      <x:c r="C43" s="78" t="n">
        <x:v>16</x:v>
      </x:c>
      <x:c r="D43" s="62" t="n">
        <x:f>IF(B43="",0,ROUNDUP(C43*(1+('全局设置'!$B$5-1)*'全局设置'!$B$6),0))</x:f>
        <x:v>16</x:v>
      </x:c>
      <x:c r="E43" s="92" t="n">
        <x:f>IF(B43="",0,IFERROR(VLOOKUP(B43,'敌人目录'!$A$6:$M$54,13,FALSE),0))</x:f>
        <x:v>2</x:v>
      </x:c>
      <x:c r="F43" s="92" t="n">
        <x:f>D43*E43</x:f>
        <x:v>32</x:v>
      </x:c>
      <x:c r="G43" s="92" t="n">
        <x:f>F43*'全局设置'!$B$7</x:f>
        <x:v>32</x:v>
      </x:c>
      <x:c r="H43" s="92" t="n">
        <x:f>G43*'全局设置'!$B$5</x:f>
        <x:v>32</x:v>
      </x:c>
      <x:c r="I43" s="81" t="str">
        <x:f>IF(AND(B43="",C43=""),"",IF(AND(B43&lt;&gt;"",C43&gt;=1,COUNTIF($B$36:$B$53,B43)=1),"可回读","需修正"))</x:f>
        <x:v>可回读</x:v>
      </x:c>
    </x:row>
    <x:row r="44" ht="22" customHeight="1">
      <x:c r="A44" s="88" t="n">
        <x:v>9</x:v>
      </x:c>
      <x:c r="B44" s="78" t="str">
        <x:v>AK猫猫虫</x:v>
      </x:c>
      <x:c r="C44" s="78" t="n">
        <x:v>2</x:v>
      </x:c>
      <x:c r="D44" s="62" t="n">
        <x:f>IF(B44="",0,ROUNDUP(C44*(1+('全局设置'!$B$5-1)*'全局设置'!$B$6),0))</x:f>
        <x:v>2</x:v>
      </x:c>
      <x:c r="E44" s="92" t="n">
        <x:f>IF(B44="",0,IFERROR(VLOOKUP(B44,'敌人目录'!$A$6:$M$54,13,FALSE),0))</x:f>
        <x:v>5</x:v>
      </x:c>
      <x:c r="F44" s="92" t="n">
        <x:f>D44*E44</x:f>
        <x:v>10</x:v>
      </x:c>
      <x:c r="G44" s="92" t="n">
        <x:f>F44*'全局设置'!$B$7</x:f>
        <x:v>10</x:v>
      </x:c>
      <x:c r="H44" s="92" t="n">
        <x:f>G44*'全局设置'!$B$5</x:f>
        <x:v>10</x:v>
      </x:c>
      <x:c r="I44" s="81" t="str">
        <x:f>IF(AND(B44="",C44=""),"",IF(AND(B44&lt;&gt;"",C44&gt;=1,COUNTIF($B$36:$B$53,B44)=1),"可回读","需修正"))</x:f>
        <x:v>可回读</x:v>
      </x:c>
    </x:row>
    <x:row r="45" ht="22" customHeight="1">
      <x:c r="A45" s="88" t="n">
        <x:v>10</x:v>
      </x:c>
      <x:c r="B45" s="78" t="str">
        <x:v>骑士猫猫虫</x:v>
      </x:c>
      <x:c r="C45" s="78" t="n">
        <x:v>2</x:v>
      </x:c>
      <x:c r="D45" s="62" t="n">
        <x:f>IF(B45="",0,ROUNDUP(C45*(1+('全局设置'!$B$5-1)*'全局设置'!$B$6),0))</x:f>
        <x:v>2</x:v>
      </x:c>
      <x:c r="E45" s="92" t="n">
        <x:f>IF(B45="",0,IFERROR(VLOOKUP(B45,'敌人目录'!$A$6:$M$54,13,FALSE),0))</x:f>
        <x:v>4</x:v>
      </x:c>
      <x:c r="F45" s="92" t="n">
        <x:f>D45*E45</x:f>
        <x:v>8</x:v>
      </x:c>
      <x:c r="G45" s="92" t="n">
        <x:f>F45*'全局设置'!$B$7</x:f>
        <x:v>8</x:v>
      </x:c>
      <x:c r="H45" s="92" t="n">
        <x:f>G45*'全局设置'!$B$5</x:f>
        <x:v>8</x:v>
      </x:c>
      <x:c r="I45" s="81" t="str">
        <x:f>IF(AND(B45="",C45=""),"",IF(AND(B45&lt;&gt;"",C45&gt;=1,COUNTIF($B$36:$B$53,B45)=1),"可回读","需修正"))</x:f>
        <x:v>可回读</x:v>
      </x:c>
    </x:row>
    <x:row r="46" ht="22" customHeight="1">
      <x:c r="A46" s="88" t="n">
        <x:v>11</x:v>
      </x:c>
      <x:c r="B46" s="78"/>
      <x:c r="C46" s="78"/>
      <x:c r="D46" s="62" t="n">
        <x:f>IF(B46="",0,ROUNDUP(C46*(1+('全局设置'!$B$5-1)*'全局设置'!$B$6),0))</x:f>
        <x:v>0</x:v>
      </x:c>
      <x:c r="E46" s="92" t="n">
        <x:f>IF(B46="",0,IFERROR(VLOOKUP(B46,'敌人目录'!$A$6:$M$54,13,FALSE),0))</x:f>
        <x:v>0</x:v>
      </x:c>
      <x:c r="F46" s="92" t="n">
        <x:f>D46*E46</x:f>
        <x:v>0</x:v>
      </x:c>
      <x:c r="G46" s="92" t="n">
        <x:f>F46*'全局设置'!$B$7</x:f>
        <x:v>0</x:v>
      </x:c>
      <x:c r="H46" s="92" t="n">
        <x:f>G46*'全局设置'!$B$5</x:f>
        <x:v>0</x:v>
      </x:c>
      <x:c r="I46" s="81" t="str">
        <x:f>IF(AND(B46="",C46=""),"",IF(AND(B46&lt;&gt;"",C46&gt;=1,COUNTIF($B$36:$B$53,B46)=1),"可回读","需修正"))</x:f>
      </x:c>
    </x:row>
    <x:row r="47" ht="22" customHeight="1">
      <x:c r="A47" s="88" t="n">
        <x:v>12</x:v>
      </x:c>
      <x:c r="B47" s="78"/>
      <x:c r="C47" s="78"/>
      <x:c r="D47" s="62" t="n">
        <x:f>IF(B47="",0,ROUNDUP(C47*(1+('全局设置'!$B$5-1)*'全局设置'!$B$6),0))</x:f>
        <x:v>0</x:v>
      </x:c>
      <x:c r="E47" s="92" t="n">
        <x:f>IF(B47="",0,IFERROR(VLOOKUP(B47,'敌人目录'!$A$6:$M$54,13,FALSE),0))</x:f>
        <x:v>0</x:v>
      </x:c>
      <x:c r="F47" s="92" t="n">
        <x:f>D47*E47</x:f>
        <x:v>0</x:v>
      </x:c>
      <x:c r="G47" s="92" t="n">
        <x:f>F47*'全局设置'!$B$7</x:f>
        <x:v>0</x:v>
      </x:c>
      <x:c r="H47" s="92" t="n">
        <x:f>G47*'全局设置'!$B$5</x:f>
        <x:v>0</x:v>
      </x:c>
      <x:c r="I47" s="81" t="str">
        <x:f>IF(AND(B47="",C47=""),"",IF(AND(B47&lt;&gt;"",C47&gt;=1,COUNTIF($B$36:$B$53,B47)=1),"可回读","需修正"))</x:f>
      </x:c>
    </x:row>
    <x:row r="48" ht="22" customHeight="1">
      <x:c r="A48" s="88" t="n">
        <x:v>13</x:v>
      </x:c>
      <x:c r="B48" s="78"/>
      <x:c r="C48" s="78"/>
      <x:c r="D48" s="62" t="n">
        <x:f>IF(B48="",0,ROUNDUP(C48*(1+('全局设置'!$B$5-1)*'全局设置'!$B$6),0))</x:f>
        <x:v>0</x:v>
      </x:c>
      <x:c r="E48" s="92" t="n">
        <x:f>IF(B48="",0,IFERROR(VLOOKUP(B48,'敌人目录'!$A$6:$M$54,13,FALSE),0))</x:f>
        <x:v>0</x:v>
      </x:c>
      <x:c r="F48" s="92" t="n">
        <x:f>D48*E48</x:f>
        <x:v>0</x:v>
      </x:c>
      <x:c r="G48" s="92" t="n">
        <x:f>F48*'全局设置'!$B$7</x:f>
        <x:v>0</x:v>
      </x:c>
      <x:c r="H48" s="92" t="n">
        <x:f>G48*'全局设置'!$B$5</x:f>
        <x:v>0</x:v>
      </x:c>
      <x:c r="I48" s="81" t="str">
        <x:f>IF(AND(B48="",C48=""),"",IF(AND(B48&lt;&gt;"",C48&gt;=1,COUNTIF($B$36:$B$53,B48)=1),"可回读","需修正"))</x:f>
      </x:c>
    </x:row>
    <x:row r="49" ht="22" customHeight="1">
      <x:c r="A49" s="88" t="n">
        <x:v>14</x:v>
      </x:c>
      <x:c r="B49" s="78"/>
      <x:c r="C49" s="78"/>
      <x:c r="D49" s="62" t="n">
        <x:f>IF(B49="",0,ROUNDUP(C49*(1+('全局设置'!$B$5-1)*'全局设置'!$B$6),0))</x:f>
        <x:v>0</x:v>
      </x:c>
      <x:c r="E49" s="92" t="n">
        <x:f>IF(B49="",0,IFERROR(VLOOKUP(B49,'敌人目录'!$A$6:$M$54,13,FALSE),0))</x:f>
        <x:v>0</x:v>
      </x:c>
      <x:c r="F49" s="92" t="n">
        <x:f>D49*E49</x:f>
        <x:v>0</x:v>
      </x:c>
      <x:c r="G49" s="92" t="n">
        <x:f>F49*'全局设置'!$B$7</x:f>
        <x:v>0</x:v>
      </x:c>
      <x:c r="H49" s="92" t="n">
        <x:f>G49*'全局设置'!$B$5</x:f>
        <x:v>0</x:v>
      </x:c>
      <x:c r="I49" s="81" t="str">
        <x:f>IF(AND(B49="",C49=""),"",IF(AND(B49&lt;&gt;"",C49&gt;=1,COUNTIF($B$36:$B$53,B49)=1),"可回读","需修正"))</x:f>
      </x:c>
    </x:row>
    <x:row r="50" ht="22" customHeight="1">
      <x:c r="A50" s="88" t="n">
        <x:v>15</x:v>
      </x:c>
      <x:c r="B50" s="78"/>
      <x:c r="C50" s="78"/>
      <x:c r="D50" s="62" t="n">
        <x:f>IF(B50="",0,ROUNDUP(C50*(1+('全局设置'!$B$5-1)*'全局设置'!$B$6),0))</x:f>
        <x:v>0</x:v>
      </x:c>
      <x:c r="E50" s="92" t="n">
        <x:f>IF(B50="",0,IFERROR(VLOOKUP(B50,'敌人目录'!$A$6:$M$54,13,FALSE),0))</x:f>
        <x:v>0</x:v>
      </x:c>
      <x:c r="F50" s="92" t="n">
        <x:f>D50*E50</x:f>
        <x:v>0</x:v>
      </x:c>
      <x:c r="G50" s="92" t="n">
        <x:f>F50*'全局设置'!$B$7</x:f>
        <x:v>0</x:v>
      </x:c>
      <x:c r="H50" s="92" t="n">
        <x:f>G50*'全局设置'!$B$5</x:f>
        <x:v>0</x:v>
      </x:c>
      <x:c r="I50" s="81" t="str">
        <x:f>IF(AND(B50="",C50=""),"",IF(AND(B50&lt;&gt;"",C50&gt;=1,COUNTIF($B$36:$B$53,B50)=1),"可回读","需修正"))</x:f>
      </x:c>
    </x:row>
    <x:row r="51" ht="22" customHeight="1">
      <x:c r="A51" s="88" t="n">
        <x:v>16</x:v>
      </x:c>
      <x:c r="B51" s="78"/>
      <x:c r="C51" s="78"/>
      <x:c r="D51" s="62" t="n">
        <x:f>IF(B51="",0,ROUNDUP(C51*(1+('全局设置'!$B$5-1)*'全局设置'!$B$6),0))</x:f>
        <x:v>0</x:v>
      </x:c>
      <x:c r="E51" s="92" t="n">
        <x:f>IF(B51="",0,IFERROR(VLOOKUP(B51,'敌人目录'!$A$6:$M$54,13,FALSE),0))</x:f>
        <x:v>0</x:v>
      </x:c>
      <x:c r="F51" s="92" t="n">
        <x:f>D51*E51</x:f>
        <x:v>0</x:v>
      </x:c>
      <x:c r="G51" s="92" t="n">
        <x:f>F51*'全局设置'!$B$7</x:f>
        <x:v>0</x:v>
      </x:c>
      <x:c r="H51" s="92" t="n">
        <x:f>G51*'全局设置'!$B$5</x:f>
        <x:v>0</x:v>
      </x:c>
      <x:c r="I51" s="81" t="str">
        <x:f>IF(AND(B51="",C51=""),"",IF(AND(B51&lt;&gt;"",C51&gt;=1,COUNTIF($B$36:$B$53,B51)=1),"可回读","需修正"))</x:f>
      </x:c>
    </x:row>
    <x:row r="52" ht="22" customHeight="1">
      <x:c r="A52" s="88" t="n">
        <x:v>17</x:v>
      </x:c>
      <x:c r="B52" s="78"/>
      <x:c r="C52" s="78"/>
      <x:c r="D52" s="62" t="n">
        <x:f>IF(B52="",0,ROUNDUP(C52*(1+('全局设置'!$B$5-1)*'全局设置'!$B$6),0))</x:f>
        <x:v>0</x:v>
      </x:c>
      <x:c r="E52" s="92" t="n">
        <x:f>IF(B52="",0,IFERROR(VLOOKUP(B52,'敌人目录'!$A$6:$M$54,13,FALSE),0))</x:f>
        <x:v>0</x:v>
      </x:c>
      <x:c r="F52" s="92" t="n">
        <x:f>D52*E52</x:f>
        <x:v>0</x:v>
      </x:c>
      <x:c r="G52" s="92" t="n">
        <x:f>F52*'全局设置'!$B$7</x:f>
        <x:v>0</x:v>
      </x:c>
      <x:c r="H52" s="92" t="n">
        <x:f>G52*'全局设置'!$B$5</x:f>
        <x:v>0</x:v>
      </x:c>
      <x:c r="I52" s="81" t="str">
        <x:f>IF(AND(B52="",C52=""),"",IF(AND(B52&lt;&gt;"",C52&gt;=1,COUNTIF($B$36:$B$53,B52)=1),"可回读","需修正"))</x:f>
      </x:c>
    </x:row>
    <x:row r="53" ht="22" customHeight="1">
      <x:c r="A53" s="88" t="n">
        <x:v>18</x:v>
      </x:c>
      <x:c r="B53" s="78"/>
      <x:c r="C53" s="78"/>
      <x:c r="D53" s="62" t="n">
        <x:f>IF(B53="",0,ROUNDUP(C53*(1+('全局设置'!$B$5-1)*'全局设置'!$B$6),0))</x:f>
        <x:v>0</x:v>
      </x:c>
      <x:c r="E53" s="92" t="n">
        <x:f>IF(B53="",0,IFERROR(VLOOKUP(B53,'敌人目录'!$A$6:$M$54,13,FALSE),0))</x:f>
        <x:v>0</x:v>
      </x:c>
      <x:c r="F53" s="92" t="n">
        <x:f>D53*E53</x:f>
        <x:v>0</x:v>
      </x:c>
      <x:c r="G53" s="92" t="n">
        <x:f>F53*'全局设置'!$B$7</x:f>
        <x:v>0</x:v>
      </x:c>
      <x:c r="H53" s="92" t="n">
        <x:f>G53*'全局设置'!$B$5</x:f>
        <x:v>0</x:v>
      </x:c>
      <x:c r="I53" s="81" t="str">
        <x:f>IF(AND(B53="",C53=""),"",IF(AND(B53&lt;&gt;"",C53&gt;=1,COUNTIF($B$36:$B$53,B53)=1),"可回读","需修正"))</x:f>
      </x:c>
    </x:row>
    <x:row r="54" ht="22" customHeight="1"/>
    <x:row r="55" ht="22" customHeight="1">
      <x:c r="A55" s="53" t="str">
        <x:v>基础总数</x:v>
      </x:c>
      <x:c r="B55" s="62" t="n">
        <x:f>SUM(C36:C53)</x:f>
        <x:v>160</x:v>
      </x:c>
      <x:c r="C55" s="53" t="str">
        <x:v>实际总数</x:v>
      </x:c>
      <x:c r="D55" s="62" t="n">
        <x:f>SUM(D36:D53)</x:f>
        <x:v>160</x:v>
      </x:c>
      <x:c r="E55" s="53" t="str">
        <x:v>最大息壤/玩家</x:v>
      </x:c>
      <x:c r="F55" s="62" t="n">
        <x:f>SUM(F36:F53)</x:f>
        <x:v>246</x:v>
      </x:c>
      <x:c r="G55" s="53" t="str">
        <x:v>预计息壤/玩家</x:v>
      </x:c>
      <x:c r="H55" s="62" t="n">
        <x:f>SUM(G36:G53)</x:f>
        <x:v>246</x:v>
      </x:c>
      <x:c r="I55" s="62"/>
    </x:row>
    <x:row r="56" ht="22" customHeight="1">
      <x:c r="A56" s="99" t="str">
        <x:v>预计息壤/队伍</x:v>
      </x:c>
      <x:c r="B56" s="30" t="n">
        <x:f>SUM(H36:H53)</x:f>
        <x:v>246</x:v>
      </x:c>
      <x:c r="C56" s="99" t="str">
        <x:v>说明</x:v>
      </x:c>
      <x:c r="D56" s="30" t="str">
        <x:v>预计息壤 = 实际数量 × 固定息壤 × 击杀率；已移除每日命运倍率。</x:v>
      </x:c>
      <x:c r="E56" s="30"/>
      <x:c r="F56" s="30"/>
      <x:c r="G56" s="30"/>
      <x:c r="H56" s="30"/>
      <x:c r="I56" s="30"/>
    </x:row>
    <x:row r="57" ht="22" customHeight="1"/>
    <x:row r="58" ht="22" customHeight="1"/>
    <x:row r="59" ht="22" customHeight="1"/>
    <x:row r="60" ht="22" customHeight="1">
      <x:c r="A60" s="33" t="str">
        <x:v>第 11 波｜第 3 日·3/4｜夜晚｜当前正式配置</x:v>
      </x:c>
      <x:c r="B60" s="33"/>
      <x:c r="C60" s="33"/>
      <x:c r="D60" s="33"/>
      <x:c r="E60" s="33"/>
      <x:c r="F60" s="33"/>
      <x:c r="G60" s="33"/>
      <x:c r="H60" s="33"/>
      <x:c r="I60" s="33"/>
    </x:row>
    <x:row r="61" ht="22" customHeight="1">
      <x:c r="A61" s="103" t="str">
        <x:v>波次名称</x:v>
      </x:c>
      <x:c r="B61" s="78" t="str">
        <x:v>第11波 奥术重装</x:v>
      </x:c>
      <x:c r="C61" s="78" t="str">
        <x:v>第11波 奥术重装</x:v>
      </x:c>
      <x:c r="D61" s="103" t="str">
        <x:v>出生间隔(s)</x:v>
      </x:c>
      <x:c r="E61" s="57" t="n">
        <x:v>0.24</x:v>
      </x:c>
      <x:c r="F61" s="103" t="str">
        <x:v>每Tick</x:v>
      </x:c>
      <x:c r="G61" s="57" t="n">
        <x:v>1</x:v>
      </x:c>
      <x:c r="H61" s="103" t="str">
        <x:v>存活上限</x:v>
      </x:c>
      <x:c r="I61" s="57" t="n">
        <x:v>300</x:v>
      </x:c>
    </x:row>
    <x:row r="62" ht="22" customHeight="1">
      <x:c r="A62" s="103" t="str">
        <x:v>出生点</x:v>
      </x:c>
      <x:c r="B62" s="68" t="str">
        <x:v>点1·开启</x:v>
      </x:c>
      <x:c r="C62" s="68" t="str">
        <x:v>点2·开启</x:v>
      </x:c>
      <x:c r="D62" s="68" t="str">
        <x:v>点3·开启</x:v>
      </x:c>
      <x:c r="E62" s="68" t="str">
        <x:v>点4·开启</x:v>
      </x:c>
      <x:c r="F62" s="68" t="str">
        <x:v>点5·开启</x:v>
      </x:c>
      <x:c r="G62" s="68" t="str">
        <x:v>点6·开启</x:v>
      </x:c>
      <x:c r="H62" s="103" t="str">
        <x:v>波次校验</x:v>
      </x:c>
      <x:c r="I62" s="81" t="str">
        <x:f>IF(COUNTA(B65:B82)=0,"待设计",IF(COUNTIF(I65:I82,"需修正")&gt;0,"需修正","可回读"))</x:f>
        <x:v>可回读</x:v>
      </x:c>
    </x:row>
    <x:row r="63" ht="22" customHeight="1">
      <x:c r="A63" s="86" t="str">
        <x:v>仅编辑蓝色列、敌人数值和出生点；所有公式、稳定 ID 与 schema 字段由机器区自动生成。</x:v>
      </x:c>
      <x:c r="B63" s="86"/>
      <x:c r="C63" s="86"/>
      <x:c r="D63" s="86"/>
      <x:c r="E63" s="86"/>
      <x:c r="F63" s="86"/>
      <x:c r="G63" s="86"/>
      <x:c r="H63" s="86"/>
      <x:c r="I63" s="86"/>
    </x:row>
    <x:row r="64" ht="22" customHeight="1">
      <x:c r="A64" s="103" t="str">
        <x:v>槽位</x:v>
      </x:c>
      <x:c r="B64" s="103" t="str">
        <x:v>敌人（下拉选择）</x:v>
      </x:c>
      <x:c r="C64" s="103" t="str">
        <x:v>基础数量</x:v>
      </x:c>
      <x:c r="D64" s="103" t="str">
        <x:v>实际数量</x:v>
      </x:c>
      <x:c r="E64" s="103" t="str">
        <x:v>息壤/击杀</x:v>
      </x:c>
      <x:c r="F64" s="103" t="str">
        <x:v>最大息壤/玩家</x:v>
      </x:c>
      <x:c r="G64" s="103" t="str">
        <x:v>预计息壤/玩家</x:v>
      </x:c>
      <x:c r="H64" s="103" t="str">
        <x:v>预计息壤/队伍</x:v>
      </x:c>
      <x:c r="I64" s="103" t="str">
        <x:v>校验</x:v>
      </x:c>
    </x:row>
    <x:row r="65" ht="22" customHeight="1">
      <x:c r="A65" s="88" t="n">
        <x:v>1</x:v>
      </x:c>
      <x:c r="B65" s="78" t="str">
        <x:v>普通原石虫</x:v>
      </x:c>
      <x:c r="C65" s="78" t="n">
        <x:v>46</x:v>
      </x:c>
      <x:c r="D65" s="62" t="n">
        <x:f>IF(B65="",0,ROUNDUP(C65*(1+('全局设置'!$B$5-1)*'全局设置'!$B$6),0))</x:f>
        <x:v>46</x:v>
      </x:c>
      <x:c r="E65" s="92" t="n">
        <x:f>IF(B65="",0,IFERROR(VLOOKUP(B65,'敌人目录'!$A$6:$M$54,13,FALSE),0))</x:f>
        <x:v>1</x:v>
      </x:c>
      <x:c r="F65" s="92" t="n">
        <x:f>D65*E65</x:f>
        <x:v>46</x:v>
      </x:c>
      <x:c r="G65" s="92" t="n">
        <x:f>F65*'全局设置'!$B$7</x:f>
        <x:v>46</x:v>
      </x:c>
      <x:c r="H65" s="92" t="n">
        <x:f>G65*'全局设置'!$B$5</x:f>
        <x:v>46</x:v>
      </x:c>
      <x:c r="I65" s="81" t="str">
        <x:f>IF(AND(B65="",C65=""),"",IF(AND(B65&lt;&gt;"",C65&gt;=1,COUNTIF($B$65:$B$82,B65)=1),"可回读","需修正"))</x:f>
        <x:v>可回读</x:v>
      </x:c>
    </x:row>
    <x:row r="66" ht="22" customHeight="1">
      <x:c r="A66" s="88" t="n">
        <x:v>2</x:v>
      </x:c>
      <x:c r="B66" s="78" t="str">
        <x:v>迅捷原石虫</x:v>
      </x:c>
      <x:c r="C66" s="78" t="n">
        <x:v>20</x:v>
      </x:c>
      <x:c r="D66" s="62" t="n">
        <x:f>IF(B66="",0,ROUNDUP(C66*(1+('全局设置'!$B$5-1)*'全局设置'!$B$6),0))</x:f>
        <x:v>20</x:v>
      </x:c>
      <x:c r="E66" s="92" t="n">
        <x:f>IF(B66="",0,IFERROR(VLOOKUP(B66,'敌人目录'!$A$6:$M$54,13,FALSE),0))</x:f>
        <x:v>1</x:v>
      </x:c>
      <x:c r="F66" s="92" t="n">
        <x:f>D66*E66</x:f>
        <x:v>20</x:v>
      </x:c>
      <x:c r="G66" s="92" t="n">
        <x:f>F66*'全局设置'!$B$7</x:f>
        <x:v>20</x:v>
      </x:c>
      <x:c r="H66" s="92" t="n">
        <x:f>G66*'全局设置'!$B$5</x:f>
        <x:v>20</x:v>
      </x:c>
      <x:c r="I66" s="81" t="str">
        <x:f>IF(AND(B66="",C66=""),"",IF(AND(B66&lt;&gt;"",C66&gt;=1,COUNTIF($B$65:$B$82,B66)=1),"可回读","需修正"))</x:f>
        <x:v>可回读</x:v>
      </x:c>
    </x:row>
    <x:row r="67" ht="22" customHeight="1">
      <x:c r="A67" s="88" t="n">
        <x:v>3</x:v>
      </x:c>
      <x:c r="B67" s="78" t="str">
        <x:v>硬壳原石虫</x:v>
      </x:c>
      <x:c r="C67" s="78" t="n">
        <x:v>20</x:v>
      </x:c>
      <x:c r="D67" s="62" t="n">
        <x:f>IF(B67="",0,ROUNDUP(C67*(1+('全局设置'!$B$5-1)*'全局设置'!$B$6),0))</x:f>
        <x:v>20</x:v>
      </x:c>
      <x:c r="E67" s="92" t="n">
        <x:f>IF(B67="",0,IFERROR(VLOOKUP(B67,'敌人目录'!$A$6:$M$54,13,FALSE),0))</x:f>
        <x:v>2</x:v>
      </x:c>
      <x:c r="F67" s="92" t="n">
        <x:f>D67*E67</x:f>
        <x:v>40</x:v>
      </x:c>
      <x:c r="G67" s="92" t="n">
        <x:f>F67*'全局设置'!$B$7</x:f>
        <x:v>40</x:v>
      </x:c>
      <x:c r="H67" s="92" t="n">
        <x:f>G67*'全局设置'!$B$5</x:f>
        <x:v>40</x:v>
      </x:c>
      <x:c r="I67" s="81" t="str">
        <x:f>IF(AND(B67="",C67=""),"",IF(AND(B67&lt;&gt;"",C67&gt;=1,COUNTIF($B$65:$B$82,B67)=1),"可回读","需修正"))</x:f>
        <x:v>可回读</x:v>
      </x:c>
    </x:row>
    <x:row r="68" ht="22" customHeight="1">
      <x:c r="A68" s="88" t="n">
        <x:v>4</x:v>
      </x:c>
      <x:c r="B68" s="78" t="str">
        <x:v>自爆原石虫</x:v>
      </x:c>
      <x:c r="C68" s="78" t="n">
        <x:v>16</x:v>
      </x:c>
      <x:c r="D68" s="62" t="n">
        <x:f>IF(B68="",0,ROUNDUP(C68*(1+('全局设置'!$B$5-1)*'全局设置'!$B$6),0))</x:f>
        <x:v>16</x:v>
      </x:c>
      <x:c r="E68" s="92" t="n">
        <x:f>IF(B68="",0,IFERROR(VLOOKUP(B68,'敌人目录'!$A$6:$M$54,13,FALSE),0))</x:f>
        <x:v>1</x:v>
      </x:c>
      <x:c r="F68" s="92" t="n">
        <x:f>D68*E68</x:f>
        <x:v>16</x:v>
      </x:c>
      <x:c r="G68" s="92" t="n">
        <x:f>F68*'全局设置'!$B$7</x:f>
        <x:v>16</x:v>
      </x:c>
      <x:c r="H68" s="92" t="n">
        <x:f>G68*'全局设置'!$B$5</x:f>
        <x:v>16</x:v>
      </x:c>
      <x:c r="I68" s="81" t="str">
        <x:f>IF(AND(B68="",C68=""),"",IF(AND(B68&lt;&gt;"",C68&gt;=1,COUNTIF($B$65:$B$82,B68)=1),"可回读","需修正"))</x:f>
        <x:v>可回读</x:v>
      </x:c>
    </x:row>
    <x:row r="69" ht="22" customHeight="1">
      <x:c r="A69" s="88" t="n">
        <x:v>5</x:v>
      </x:c>
      <x:c r="B69" s="78" t="str">
        <x:v>紫晶自爆原石虫</x:v>
      </x:c>
      <x:c r="C69" s="78" t="n">
        <x:v>16</x:v>
      </x:c>
      <x:c r="D69" s="62" t="n">
        <x:f>IF(B69="",0,ROUNDUP(C69*(1+('全局设置'!$B$5-1)*'全局设置'!$B$6),0))</x:f>
        <x:v>16</x:v>
      </x:c>
      <x:c r="E69" s="92" t="n">
        <x:f>IF(B69="",0,IFERROR(VLOOKUP(B69,'敌人目录'!$A$6:$M$54,13,FALSE),0))</x:f>
        <x:v>2</x:v>
      </x:c>
      <x:c r="F69" s="92" t="n">
        <x:f>D69*E69</x:f>
        <x:v>32</x:v>
      </x:c>
      <x:c r="G69" s="92" t="n">
        <x:f>F69*'全局设置'!$B$7</x:f>
        <x:v>32</x:v>
      </x:c>
      <x:c r="H69" s="92" t="n">
        <x:f>G69*'全局设置'!$B$5</x:f>
        <x:v>32</x:v>
      </x:c>
      <x:c r="I69" s="81" t="str">
        <x:f>IF(AND(B69="",C69=""),"",IF(AND(B69&lt;&gt;"",C69&gt;=1,COUNTIF($B$65:$B$82,B69)=1),"可回读","需修正"))</x:f>
        <x:v>可回读</x:v>
      </x:c>
    </x:row>
    <x:row r="70" ht="22" customHeight="1">
      <x:c r="A70" s="88" t="n">
        <x:v>6</x:v>
      </x:c>
      <x:c r="B70" s="78" t="str">
        <x:v>火焰弹原石虫</x:v>
      </x:c>
      <x:c r="C70" s="78" t="n">
        <x:v>20</x:v>
      </x:c>
      <x:c r="D70" s="62" t="n">
        <x:f>IF(B70="",0,ROUNDUP(C70*(1+('全局设置'!$B$5-1)*'全局设置'!$B$6),0))</x:f>
        <x:v>20</x:v>
      </x:c>
      <x:c r="E70" s="92" t="n">
        <x:f>IF(B70="",0,IFERROR(VLOOKUP(B70,'敌人目录'!$A$6:$M$54,13,FALSE),0))</x:f>
        <x:v>1</x:v>
      </x:c>
      <x:c r="F70" s="92" t="n">
        <x:f>D70*E70</x:f>
        <x:v>20</x:v>
      </x:c>
      <x:c r="G70" s="92" t="n">
        <x:f>F70*'全局设置'!$B$7</x:f>
        <x:v>20</x:v>
      </x:c>
      <x:c r="H70" s="92" t="n">
        <x:f>G70*'全局设置'!$B$5</x:f>
        <x:v>20</x:v>
      </x:c>
      <x:c r="I70" s="81" t="str">
        <x:f>IF(AND(B70="",C70=""),"",IF(AND(B70&lt;&gt;"",C70&gt;=1,COUNTIF($B$65:$B$82,B70)=1),"可回读","需修正"))</x:f>
        <x:v>可回读</x:v>
      </x:c>
    </x:row>
    <x:row r="71" ht="22" customHeight="1">
      <x:c r="A71" s="88" t="n">
        <x:v>7</x:v>
      </x:c>
      <x:c r="B71" s="78" t="str">
        <x:v>翠壳原石虫</x:v>
      </x:c>
      <x:c r="C71" s="78" t="n">
        <x:v>16</x:v>
      </x:c>
      <x:c r="D71" s="62" t="n">
        <x:f>IF(B71="",0,ROUNDUP(C71*(1+('全局设置'!$B$5-1)*'全局设置'!$B$6),0))</x:f>
        <x:v>16</x:v>
      </x:c>
      <x:c r="E71" s="92" t="n">
        <x:f>IF(B71="",0,IFERROR(VLOOKUP(B71,'敌人目录'!$A$6:$M$54,13,FALSE),0))</x:f>
        <x:v>2</x:v>
      </x:c>
      <x:c r="F71" s="92" t="n">
        <x:f>D71*E71</x:f>
        <x:v>32</x:v>
      </x:c>
      <x:c r="G71" s="92" t="n">
        <x:f>F71*'全局设置'!$B$7</x:f>
        <x:v>32</x:v>
      </x:c>
      <x:c r="H71" s="92" t="n">
        <x:f>G71*'全局设置'!$B$5</x:f>
        <x:v>32</x:v>
      </x:c>
      <x:c r="I71" s="81" t="str">
        <x:f>IF(AND(B71="",C71=""),"",IF(AND(B71&lt;&gt;"",C71&gt;=1,COUNTIF($B$65:$B$82,B71)=1),"可回读","需修正"))</x:f>
        <x:v>可回读</x:v>
      </x:c>
    </x:row>
    <x:row r="72" ht="22" customHeight="1">
      <x:c r="A72" s="88" t="n">
        <x:v>8</x:v>
      </x:c>
      <x:c r="B72" s="78" t="str">
        <x:v>守护者原石虫</x:v>
      </x:c>
      <x:c r="C72" s="78" t="n">
        <x:v>16</x:v>
      </x:c>
      <x:c r="D72" s="62" t="n">
        <x:f>IF(B72="",0,ROUNDUP(C72*(1+('全局设置'!$B$5-1)*'全局设置'!$B$6),0))</x:f>
        <x:v>16</x:v>
      </x:c>
      <x:c r="E72" s="92" t="n">
        <x:f>IF(B72="",0,IFERROR(VLOOKUP(B72,'敌人目录'!$A$6:$M$54,13,FALSE),0))</x:f>
        <x:v>2</x:v>
      </x:c>
      <x:c r="F72" s="92" t="n">
        <x:f>D72*E72</x:f>
        <x:v>32</x:v>
      </x:c>
      <x:c r="G72" s="92" t="n">
        <x:f>F72*'全局设置'!$B$7</x:f>
        <x:v>32</x:v>
      </x:c>
      <x:c r="H72" s="92" t="n">
        <x:f>G72*'全局设置'!$B$5</x:f>
        <x:v>32</x:v>
      </x:c>
      <x:c r="I72" s="81" t="str">
        <x:f>IF(AND(B72="",C72=""),"",IF(AND(B72&lt;&gt;"",C72&gt;=1,COUNTIF($B$65:$B$82,B72)=1),"可回读","需修正"))</x:f>
        <x:v>可回读</x:v>
      </x:c>
    </x:row>
    <x:row r="73" ht="22" customHeight="1">
      <x:c r="A73" s="88" t="n">
        <x:v>9</x:v>
      </x:c>
      <x:c r="B73" s="78" t="str">
        <x:v>AK猫猫虫</x:v>
      </x:c>
      <x:c r="C73" s="78" t="n">
        <x:v>2</x:v>
      </x:c>
      <x:c r="D73" s="62" t="n">
        <x:f>IF(B73="",0,ROUNDUP(C73*(1+('全局设置'!$B$5-1)*'全局设置'!$B$6),0))</x:f>
        <x:v>2</x:v>
      </x:c>
      <x:c r="E73" s="92" t="n">
        <x:f>IF(B73="",0,IFERROR(VLOOKUP(B73,'敌人目录'!$A$6:$M$54,13,FALSE),0))</x:f>
        <x:v>5</x:v>
      </x:c>
      <x:c r="F73" s="92" t="n">
        <x:f>D73*E73</x:f>
        <x:v>10</x:v>
      </x:c>
      <x:c r="G73" s="92" t="n">
        <x:f>F73*'全局设置'!$B$7</x:f>
        <x:v>10</x:v>
      </x:c>
      <x:c r="H73" s="92" t="n">
        <x:f>G73*'全局设置'!$B$5</x:f>
        <x:v>10</x:v>
      </x:c>
      <x:c r="I73" s="81" t="str">
        <x:f>IF(AND(B73="",C73=""),"",IF(AND(B73&lt;&gt;"",C73&gt;=1,COUNTIF($B$65:$B$82,B73)=1),"可回读","需修正"))</x:f>
        <x:v>可回读</x:v>
      </x:c>
    </x:row>
    <x:row r="74" ht="22" customHeight="1">
      <x:c r="A74" s="88" t="n">
        <x:v>10</x:v>
      </x:c>
      <x:c r="B74" s="78" t="str">
        <x:v>骑士猫猫虫</x:v>
      </x:c>
      <x:c r="C74" s="78" t="n">
        <x:v>2</x:v>
      </x:c>
      <x:c r="D74" s="62" t="n">
        <x:f>IF(B74="",0,ROUNDUP(C74*(1+('全局设置'!$B$5-1)*'全局设置'!$B$6),0))</x:f>
        <x:v>2</x:v>
      </x:c>
      <x:c r="E74" s="92" t="n">
        <x:f>IF(B74="",0,IFERROR(VLOOKUP(B74,'敌人目录'!$A$6:$M$54,13,FALSE),0))</x:f>
        <x:v>4</x:v>
      </x:c>
      <x:c r="F74" s="92" t="n">
        <x:f>D74*E74</x:f>
        <x:v>8</x:v>
      </x:c>
      <x:c r="G74" s="92" t="n">
        <x:f>F74*'全局设置'!$B$7</x:f>
        <x:v>8</x:v>
      </x:c>
      <x:c r="H74" s="92" t="n">
        <x:f>G74*'全局设置'!$B$5</x:f>
        <x:v>8</x:v>
      </x:c>
      <x:c r="I74" s="81" t="str">
        <x:f>IF(AND(B74="",C74=""),"",IF(AND(B74&lt;&gt;"",C74&gt;=1,COUNTIF($B$65:$B$82,B74)=1),"可回读","需修正"))</x:f>
        <x:v>可回读</x:v>
      </x:c>
    </x:row>
    <x:row r="75" ht="22" customHeight="1">
      <x:c r="A75" s="88" t="n">
        <x:v>11</x:v>
      </x:c>
      <x:c r="B75" s="78" t="str">
        <x:v>法师 Capoo</x:v>
      </x:c>
      <x:c r="C75" s="78" t="n">
        <x:v>1</x:v>
      </x:c>
      <x:c r="D75" s="62" t="n">
        <x:f>IF(B75="",0,ROUNDUP(C75*(1+('全局设置'!$B$5-1)*'全局设置'!$B$6),0))</x:f>
        <x:v>1</x:v>
      </x:c>
      <x:c r="E75" s="92" t="n">
        <x:f>IF(B75="",0,IFERROR(VLOOKUP(B75,'敌人目录'!$A$6:$M$54,13,FALSE),0))</x:f>
        <x:v>10</x:v>
      </x:c>
      <x:c r="F75" s="92" t="n">
        <x:f>D75*E75</x:f>
        <x:v>10</x:v>
      </x:c>
      <x:c r="G75" s="92" t="n">
        <x:f>F75*'全局设置'!$B$7</x:f>
        <x:v>10</x:v>
      </x:c>
      <x:c r="H75" s="92" t="n">
        <x:f>G75*'全局设置'!$B$5</x:f>
        <x:v>10</x:v>
      </x:c>
      <x:c r="I75" s="81" t="str">
        <x:f>IF(AND(B75="",C75=""),"",IF(AND(B75&lt;&gt;"",C75&gt;=1,COUNTIF($B$65:$B$82,B75)=1),"可回读","需修正"))</x:f>
        <x:v>可回读</x:v>
      </x:c>
    </x:row>
    <x:row r="76" ht="22" customHeight="1">
      <x:c r="A76" s="88" t="n">
        <x:v>12</x:v>
      </x:c>
      <x:c r="B76" s="78" t="str">
        <x:v>石头人</x:v>
      </x:c>
      <x:c r="C76" s="78" t="n">
        <x:v>1</x:v>
      </x:c>
      <x:c r="D76" s="62" t="n">
        <x:f>IF(B76="",0,ROUNDUP(C76*(1+('全局设置'!$B$5-1)*'全局设置'!$B$6),0))</x:f>
        <x:v>1</x:v>
      </x:c>
      <x:c r="E76" s="92" t="n">
        <x:f>IF(B76="",0,IFERROR(VLOOKUP(B76,'敌人目录'!$A$6:$M$54,13,FALSE),0))</x:f>
        <x:v>40</x:v>
      </x:c>
      <x:c r="F76" s="92" t="n">
        <x:f>D76*E76</x:f>
        <x:v>40</x:v>
      </x:c>
      <x:c r="G76" s="92" t="n">
        <x:f>F76*'全局设置'!$B$7</x:f>
        <x:v>40</x:v>
      </x:c>
      <x:c r="H76" s="92" t="n">
        <x:f>G76*'全局设置'!$B$5</x:f>
        <x:v>40</x:v>
      </x:c>
      <x:c r="I76" s="81" t="str">
        <x:f>IF(AND(B76="",C76=""),"",IF(AND(B76&lt;&gt;"",C76&gt;=1,COUNTIF($B$65:$B$82,B76)=1),"可回读","需修正"))</x:f>
        <x:v>可回读</x:v>
      </x:c>
    </x:row>
    <x:row r="77" ht="22" customHeight="1">
      <x:c r="A77" s="88" t="n">
        <x:v>13</x:v>
      </x:c>
      <x:c r="B77" s="78"/>
      <x:c r="C77" s="78"/>
      <x:c r="D77" s="62" t="n">
        <x:f>IF(B77="",0,ROUNDUP(C77*(1+('全局设置'!$B$5-1)*'全局设置'!$B$6),0))</x:f>
        <x:v>0</x:v>
      </x:c>
      <x:c r="E77" s="92" t="n">
        <x:f>IF(B77="",0,IFERROR(VLOOKUP(B77,'敌人目录'!$A$6:$M$54,13,FALSE),0))</x:f>
        <x:v>0</x:v>
      </x:c>
      <x:c r="F77" s="92" t="n">
        <x:f>D77*E77</x:f>
        <x:v>0</x:v>
      </x:c>
      <x:c r="G77" s="92" t="n">
        <x:f>F77*'全局设置'!$B$7</x:f>
        <x:v>0</x:v>
      </x:c>
      <x:c r="H77" s="92" t="n">
        <x:f>G77*'全局设置'!$B$5</x:f>
        <x:v>0</x:v>
      </x:c>
      <x:c r="I77" s="81" t="str">
        <x:f>IF(AND(B77="",C77=""),"",IF(AND(B77&lt;&gt;"",C77&gt;=1,COUNTIF($B$65:$B$82,B77)=1),"可回读","需修正"))</x:f>
      </x:c>
    </x:row>
    <x:row r="78" ht="22" customHeight="1">
      <x:c r="A78" s="88" t="n">
        <x:v>14</x:v>
      </x:c>
      <x:c r="B78" s="78"/>
      <x:c r="C78" s="78"/>
      <x:c r="D78" s="62" t="n">
        <x:f>IF(B78="",0,ROUNDUP(C78*(1+('全局设置'!$B$5-1)*'全局设置'!$B$6),0))</x:f>
        <x:v>0</x:v>
      </x:c>
      <x:c r="E78" s="92" t="n">
        <x:f>IF(B78="",0,IFERROR(VLOOKUP(B78,'敌人目录'!$A$6:$M$54,13,FALSE),0))</x:f>
        <x:v>0</x:v>
      </x:c>
      <x:c r="F78" s="92" t="n">
        <x:f>D78*E78</x:f>
        <x:v>0</x:v>
      </x:c>
      <x:c r="G78" s="92" t="n">
        <x:f>F78*'全局设置'!$B$7</x:f>
        <x:v>0</x:v>
      </x:c>
      <x:c r="H78" s="92" t="n">
        <x:f>G78*'全局设置'!$B$5</x:f>
        <x:v>0</x:v>
      </x:c>
      <x:c r="I78" s="81" t="str">
        <x:f>IF(AND(B78="",C78=""),"",IF(AND(B78&lt;&gt;"",C78&gt;=1,COUNTIF($B$65:$B$82,B78)=1),"可回读","需修正"))</x:f>
      </x:c>
    </x:row>
    <x:row r="79" ht="22" customHeight="1">
      <x:c r="A79" s="88" t="n">
        <x:v>15</x:v>
      </x:c>
      <x:c r="B79" s="78"/>
      <x:c r="C79" s="78"/>
      <x:c r="D79" s="62" t="n">
        <x:f>IF(B79="",0,ROUNDUP(C79*(1+('全局设置'!$B$5-1)*'全局设置'!$B$6),0))</x:f>
        <x:v>0</x:v>
      </x:c>
      <x:c r="E79" s="92" t="n">
        <x:f>IF(B79="",0,IFERROR(VLOOKUP(B79,'敌人目录'!$A$6:$M$54,13,FALSE),0))</x:f>
        <x:v>0</x:v>
      </x:c>
      <x:c r="F79" s="92" t="n">
        <x:f>D79*E79</x:f>
        <x:v>0</x:v>
      </x:c>
      <x:c r="G79" s="92" t="n">
        <x:f>F79*'全局设置'!$B$7</x:f>
        <x:v>0</x:v>
      </x:c>
      <x:c r="H79" s="92" t="n">
        <x:f>G79*'全局设置'!$B$5</x:f>
        <x:v>0</x:v>
      </x:c>
      <x:c r="I79" s="81" t="str">
        <x:f>IF(AND(B79="",C79=""),"",IF(AND(B79&lt;&gt;"",C79&gt;=1,COUNTIF($B$65:$B$82,B79)=1),"可回读","需修正"))</x:f>
      </x:c>
    </x:row>
    <x:row r="80" ht="22" customHeight="1">
      <x:c r="A80" s="88" t="n">
        <x:v>16</x:v>
      </x:c>
      <x:c r="B80" s="78"/>
      <x:c r="C80" s="78"/>
      <x:c r="D80" s="62" t="n">
        <x:f>IF(B80="",0,ROUNDUP(C80*(1+('全局设置'!$B$5-1)*'全局设置'!$B$6),0))</x:f>
        <x:v>0</x:v>
      </x:c>
      <x:c r="E80" s="92" t="n">
        <x:f>IF(B80="",0,IFERROR(VLOOKUP(B80,'敌人目录'!$A$6:$M$54,13,FALSE),0))</x:f>
        <x:v>0</x:v>
      </x:c>
      <x:c r="F80" s="92" t="n">
        <x:f>D80*E80</x:f>
        <x:v>0</x:v>
      </x:c>
      <x:c r="G80" s="92" t="n">
        <x:f>F80*'全局设置'!$B$7</x:f>
        <x:v>0</x:v>
      </x:c>
      <x:c r="H80" s="92" t="n">
        <x:f>G80*'全局设置'!$B$5</x:f>
        <x:v>0</x:v>
      </x:c>
      <x:c r="I80" s="81" t="str">
        <x:f>IF(AND(B80="",C80=""),"",IF(AND(B80&lt;&gt;"",C80&gt;=1,COUNTIF($B$65:$B$82,B80)=1),"可回读","需修正"))</x:f>
      </x:c>
    </x:row>
    <x:row r="81" ht="22" customHeight="1">
      <x:c r="A81" s="88" t="n">
        <x:v>17</x:v>
      </x:c>
      <x:c r="B81" s="78"/>
      <x:c r="C81" s="78"/>
      <x:c r="D81" s="62" t="n">
        <x:f>IF(B81="",0,ROUNDUP(C81*(1+('全局设置'!$B$5-1)*'全局设置'!$B$6),0))</x:f>
        <x:v>0</x:v>
      </x:c>
      <x:c r="E81" s="92" t="n">
        <x:f>IF(B81="",0,IFERROR(VLOOKUP(B81,'敌人目录'!$A$6:$M$54,13,FALSE),0))</x:f>
        <x:v>0</x:v>
      </x:c>
      <x:c r="F81" s="92" t="n">
        <x:f>D81*E81</x:f>
        <x:v>0</x:v>
      </x:c>
      <x:c r="G81" s="92" t="n">
        <x:f>F81*'全局设置'!$B$7</x:f>
        <x:v>0</x:v>
      </x:c>
      <x:c r="H81" s="92" t="n">
        <x:f>G81*'全局设置'!$B$5</x:f>
        <x:v>0</x:v>
      </x:c>
      <x:c r="I81" s="81" t="str">
        <x:f>IF(AND(B81="",C81=""),"",IF(AND(B81&lt;&gt;"",C81&gt;=1,COUNTIF($B$65:$B$82,B81)=1),"可回读","需修正"))</x:f>
      </x:c>
    </x:row>
    <x:row r="82" ht="22" customHeight="1">
      <x:c r="A82" s="88" t="n">
        <x:v>18</x:v>
      </x:c>
      <x:c r="B82" s="78"/>
      <x:c r="C82" s="78"/>
      <x:c r="D82" s="62" t="n">
        <x:f>IF(B82="",0,ROUNDUP(C82*(1+('全局设置'!$B$5-1)*'全局设置'!$B$6),0))</x:f>
        <x:v>0</x:v>
      </x:c>
      <x:c r="E82" s="92" t="n">
        <x:f>IF(B82="",0,IFERROR(VLOOKUP(B82,'敌人目录'!$A$6:$M$54,13,FALSE),0))</x:f>
        <x:v>0</x:v>
      </x:c>
      <x:c r="F82" s="92" t="n">
        <x:f>D82*E82</x:f>
        <x:v>0</x:v>
      </x:c>
      <x:c r="G82" s="92" t="n">
        <x:f>F82*'全局设置'!$B$7</x:f>
        <x:v>0</x:v>
      </x:c>
      <x:c r="H82" s="92" t="n">
        <x:f>G82*'全局设置'!$B$5</x:f>
        <x:v>0</x:v>
      </x:c>
      <x:c r="I82" s="81" t="str">
        <x:f>IF(AND(B82="",C82=""),"",IF(AND(B82&lt;&gt;"",C82&gt;=1,COUNTIF($B$65:$B$82,B82)=1),"可回读","需修正"))</x:f>
      </x:c>
    </x:row>
    <x:row r="83" ht="22" customHeight="1"/>
    <x:row r="84" ht="22" customHeight="1">
      <x:c r="A84" s="103" t="str">
        <x:v>基础总数</x:v>
      </x:c>
      <x:c r="B84" s="62" t="n">
        <x:f>SUM(C65:C82)</x:f>
        <x:v>176</x:v>
      </x:c>
      <x:c r="C84" s="103" t="str">
        <x:v>实际总数</x:v>
      </x:c>
      <x:c r="D84" s="62" t="n">
        <x:f>SUM(D65:D82)</x:f>
        <x:v>176</x:v>
      </x:c>
      <x:c r="E84" s="103" t="str">
        <x:v>最大息壤/玩家</x:v>
      </x:c>
      <x:c r="F84" s="62" t="n">
        <x:f>SUM(F65:F82)</x:f>
        <x:v>306</x:v>
      </x:c>
      <x:c r="G84" s="103" t="str">
        <x:v>预计息壤/玩家</x:v>
      </x:c>
      <x:c r="H84" s="62" t="n">
        <x:f>SUM(G65:G82)</x:f>
        <x:v>306</x:v>
      </x:c>
      <x:c r="I84" s="62"/>
    </x:row>
    <x:row r="85" ht="22" customHeight="1">
      <x:c r="A85" s="99" t="str">
        <x:v>预计息壤/队伍</x:v>
      </x:c>
      <x:c r="B85" s="30" t="n">
        <x:f>SUM(H65:H82)</x:f>
        <x:v>306</x:v>
      </x:c>
      <x:c r="C85" s="99" t="str">
        <x:v>说明</x:v>
      </x:c>
      <x:c r="D85" s="30" t="str">
        <x:v>预计息壤 = 实际数量 × 固定息壤 × 击杀率；已移除每日命运倍率。</x:v>
      </x:c>
      <x:c r="E85" s="30"/>
      <x:c r="F85" s="30"/>
      <x:c r="G85" s="30"/>
      <x:c r="H85" s="30"/>
      <x:c r="I85" s="30"/>
    </x:row>
    <x:row r="86" ht="22" customHeight="1"/>
    <x:row r="87" ht="22" customHeight="1"/>
    <x:row r="88" ht="22" customHeight="1"/>
    <x:row r="89" ht="22" customHeight="1">
      <x:c r="A89" s="33" t="str">
        <x:v>第 12 波｜第 3 日·4/4｜夜晚｜当前正式配置</x:v>
      </x:c>
      <x:c r="B89" s="33"/>
      <x:c r="C89" s="33"/>
      <x:c r="D89" s="33"/>
      <x:c r="E89" s="33"/>
      <x:c r="F89" s="33"/>
      <x:c r="G89" s="33"/>
      <x:c r="H89" s="33"/>
      <x:c r="I89" s="33"/>
    </x:row>
    <x:row r="90" ht="22" customHeight="1">
      <x:c r="A90" s="103" t="str">
        <x:v>波次名称</x:v>
      </x:c>
      <x:c r="B90" s="78" t="str">
        <x:v>第12波 城镇决战</x:v>
      </x:c>
      <x:c r="C90" s="78" t="str">
        <x:v>第12波 城镇决战</x:v>
      </x:c>
      <x:c r="D90" s="103" t="str">
        <x:v>出生间隔(s)</x:v>
      </x:c>
      <x:c r="E90" s="57" t="n">
        <x:v>0.22</x:v>
      </x:c>
      <x:c r="F90" s="103" t="str">
        <x:v>每Tick</x:v>
      </x:c>
      <x:c r="G90" s="57" t="n">
        <x:v>1</x:v>
      </x:c>
      <x:c r="H90" s="103" t="str">
        <x:v>存活上限</x:v>
      </x:c>
      <x:c r="I90" s="57" t="n">
        <x:v>300</x:v>
      </x:c>
    </x:row>
    <x:row r="91" ht="22" customHeight="1">
      <x:c r="A91" s="103" t="str">
        <x:v>出生点</x:v>
      </x:c>
      <x:c r="B91" s="68" t="str">
        <x:v>点1·开启</x:v>
      </x:c>
      <x:c r="C91" s="68" t="str">
        <x:v>点2·开启</x:v>
      </x:c>
      <x:c r="D91" s="68" t="str">
        <x:v>点3·开启</x:v>
      </x:c>
      <x:c r="E91" s="68" t="str">
        <x:v>点4·开启</x:v>
      </x:c>
      <x:c r="F91" s="68" t="str">
        <x:v>点5·开启</x:v>
      </x:c>
      <x:c r="G91" s="68" t="str">
        <x:v>点6·开启</x:v>
      </x:c>
      <x:c r="H91" s="103" t="str">
        <x:v>波次校验</x:v>
      </x:c>
      <x:c r="I91" s="81" t="str">
        <x:f>IF(COUNTA(B94:B111)=0,"待设计",IF(COUNTIF(I94:I111,"需修正")&gt;0,"需修正","可回读"))</x:f>
        <x:v>可回读</x:v>
      </x:c>
    </x:row>
    <x:row r="92" ht="22" customHeight="1">
      <x:c r="A92" s="86" t="str">
        <x:v>仅编辑蓝色列、敌人数值和出生点；所有公式、稳定 ID 与 schema 字段由机器区自动生成。</x:v>
      </x:c>
      <x:c r="B92" s="86"/>
      <x:c r="C92" s="86"/>
      <x:c r="D92" s="86"/>
      <x:c r="E92" s="86"/>
      <x:c r="F92" s="86"/>
      <x:c r="G92" s="86"/>
      <x:c r="H92" s="86"/>
      <x:c r="I92" s="86"/>
    </x:row>
    <x:row r="93" ht="22" customHeight="1">
      <x:c r="A93" s="103" t="str">
        <x:v>槽位</x:v>
      </x:c>
      <x:c r="B93" s="103" t="str">
        <x:v>敌人（下拉选择）</x:v>
      </x:c>
      <x:c r="C93" s="103" t="str">
        <x:v>基础数量</x:v>
      </x:c>
      <x:c r="D93" s="103" t="str">
        <x:v>实际数量</x:v>
      </x:c>
      <x:c r="E93" s="103" t="str">
        <x:v>息壤/击杀</x:v>
      </x:c>
      <x:c r="F93" s="103" t="str">
        <x:v>最大息壤/玩家</x:v>
      </x:c>
      <x:c r="G93" s="103" t="str">
        <x:v>预计息壤/玩家</x:v>
      </x:c>
      <x:c r="H93" s="103" t="str">
        <x:v>预计息壤/队伍</x:v>
      </x:c>
      <x:c r="I93" s="103" t="str">
        <x:v>校验</x:v>
      </x:c>
    </x:row>
    <x:row r="94" ht="22" customHeight="1">
      <x:c r="A94" s="88" t="n">
        <x:v>1</x:v>
      </x:c>
      <x:c r="B94" s="78" t="str">
        <x:v>普通原石虫</x:v>
      </x:c>
      <x:c r="C94" s="78" t="n">
        <x:v>53</x:v>
      </x:c>
      <x:c r="D94" s="62" t="n">
        <x:f>IF(B94="",0,ROUNDUP(C94*(1+('全局设置'!$B$5-1)*'全局设置'!$B$6),0))</x:f>
        <x:v>53</x:v>
      </x:c>
      <x:c r="E94" s="92" t="n">
        <x:f>IF(B94="",0,IFERROR(VLOOKUP(B94,'敌人目录'!$A$6:$M$54,13,FALSE),0))</x:f>
        <x:v>1</x:v>
      </x:c>
      <x:c r="F94" s="92" t="n">
        <x:f>D94*E94</x:f>
        <x:v>53</x:v>
      </x:c>
      <x:c r="G94" s="92" t="n">
        <x:f>F94*'全局设置'!$B$7</x:f>
        <x:v>53</x:v>
      </x:c>
      <x:c r="H94" s="92" t="n">
        <x:f>G94*'全局设置'!$B$5</x:f>
        <x:v>53</x:v>
      </x:c>
      <x:c r="I94" s="81" t="str">
        <x:f>IF(AND(B94="",C94=""),"",IF(AND(B94&lt;&gt;"",C94&gt;=1,COUNTIF($B$94:$B$111,B94)=1),"可回读","需修正"))</x:f>
        <x:v>可回读</x:v>
      </x:c>
    </x:row>
    <x:row r="95" ht="22" customHeight="1">
      <x:c r="A95" s="88" t="n">
        <x:v>2</x:v>
      </x:c>
      <x:c r="B95" s="78" t="str">
        <x:v>迅捷原石虫</x:v>
      </x:c>
      <x:c r="C95" s="78" t="n">
        <x:v>24</x:v>
      </x:c>
      <x:c r="D95" s="62" t="n">
        <x:f>IF(B95="",0,ROUNDUP(C95*(1+('全局设置'!$B$5-1)*'全局设置'!$B$6),0))</x:f>
        <x:v>24</x:v>
      </x:c>
      <x:c r="E95" s="92" t="n">
        <x:f>IF(B95="",0,IFERROR(VLOOKUP(B95,'敌人目录'!$A$6:$M$54,13,FALSE),0))</x:f>
        <x:v>1</x:v>
      </x:c>
      <x:c r="F95" s="92" t="n">
        <x:f>D95*E95</x:f>
        <x:v>24</x:v>
      </x:c>
      <x:c r="G95" s="92" t="n">
        <x:f>F95*'全局设置'!$B$7</x:f>
        <x:v>24</x:v>
      </x:c>
      <x:c r="H95" s="92" t="n">
        <x:f>G95*'全局设置'!$B$5</x:f>
        <x:v>24</x:v>
      </x:c>
      <x:c r="I95" s="81" t="str">
        <x:f>IF(AND(B95="",C95=""),"",IF(AND(B95&lt;&gt;"",C95&gt;=1,COUNTIF($B$94:$B$111,B95)=1),"可回读","需修正"))</x:f>
        <x:v>可回读</x:v>
      </x:c>
    </x:row>
    <x:row r="96" ht="22" customHeight="1">
      <x:c r="A96" s="88" t="n">
        <x:v>3</x:v>
      </x:c>
      <x:c r="B96" s="78" t="str">
        <x:v>硬壳原石虫</x:v>
      </x:c>
      <x:c r="C96" s="78" t="n">
        <x:v>24</x:v>
      </x:c>
      <x:c r="D96" s="62" t="n">
        <x:f>IF(B96="",0,ROUNDUP(C96*(1+('全局设置'!$B$5-1)*'全局设置'!$B$6),0))</x:f>
        <x:v>24</x:v>
      </x:c>
      <x:c r="E96" s="92" t="n">
        <x:f>IF(B96="",0,IFERROR(VLOOKUP(B96,'敌人目录'!$A$6:$M$54,13,FALSE),0))</x:f>
        <x:v>2</x:v>
      </x:c>
      <x:c r="F96" s="92" t="n">
        <x:f>D96*E96</x:f>
        <x:v>48</x:v>
      </x:c>
      <x:c r="G96" s="92" t="n">
        <x:f>F96*'全局设置'!$B$7</x:f>
        <x:v>48</x:v>
      </x:c>
      <x:c r="H96" s="92" t="n">
        <x:f>G96*'全局设置'!$B$5</x:f>
        <x:v>48</x:v>
      </x:c>
      <x:c r="I96" s="81" t="str">
        <x:f>IF(AND(B96="",C96=""),"",IF(AND(B96&lt;&gt;"",C96&gt;=1,COUNTIF($B$94:$B$111,B96)=1),"可回读","需修正"))</x:f>
        <x:v>可回读</x:v>
      </x:c>
    </x:row>
    <x:row r="97" ht="22" customHeight="1">
      <x:c r="A97" s="88" t="n">
        <x:v>4</x:v>
      </x:c>
      <x:c r="B97" s="78" t="str">
        <x:v>自爆原石虫</x:v>
      </x:c>
      <x:c r="C97" s="78" t="n">
        <x:v>20</x:v>
      </x:c>
      <x:c r="D97" s="62" t="n">
        <x:f>IF(B97="",0,ROUNDUP(C97*(1+('全局设置'!$B$5-1)*'全局设置'!$B$6),0))</x:f>
        <x:v>20</x:v>
      </x:c>
      <x:c r="E97" s="92" t="n">
        <x:f>IF(B97="",0,IFERROR(VLOOKUP(B97,'敌人目录'!$A$6:$M$54,13,FALSE),0))</x:f>
        <x:v>1</x:v>
      </x:c>
      <x:c r="F97" s="92" t="n">
        <x:f>D97*E97</x:f>
        <x:v>20</x:v>
      </x:c>
      <x:c r="G97" s="92" t="n">
        <x:f>F97*'全局设置'!$B$7</x:f>
        <x:v>20</x:v>
      </x:c>
      <x:c r="H97" s="92" t="n">
        <x:f>G97*'全局设置'!$B$5</x:f>
        <x:v>20</x:v>
      </x:c>
      <x:c r="I97" s="81" t="str">
        <x:f>IF(AND(B97="",C97=""),"",IF(AND(B97&lt;&gt;"",C97&gt;=1,COUNTIF($B$94:$B$111,B97)=1),"可回读","需修正"))</x:f>
        <x:v>可回读</x:v>
      </x:c>
    </x:row>
    <x:row r="98" ht="22" customHeight="1">
      <x:c r="A98" s="88" t="n">
        <x:v>5</x:v>
      </x:c>
      <x:c r="B98" s="78" t="str">
        <x:v>紫晶自爆原石虫</x:v>
      </x:c>
      <x:c r="C98" s="78" t="n">
        <x:v>16</x:v>
      </x:c>
      <x:c r="D98" s="62" t="n">
        <x:f>IF(B98="",0,ROUNDUP(C98*(1+('全局设置'!$B$5-1)*'全局设置'!$B$6),0))</x:f>
        <x:v>16</x:v>
      </x:c>
      <x:c r="E98" s="92" t="n">
        <x:f>IF(B98="",0,IFERROR(VLOOKUP(B98,'敌人目录'!$A$6:$M$54,13,FALSE),0))</x:f>
        <x:v>2</x:v>
      </x:c>
      <x:c r="F98" s="92" t="n">
        <x:f>D98*E98</x:f>
        <x:v>32</x:v>
      </x:c>
      <x:c r="G98" s="92" t="n">
        <x:f>F98*'全局设置'!$B$7</x:f>
        <x:v>32</x:v>
      </x:c>
      <x:c r="H98" s="92" t="n">
        <x:f>G98*'全局设置'!$B$5</x:f>
        <x:v>32</x:v>
      </x:c>
      <x:c r="I98" s="81" t="str">
        <x:f>IF(AND(B98="",C98=""),"",IF(AND(B98&lt;&gt;"",C98&gt;=1,COUNTIF($B$94:$B$111,B98)=1),"可回读","需修正"))</x:f>
        <x:v>可回读</x:v>
      </x:c>
    </x:row>
    <x:row r="99" ht="22" customHeight="1">
      <x:c r="A99" s="88" t="n">
        <x:v>6</x:v>
      </x:c>
      <x:c r="B99" s="78" t="str">
        <x:v>火焰弹原石虫</x:v>
      </x:c>
      <x:c r="C99" s="78" t="n">
        <x:v>20</x:v>
      </x:c>
      <x:c r="D99" s="62" t="n">
        <x:f>IF(B99="",0,ROUNDUP(C99*(1+('全局设置'!$B$5-1)*'全局设置'!$B$6),0))</x:f>
        <x:v>20</x:v>
      </x:c>
      <x:c r="E99" s="92" t="n">
        <x:f>IF(B99="",0,IFERROR(VLOOKUP(B99,'敌人目录'!$A$6:$M$54,13,FALSE),0))</x:f>
        <x:v>1</x:v>
      </x:c>
      <x:c r="F99" s="92" t="n">
        <x:f>D99*E99</x:f>
        <x:v>20</x:v>
      </x:c>
      <x:c r="G99" s="92" t="n">
        <x:f>F99*'全局设置'!$B$7</x:f>
        <x:v>20</x:v>
      </x:c>
      <x:c r="H99" s="92" t="n">
        <x:f>G99*'全局设置'!$B$5</x:f>
        <x:v>20</x:v>
      </x:c>
      <x:c r="I99" s="81" t="str">
        <x:f>IF(AND(B99="",C99=""),"",IF(AND(B99&lt;&gt;"",C99&gt;=1,COUNTIF($B$94:$B$111,B99)=1),"可回读","需修正"))</x:f>
        <x:v>可回读</x:v>
      </x:c>
    </x:row>
    <x:row r="100" ht="22" customHeight="1">
      <x:c r="A100" s="88" t="n">
        <x:v>7</x:v>
      </x:c>
      <x:c r="B100" s="78" t="str">
        <x:v>翠壳原石虫</x:v>
      </x:c>
      <x:c r="C100" s="78" t="n">
        <x:v>20</x:v>
      </x:c>
      <x:c r="D100" s="62" t="n">
        <x:f>IF(B100="",0,ROUNDUP(C100*(1+('全局设置'!$B$5-1)*'全局设置'!$B$6),0))</x:f>
        <x:v>20</x:v>
      </x:c>
      <x:c r="E100" s="92" t="n">
        <x:f>IF(B100="",0,IFERROR(VLOOKUP(B100,'敌人目录'!$A$6:$M$54,13,FALSE),0))</x:f>
        <x:v>2</x:v>
      </x:c>
      <x:c r="F100" s="92" t="n">
        <x:f>D100*E100</x:f>
        <x:v>40</x:v>
      </x:c>
      <x:c r="G100" s="92" t="n">
        <x:f>F100*'全局设置'!$B$7</x:f>
        <x:v>40</x:v>
      </x:c>
      <x:c r="H100" s="92" t="n">
        <x:f>G100*'全局设置'!$B$5</x:f>
        <x:v>40</x:v>
      </x:c>
      <x:c r="I100" s="81" t="str">
        <x:f>IF(AND(B100="",C100=""),"",IF(AND(B100&lt;&gt;"",C100&gt;=1,COUNTIF($B$94:$B$111,B100)=1),"可回读","需修正"))</x:f>
        <x:v>可回读</x:v>
      </x:c>
    </x:row>
    <x:row r="101" ht="22" customHeight="1">
      <x:c r="A101" s="88" t="n">
        <x:v>8</x:v>
      </x:c>
      <x:c r="B101" s="78" t="str">
        <x:v>守护者原石虫</x:v>
      </x:c>
      <x:c r="C101" s="78" t="n">
        <x:v>16</x:v>
      </x:c>
      <x:c r="D101" s="62" t="n">
        <x:f>IF(B101="",0,ROUNDUP(C101*(1+('全局设置'!$B$5-1)*'全局设置'!$B$6),0))</x:f>
        <x:v>16</x:v>
      </x:c>
      <x:c r="E101" s="92" t="n">
        <x:f>IF(B101="",0,IFERROR(VLOOKUP(B101,'敌人目录'!$A$6:$M$54,13,FALSE),0))</x:f>
        <x:v>2</x:v>
      </x:c>
      <x:c r="F101" s="92" t="n">
        <x:f>D101*E101</x:f>
        <x:v>32</x:v>
      </x:c>
      <x:c r="G101" s="92" t="n">
        <x:f>F101*'全局设置'!$B$7</x:f>
        <x:v>32</x:v>
      </x:c>
      <x:c r="H101" s="92" t="n">
        <x:f>G101*'全局设置'!$B$5</x:f>
        <x:v>32</x:v>
      </x:c>
      <x:c r="I101" s="81" t="str">
        <x:f>IF(AND(B101="",C101=""),"",IF(AND(B101&lt;&gt;"",C101&gt;=1,COUNTIF($B$94:$B$111,B101)=1),"可回读","需修正"))</x:f>
        <x:v>可回读</x:v>
      </x:c>
    </x:row>
    <x:row r="102" ht="22" customHeight="1">
      <x:c r="A102" s="88" t="n">
        <x:v>9</x:v>
      </x:c>
      <x:c r="B102" s="78" t="str">
        <x:v>AK猫猫虫</x:v>
      </x:c>
      <x:c r="C102" s="78" t="n">
        <x:v>2</x:v>
      </x:c>
      <x:c r="D102" s="62" t="n">
        <x:f>IF(B102="",0,ROUNDUP(C102*(1+('全局设置'!$B$5-1)*'全局设置'!$B$6),0))</x:f>
        <x:v>2</x:v>
      </x:c>
      <x:c r="E102" s="92" t="n">
        <x:f>IF(B102="",0,IFERROR(VLOOKUP(B102,'敌人目录'!$A$6:$M$54,13,FALSE),0))</x:f>
        <x:v>5</x:v>
      </x:c>
      <x:c r="F102" s="92" t="n">
        <x:f>D102*E102</x:f>
        <x:v>10</x:v>
      </x:c>
      <x:c r="G102" s="92" t="n">
        <x:f>F102*'全局设置'!$B$7</x:f>
        <x:v>10</x:v>
      </x:c>
      <x:c r="H102" s="92" t="n">
        <x:f>G102*'全局设置'!$B$5</x:f>
        <x:v>10</x:v>
      </x:c>
      <x:c r="I102" s="81" t="str">
        <x:f>IF(AND(B102="",C102=""),"",IF(AND(B102&lt;&gt;"",C102&gt;=1,COUNTIF($B$94:$B$111,B102)=1),"可回读","需修正"))</x:f>
        <x:v>可回读</x:v>
      </x:c>
    </x:row>
    <x:row r="103" ht="22" customHeight="1">
      <x:c r="A103" s="88" t="n">
        <x:v>10</x:v>
      </x:c>
      <x:c r="B103" s="78" t="str">
        <x:v>骑士猫猫虫</x:v>
      </x:c>
      <x:c r="C103" s="78" t="n">
        <x:v>2</x:v>
      </x:c>
      <x:c r="D103" s="62" t="n">
        <x:f>IF(B103="",0,ROUNDUP(C103*(1+('全局设置'!$B$5-1)*'全局设置'!$B$6),0))</x:f>
        <x:v>2</x:v>
      </x:c>
      <x:c r="E103" s="92" t="n">
        <x:f>IF(B103="",0,IFERROR(VLOOKUP(B103,'敌人目录'!$A$6:$M$54,13,FALSE),0))</x:f>
        <x:v>4</x:v>
      </x:c>
      <x:c r="F103" s="92" t="n">
        <x:f>D103*E103</x:f>
        <x:v>8</x:v>
      </x:c>
      <x:c r="G103" s="92" t="n">
        <x:f>F103*'全局设置'!$B$7</x:f>
        <x:v>8</x:v>
      </x:c>
      <x:c r="H103" s="92" t="n">
        <x:f>G103*'全局设置'!$B$5</x:f>
        <x:v>8</x:v>
      </x:c>
      <x:c r="I103" s="81" t="str">
        <x:f>IF(AND(B103="",C103=""),"",IF(AND(B103&lt;&gt;"",C103&gt;=1,COUNTIF($B$94:$B$111,B103)=1),"可回读","需修正"))</x:f>
        <x:v>可回读</x:v>
      </x:c>
    </x:row>
    <x:row r="104" ht="22" customHeight="1">
      <x:c r="A104" s="88" t="n">
        <x:v>11</x:v>
      </x:c>
      <x:c r="B104" s="78" t="str">
        <x:v>法师 Capoo</x:v>
      </x:c>
      <x:c r="C104" s="78" t="n">
        <x:v>1</x:v>
      </x:c>
      <x:c r="D104" s="62" t="n">
        <x:f>IF(B104="",0,ROUNDUP(C104*(1+('全局设置'!$B$5-1)*'全局设置'!$B$6),0))</x:f>
        <x:v>1</x:v>
      </x:c>
      <x:c r="E104" s="92" t="n">
        <x:f>IF(B104="",0,IFERROR(VLOOKUP(B104,'敌人目录'!$A$6:$M$54,13,FALSE),0))</x:f>
        <x:v>10</x:v>
      </x:c>
      <x:c r="F104" s="92" t="n">
        <x:f>D104*E104</x:f>
        <x:v>10</x:v>
      </x:c>
      <x:c r="G104" s="92" t="n">
        <x:f>F104*'全局设置'!$B$7</x:f>
        <x:v>10</x:v>
      </x:c>
      <x:c r="H104" s="92" t="n">
        <x:f>G104*'全局设置'!$B$5</x:f>
        <x:v>10</x:v>
      </x:c>
      <x:c r="I104" s="81" t="str">
        <x:f>IF(AND(B104="",C104=""),"",IF(AND(B104&lt;&gt;"",C104&gt;=1,COUNTIF($B$94:$B$111,B104)=1),"可回读","需修正"))</x:f>
        <x:v>可回读</x:v>
      </x:c>
    </x:row>
    <x:row r="105" ht="22" customHeight="1">
      <x:c r="A105" s="88" t="n">
        <x:v>12</x:v>
      </x:c>
      <x:c r="B105" s="78" t="str">
        <x:v>RPG猫猫虫</x:v>
      </x:c>
      <x:c r="C105" s="78" t="n">
        <x:v>1</x:v>
      </x:c>
      <x:c r="D105" s="62" t="n">
        <x:f>IF(B105="",0,ROUNDUP(C105*(1+('全局设置'!$B$5-1)*'全局设置'!$B$6),0))</x:f>
        <x:v>1</x:v>
      </x:c>
      <x:c r="E105" s="92" t="n">
        <x:f>IF(B105="",0,IFERROR(VLOOKUP(B105,'敌人目录'!$A$6:$M$54,13,FALSE),0))</x:f>
        <x:v>5</x:v>
      </x:c>
      <x:c r="F105" s="92" t="n">
        <x:f>D105*E105</x:f>
        <x:v>5</x:v>
      </x:c>
      <x:c r="G105" s="92" t="n">
        <x:f>F105*'全局设置'!$B$7</x:f>
        <x:v>5</x:v>
      </x:c>
      <x:c r="H105" s="92" t="n">
        <x:f>G105*'全局设置'!$B$5</x:f>
        <x:v>5</x:v>
      </x:c>
      <x:c r="I105" s="81" t="str">
        <x:f>IF(AND(B105="",C105=""),"",IF(AND(B105&lt;&gt;"",C105&gt;=1,COUNTIF($B$94:$B$111,B105)=1),"可回读","需修正"))</x:f>
        <x:v>可回读</x:v>
      </x:c>
    </x:row>
    <x:row r="106" ht="22" customHeight="1">
      <x:c r="A106" s="88" t="n">
        <x:v>13</x:v>
      </x:c>
      <x:c r="B106" s="78" t="str">
        <x:v>石头人</x:v>
      </x:c>
      <x:c r="C106" s="78" t="n">
        <x:v>1</x:v>
      </x:c>
      <x:c r="D106" s="62" t="n">
        <x:f>IF(B106="",0,ROUNDUP(C106*(1+('全局设置'!$B$5-1)*'全局设置'!$B$6),0))</x:f>
        <x:v>1</x:v>
      </x:c>
      <x:c r="E106" s="92" t="n">
        <x:f>IF(B106="",0,IFERROR(VLOOKUP(B106,'敌人目录'!$A$6:$M$54,13,FALSE),0))</x:f>
        <x:v>40</x:v>
      </x:c>
      <x:c r="F106" s="92" t="n">
        <x:f>D106*E106</x:f>
        <x:v>40</x:v>
      </x:c>
      <x:c r="G106" s="92" t="n">
        <x:f>F106*'全局设置'!$B$7</x:f>
        <x:v>40</x:v>
      </x:c>
      <x:c r="H106" s="92" t="n">
        <x:f>G106*'全局设置'!$B$5</x:f>
        <x:v>40</x:v>
      </x:c>
      <x:c r="I106" s="81" t="str">
        <x:f>IF(AND(B106="",C106=""),"",IF(AND(B106&lt;&gt;"",C106&gt;=1,COUNTIF($B$94:$B$111,B106)=1),"可回读","需修正"))</x:f>
        <x:v>可回读</x:v>
      </x:c>
    </x:row>
    <x:row r="107" ht="22" customHeight="1">
      <x:c r="A107" s="88" t="n">
        <x:v>14</x:v>
      </x:c>
      <x:c r="B107" s="78"/>
      <x:c r="C107" s="78"/>
      <x:c r="D107" s="62" t="n">
        <x:f>IF(B107="",0,ROUNDUP(C107*(1+('全局设置'!$B$5-1)*'全局设置'!$B$6),0))</x:f>
        <x:v>0</x:v>
      </x:c>
      <x:c r="E107" s="92" t="n">
        <x:f>IF(B107="",0,IFERROR(VLOOKUP(B107,'敌人目录'!$A$6:$M$54,13,FALSE),0))</x:f>
        <x:v>0</x:v>
      </x:c>
      <x:c r="F107" s="92" t="n">
        <x:f>D107*E107</x:f>
        <x:v>0</x:v>
      </x:c>
      <x:c r="G107" s="92" t="n">
        <x:f>F107*'全局设置'!$B$7</x:f>
        <x:v>0</x:v>
      </x:c>
      <x:c r="H107" s="92" t="n">
        <x:f>G107*'全局设置'!$B$5</x:f>
        <x:v>0</x:v>
      </x:c>
      <x:c r="I107" s="81" t="str">
        <x:f>IF(AND(B107="",C107=""),"",IF(AND(B107&lt;&gt;"",C107&gt;=1,COUNTIF($B$94:$B$111,B107)=1),"可回读","需修正"))</x:f>
      </x:c>
    </x:row>
    <x:row r="108" ht="22" customHeight="1">
      <x:c r="A108" s="88" t="n">
        <x:v>15</x:v>
      </x:c>
      <x:c r="B108" s="78"/>
      <x:c r="C108" s="78"/>
      <x:c r="D108" s="62" t="n">
        <x:f>IF(B108="",0,ROUNDUP(C108*(1+('全局设置'!$B$5-1)*'全局设置'!$B$6),0))</x:f>
        <x:v>0</x:v>
      </x:c>
      <x:c r="E108" s="92" t="n">
        <x:f>IF(B108="",0,IFERROR(VLOOKUP(B108,'敌人目录'!$A$6:$M$54,13,FALSE),0))</x:f>
        <x:v>0</x:v>
      </x:c>
      <x:c r="F108" s="92" t="n">
        <x:f>D108*E108</x:f>
        <x:v>0</x:v>
      </x:c>
      <x:c r="G108" s="92" t="n">
        <x:f>F108*'全局设置'!$B$7</x:f>
        <x:v>0</x:v>
      </x:c>
      <x:c r="H108" s="92" t="n">
        <x:f>G108*'全局设置'!$B$5</x:f>
        <x:v>0</x:v>
      </x:c>
      <x:c r="I108" s="81" t="str">
        <x:f>IF(AND(B108="",C108=""),"",IF(AND(B108&lt;&gt;"",C108&gt;=1,COUNTIF($B$94:$B$111,B108)=1),"可回读","需修正"))</x:f>
      </x:c>
    </x:row>
    <x:row r="109" ht="22" customHeight="1">
      <x:c r="A109" s="88" t="n">
        <x:v>16</x:v>
      </x:c>
      <x:c r="B109" s="78"/>
      <x:c r="C109" s="78"/>
      <x:c r="D109" s="62" t="n">
        <x:f>IF(B109="",0,ROUNDUP(C109*(1+('全局设置'!$B$5-1)*'全局设置'!$B$6),0))</x:f>
        <x:v>0</x:v>
      </x:c>
      <x:c r="E109" s="92" t="n">
        <x:f>IF(B109="",0,IFERROR(VLOOKUP(B109,'敌人目录'!$A$6:$M$54,13,FALSE),0))</x:f>
        <x:v>0</x:v>
      </x:c>
      <x:c r="F109" s="92" t="n">
        <x:f>D109*E109</x:f>
        <x:v>0</x:v>
      </x:c>
      <x:c r="G109" s="92" t="n">
        <x:f>F109*'全局设置'!$B$7</x:f>
        <x:v>0</x:v>
      </x:c>
      <x:c r="H109" s="92" t="n">
        <x:f>G109*'全局设置'!$B$5</x:f>
        <x:v>0</x:v>
      </x:c>
      <x:c r="I109" s="81" t="str">
        <x:f>IF(AND(B109="",C109=""),"",IF(AND(B109&lt;&gt;"",C109&gt;=1,COUNTIF($B$94:$B$111,B109)=1),"可回读","需修正"))</x:f>
      </x:c>
    </x:row>
    <x:row r="110" ht="22" customHeight="1">
      <x:c r="A110" s="88" t="n">
        <x:v>17</x:v>
      </x:c>
      <x:c r="B110" s="78"/>
      <x:c r="C110" s="78"/>
      <x:c r="D110" s="62" t="n">
        <x:f>IF(B110="",0,ROUNDUP(C110*(1+('全局设置'!$B$5-1)*'全局设置'!$B$6),0))</x:f>
        <x:v>0</x:v>
      </x:c>
      <x:c r="E110" s="92" t="n">
        <x:f>IF(B110="",0,IFERROR(VLOOKUP(B110,'敌人目录'!$A$6:$M$54,13,FALSE),0))</x:f>
        <x:v>0</x:v>
      </x:c>
      <x:c r="F110" s="92" t="n">
        <x:f>D110*E110</x:f>
        <x:v>0</x:v>
      </x:c>
      <x:c r="G110" s="92" t="n">
        <x:f>F110*'全局设置'!$B$7</x:f>
        <x:v>0</x:v>
      </x:c>
      <x:c r="H110" s="92" t="n">
        <x:f>G110*'全局设置'!$B$5</x:f>
        <x:v>0</x:v>
      </x:c>
      <x:c r="I110" s="81" t="str">
        <x:f>IF(AND(B110="",C110=""),"",IF(AND(B110&lt;&gt;"",C110&gt;=1,COUNTIF($B$94:$B$111,B110)=1),"可回读","需修正"))</x:f>
      </x:c>
    </x:row>
    <x:row r="111" ht="22" customHeight="1">
      <x:c r="A111" s="88" t="n">
        <x:v>18</x:v>
      </x:c>
      <x:c r="B111" s="78"/>
      <x:c r="C111" s="78"/>
      <x:c r="D111" s="62" t="n">
        <x:f>IF(B111="",0,ROUNDUP(C111*(1+('全局设置'!$B$5-1)*'全局设置'!$B$6),0))</x:f>
        <x:v>0</x:v>
      </x:c>
      <x:c r="E111" s="92" t="n">
        <x:f>IF(B111="",0,IFERROR(VLOOKUP(B111,'敌人目录'!$A$6:$M$54,13,FALSE),0))</x:f>
        <x:v>0</x:v>
      </x:c>
      <x:c r="F111" s="92" t="n">
        <x:f>D111*E111</x:f>
        <x:v>0</x:v>
      </x:c>
      <x:c r="G111" s="92" t="n">
        <x:f>F111*'全局设置'!$B$7</x:f>
        <x:v>0</x:v>
      </x:c>
      <x:c r="H111" s="92" t="n">
        <x:f>G111*'全局设置'!$B$5</x:f>
        <x:v>0</x:v>
      </x:c>
      <x:c r="I111" s="81" t="str">
        <x:f>IF(AND(B111="",C111=""),"",IF(AND(B111&lt;&gt;"",C111&gt;=1,COUNTIF($B$94:$B$111,B111)=1),"可回读","需修正"))</x:f>
      </x:c>
    </x:row>
    <x:row r="112" ht="22" customHeight="1"/>
    <x:row r="113" ht="22" customHeight="1">
      <x:c r="A113" s="103" t="str">
        <x:v>基础总数</x:v>
      </x:c>
      <x:c r="B113" s="62" t="n">
        <x:f>SUM(C94:C111)</x:f>
        <x:v>200</x:v>
      </x:c>
      <x:c r="C113" s="103" t="str">
        <x:v>实际总数</x:v>
      </x:c>
      <x:c r="D113" s="62" t="n">
        <x:f>SUM(D94:D111)</x:f>
        <x:v>200</x:v>
      </x:c>
      <x:c r="E113" s="103" t="str">
        <x:v>最大息壤/玩家</x:v>
      </x:c>
      <x:c r="F113" s="62" t="n">
        <x:f>SUM(F94:F111)</x:f>
        <x:v>342</x:v>
      </x:c>
      <x:c r="G113" s="103" t="str">
        <x:v>预计息壤/玩家</x:v>
      </x:c>
      <x:c r="H113" s="62" t="n">
        <x:f>SUM(G94:G111)</x:f>
        <x:v>342</x:v>
      </x:c>
      <x:c r="I113" s="62"/>
    </x:row>
    <x:row r="114" ht="22" customHeight="1">
      <x:c r="A114" s="99" t="str">
        <x:v>预计息壤/队伍</x:v>
      </x:c>
      <x:c r="B114" s="30" t="n">
        <x:f>SUM(H94:H111)</x:f>
        <x:v>342</x:v>
      </x:c>
      <x:c r="C114" s="99" t="str">
        <x:v>说明</x:v>
      </x:c>
      <x:c r="D114" s="30" t="str">
        <x:v>预计息壤 = 实际数量 × 固定息壤 × 击杀率；已移除每日命运倍率。</x:v>
      </x:c>
      <x:c r="E114" s="30"/>
      <x:c r="F114" s="30"/>
      <x:c r="G114" s="30"/>
      <x:c r="H114" s="30"/>
      <x:c r="I114" s="3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B61:C61"/>
    <x:mergeCell ref="A63:I63"/>
    <x:mergeCell ref="D85:I85"/>
    <x:mergeCell ref="A89:I89"/>
    <x:mergeCell ref="B90:C90"/>
    <x:mergeCell ref="A92:I92"/>
    <x:mergeCell ref="D114:I114"/>
  </x:mergeCells>
  <x:dataValidations count="44">
    <x:dataValidation type="list" sqref="B4">
      <x:formula1>"点1·开启,点1·关闭"</x:formula1>
    </x:dataValidation>
    <x:dataValidation type="list" sqref="C4">
      <x:formula1>"点2·开启,点2·关闭"</x:formula1>
    </x:dataValidation>
    <x:dataValidation type="list" sqref="D4">
      <x:formula1>"点3·开启,点3·关闭"</x:formula1>
    </x:dataValidation>
    <x:dataValidation type="list" sqref="E4">
      <x:formula1>"点4·开启,点4·关闭"</x:formula1>
    </x:dataValidation>
    <x:dataValidation type="list" sqref="F4">
      <x:formula1>"点5·开启,点5·关闭"</x:formula1>
    </x:dataValidation>
    <x:dataValidation type="list" sqref="G4">
      <x:formula1>"点6·开启,点6·关闭"</x:formula1>
    </x:dataValidation>
    <x:dataValidation type="list" sqref="B7:B24">
      <x:formula1>'敌人目录'!$A$6:$A$54</x:formula1>
    </x:dataValidation>
    <x:dataValidation type="whole" operator="between" sqref="C7:C24">
      <x:formula1>1</x:formula1>
      <x:formula2>9999</x:formula2>
    </x:dataValidation>
    <x:dataValidation type="decimal" operator="between" sqref="E3">
      <x:formula1>0.025</x:formula1>
      <x:formula2>60</x:formula2>
    </x:dataValidation>
    <x:dataValidation type="whole" operator="between" sqref="G3">
      <x:formula1>1</x:formula1>
      <x:formula2>4</x:formula2>
    </x:dataValidation>
    <x:dataValidation type="whole" operator="between" sqref="I3">
      <x:formula1>1</x:formula1>
      <x:formula2>999</x:formula2>
    </x:dataValidation>
    <x:dataValidation type="list" sqref="B33">
      <x:formula1>"点1·开启,点1·关闭"</x:formula1>
    </x:dataValidation>
    <x:dataValidation type="list" sqref="C33">
      <x:formula1>"点2·开启,点2·关闭"</x:formula1>
    </x:dataValidation>
    <x:dataValidation type="list" sqref="D33">
      <x:formula1>"点3·开启,点3·关闭"</x:formula1>
    </x:dataValidation>
    <x:dataValidation type="list" sqref="E33">
      <x:formula1>"点4·开启,点4·关闭"</x:formula1>
    </x:dataValidation>
    <x:dataValidation type="list" sqref="F33">
      <x:formula1>"点5·开启,点5·关闭"</x:formula1>
    </x:dataValidation>
    <x:dataValidation type="list" sqref="G33">
      <x:formula1>"点6·开启,点6·关闭"</x:formula1>
    </x:dataValidation>
    <x:dataValidation type="list" sqref="B36:B53">
      <x:formula1>'敌人目录'!$A$6:$A$54</x:formula1>
    </x:dataValidation>
    <x:dataValidation type="whole" operator="between" sqref="C36:C53">
      <x:formula1>1</x:formula1>
      <x:formula2>9999</x:formula2>
    </x:dataValidation>
    <x:dataValidation type="decimal" operator="between" sqref="E32">
      <x:formula1>0.025</x:formula1>
      <x:formula2>60</x:formula2>
    </x:dataValidation>
    <x:dataValidation type="whole" operator="between" sqref="G32">
      <x:formula1>1</x:formula1>
      <x:formula2>4</x:formula2>
    </x:dataValidation>
    <x:dataValidation type="whole" operator="between" sqref="I32">
      <x:formula1>1</x:formula1>
      <x:formula2>999</x:formula2>
    </x:dataValidation>
    <x:dataValidation type="list" sqref="B62">
      <x:formula1>"点1·开启,点1·关闭"</x:formula1>
    </x:dataValidation>
    <x:dataValidation type="list" sqref="C62">
      <x:formula1>"点2·开启,点2·关闭"</x:formula1>
    </x:dataValidation>
    <x:dataValidation type="list" sqref="D62">
      <x:formula1>"点3·开启,点3·关闭"</x:formula1>
    </x:dataValidation>
    <x:dataValidation type="list" sqref="E62">
      <x:formula1>"点4·开启,点4·关闭"</x:formula1>
    </x:dataValidation>
    <x:dataValidation type="list" sqref="F62">
      <x:formula1>"点5·开启,点5·关闭"</x:formula1>
    </x:dataValidation>
    <x:dataValidation type="list" sqref="G62">
      <x:formula1>"点6·开启,点6·关闭"</x:formula1>
    </x:dataValidation>
    <x:dataValidation type="list" sqref="B65:B82">
      <x:formula1>'敌人目录'!$A$6:$A$54</x:formula1>
    </x:dataValidation>
    <x:dataValidation type="whole" operator="between" sqref="C65:C82">
      <x:formula1>1</x:formula1>
      <x:formula2>9999</x:formula2>
    </x:dataValidation>
    <x:dataValidation type="decimal" operator="between" sqref="E61">
      <x:formula1>0.025</x:formula1>
      <x:formula2>60</x:formula2>
    </x:dataValidation>
    <x:dataValidation type="whole" operator="between" sqref="G61">
      <x:formula1>1</x:formula1>
      <x:formula2>4</x:formula2>
    </x:dataValidation>
    <x:dataValidation type="whole" operator="between" sqref="I61">
      <x:formula1>1</x:formula1>
      <x:formula2>999</x:formula2>
    </x:dataValidation>
    <x:dataValidation type="list" sqref="B91">
      <x:formula1>"点1·开启,点1·关闭"</x:formula1>
    </x:dataValidation>
    <x:dataValidation type="list" sqref="C91">
      <x:formula1>"点2·开启,点2·关闭"</x:formula1>
    </x:dataValidation>
    <x:dataValidation type="list" sqref="D91">
      <x:formula1>"点3·开启,点3·关闭"</x:formula1>
    </x:dataValidation>
    <x:dataValidation type="list" sqref="E91">
      <x:formula1>"点4·开启,点4·关闭"</x:formula1>
    </x:dataValidation>
    <x:dataValidation type="list" sqref="F91">
      <x:formula1>"点5·开启,点5·关闭"</x:formula1>
    </x:dataValidation>
    <x:dataValidation type="list" sqref="G91">
      <x:formula1>"点6·开启,点6·关闭"</x:formula1>
    </x:dataValidation>
    <x:dataValidation type="list" sqref="B94:B111">
      <x:formula1>'敌人目录'!$A$6:$A$54</x:formula1>
    </x:dataValidation>
    <x:dataValidation type="whole" operator="between" sqref="C94:C111">
      <x:formula1>1</x:formula1>
      <x:formula2>9999</x:formula2>
    </x:dataValidation>
    <x:dataValidation type="decimal" operator="between" sqref="E90">
      <x:formula1>0.025</x:formula1>
      <x:formula2>60</x:formula2>
    </x:dataValidation>
    <x:dataValidation type="whole" operator="between" sqref="G90">
      <x:formula1>1</x:formula1>
      <x:formula2>4</x:formula2>
    </x:dataValidation>
    <x:dataValidation type="whole" operator="between" sqref="I90">
      <x:formula1>1</x:formula1>
      <x:formula2>999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3" hidden="0" customWidth="1"/>
    <x:col min="3" max="3" width="13" hidden="0" customWidth="1"/>
    <x:col min="4" max="4" width="15" hidden="0" customWidth="1"/>
    <x:col min="5" max="5" width="18" hidden="0" customWidth="1"/>
    <x:col min="6" max="6" width="22" hidden="0" customWidth="1"/>
    <x:col min="7" max="7" width="13" hidden="0" customWidth="1"/>
    <x:col min="8" max="8" width="20" hidden="0" customWidth="1"/>
    <x:col min="9" max="9" width="20" hidden="0" customWidth="1"/>
  </x:cols>
  <x:sheetData>
    <x:row r="1" ht="36" customHeight="1">
      <x:c r="A1" s="33" t="str">
        <x:v>第 4 日｜白昼｜铃兰 Boss</x:v>
      </x:c>
      <x:c r="B1" s="33"/>
      <x:c r="C1" s="33"/>
      <x:c r="D1" s="33"/>
      <x:c r="E1" s="33"/>
      <x:c r="F1" s="33"/>
      <x:c r="G1" s="33"/>
      <x:c r="H1" s="33"/>
      <x:c r="I1" s="33"/>
    </x:row>
    <x:row r="2" ht="25" customHeight="1">
      <x:c r="A2" s="9" t="str">
        <x:v>只读 Boss 面板：第 4 日没有第 13～16 波；60 秒白昼准备后进入铃兰战，击败后直接通关。</x:v>
      </x:c>
      <x:c r="B2" s="9"/>
      <x:c r="C2" s="9"/>
      <x:c r="D2" s="9"/>
      <x:c r="E2" s="9"/>
      <x:c r="F2" s="9"/>
      <x:c r="G2" s="9"/>
      <x:c r="H2" s="9"/>
      <x:c r="I2" s="9"/>
    </x:row>
    <x:row r="3" ht="25" customHeight="1"/>
    <x:row r="4" ht="25" customHeight="1">
      <x:c r="A4" s="33" t="str">
        <x:v>流程身份</x:v>
      </x:c>
      <x:c r="B4" s="33"/>
      <x:c r="C4" s="33"/>
      <x:c r="D4" s="33"/>
      <x:c r="E4" s="33"/>
      <x:c r="F4" s="33"/>
      <x:c r="G4" s="33"/>
      <x:c r="H4" s="33"/>
      <x:c r="I4" s="33"/>
    </x:row>
    <x:row r="5" ht="25" customHeight="1">
      <x:c r="A5" s="110" t="str">
        <x:v>日期</x:v>
      </x:c>
      <x:c r="B5" s="71" t="str">
        <x:v>第4日</x:v>
      </x:c>
      <x:c r="C5" s="110" t="str">
        <x:v>时段</x:v>
      </x:c>
      <x:c r="D5" s="71" t="str">
        <x:v>白昼</x:v>
      </x:c>
      <x:c r="E5" s="110" t="str">
        <x:v>前置</x:v>
      </x:c>
      <x:c r="F5" s="71" t="str">
        <x:v>第12波 + 第3日地下探索</x:v>
      </x:c>
      <x:c r="G5" s="110" t="str">
        <x:v>准备</x:v>
      </x:c>
      <x:c r="H5" s="71" t="str">
        <x:v>60 秒（正式默认）</x:v>
      </x:c>
      <x:c r="I5" s="71"/>
    </x:row>
    <x:row r="6" ht="25" customHeight="1">
      <x:c r="A6" s="110" t="str">
        <x:v>流程节点</x:v>
      </x:c>
      <x:c r="B6" s="71" t="str">
        <x:v>boss_01_linglan</x:v>
      </x:c>
      <x:c r="C6" s="71"/>
      <x:c r="D6" s="71"/>
      <x:c r="E6" s="110" t="str">
        <x:v>Boss ID</x:v>
      </x:c>
      <x:c r="F6" s="71" t="str">
        <x:v>linglan_boss</x:v>
      </x:c>
      <x:c r="G6" s="71"/>
      <x:c r="H6" s="71"/>
      <x:c r="I6" s="71"/>
    </x:row>
    <x:row r="7" ht="25" customHeight="1">
      <x:c r="A7" s="110" t="str">
        <x:v>显示名称</x:v>
      </x:c>
      <x:c r="B7" s="71" t="str">
        <x:v>铃兰</x:v>
      </x:c>
      <x:c r="C7" s="71"/>
      <x:c r="D7" s="71"/>
      <x:c r="E7" s="110" t="str">
        <x:v>普通波次编号</x:v>
      </x:c>
      <x:c r="F7" s="71" t="str">
        <x:v>不显示</x:v>
      </x:c>
      <x:c r="G7" s="71"/>
      <x:c r="H7" s="71"/>
      <x:c r="I7" s="71"/>
    </x:row>
    <x:row r="8" ht="25" customHeight="1">
      <x:c r="A8" s="110" t="str">
        <x:v>Boss 配置</x:v>
      </x:c>
      <x:c r="B8" s="71" t="str">
        <x:v>res://resources/config/bosses/boss_01_linglan.tres</x:v>
      </x:c>
      <x:c r="C8" s="71"/>
      <x:c r="D8" s="71"/>
      <x:c r="E8" s="71"/>
      <x:c r="F8" s="71"/>
      <x:c r="G8" s="71"/>
      <x:c r="H8" s="71"/>
      <x:c r="I8" s="71"/>
    </x:row>
    <x:row r="9" ht="25" customHeight="1">
      <x:c r="A9" s="110" t="str">
        <x:v>敌人配置</x:v>
      </x:c>
      <x:c r="B9" s="71" t="str">
        <x:v>res://resources/config/enemies/linglan_boss.tres</x:v>
      </x:c>
      <x:c r="C9" s="71"/>
      <x:c r="D9" s="71"/>
      <x:c r="E9" s="71"/>
      <x:c r="F9" s="71"/>
      <x:c r="G9" s="71"/>
      <x:c r="H9" s="71"/>
      <x:c r="I9" s="71"/>
    </x:row>
    <x:row r="10" ht="25" customHeight="1">
      <x:c r="A10" s="110" t="str">
        <x:v>Boss 音乐</x:v>
      </x:c>
      <x:c r="B10" s="71" t="str">
        <x:v>res://resources/audio/BGM_The_Truth_Never_Spoken.mp3</x:v>
      </x:c>
      <x:c r="C10" s="71"/>
      <x:c r="D10" s="71"/>
      <x:c r="E10" s="71"/>
      <x:c r="F10" s="71"/>
      <x:c r="G10" s="71"/>
      <x:c r="H10" s="71"/>
      <x:c r="I10" s="71"/>
    </x:row>
    <x:row r="11" ht="25" customHeight="1"/>
    <x:row r="12" ht="25" customHeight="1">
      <x:c r="A12" s="12" t="str">
        <x:v>通关条件</x:v>
      </x:c>
      <x:c r="B12" s="12"/>
      <x:c r="C12" s="12"/>
      <x:c r="D12" s="12"/>
      <x:c r="E12" s="12"/>
      <x:c r="F12" s="12"/>
      <x:c r="G12" s="12"/>
      <x:c r="H12" s="12"/>
      <x:c r="I12" s="12"/>
    </x:row>
    <x:row r="13" ht="32" customHeight="1">
      <x:c r="A13" s="113" t="str">
        <x:v>铃兰死亡 → 沿用现有胜利流程 → 显示通关
不会再次进入地下探索，也不会进入小葱命运时间。</x:v>
      </x:c>
      <x:c r="B13" s="113"/>
      <x:c r="C13" s="113"/>
      <x:c r="D13" s="113"/>
      <x:c r="E13" s="113"/>
      <x:c r="F13" s="113"/>
      <x:c r="G13" s="113"/>
      <x:c r="H13" s="113"/>
      <x:c r="I13" s="113"/>
    </x:row>
    <x:row r="14" ht="32" customHeight="1">
      <x:c r="A14" s="113"/>
      <x:c r="B14" s="113"/>
      <x:c r="C14" s="113"/>
      <x:c r="D14" s="113"/>
      <x:c r="E14" s="113"/>
      <x:c r="F14" s="113"/>
      <x:c r="G14" s="113"/>
      <x:c r="H14" s="113"/>
      <x:c r="I14" s="113"/>
    </x:row>
    <x:row r="15" ht="32" customHeight="1">
      <x:c r="A15" s="113"/>
      <x:c r="B15" s="113"/>
      <x:c r="C15" s="113"/>
      <x:c r="D15" s="113"/>
      <x:c r="E15" s="113"/>
      <x:c r="F15" s="113"/>
      <x:c r="G15" s="113"/>
      <x:c r="H15" s="113"/>
      <x:c r="I15" s="113"/>
    </x:row>
    <x:row r="16" ht="25" customHeight="1"/>
    <x:row r="17" ht="25" customHeight="1">
      <x:c r="A17" s="115" t="str">
        <x:v>此页无可编辑波次区域；Boss 数值继续由现有 Boss / Enemy 资源维护。</x:v>
      </x:c>
      <x:c r="B17" s="115"/>
      <x:c r="C17" s="115"/>
      <x:c r="D17" s="115"/>
      <x:c r="E17" s="115"/>
      <x:c r="F17" s="115"/>
      <x:c r="G17" s="115"/>
      <x:c r="H17" s="115"/>
      <x:c r="I17" s="115"/>
    </x:row>
  </x:sheetData>
  <x:mergeCells>
    <x:mergeCell ref="A1:I1"/>
    <x:mergeCell ref="A2:I2"/>
    <x:mergeCell ref="A4:I4"/>
    <x:mergeCell ref="B6:D6"/>
    <x:mergeCell ref="F6:I6"/>
    <x:mergeCell ref="B7:D7"/>
    <x:mergeCell ref="F7:I7"/>
    <x:mergeCell ref="B8:I8"/>
    <x:mergeCell ref="B9:I9"/>
    <x:mergeCell ref="B10:I10"/>
    <x:mergeCell ref="A12:I12"/>
    <x:mergeCell ref="A13:I15"/>
    <x:mergeCell ref="A17:I1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8" hidden="0" customWidth="1"/>
    <x:col min="3" max="3" width="19" hidden="0" customWidth="1"/>
    <x:col min="4" max="4" width="15" hidden="0" customWidth="1"/>
    <x:col min="5" max="5" width="11" hidden="0" customWidth="1"/>
    <x:col min="6" max="6" width="14" hidden="0" customWidth="1"/>
    <x:col min="7" max="7" width="11" hidden="0" customWidth="1"/>
    <x:col min="8" max="8" width="11" hidden="0" customWidth="1"/>
    <x:col min="9" max="9" width="12" hidden="0" customWidth="1"/>
    <x:col min="10" max="10" width="12" hidden="0" customWidth="1"/>
    <x:col min="11" max="11" width="11" hidden="0" customWidth="1"/>
    <x:col min="12" max="12" width="12" hidden="0" customWidth="1"/>
    <x:col min="13" max="13" width="13" hidden="0" customWidth="1"/>
    <x:col min="14" max="14" width="17" hidden="0" customWidth="1"/>
    <x:col min="15" max="15" width="12" hidden="0" customWidth="1"/>
    <x:col min="16" max="16" width="13" hidden="0" customWidth="1"/>
    <x:col min="17" max="17" width="12" hidden="0" customWidth="1"/>
    <x:col min="18" max="18" width="13" hidden="0" customWidth="1"/>
    <x:col min="19" max="19" width="15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24" hidden="0" customWidth="1"/>
    <x:col min="29" max="29" width="48" hidden="0" customWidth="1"/>
    <x:col min="30" max="30" width="48" hidden="0" customWidth="1"/>
  </x:cols>
  <x:sheetData>
    <x:row r="1" ht="34" customHeight="1">
      <x:c r="A1" s="3" t="str">
        <x:v>敌人目录｜49 个普通波次敌人的全局固定配置</x:v>
      </x:c>
      <x:c r="B1" s="3" t="str">
        <x:v>敌人目录｜49 个普通波次敌人的全局固定配置</x:v>
      </x:c>
      <x:c r="C1" s="3" t="str">
        <x:v>敌人目录｜49 个普通波次敌人的全局固定配置</x:v>
      </x:c>
      <x:c r="D1" s="3" t="str">
        <x:v>敌人目录｜49 个普通波次敌人的全局固定配置</x:v>
      </x:c>
      <x:c r="E1" s="3" t="str">
        <x:v>敌人目录｜49 个普通波次敌人的全局固定配置</x:v>
      </x:c>
      <x:c r="F1" s="3" t="str">
        <x:v>敌人目录｜49 个普通波次敌人的全局固定配置</x:v>
      </x:c>
      <x:c r="G1" s="3" t="str">
        <x:v>敌人目录｜49 个普通波次敌人的全局固定配置</x:v>
      </x:c>
      <x:c r="H1" s="3" t="str">
        <x:v>敌人目录｜49 个普通波次敌人的全局固定配置</x:v>
      </x:c>
      <x:c r="I1" s="3" t="str">
        <x:v>敌人目录｜49 个普通波次敌人的全局固定配置</x:v>
      </x:c>
      <x:c r="J1" s="3" t="str">
        <x:v>敌人目录｜49 个普通波次敌人的全局固定配置</x:v>
      </x:c>
      <x:c r="K1" s="3" t="str">
        <x:v>敌人目录｜49 个普通波次敌人的全局固定配置</x:v>
      </x:c>
      <x:c r="L1" s="3" t="str">
        <x:v>敌人目录｜49 个普通波次敌人的全局固定配置</x:v>
      </x:c>
      <x:c r="M1" s="3" t="str">
        <x:v>敌人目录｜49 个普通波次敌人的全局固定配置</x:v>
      </x:c>
      <x:c r="N1" s="3" t="str">
        <x:v>敌人目录｜49 个普通波次敌人的全局固定配置</x:v>
      </x:c>
      <x:c r="O1" s="3" t="str">
        <x:v>敌人目录｜49 个普通波次敌人的全局固定配置</x:v>
      </x:c>
      <x:c r="P1" s="3" t="str">
        <x:v>敌人目录｜49 个普通波次敌人的全局固定配置</x:v>
      </x:c>
      <x:c r="Q1" s="3" t="str">
        <x:v>敌人目录｜49 个普通波次敌人的全局固定配置</x:v>
      </x:c>
      <x:c r="R1" s="3" t="str">
        <x:v>敌人目录｜49 个普通波次敌人的全局固定配置</x:v>
      </x:c>
      <x:c r="S1" s="3" t="str">
        <x:v>敌人目录｜49 个普通波次敌人的全局固定配置</x:v>
      </x:c>
      <x:c r="T1" s="3" t="str">
        <x:v>敌人目录｜49 个普通波次敌人的全局固定配置</x:v>
      </x:c>
      <x:c r="U1" s="3" t="str">
        <x:v>敌人目录｜49 个普通波次敌人的全局固定配置</x:v>
      </x:c>
      <x:c r="V1" s="3" t="str">
        <x:v>敌人目录｜49 个普通波次敌人的全局固定配置</x:v>
      </x:c>
      <x:c r="W1" s="3" t="str">
        <x:v>敌人目录｜49 个普通波次敌人的全局固定配置</x:v>
      </x:c>
      <x:c r="X1" s="3" t="str">
        <x:v>敌人目录｜49 个普通波次敌人的全局固定配置</x:v>
      </x:c>
      <x:c r="Y1" s="3" t="str">
        <x:v>敌人目录｜49 个普通波次敌人的全局固定配置</x:v>
      </x:c>
      <x:c r="Z1" s="3" t="str">
        <x:v>敌人目录｜49 个普通波次敌人的全局固定配置</x:v>
      </x:c>
      <x:c r="AA1" s="3" t="str">
        <x:v>敌人目录｜49 个普通波次敌人的全局固定配置</x:v>
      </x:c>
      <x:c r="AB1" s="3" t="str">
        <x:v>敌人目录｜49 个普通波次敌人的全局固定配置</x:v>
      </x:c>
      <x:c r="AC1" s="3" t="str">
        <x:v>敌人目录｜49 个普通波次敌人的全局固定配置</x:v>
      </x:c>
      <x:c r="AD1" s="3" t="str">
        <x:v>敌人目录｜49 个普通波次敌人的全局固定配置</x:v>
      </x:c>
    </x:row>
    <x:row r="2" ht="23" customHeight="1">
      <x:c r="A2" s="49" t="str">
        <x:v>蓝色、金色、绿色与紫色区域可编辑；所有 12 波共同引用本目录，Boss 不在普通波次下拉列表中。</x:v>
      </x:c>
      <x:c r="B2" s="49" t="str">
        <x:v>蓝色、金色、绿色与紫色区域均可编辑。每种敌人的数值、息壤和掉落只在此处定义一次，并由所有波次共同引用；波次页不再提供覆盖值。</x:v>
      </x:c>
      <x:c r="C2" s="49" t="str">
        <x:v>蓝色、金色、绿色与紫色区域均可编辑。每种敌人的数值、息壤和掉落只在此处定义一次，并由所有波次共同引用；波次页不再提供覆盖值。</x:v>
      </x:c>
      <x:c r="D2" s="49" t="str">
        <x:v>蓝色、金色、绿色与紫色区域均可编辑。每种敌人的数值、息壤和掉落只在此处定义一次，并由所有波次共同引用；波次页不再提供覆盖值。</x:v>
      </x:c>
      <x:c r="E2" s="49" t="str">
        <x:v>蓝色、金色、绿色与紫色区域均可编辑。每种敌人的数值、息壤和掉落只在此处定义一次，并由所有波次共同引用；波次页不再提供覆盖值。</x:v>
      </x:c>
      <x:c r="F2" s="49" t="str">
        <x:v>蓝色、金色、绿色与紫色区域均可编辑。每种敌人的数值、息壤和掉落只在此处定义一次，并由所有波次共同引用；波次页不再提供覆盖值。</x:v>
      </x:c>
      <x:c r="G2" s="49" t="str">
        <x:v>蓝色、金色、绿色与紫色区域均可编辑。每种敌人的数值、息壤和掉落只在此处定义一次，并由所有波次共同引用；波次页不再提供覆盖值。</x:v>
      </x:c>
      <x:c r="H2" s="49" t="str">
        <x:v>蓝色、金色、绿色与紫色区域均可编辑。每种敌人的数值、息壤和掉落只在此处定义一次，并由所有波次共同引用；波次页不再提供覆盖值。</x:v>
      </x:c>
      <x:c r="I2" s="49" t="str">
        <x:v>蓝色、金色、绿色与紫色区域均可编辑。每种敌人的数值、息壤和掉落只在此处定义一次，并由所有波次共同引用；波次页不再提供覆盖值。</x:v>
      </x:c>
      <x:c r="J2" s="49" t="str">
        <x:v>蓝色、金色、绿色与紫色区域均可编辑。每种敌人的数值、息壤和掉落只在此处定义一次，并由所有波次共同引用；波次页不再提供覆盖值。</x:v>
      </x:c>
      <x:c r="K2" s="49" t="str">
        <x:v>蓝色、金色、绿色与紫色区域均可编辑。每种敌人的数值、息壤和掉落只在此处定义一次，并由所有波次共同引用；波次页不再提供覆盖值。</x:v>
      </x:c>
      <x:c r="L2" s="49" t="str">
        <x:v>蓝色、金色、绿色与紫色区域均可编辑。每种敌人的数值、息壤和掉落只在此处定义一次，并由所有波次共同引用；波次页不再提供覆盖值。</x:v>
      </x:c>
      <x:c r="M2" s="49" t="str">
        <x:v>蓝色、金色、绿色与紫色区域均可编辑。每种敌人的数值、息壤和掉落只在此处定义一次，并由所有波次共同引用；波次页不再提供覆盖值。</x:v>
      </x:c>
      <x:c r="N2" s="49" t="str">
        <x:v>蓝色、金色、绿色与紫色区域均可编辑。每种敌人的数值、息壤和掉落只在此处定义一次，并由所有波次共同引用；波次页不再提供覆盖值。</x:v>
      </x:c>
      <x:c r="O2" s="49" t="str">
        <x:v>蓝色、金色、绿色与紫色区域均可编辑。每种敌人的数值、息壤和掉落只在此处定义一次，并由所有波次共同引用；波次页不再提供覆盖值。</x:v>
      </x:c>
      <x:c r="P2" s="49" t="str">
        <x:v>蓝色、金色、绿色与紫色区域均可编辑。每种敌人的数值、息壤和掉落只在此处定义一次，并由所有波次共同引用；波次页不再提供覆盖值。</x:v>
      </x:c>
      <x:c r="Q2" s="49" t="str">
        <x:v>蓝色、金色、绿色与紫色区域均可编辑。每种敌人的数值、息壤和掉落只在此处定义一次，并由所有波次共同引用；波次页不再提供覆盖值。</x:v>
      </x:c>
      <x:c r="R2" s="49" t="str">
        <x:v>蓝色、金色、绿色与紫色区域均可编辑。每种敌人的数值、息壤和掉落只在此处定义一次，并由所有波次共同引用；波次页不再提供覆盖值。</x:v>
      </x:c>
      <x:c r="S2" s="49" t="str">
        <x:v>蓝色、金色、绿色与紫色区域均可编辑。每种敌人的数值、息壤和掉落只在此处定义一次，并由所有波次共同引用；波次页不再提供覆盖值。</x:v>
      </x:c>
      <x:c r="T2" s="49" t="str">
        <x:v>蓝色、金色、绿色与紫色区域均可编辑。每种敌人的数值、息壤和掉落只在此处定义一次，并由所有波次共同引用；波次页不再提供覆盖值。</x:v>
      </x:c>
      <x:c r="U2" s="49" t="str">
        <x:v>蓝色、金色、绿色与紫色区域均可编辑。每种敌人的数值、息壤和掉落只在此处定义一次，并由所有波次共同引用；波次页不再提供覆盖值。</x:v>
      </x:c>
      <x:c r="V2" s="49" t="str">
        <x:v>蓝色、金色、绿色与紫色区域均可编辑。每种敌人的数值、息壤和掉落只在此处定义一次，并由所有波次共同引用；波次页不再提供覆盖值。</x:v>
      </x:c>
      <x:c r="W2" s="49" t="str">
        <x:v>蓝色、金色、绿色与紫色区域均可编辑。每种敌人的数值、息壤和掉落只在此处定义一次，并由所有波次共同引用；波次页不再提供覆盖值。</x:v>
      </x:c>
      <x:c r="X2" s="49" t="str">
        <x:v>蓝色、金色、绿色与紫色区域均可编辑。每种敌人的数值、息壤和掉落只在此处定义一次，并由所有波次共同引用；波次页不再提供覆盖值。</x:v>
      </x:c>
      <x:c r="Y2" s="49" t="str">
        <x:v>蓝色、金色、绿色与紫色区域均可编辑。每种敌人的数值、息壤和掉落只在此处定义一次，并由所有波次共同引用；波次页不再提供覆盖值。</x:v>
      </x:c>
      <x:c r="Z2" s="49" t="str">
        <x:v>蓝色、金色、绿色与紫色区域均可编辑。每种敌人的数值、息壤和掉落只在此处定义一次，并由所有波次共同引用；波次页不再提供覆盖值。</x:v>
      </x:c>
      <x:c r="AA2" s="49" t="str">
        <x:v>蓝色、金色、绿色与紫色区域均可编辑。每种敌人的数值、息壤和掉落只在此处定义一次，并由所有波次共同引用；波次页不再提供覆盖值。</x:v>
      </x:c>
      <x:c r="AB2" s="49" t="str">
        <x:v>蓝色、金色、绿色与紫色区域均可编辑。每种敌人的数值、息壤和掉落只在此处定义一次，并由所有波次共同引用；波次页不再提供覆盖值。</x:v>
      </x:c>
      <x:c r="AC2" s="49" t="str">
        <x:v>蓝色、金色、绿色与紫色区域均可编辑。每种敌人的数值、息壤和掉落只在此处定义一次，并由所有波次共同引用；波次页不再提供覆盖值。</x:v>
      </x:c>
      <x:c r="AD2" s="49" t="str">
        <x:v>蓝色、金色、绿色与紫色区域均可编辑。每种敌人的数值、息壤和掉落只在此处定义一次，并由所有波次共同引用；波次页不再提供覆盖值。</x:v>
      </x:c>
    </x:row>
    <x:row r="3" ht="23" customHeight="1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  <x:c r="AC3"/>
      <x:c r="AD3"/>
    </x:row>
    <x:row r="4" ht="23" customHeight="1">
      <x:c r="A4" s="103" t="str">
        <x:v>身份与引用｜只读</x:v>
      </x:c>
      <x:c r="B4" s="103" t="str">
        <x:v>身份与引用｜只读</x:v>
      </x:c>
      <x:c r="C4" s="103" t="str">
        <x:v>身份与引用｜只读</x:v>
      </x:c>
      <x:c r="D4" s="103" t="str">
        <x:v>身份与引用｜只读</x:v>
      </x:c>
      <x:c r="E4" s="103" t="str">
        <x:v>身份与引用｜只读</x:v>
      </x:c>
      <x:c r="F4" s="103" t="str">
        <x:v>身份与引用｜只读</x:v>
      </x:c>
      <x:c r="G4" s="103" t="str">
        <x:v>战斗数值｜可编辑</x:v>
      </x:c>
      <x:c r="H4" s="103" t="str">
        <x:v>战斗数值｜可编辑</x:v>
      </x:c>
      <x:c r="I4" s="103" t="str">
        <x:v>战斗数值｜可编辑</x:v>
      </x:c>
      <x:c r="J4" s="103" t="str">
        <x:v>战斗数值｜可编辑</x:v>
      </x:c>
      <x:c r="K4" s="103" t="str">
        <x:v>战斗数值｜可编辑</x:v>
      </x:c>
      <x:c r="L4" s="103" t="str">
        <x:v>战斗数值｜可编辑</x:v>
      </x:c>
      <x:c r="M4" s="103" t="str">
        <x:v>击杀奖励｜可编辑</x:v>
      </x:c>
      <x:c r="N4" s="103" t="str">
        <x:v>自动计算</x:v>
      </x:c>
      <x:c r="O4" s="103" t="str">
        <x:v>材料掉落概率｜每次击杀独立判定</x:v>
      </x:c>
      <x:c r="P4" s="103" t="str">
        <x:v>材料掉落概率｜每次击杀独立判定</x:v>
      </x:c>
      <x:c r="Q4" s="103" t="str">
        <x:v>材料掉落概率｜每次击杀独立判定</x:v>
      </x:c>
      <x:c r="R4" s="103" t="str">
        <x:v>材料掉落概率｜每次击杀独立判定</x:v>
      </x:c>
      <x:c r="S4" s="103" t="str">
        <x:v>材料掉落概率｜每次击杀独立判定</x:v>
      </x:c>
      <x:c r="T4" s="103" t="str">
        <x:v>材料掉落概率｜每次击杀独立判定</x:v>
      </x:c>
      <x:c r="U4" s="103" t="str">
        <x:v>材料掉落概率｜每次击杀独立判定</x:v>
      </x:c>
      <x:c r="V4" s="103" t="str">
        <x:v>功能道具掉落概率｜每次击杀独立判定</x:v>
      </x:c>
      <x:c r="W4" s="103" t="str">
        <x:v>功能道具掉落概率｜每次击杀独立判定</x:v>
      </x:c>
      <x:c r="X4" s="103" t="str">
        <x:v>功能道具掉落概率｜每次击杀独立判定</x:v>
      </x:c>
      <x:c r="Y4" s="103" t="str">
        <x:v>功能道具掉落概率｜每次击杀独立判定</x:v>
      </x:c>
      <x:c r="Z4" s="103" t="str">
        <x:v>功能道具掉落概率｜每次击杀独立判定</x:v>
      </x:c>
      <x:c r="AA4" s="103" t="str">
        <x:v>校验与来源｜只读</x:v>
      </x:c>
      <x:c r="AB4" s="103" t="str">
        <x:v>校验与来源｜只读</x:v>
      </x:c>
      <x:c r="AC4" s="103" t="str">
        <x:v>校验与来源｜只读</x:v>
      </x:c>
      <x:c r="AD4" s="103" t="str">
        <x:v>校验与来源｜只读</x:v>
      </x:c>
    </x:row>
    <x:row r="5" ht="23" customHeight="1">
      <x:c r="A5" s="110" t="str">
        <x:v>下拉名称</x:v>
      </x:c>
      <x:c r="B5" s="110" t="str">
        <x:v>稳定ID</x:v>
      </x:c>
      <x:c r="C5" s="110" t="str">
        <x:v>名称</x:v>
      </x:c>
      <x:c r="D5" s="110" t="str">
        <x:v>家族</x:v>
      </x:c>
      <x:c r="E5" s="110" t="str">
        <x:v>等级</x:v>
      </x:c>
      <x:c r="F5" s="110" t="str">
        <x:v>正式波次已使用</x:v>
      </x:c>
      <x:c r="G5" s="110" t="str">
        <x:v>生命</x:v>
      </x:c>
      <x:c r="H5" s="110" t="str">
        <x:v>攻击</x:v>
      </x:c>
      <x:c r="I5" s="110" t="str">
        <x:v>物理防御</x:v>
      </x:c>
      <x:c r="J5" s="110" t="str">
        <x:v>法术防御</x:v>
      </x:c>
      <x:c r="K5" s="110" t="str">
        <x:v>移速</x:v>
      </x:c>
      <x:c r="L5" s="110" t="str">
        <x:v>Home伤害</x:v>
      </x:c>
      <x:c r="M5" s="110" t="str">
        <x:v>息壤/击杀</x:v>
      </x:c>
      <x:c r="N5" s="110" t="str">
        <x:v>掉落期望/击杀</x:v>
      </x:c>
      <x:c r="O5" s="110" t="str">
        <x:v>木头</x:v>
      </x:c>
      <x:c r="P5" s="110" t="str">
        <x:v>白色水晶</x:v>
      </x:c>
      <x:c r="Q5" s="110" t="str">
        <x:v>树苗</x:v>
      </x:c>
      <x:c r="R5" s="110" t="str">
        <x:v>卡普蓝晶</x:v>
      </x:c>
      <x:c r="S5" s="110" t="str">
        <x:v>术士紫晶粉</x:v>
      </x:c>
      <x:c r="T5" s="110" t="str">
        <x:v>凝胶</x:v>
      </x:c>
      <x:c r="U5" s="110" t="str">
        <x:v>小石块</x:v>
      </x:c>
      <x:c r="V5" s="110" t="str">
        <x:v>移速道具</x:v>
      </x:c>
      <x:c r="W5" s="110" t="str">
        <x:v>射速道具</x:v>
      </x:c>
      <x:c r="X5" s="110" t="str">
        <x:v>天妇罗道具</x:v>
      </x:c>
      <x:c r="Y5" s="110" t="str">
        <x:v>生命药瓶</x:v>
      </x:c>
      <x:c r="Z5" s="110" t="str">
        <x:v>雪狼破军</x:v>
      </x:c>
      <x:c r="AA5" s="110" t="str">
        <x:v>行校验</x:v>
      </x:c>
      <x:c r="AB5" s="110" t="str">
        <x:v>类别标签</x:v>
      </x:c>
      <x:c r="AC5" s="110" t="str">
        <x:v>配置路径</x:v>
      </x:c>
      <x:c r="AD5" s="110" t="str">
        <x:v>场景路径</x:v>
      </x:c>
    </x:row>
    <x:row r="6" ht="23" customHeight="1">
      <x:c r="A6" s="71" t="str">
        <x:v>普通原石虫</x:v>
      </x:c>
      <x:c r="B6" s="71" t="str">
        <x:v>yuanshi_insect_basic</x:v>
      </x:c>
      <x:c r="C6" s="71" t="str">
        <x:v>普通原石虫</x:v>
      </x:c>
      <x:c r="D6" s="71" t="str">
        <x:v>原石虫</x:v>
      </x:c>
      <x:c r="E6" s="71" t="str">
        <x:v>普通</x:v>
      </x:c>
      <x:c r="F6" s="71" t="str">
        <x:v>是</x:v>
      </x:c>
      <x:c r="G6" s="57" t="n">
        <x:v>40</x:v>
      </x:c>
      <x:c r="H6" s="57" t="n">
        <x:v>10</x:v>
      </x:c>
      <x:c r="I6" s="57" t="n">
        <x:v>0</x:v>
      </x:c>
      <x:c r="J6" s="57" t="n">
        <x:v>0</x:v>
      </x:c>
      <x:c r="K6" s="57" t="n">
        <x:v>20</x:v>
      </x:c>
      <x:c r="L6" s="57" t="n">
        <x:v>1</x:v>
      </x:c>
      <x:c r="M6" s="92" t="n">
        <x:v>1</x:v>
      </x:c>
      <x:c r="N6" s="92" t="n">
        <x:f>SUM(O6:Z6)</x:f>
        <x:v>0.05000000000000002</x:v>
      </x:c>
      <x:c r="O6" s="126" t="n">
        <x:v>0.02</x:v>
      </x:c>
      <x:c r="P6" s="126" t="n">
        <x:v>0.002</x:v>
      </x:c>
      <x:c r="Q6" s="126" t="n">
        <x:v>0.01</x:v>
      </x:c>
      <x:c r="R6" s="126" t="n">
        <x:v>0</x:v>
      </x:c>
      <x:c r="S6" s="126" t="n">
        <x:v>0</x:v>
      </x:c>
      <x:c r="T6" s="126" t="n">
        <x:v>0</x:v>
      </x:c>
      <x:c r="U6" s="126" t="n">
        <x:v>0</x:v>
      </x:c>
      <x:c r="V6" s="127" t="n">
        <x:v>0.004</x:v>
      </x:c>
      <x:c r="W6" s="127" t="n">
        <x:v>0.004</x:v>
      </x:c>
      <x:c r="X6" s="127" t="n">
        <x:v>0.004</x:v>
      </x:c>
      <x:c r="Y6" s="127" t="n">
        <x:v>0.004</x:v>
      </x:c>
      <x:c r="Z6" s="127" t="n">
        <x:v>0.002</x:v>
      </x:c>
      <x:c r="AA6" s="71" t="str">
        <x:f>IF(AND(A6&lt;&gt;"",B6&lt;&gt;"",G6&gt;0,M6&gt;=0,M6&lt;=999),"可回读","需修正")</x:f>
        <x:v>可回读</x:v>
      </x:c>
      <x:c r="AB6" s="71" t="str">
        <x:v>yuanshi_insect</x:v>
      </x:c>
      <x:c r="AC6" s="71" t="str">
        <x:v>res://resources/config/enemies/yuanshi_insect_basic.tres</x:v>
      </x:c>
      <x:c r="AD6" s="71" t="str">
        <x:v>res://scene/enemy/yuanshi_insect/yuanshi_insect_basic.tscn</x:v>
      </x:c>
    </x:row>
    <x:row r="7" ht="23" customHeight="1">
      <x:c r="A7" s="71" t="str">
        <x:v>硬壳原石虫</x:v>
      </x:c>
      <x:c r="B7" s="71" t="str">
        <x:v>yuanshi_insect_shell</x:v>
      </x:c>
      <x:c r="C7" s="71" t="str">
        <x:v>硬壳原石虫</x:v>
      </x:c>
      <x:c r="D7" s="71" t="str">
        <x:v>原石虫</x:v>
      </x:c>
      <x:c r="E7" s="71" t="str">
        <x:v>普通</x:v>
      </x:c>
      <x:c r="F7" s="71" t="str">
        <x:v>是</x:v>
      </x:c>
      <x:c r="G7" s="57" t="n">
        <x:v>140</x:v>
      </x:c>
      <x:c r="H7" s="57" t="n">
        <x:v>14</x:v>
      </x:c>
      <x:c r="I7" s="57" t="n">
        <x:v>3</x:v>
      </x:c>
      <x:c r="J7" s="57" t="n">
        <x:v>0</x:v>
      </x:c>
      <x:c r="K7" s="57" t="n">
        <x:v>20</x:v>
      </x:c>
      <x:c r="L7" s="57" t="n">
        <x:v>1</x:v>
      </x:c>
      <x:c r="M7" s="92" t="n">
        <x:v>2</x:v>
      </x:c>
      <x:c r="N7" s="92" t="n">
        <x:f>SUM(O7:Z7)</x:f>
        <x:v>0.05000000000000002</x:v>
      </x:c>
      <x:c r="O7" s="126" t="n">
        <x:v>0.02</x:v>
      </x:c>
      <x:c r="P7" s="126" t="n">
        <x:v>0.002</x:v>
      </x:c>
      <x:c r="Q7" s="126" t="n">
        <x:v>0.01</x:v>
      </x:c>
      <x:c r="R7" s="126" t="n">
        <x:v>0</x:v>
      </x:c>
      <x:c r="S7" s="126" t="n">
        <x:v>0</x:v>
      </x:c>
      <x:c r="T7" s="126" t="n">
        <x:v>0</x:v>
      </x:c>
      <x:c r="U7" s="126" t="n">
        <x:v>0</x:v>
      </x:c>
      <x:c r="V7" s="127" t="n">
        <x:v>0.004</x:v>
      </x:c>
      <x:c r="W7" s="127" t="n">
        <x:v>0.004</x:v>
      </x:c>
      <x:c r="X7" s="127" t="n">
        <x:v>0.004</x:v>
      </x:c>
      <x:c r="Y7" s="127" t="n">
        <x:v>0.004</x:v>
      </x:c>
      <x:c r="Z7" s="127" t="n">
        <x:v>0.002</x:v>
      </x:c>
      <x:c r="AA7" s="71" t="str">
        <x:f>IF(AND(A7&lt;&gt;"",B7&lt;&gt;"",G7&gt;0,M7&gt;=0,M7&lt;=999),"可回读","需修正")</x:f>
        <x:v>可回读</x:v>
      </x:c>
      <x:c r="AB7" s="71" t="str">
        <x:v>yuanshi_insect</x:v>
      </x:c>
      <x:c r="AC7" s="71" t="str">
        <x:v>res://resources/config/enemies/yuanshi_insect_shell.tres</x:v>
      </x:c>
      <x:c r="AD7" s="71" t="str">
        <x:v>res://scene/enemy/yuanshi_insect/yuanshi_insect_shell.tscn</x:v>
      </x:c>
    </x:row>
    <x:row r="8" ht="23" customHeight="1">
      <x:c r="A8" s="71" t="str">
        <x:v>迅捷原石虫</x:v>
      </x:c>
      <x:c r="B8" s="71" t="str">
        <x:v>yuanshi_insect_fast</x:v>
      </x:c>
      <x:c r="C8" s="71" t="str">
        <x:v>迅捷原石虫</x:v>
      </x:c>
      <x:c r="D8" s="71" t="str">
        <x:v>原石虫</x:v>
      </x:c>
      <x:c r="E8" s="71" t="str">
        <x:v>普通</x:v>
      </x:c>
      <x:c r="F8" s="71" t="str">
        <x:v>是</x:v>
      </x:c>
      <x:c r="G8" s="57" t="n">
        <x:v>35</x:v>
      </x:c>
      <x:c r="H8" s="57" t="n">
        <x:v>10</x:v>
      </x:c>
      <x:c r="I8" s="57" t="n">
        <x:v>0</x:v>
      </x:c>
      <x:c r="J8" s="57" t="n">
        <x:v>0</x:v>
      </x:c>
      <x:c r="K8" s="57" t="n">
        <x:v>40</x:v>
      </x:c>
      <x:c r="L8" s="57" t="n">
        <x:v>1</x:v>
      </x:c>
      <x:c r="M8" s="92" t="n">
        <x:v>1</x:v>
      </x:c>
      <x:c r="N8" s="92" t="n">
        <x:f>SUM(O8:Z8)</x:f>
        <x:v>0.05000000000000002</x:v>
      </x:c>
      <x:c r="O8" s="126" t="n">
        <x:v>0.02</x:v>
      </x:c>
      <x:c r="P8" s="126" t="n">
        <x:v>0.002</x:v>
      </x:c>
      <x:c r="Q8" s="126" t="n">
        <x:v>0.01</x:v>
      </x:c>
      <x:c r="R8" s="126" t="n">
        <x:v>0</x:v>
      </x:c>
      <x:c r="S8" s="126" t="n">
        <x:v>0</x:v>
      </x:c>
      <x:c r="T8" s="126" t="n">
        <x:v>0</x:v>
      </x:c>
      <x:c r="U8" s="126" t="n">
        <x:v>0</x:v>
      </x:c>
      <x:c r="V8" s="127" t="n">
        <x:v>0.004</x:v>
      </x:c>
      <x:c r="W8" s="127" t="n">
        <x:v>0.004</x:v>
      </x:c>
      <x:c r="X8" s="127" t="n">
        <x:v>0.004</x:v>
      </x:c>
      <x:c r="Y8" s="127" t="n">
        <x:v>0.004</x:v>
      </x:c>
      <x:c r="Z8" s="127" t="n">
        <x:v>0.002</x:v>
      </x:c>
      <x:c r="AA8" s="71" t="str">
        <x:f>IF(AND(A8&lt;&gt;"",B8&lt;&gt;"",G8&gt;0,M8&gt;=0,M8&lt;=999),"可回读","需修正")</x:f>
        <x:v>可回读</x:v>
      </x:c>
      <x:c r="AB8" s="71" t="str">
        <x:v>yuanshi_insect</x:v>
      </x:c>
      <x:c r="AC8" s="71" t="str">
        <x:v>res://resources/config/enemies/yuanshi_insect_fast.tres</x:v>
      </x:c>
      <x:c r="AD8" s="71" t="str">
        <x:v>res://scene/enemy/yuanshi_insect/yuanshi_insect_fast.tscn</x:v>
      </x:c>
    </x:row>
    <x:row r="9" ht="23" customHeight="1">
      <x:c r="A9" s="71" t="str">
        <x:v>自爆原石虫</x:v>
      </x:c>
      <x:c r="B9" s="71" t="str">
        <x:v>yuanshi_insect_bomber</x:v>
      </x:c>
      <x:c r="C9" s="71" t="str">
        <x:v>自爆原石虫</x:v>
      </x:c>
      <x:c r="D9" s="71" t="str">
        <x:v>原石虫</x:v>
      </x:c>
      <x:c r="E9" s="71" t="str">
        <x:v>普通</x:v>
      </x:c>
      <x:c r="F9" s="71" t="str">
        <x:v>是</x:v>
      </x:c>
      <x:c r="G9" s="57" t="n">
        <x:v>30</x:v>
      </x:c>
      <x:c r="H9" s="57" t="n">
        <x:v>10</x:v>
      </x:c>
      <x:c r="I9" s="57" t="n">
        <x:v>0</x:v>
      </x:c>
      <x:c r="J9" s="57" t="n">
        <x:v>0</x:v>
      </x:c>
      <x:c r="K9" s="57" t="n">
        <x:v>18</x:v>
      </x:c>
      <x:c r="L9" s="57" t="n">
        <x:v>1</x:v>
      </x:c>
      <x:c r="M9" s="92" t="n">
        <x:v>1</x:v>
      </x:c>
      <x:c r="N9" s="92" t="n">
        <x:f>SUM(O9:Z9)</x:f>
        <x:v>0.05000000000000002</x:v>
      </x:c>
      <x:c r="O9" s="126" t="n">
        <x:v>0.02</x:v>
      </x:c>
      <x:c r="P9" s="126" t="n">
        <x:v>0.002</x:v>
      </x:c>
      <x:c r="Q9" s="126" t="n">
        <x:v>0.01</x:v>
      </x:c>
      <x:c r="R9" s="126" t="n">
        <x:v>0</x:v>
      </x:c>
      <x:c r="S9" s="126" t="n">
        <x:v>0</x:v>
      </x:c>
      <x:c r="T9" s="126" t="n">
        <x:v>0</x:v>
      </x:c>
      <x:c r="U9" s="126" t="n">
        <x:v>0</x:v>
      </x:c>
      <x:c r="V9" s="127" t="n">
        <x:v>0.004</x:v>
      </x:c>
      <x:c r="W9" s="127" t="n">
        <x:v>0.004</x:v>
      </x:c>
      <x:c r="X9" s="127" t="n">
        <x:v>0.004</x:v>
      </x:c>
      <x:c r="Y9" s="127" t="n">
        <x:v>0.004</x:v>
      </x:c>
      <x:c r="Z9" s="127" t="n">
        <x:v>0.002</x:v>
      </x:c>
      <x:c r="AA9" s="71" t="str">
        <x:f>IF(AND(A9&lt;&gt;"",B9&lt;&gt;"",G9&gt;0,M9&gt;=0,M9&lt;=999),"可回读","需修正")</x:f>
        <x:v>可回读</x:v>
      </x:c>
      <x:c r="AB9" s="71" t="str">
        <x:v>yuanshi_insect</x:v>
      </x:c>
      <x:c r="AC9" s="71" t="str">
        <x:v>res://resources/config/enemies/yuanshi_insect_bomber.tres</x:v>
      </x:c>
      <x:c r="AD9" s="71" t="str">
        <x:v>res://scene/enemy/yuanshi_insect/yuanshi_insect_bomber.tscn</x:v>
      </x:c>
    </x:row>
    <x:row r="10" ht="23" customHeight="1">
      <x:c r="A10" s="71" t="str">
        <x:v>紫晶自爆原石虫</x:v>
      </x:c>
      <x:c r="B10" s="71" t="str">
        <x:v>yuanshi_insect_purple_bomber</x:v>
      </x:c>
      <x:c r="C10" s="71" t="str">
        <x:v>紫晶自爆原石虫</x:v>
      </x:c>
      <x:c r="D10" s="71" t="str">
        <x:v>原石虫</x:v>
      </x:c>
      <x:c r="E10" s="71" t="str">
        <x:v>普通</x:v>
      </x:c>
      <x:c r="F10" s="71" t="str">
        <x:v>是</x:v>
      </x:c>
      <x:c r="G10" s="57" t="n">
        <x:v>40</x:v>
      </x:c>
      <x:c r="H10" s="57" t="n">
        <x:v>10</x:v>
      </x:c>
      <x:c r="I10" s="57" t="n">
        <x:v>0</x:v>
      </x:c>
      <x:c r="J10" s="57" t="n">
        <x:v>0</x:v>
      </x:c>
      <x:c r="K10" s="57" t="n">
        <x:v>32</x:v>
      </x:c>
      <x:c r="L10" s="57" t="n">
        <x:v>1</x:v>
      </x:c>
      <x:c r="M10" s="92" t="n">
        <x:v>2</x:v>
      </x:c>
      <x:c r="N10" s="92" t="n">
        <x:f>SUM(O10:Z10)</x:f>
        <x:v>0.05000000000000002</x:v>
      </x:c>
      <x:c r="O10" s="126" t="n">
        <x:v>0.02</x:v>
      </x:c>
      <x:c r="P10" s="126" t="n">
        <x:v>0.002</x:v>
      </x:c>
      <x:c r="Q10" s="126" t="n">
        <x:v>0.01</x:v>
      </x:c>
      <x:c r="R10" s="126" t="n">
        <x:v>0</x:v>
      </x:c>
      <x:c r="S10" s="126" t="n">
        <x:v>0</x:v>
      </x:c>
      <x:c r="T10" s="126" t="n">
        <x:v>0</x:v>
      </x:c>
      <x:c r="U10" s="126" t="n">
        <x:v>0</x:v>
      </x:c>
      <x:c r="V10" s="127" t="n">
        <x:v>0.004</x:v>
      </x:c>
      <x:c r="W10" s="127" t="n">
        <x:v>0.004</x:v>
      </x:c>
      <x:c r="X10" s="127" t="n">
        <x:v>0.004</x:v>
      </x:c>
      <x:c r="Y10" s="127" t="n">
        <x:v>0.004</x:v>
      </x:c>
      <x:c r="Z10" s="127" t="n">
        <x:v>0.002</x:v>
      </x:c>
      <x:c r="AA10" s="71" t="str">
        <x:f>IF(AND(A10&lt;&gt;"",B10&lt;&gt;"",G10&gt;0,M10&gt;=0,M10&lt;=999),"可回读","需修正")</x:f>
        <x:v>可回读</x:v>
      </x:c>
      <x:c r="AB10" s="71" t="str">
        <x:v>yuanshi_insect</x:v>
      </x:c>
      <x:c r="AC10" s="71" t="str">
        <x:v>res://resources/config/enemies/yuanshi_insect_purple_bomber.tres</x:v>
      </x:c>
      <x:c r="AD10" s="71" t="str">
        <x:v>res://scene/enemy/yuanshi_insect/yuanshi_insect_purple_bomber.tscn</x:v>
      </x:c>
    </x:row>
    <x:row r="11" ht="23" customHeight="1">
      <x:c r="A11" s="71" t="str">
        <x:v>翠壳原石虫</x:v>
      </x:c>
      <x:c r="B11" s="71" t="str">
        <x:v>yuanshi_insect_green_shell</x:v>
      </x:c>
      <x:c r="C11" s="71" t="str">
        <x:v>翠壳原石虫</x:v>
      </x:c>
      <x:c r="D11" s="71" t="str">
        <x:v>原石虫</x:v>
      </x:c>
      <x:c r="E11" s="71" t="str">
        <x:v>普通</x:v>
      </x:c>
      <x:c r="F11" s="71" t="str">
        <x:v>是</x:v>
      </x:c>
      <x:c r="G11" s="57" t="n">
        <x:v>200</x:v>
      </x:c>
      <x:c r="H11" s="57" t="n">
        <x:v>20</x:v>
      </x:c>
      <x:c r="I11" s="57" t="n">
        <x:v>5</x:v>
      </x:c>
      <x:c r="J11" s="57" t="n">
        <x:v>0</x:v>
      </x:c>
      <x:c r="K11" s="57" t="n">
        <x:v>15</x:v>
      </x:c>
      <x:c r="L11" s="57" t="n">
        <x:v>1</x:v>
      </x:c>
      <x:c r="M11" s="92" t="n">
        <x:v>2</x:v>
      </x:c>
      <x:c r="N11" s="92" t="n">
        <x:f>SUM(O11:Z11)</x:f>
        <x:v>0.05000000000000002</x:v>
      </x:c>
      <x:c r="O11" s="126" t="n">
        <x:v>0.02</x:v>
      </x:c>
      <x:c r="P11" s="126" t="n">
        <x:v>0.002</x:v>
      </x:c>
      <x:c r="Q11" s="126" t="n">
        <x:v>0.01</x:v>
      </x:c>
      <x:c r="R11" s="126" t="n">
        <x:v>0</x:v>
      </x:c>
      <x:c r="S11" s="126" t="n">
        <x:v>0</x:v>
      </x:c>
      <x:c r="T11" s="126" t="n">
        <x:v>0</x:v>
      </x:c>
      <x:c r="U11" s="126" t="n">
        <x:v>0</x:v>
      </x:c>
      <x:c r="V11" s="127" t="n">
        <x:v>0.004</x:v>
      </x:c>
      <x:c r="W11" s="127" t="n">
        <x:v>0.004</x:v>
      </x:c>
      <x:c r="X11" s="127" t="n">
        <x:v>0.004</x:v>
      </x:c>
      <x:c r="Y11" s="127" t="n">
        <x:v>0.004</x:v>
      </x:c>
      <x:c r="Z11" s="127" t="n">
        <x:v>0.002</x:v>
      </x:c>
      <x:c r="AA11" s="71" t="str">
        <x:f>IF(AND(A11&lt;&gt;"",B11&lt;&gt;"",G11&gt;0,M11&gt;=0,M11&lt;=999),"可回读","需修正")</x:f>
        <x:v>可回读</x:v>
      </x:c>
      <x:c r="AB11" s="71" t="str">
        <x:v>yuanshi_insect</x:v>
      </x:c>
      <x:c r="AC11" s="71" t="str">
        <x:v>res://resources/config/enemies/yuanshi_insect_green_shell.tres</x:v>
      </x:c>
      <x:c r="AD11" s="71" t="str">
        <x:v>res://scene/enemy/yuanshi_insect/yuanshi_insect_green_shell.tscn</x:v>
      </x:c>
    </x:row>
    <x:row r="12" ht="23" customHeight="1">
      <x:c r="A12" s="71" t="str">
        <x:v>火焰弹原石虫</x:v>
      </x:c>
      <x:c r="B12" s="71" t="str">
        <x:v>yuanshi_insect_fire_ranged</x:v>
      </x:c>
      <x:c r="C12" s="71" t="str">
        <x:v>火焰弹原石虫</x:v>
      </x:c>
      <x:c r="D12" s="71" t="str">
        <x:v>原石虫</x:v>
      </x:c>
      <x:c r="E12" s="71" t="str">
        <x:v>普通</x:v>
      </x:c>
      <x:c r="F12" s="71" t="str">
        <x:v>是</x:v>
      </x:c>
      <x:c r="G12" s="57" t="n">
        <x:v>40</x:v>
      </x:c>
      <x:c r="H12" s="57" t="n">
        <x:v>25</x:v>
      </x:c>
      <x:c r="I12" s="57" t="n">
        <x:v>0</x:v>
      </x:c>
      <x:c r="J12" s="57" t="n">
        <x:v>0</x:v>
      </x:c>
      <x:c r="K12" s="57" t="n">
        <x:v>22</x:v>
      </x:c>
      <x:c r="L12" s="57" t="n">
        <x:v>1</x:v>
      </x:c>
      <x:c r="M12" s="92" t="n">
        <x:v>1</x:v>
      </x:c>
      <x:c r="N12" s="92" t="n">
        <x:f>SUM(O12:Z12)</x:f>
        <x:v>0.05000000000000002</x:v>
      </x:c>
      <x:c r="O12" s="126" t="n">
        <x:v>0.02</x:v>
      </x:c>
      <x:c r="P12" s="126" t="n">
        <x:v>0.002</x:v>
      </x:c>
      <x:c r="Q12" s="126" t="n">
        <x:v>0.01</x:v>
      </x:c>
      <x:c r="R12" s="126" t="n">
        <x:v>0</x:v>
      </x:c>
      <x:c r="S12" s="126" t="n">
        <x:v>0</x:v>
      </x:c>
      <x:c r="T12" s="126" t="n">
        <x:v>0</x:v>
      </x:c>
      <x:c r="U12" s="126" t="n">
        <x:v>0</x:v>
      </x:c>
      <x:c r="V12" s="127" t="n">
        <x:v>0.004</x:v>
      </x:c>
      <x:c r="W12" s="127" t="n">
        <x:v>0.004</x:v>
      </x:c>
      <x:c r="X12" s="127" t="n">
        <x:v>0.004</x:v>
      </x:c>
      <x:c r="Y12" s="127" t="n">
        <x:v>0.004</x:v>
      </x:c>
      <x:c r="Z12" s="127" t="n">
        <x:v>0.002</x:v>
      </x:c>
      <x:c r="AA12" s="71" t="str">
        <x:f>IF(AND(A12&lt;&gt;"",B12&lt;&gt;"",G12&gt;0,M12&gt;=0,M12&lt;=999),"可回读","需修正")</x:f>
        <x:v>可回读</x:v>
      </x:c>
      <x:c r="AB12" s="71" t="str">
        <x:v>yuanshi_insect</x:v>
      </x:c>
      <x:c r="AC12" s="71" t="str">
        <x:v>res://resources/config/enemies/yuanshi_insect_fire_ranged.tres</x:v>
      </x:c>
      <x:c r="AD12" s="71" t="str">
        <x:v>res://scene/enemy/yuanshi_insect/yuanshi_insect_fire_ranged.tscn</x:v>
      </x:c>
    </x:row>
    <x:row r="13" ht="23" customHeight="1">
      <x:c r="A13" s="71" t="str">
        <x:v>守护者原石虫</x:v>
      </x:c>
      <x:c r="B13" s="71" t="str">
        <x:v>yuanshi_insect_guardian</x:v>
      </x:c>
      <x:c r="C13" s="71" t="str">
        <x:v>守护者原石虫</x:v>
      </x:c>
      <x:c r="D13" s="71" t="str">
        <x:v>原石虫</x:v>
      </x:c>
      <x:c r="E13" s="71" t="str">
        <x:v>普通</x:v>
      </x:c>
      <x:c r="F13" s="71" t="str">
        <x:v>是</x:v>
      </x:c>
      <x:c r="G13" s="57" t="n">
        <x:v>150</x:v>
      </x:c>
      <x:c r="H13" s="57" t="n">
        <x:v>10</x:v>
      </x:c>
      <x:c r="I13" s="57" t="n">
        <x:v>5</x:v>
      </x:c>
      <x:c r="J13" s="57" t="n">
        <x:v>0</x:v>
      </x:c>
      <x:c r="K13" s="57" t="n">
        <x:v>20</x:v>
      </x:c>
      <x:c r="L13" s="57" t="n">
        <x:v>1</x:v>
      </x:c>
      <x:c r="M13" s="92" t="n">
        <x:v>2</x:v>
      </x:c>
      <x:c r="N13" s="92" t="n">
        <x:f>SUM(O13:Z13)</x:f>
        <x:v>0.05000000000000002</x:v>
      </x:c>
      <x:c r="O13" s="126" t="n">
        <x:v>0.02</x:v>
      </x:c>
      <x:c r="P13" s="126" t="n">
        <x:v>0.002</x:v>
      </x:c>
      <x:c r="Q13" s="126" t="n">
        <x:v>0.01</x:v>
      </x:c>
      <x:c r="R13" s="126" t="n">
        <x:v>0</x:v>
      </x:c>
      <x:c r="S13" s="126" t="n">
        <x:v>0</x:v>
      </x:c>
      <x:c r="T13" s="126" t="n">
        <x:v>0</x:v>
      </x:c>
      <x:c r="U13" s="126" t="n">
        <x:v>0</x:v>
      </x:c>
      <x:c r="V13" s="127" t="n">
        <x:v>0.004</x:v>
      </x:c>
      <x:c r="W13" s="127" t="n">
        <x:v>0.004</x:v>
      </x:c>
      <x:c r="X13" s="127" t="n">
        <x:v>0.004</x:v>
      </x:c>
      <x:c r="Y13" s="127" t="n">
        <x:v>0.004</x:v>
      </x:c>
      <x:c r="Z13" s="127" t="n">
        <x:v>0.002</x:v>
      </x:c>
      <x:c r="AA13" s="71" t="str">
        <x:f>IF(AND(A13&lt;&gt;"",B13&lt;&gt;"",G13&gt;0,M13&gt;=0,M13&lt;=999),"可回读","需修正")</x:f>
        <x:v>可回读</x:v>
      </x:c>
      <x:c r="AB13" s="71" t="str">
        <x:v>yuanshi_insect</x:v>
      </x:c>
      <x:c r="AC13" s="71" t="str">
        <x:v>res://resources/config/enemies/yuanshi_insect_guardian.tres</x:v>
      </x:c>
      <x:c r="AD13" s="71" t="str">
        <x:v>res://scene/enemy/yuanshi_insect/yuanshi_insect_guardian.tscn</x:v>
      </x:c>
    </x:row>
    <x:row r="14" ht="23" customHeight="1">
      <x:c r="A14" s="71" t="str">
        <x:v>被石头侵蚀的普通原石虫</x:v>
      </x:c>
      <x:c r="B14" s="71" t="str">
        <x:v>stone_eroded_yuanshi_insect_basic</x:v>
      </x:c>
      <x:c r="C14" s="71" t="str">
        <x:v>被石头侵蚀的普通原石虫</x:v>
      </x:c>
      <x:c r="D14" s="71" t="str">
        <x:v>原石虫</x:v>
      </x:c>
      <x:c r="E14" s="71" t="str">
        <x:v>普通</x:v>
      </x:c>
      <x:c r="F14" s="71" t="str">
        <x:v>否</x:v>
      </x:c>
      <x:c r="G14" s="57" t="n">
        <x:v>80</x:v>
      </x:c>
      <x:c r="H14" s="57" t="n">
        <x:v>10</x:v>
      </x:c>
      <x:c r="I14" s="57" t="n">
        <x:v>150</x:v>
      </x:c>
      <x:c r="J14" s="57" t="n">
        <x:v>0</x:v>
      </x:c>
      <x:c r="K14" s="57" t="n">
        <x:v>20</x:v>
      </x:c>
      <x:c r="L14" s="57" t="n">
        <x:v>1</x:v>
      </x:c>
      <x:c r="M14" s="92" t="n">
        <x:v>1</x:v>
      </x:c>
      <x:c r="N14" s="92" t="n">
        <x:f>SUM(O14:Z14)</x:f>
        <x:v>0.05000000000000002</x:v>
      </x:c>
      <x:c r="O14" s="126" t="n">
        <x:v>0.02</x:v>
      </x:c>
      <x:c r="P14" s="126" t="n">
        <x:v>0.002</x:v>
      </x:c>
      <x:c r="Q14" s="126" t="n">
        <x:v>0.01</x:v>
      </x:c>
      <x:c r="R14" s="126" t="n">
        <x:v>0</x:v>
      </x:c>
      <x:c r="S14" s="126" t="n">
        <x:v>0</x:v>
      </x:c>
      <x:c r="T14" s="126" t="n">
        <x:v>0</x:v>
      </x:c>
      <x:c r="U14" s="126" t="n">
        <x:v>0</x:v>
      </x:c>
      <x:c r="V14" s="127" t="n">
        <x:v>0.004</x:v>
      </x:c>
      <x:c r="W14" s="127" t="n">
        <x:v>0.004</x:v>
      </x:c>
      <x:c r="X14" s="127" t="n">
        <x:v>0.004</x:v>
      </x:c>
      <x:c r="Y14" s="127" t="n">
        <x:v>0.004</x:v>
      </x:c>
      <x:c r="Z14" s="127" t="n">
        <x:v>0.002</x:v>
      </x:c>
      <x:c r="AA14" s="71" t="str">
        <x:f>IF(AND(A14&lt;&gt;"",B14&lt;&gt;"",G14&gt;0,M14&gt;=0,M14&lt;=999),"可回读","需修正")</x:f>
        <x:v>可回读</x:v>
      </x:c>
      <x:c r="AB14" s="71" t="str">
        <x:v>yuanshi_insect, stone_eroded</x:v>
      </x:c>
      <x:c r="AC14" s="71" t="str">
        <x:v>res://resources/config/enemies/stone_eroded_yuanshi_insect_basic.tres</x:v>
      </x:c>
      <x:c r="AD14" s="71" t="str">
        <x:v>res://scene/enemy/stone_eroded/stone_eroded_yuanshi_insect_basic.tscn</x:v>
      </x:c>
    </x:row>
    <x:row r="15" ht="23" customHeight="1">
      <x:c r="A15" s="71" t="str">
        <x:v>被石头侵蚀的硬壳原石虫</x:v>
      </x:c>
      <x:c r="B15" s="71" t="str">
        <x:v>stone_eroded_yuanshi_insect_shell</x:v>
      </x:c>
      <x:c r="C15" s="71" t="str">
        <x:v>被石头侵蚀的硬壳原石虫</x:v>
      </x:c>
      <x:c r="D15" s="71" t="str">
        <x:v>原石虫</x:v>
      </x:c>
      <x:c r="E15" s="71" t="str">
        <x:v>普通</x:v>
      </x:c>
      <x:c r="F15" s="71" t="str">
        <x:v>否</x:v>
      </x:c>
      <x:c r="G15" s="57" t="n">
        <x:v>280</x:v>
      </x:c>
      <x:c r="H15" s="57" t="n">
        <x:v>14</x:v>
      </x:c>
      <x:c r="I15" s="57" t="n">
        <x:v>150</x:v>
      </x:c>
      <x:c r="J15" s="57" t="n">
        <x:v>0</x:v>
      </x:c>
      <x:c r="K15" s="57" t="n">
        <x:v>20</x:v>
      </x:c>
      <x:c r="L15" s="57" t="n">
        <x:v>1</x:v>
      </x:c>
      <x:c r="M15" s="92" t="n">
        <x:v>2</x:v>
      </x:c>
      <x:c r="N15" s="92" t="n">
        <x:f>SUM(O15:Z15)</x:f>
        <x:v>0.05000000000000002</x:v>
      </x:c>
      <x:c r="O15" s="126" t="n">
        <x:v>0.02</x:v>
      </x:c>
      <x:c r="P15" s="126" t="n">
        <x:v>0.002</x:v>
      </x:c>
      <x:c r="Q15" s="126" t="n">
        <x:v>0.01</x:v>
      </x:c>
      <x:c r="R15" s="126" t="n">
        <x:v>0</x:v>
      </x:c>
      <x:c r="S15" s="126" t="n">
        <x:v>0</x:v>
      </x:c>
      <x:c r="T15" s="126" t="n">
        <x:v>0</x:v>
      </x:c>
      <x:c r="U15" s="126" t="n">
        <x:v>0</x:v>
      </x:c>
      <x:c r="V15" s="127" t="n">
        <x:v>0.004</x:v>
      </x:c>
      <x:c r="W15" s="127" t="n">
        <x:v>0.004</x:v>
      </x:c>
      <x:c r="X15" s="127" t="n">
        <x:v>0.004</x:v>
      </x:c>
      <x:c r="Y15" s="127" t="n">
        <x:v>0.004</x:v>
      </x:c>
      <x:c r="Z15" s="127" t="n">
        <x:v>0.002</x:v>
      </x:c>
      <x:c r="AA15" s="71" t="str">
        <x:f>IF(AND(A15&lt;&gt;"",B15&lt;&gt;"",G15&gt;0,M15&gt;=0,M15&lt;=999),"可回读","需修正")</x:f>
        <x:v>可回读</x:v>
      </x:c>
      <x:c r="AB15" s="71" t="str">
        <x:v>yuanshi_insect, stone_eroded</x:v>
      </x:c>
      <x:c r="AC15" s="71" t="str">
        <x:v>res://resources/config/enemies/stone_eroded_yuanshi_insect_shell.tres</x:v>
      </x:c>
      <x:c r="AD15" s="71" t="str">
        <x:v>res://scene/enemy/stone_eroded/stone_eroded_yuanshi_insect_shell.tscn</x:v>
      </x:c>
    </x:row>
    <x:row r="16" ht="23" customHeight="1">
      <x:c r="A16" s="71" t="str">
        <x:v>被石头侵蚀的迅捷原石虫</x:v>
      </x:c>
      <x:c r="B16" s="71" t="str">
        <x:v>stone_eroded_yuanshi_insect_fast</x:v>
      </x:c>
      <x:c r="C16" s="71" t="str">
        <x:v>被石头侵蚀的迅捷原石虫</x:v>
      </x:c>
      <x:c r="D16" s="71" t="str">
        <x:v>原石虫</x:v>
      </x:c>
      <x:c r="E16" s="71" t="str">
        <x:v>普通</x:v>
      </x:c>
      <x:c r="F16" s="71" t="str">
        <x:v>否</x:v>
      </x:c>
      <x:c r="G16" s="57" t="n">
        <x:v>70</x:v>
      </x:c>
      <x:c r="H16" s="57" t="n">
        <x:v>10</x:v>
      </x:c>
      <x:c r="I16" s="57" t="n">
        <x:v>150</x:v>
      </x:c>
      <x:c r="J16" s="57" t="n">
        <x:v>0</x:v>
      </x:c>
      <x:c r="K16" s="57" t="n">
        <x:v>40</x:v>
      </x:c>
      <x:c r="L16" s="57" t="n">
        <x:v>1</x:v>
      </x:c>
      <x:c r="M16" s="92" t="n">
        <x:v>1</x:v>
      </x:c>
      <x:c r="N16" s="92" t="n">
        <x:f>SUM(O16:Z16)</x:f>
        <x:v>0.05000000000000002</x:v>
      </x:c>
      <x:c r="O16" s="126" t="n">
        <x:v>0.02</x:v>
      </x:c>
      <x:c r="P16" s="126" t="n">
        <x:v>0.002</x:v>
      </x:c>
      <x:c r="Q16" s="126" t="n">
        <x:v>0.01</x:v>
      </x:c>
      <x:c r="R16" s="126" t="n">
        <x:v>0</x:v>
      </x:c>
      <x:c r="S16" s="126" t="n">
        <x:v>0</x:v>
      </x:c>
      <x:c r="T16" s="126" t="n">
        <x:v>0</x:v>
      </x:c>
      <x:c r="U16" s="126" t="n">
        <x:v>0</x:v>
      </x:c>
      <x:c r="V16" s="127" t="n">
        <x:v>0.004</x:v>
      </x:c>
      <x:c r="W16" s="127" t="n">
        <x:v>0.004</x:v>
      </x:c>
      <x:c r="X16" s="127" t="n">
        <x:v>0.004</x:v>
      </x:c>
      <x:c r="Y16" s="127" t="n">
        <x:v>0.004</x:v>
      </x:c>
      <x:c r="Z16" s="127" t="n">
        <x:v>0.002</x:v>
      </x:c>
      <x:c r="AA16" s="71" t="str">
        <x:f>IF(AND(A16&lt;&gt;"",B16&lt;&gt;"",G16&gt;0,M16&gt;=0,M16&lt;=999),"可回读","需修正")</x:f>
        <x:v>可回读</x:v>
      </x:c>
      <x:c r="AB16" s="71" t="str">
        <x:v>yuanshi_insect, stone_eroded</x:v>
      </x:c>
      <x:c r="AC16" s="71" t="str">
        <x:v>res://resources/config/enemies/stone_eroded_yuanshi_insect_fast.tres</x:v>
      </x:c>
      <x:c r="AD16" s="71" t="str">
        <x:v>res://scene/enemy/stone_eroded/stone_eroded_yuanshi_insect_fast.tscn</x:v>
      </x:c>
    </x:row>
    <x:row r="17" ht="23" customHeight="1">
      <x:c r="A17" s="71" t="str">
        <x:v>被石头侵蚀的自爆原石虫</x:v>
      </x:c>
      <x:c r="B17" s="71" t="str">
        <x:v>stone_eroded_yuanshi_insect_bomber</x:v>
      </x:c>
      <x:c r="C17" s="71" t="str">
        <x:v>被石头侵蚀的自爆原石虫</x:v>
      </x:c>
      <x:c r="D17" s="71" t="str">
        <x:v>原石虫</x:v>
      </x:c>
      <x:c r="E17" s="71" t="str">
        <x:v>普通</x:v>
      </x:c>
      <x:c r="F17" s="71" t="str">
        <x:v>否</x:v>
      </x:c>
      <x:c r="G17" s="57" t="n">
        <x:v>60</x:v>
      </x:c>
      <x:c r="H17" s="57" t="n">
        <x:v>10</x:v>
      </x:c>
      <x:c r="I17" s="57" t="n">
        <x:v>150</x:v>
      </x:c>
      <x:c r="J17" s="57" t="n">
        <x:v>0</x:v>
      </x:c>
      <x:c r="K17" s="57" t="n">
        <x:v>18</x:v>
      </x:c>
      <x:c r="L17" s="57" t="n">
        <x:v>1</x:v>
      </x:c>
      <x:c r="M17" s="92" t="n">
        <x:v>1</x:v>
      </x:c>
      <x:c r="N17" s="92" t="n">
        <x:f>SUM(O17:Z17)</x:f>
        <x:v>0.05000000000000002</x:v>
      </x:c>
      <x:c r="O17" s="126" t="n">
        <x:v>0.02</x:v>
      </x:c>
      <x:c r="P17" s="126" t="n">
        <x:v>0.002</x:v>
      </x:c>
      <x:c r="Q17" s="126" t="n">
        <x:v>0.01</x:v>
      </x:c>
      <x:c r="R17" s="126" t="n">
        <x:v>0</x:v>
      </x:c>
      <x:c r="S17" s="126" t="n">
        <x:v>0</x:v>
      </x:c>
      <x:c r="T17" s="126" t="n">
        <x:v>0</x:v>
      </x:c>
      <x:c r="U17" s="126" t="n">
        <x:v>0</x:v>
      </x:c>
      <x:c r="V17" s="127" t="n">
        <x:v>0.004</x:v>
      </x:c>
      <x:c r="W17" s="127" t="n">
        <x:v>0.004</x:v>
      </x:c>
      <x:c r="X17" s="127" t="n">
        <x:v>0.004</x:v>
      </x:c>
      <x:c r="Y17" s="127" t="n">
        <x:v>0.004</x:v>
      </x:c>
      <x:c r="Z17" s="127" t="n">
        <x:v>0.002</x:v>
      </x:c>
      <x:c r="AA17" s="71" t="str">
        <x:f>IF(AND(A17&lt;&gt;"",B17&lt;&gt;"",G17&gt;0,M17&gt;=0,M17&lt;=999),"可回读","需修正")</x:f>
        <x:v>可回读</x:v>
      </x:c>
      <x:c r="AB17" s="71" t="str">
        <x:v>yuanshi_insect, stone_eroded</x:v>
      </x:c>
      <x:c r="AC17" s="71" t="str">
        <x:v>res://resources/config/enemies/stone_eroded_yuanshi_insect_bomber.tres</x:v>
      </x:c>
      <x:c r="AD17" s="71" t="str">
        <x:v>res://scene/enemy/stone_eroded/stone_eroded_yuanshi_insect_bomber.tscn</x:v>
      </x:c>
    </x:row>
    <x:row r="18" ht="23" customHeight="1">
      <x:c r="A18" s="71" t="str">
        <x:v>被石头侵蚀的紫晶自爆原石虫</x:v>
      </x:c>
      <x:c r="B18" s="71" t="str">
        <x:v>stone_eroded_yuanshi_insect_purple_bomber</x:v>
      </x:c>
      <x:c r="C18" s="71" t="str">
        <x:v>被石头侵蚀的紫晶自爆原石虫</x:v>
      </x:c>
      <x:c r="D18" s="71" t="str">
        <x:v>原石虫</x:v>
      </x:c>
      <x:c r="E18" s="71" t="str">
        <x:v>普通</x:v>
      </x:c>
      <x:c r="F18" s="71" t="str">
        <x:v>否</x:v>
      </x:c>
      <x:c r="G18" s="57" t="n">
        <x:v>80</x:v>
      </x:c>
      <x:c r="H18" s="57" t="n">
        <x:v>10</x:v>
      </x:c>
      <x:c r="I18" s="57" t="n">
        <x:v>150</x:v>
      </x:c>
      <x:c r="J18" s="57" t="n">
        <x:v>0</x:v>
      </x:c>
      <x:c r="K18" s="57" t="n">
        <x:v>32</x:v>
      </x:c>
      <x:c r="L18" s="57" t="n">
        <x:v>1</x:v>
      </x:c>
      <x:c r="M18" s="92" t="n">
        <x:v>2</x:v>
      </x:c>
      <x:c r="N18" s="92" t="n">
        <x:f>SUM(O18:Z18)</x:f>
        <x:v>0.05000000000000002</x:v>
      </x:c>
      <x:c r="O18" s="126" t="n">
        <x:v>0.02</x:v>
      </x:c>
      <x:c r="P18" s="126" t="n">
        <x:v>0.002</x:v>
      </x:c>
      <x:c r="Q18" s="126" t="n">
        <x:v>0.01</x:v>
      </x:c>
      <x:c r="R18" s="126" t="n">
        <x:v>0</x:v>
      </x:c>
      <x:c r="S18" s="126" t="n">
        <x:v>0</x:v>
      </x:c>
      <x:c r="T18" s="126" t="n">
        <x:v>0</x:v>
      </x:c>
      <x:c r="U18" s="126" t="n">
        <x:v>0</x:v>
      </x:c>
      <x:c r="V18" s="127" t="n">
        <x:v>0.004</x:v>
      </x:c>
      <x:c r="W18" s="127" t="n">
        <x:v>0.004</x:v>
      </x:c>
      <x:c r="X18" s="127" t="n">
        <x:v>0.004</x:v>
      </x:c>
      <x:c r="Y18" s="127" t="n">
        <x:v>0.004</x:v>
      </x:c>
      <x:c r="Z18" s="127" t="n">
        <x:v>0.002</x:v>
      </x:c>
      <x:c r="AA18" s="71" t="str">
        <x:f>IF(AND(A18&lt;&gt;"",B18&lt;&gt;"",G18&gt;0,M18&gt;=0,M18&lt;=999),"可回读","需修正")</x:f>
        <x:v>可回读</x:v>
      </x:c>
      <x:c r="AB18" s="71" t="str">
        <x:v>yuanshi_insect, stone_eroded</x:v>
      </x:c>
      <x:c r="AC18" s="71" t="str">
        <x:v>res://resources/config/enemies/stone_eroded_yuanshi_insect_purple_bomber.tres</x:v>
      </x:c>
      <x:c r="AD18" s="71" t="str">
        <x:v>res://scene/enemy/stone_eroded/stone_eroded_yuanshi_insect_purple_bomber.tscn</x:v>
      </x:c>
    </x:row>
    <x:row r="19" ht="23" customHeight="1">
      <x:c r="A19" s="71" t="str">
        <x:v>被石头侵蚀的翠壳原石虫</x:v>
      </x:c>
      <x:c r="B19" s="71" t="str">
        <x:v>stone_eroded_yuanshi_insect_green_shell</x:v>
      </x:c>
      <x:c r="C19" s="71" t="str">
        <x:v>被石头侵蚀的翠壳原石虫</x:v>
      </x:c>
      <x:c r="D19" s="71" t="str">
        <x:v>原石虫</x:v>
      </x:c>
      <x:c r="E19" s="71" t="str">
        <x:v>普通</x:v>
      </x:c>
      <x:c r="F19" s="71" t="str">
        <x:v>否</x:v>
      </x:c>
      <x:c r="G19" s="57" t="n">
        <x:v>400</x:v>
      </x:c>
      <x:c r="H19" s="57" t="n">
        <x:v>20</x:v>
      </x:c>
      <x:c r="I19" s="57" t="n">
        <x:v>150</x:v>
      </x:c>
      <x:c r="J19" s="57" t="n">
        <x:v>0</x:v>
      </x:c>
      <x:c r="K19" s="57" t="n">
        <x:v>15</x:v>
      </x:c>
      <x:c r="L19" s="57" t="n">
        <x:v>1</x:v>
      </x:c>
      <x:c r="M19" s="92" t="n">
        <x:v>2</x:v>
      </x:c>
      <x:c r="N19" s="92" t="n">
        <x:f>SUM(O19:Z19)</x:f>
        <x:v>0.05000000000000002</x:v>
      </x:c>
      <x:c r="O19" s="126" t="n">
        <x:v>0.02</x:v>
      </x:c>
      <x:c r="P19" s="126" t="n">
        <x:v>0.002</x:v>
      </x:c>
      <x:c r="Q19" s="126" t="n">
        <x:v>0.01</x:v>
      </x:c>
      <x:c r="R19" s="126" t="n">
        <x:v>0</x:v>
      </x:c>
      <x:c r="S19" s="126" t="n">
        <x:v>0</x:v>
      </x:c>
      <x:c r="T19" s="126" t="n">
        <x:v>0</x:v>
      </x:c>
      <x:c r="U19" s="126" t="n">
        <x:v>0</x:v>
      </x:c>
      <x:c r="V19" s="127" t="n">
        <x:v>0.004</x:v>
      </x:c>
      <x:c r="W19" s="127" t="n">
        <x:v>0.004</x:v>
      </x:c>
      <x:c r="X19" s="127" t="n">
        <x:v>0.004</x:v>
      </x:c>
      <x:c r="Y19" s="127" t="n">
        <x:v>0.004</x:v>
      </x:c>
      <x:c r="Z19" s="127" t="n">
        <x:v>0.002</x:v>
      </x:c>
      <x:c r="AA19" s="71" t="str">
        <x:f>IF(AND(A19&lt;&gt;"",B19&lt;&gt;"",G19&gt;0,M19&gt;=0,M19&lt;=999),"可回读","需修正")</x:f>
        <x:v>可回读</x:v>
      </x:c>
      <x:c r="AB19" s="71" t="str">
        <x:v>yuanshi_insect, stone_eroded</x:v>
      </x:c>
      <x:c r="AC19" s="71" t="str">
        <x:v>res://resources/config/enemies/stone_eroded_yuanshi_insect_green_shell.tres</x:v>
      </x:c>
      <x:c r="AD19" s="71" t="str">
        <x:v>res://scene/enemy/stone_eroded/stone_eroded_yuanshi_insect_green_shell.tscn</x:v>
      </x:c>
    </x:row>
    <x:row r="20" ht="23" customHeight="1">
      <x:c r="A20" s="71" t="str">
        <x:v>被石头侵蚀的火焰弹原石虫</x:v>
      </x:c>
      <x:c r="B20" s="71" t="str">
        <x:v>stone_eroded_yuanshi_insect_fire_ranged</x:v>
      </x:c>
      <x:c r="C20" s="71" t="str">
        <x:v>被石头侵蚀的火焰弹原石虫</x:v>
      </x:c>
      <x:c r="D20" s="71" t="str">
        <x:v>原石虫</x:v>
      </x:c>
      <x:c r="E20" s="71" t="str">
        <x:v>普通</x:v>
      </x:c>
      <x:c r="F20" s="71" t="str">
        <x:v>否</x:v>
      </x:c>
      <x:c r="G20" s="57" t="n">
        <x:v>80</x:v>
      </x:c>
      <x:c r="H20" s="57" t="n">
        <x:v>25</x:v>
      </x:c>
      <x:c r="I20" s="57" t="n">
        <x:v>150</x:v>
      </x:c>
      <x:c r="J20" s="57" t="n">
        <x:v>0</x:v>
      </x:c>
      <x:c r="K20" s="57" t="n">
        <x:v>22</x:v>
      </x:c>
      <x:c r="L20" s="57" t="n">
        <x:v>1</x:v>
      </x:c>
      <x:c r="M20" s="92" t="n">
        <x:v>1</x:v>
      </x:c>
      <x:c r="N20" s="92" t="n">
        <x:f>SUM(O20:Z20)</x:f>
        <x:v>0.05000000000000002</x:v>
      </x:c>
      <x:c r="O20" s="126" t="n">
        <x:v>0.02</x:v>
      </x:c>
      <x:c r="P20" s="126" t="n">
        <x:v>0.002</x:v>
      </x:c>
      <x:c r="Q20" s="126" t="n">
        <x:v>0.01</x:v>
      </x:c>
      <x:c r="R20" s="126" t="n">
        <x:v>0</x:v>
      </x:c>
      <x:c r="S20" s="126" t="n">
        <x:v>0</x:v>
      </x:c>
      <x:c r="T20" s="126" t="n">
        <x:v>0</x:v>
      </x:c>
      <x:c r="U20" s="126" t="n">
        <x:v>0</x:v>
      </x:c>
      <x:c r="V20" s="127" t="n">
        <x:v>0.004</x:v>
      </x:c>
      <x:c r="W20" s="127" t="n">
        <x:v>0.004</x:v>
      </x:c>
      <x:c r="X20" s="127" t="n">
        <x:v>0.004</x:v>
      </x:c>
      <x:c r="Y20" s="127" t="n">
        <x:v>0.004</x:v>
      </x:c>
      <x:c r="Z20" s="127" t="n">
        <x:v>0.002</x:v>
      </x:c>
      <x:c r="AA20" s="71" t="str">
        <x:f>IF(AND(A20&lt;&gt;"",B20&lt;&gt;"",G20&gt;0,M20&gt;=0,M20&lt;=999),"可回读","需修正")</x:f>
        <x:v>可回读</x:v>
      </x:c>
      <x:c r="AB20" s="71" t="str">
        <x:v>yuanshi_insect, stone_eroded</x:v>
      </x:c>
      <x:c r="AC20" s="71" t="str">
        <x:v>res://resources/config/enemies/stone_eroded_yuanshi_insect_fire_ranged.tres</x:v>
      </x:c>
      <x:c r="AD20" s="71" t="str">
        <x:v>res://scene/enemy/stone_eroded/stone_eroded_yuanshi_insect_fire_ranged.tscn</x:v>
      </x:c>
    </x:row>
    <x:row r="21" ht="23" customHeight="1">
      <x:c r="A21" s="71" t="str">
        <x:v>被石头侵蚀的守护者原石虫</x:v>
      </x:c>
      <x:c r="B21" s="71" t="str">
        <x:v>stone_eroded_yuanshi_insect_guardian</x:v>
      </x:c>
      <x:c r="C21" s="71" t="str">
        <x:v>被石头侵蚀的守护者原石虫</x:v>
      </x:c>
      <x:c r="D21" s="71" t="str">
        <x:v>原石虫</x:v>
      </x:c>
      <x:c r="E21" s="71" t="str">
        <x:v>普通</x:v>
      </x:c>
      <x:c r="F21" s="71" t="str">
        <x:v>否</x:v>
      </x:c>
      <x:c r="G21" s="57" t="n">
        <x:v>300</x:v>
      </x:c>
      <x:c r="H21" s="57" t="n">
        <x:v>10</x:v>
      </x:c>
      <x:c r="I21" s="57" t="n">
        <x:v>150</x:v>
      </x:c>
      <x:c r="J21" s="57" t="n">
        <x:v>0</x:v>
      </x:c>
      <x:c r="K21" s="57" t="n">
        <x:v>20</x:v>
      </x:c>
      <x:c r="L21" s="57" t="n">
        <x:v>1</x:v>
      </x:c>
      <x:c r="M21" s="92" t="n">
        <x:v>2</x:v>
      </x:c>
      <x:c r="N21" s="92" t="n">
        <x:f>SUM(O21:Z21)</x:f>
        <x:v>0.05000000000000002</x:v>
      </x:c>
      <x:c r="O21" s="126" t="n">
        <x:v>0.02</x:v>
      </x:c>
      <x:c r="P21" s="126" t="n">
        <x:v>0.002</x:v>
      </x:c>
      <x:c r="Q21" s="126" t="n">
        <x:v>0.01</x:v>
      </x:c>
      <x:c r="R21" s="126" t="n">
        <x:v>0</x:v>
      </x:c>
      <x:c r="S21" s="126" t="n">
        <x:v>0</x:v>
      </x:c>
      <x:c r="T21" s="126" t="n">
        <x:v>0</x:v>
      </x:c>
      <x:c r="U21" s="126" t="n">
        <x:v>0</x:v>
      </x:c>
      <x:c r="V21" s="127" t="n">
        <x:v>0.004</x:v>
      </x:c>
      <x:c r="W21" s="127" t="n">
        <x:v>0.004</x:v>
      </x:c>
      <x:c r="X21" s="127" t="n">
        <x:v>0.004</x:v>
      </x:c>
      <x:c r="Y21" s="127" t="n">
        <x:v>0.004</x:v>
      </x:c>
      <x:c r="Z21" s="127" t="n">
        <x:v>0.002</x:v>
      </x:c>
      <x:c r="AA21" s="71" t="str">
        <x:f>IF(AND(A21&lt;&gt;"",B21&lt;&gt;"",G21&gt;0,M21&gt;=0,M21&lt;=999),"可回读","需修正")</x:f>
        <x:v>可回读</x:v>
      </x:c>
      <x:c r="AB21" s="71" t="str">
        <x:v>yuanshi_insect, stone_eroded</x:v>
      </x:c>
      <x:c r="AC21" s="71" t="str">
        <x:v>res://resources/config/enemies/stone_eroded_yuanshi_insect_guardian.tres</x:v>
      </x:c>
      <x:c r="AD21" s="71" t="str">
        <x:v>res://scene/enemy/stone_eroded/stone_eroded_yuanshi_insect_guardian.tscn</x:v>
      </x:c>
    </x:row>
    <x:row r="22" ht="23" customHeight="1">
      <x:c r="A22" s="71" t="str">
        <x:v>史莱姆</x:v>
      </x:c>
      <x:c r="B22" s="71" t="str">
        <x:v>slime_basic</x:v>
      </x:c>
      <x:c r="C22" s="71" t="str">
        <x:v>史莱姆</x:v>
      </x:c>
      <x:c r="D22" s="71" t="str">
        <x:v>史莱姆</x:v>
      </x:c>
      <x:c r="E22" s="71" t="str">
        <x:v>普通</x:v>
      </x:c>
      <x:c r="F22" s="71" t="str">
        <x:v>否</x:v>
      </x:c>
      <x:c r="G22" s="57" t="n">
        <x:v>100</x:v>
      </x:c>
      <x:c r="H22" s="57" t="n">
        <x:v>10</x:v>
      </x:c>
      <x:c r="I22" s="57" t="n">
        <x:v>0</x:v>
      </x:c>
      <x:c r="J22" s="57" t="n">
        <x:v>0</x:v>
      </x:c>
      <x:c r="K22" s="57" t="n">
        <x:v>20</x:v>
      </x:c>
      <x:c r="L22" s="57" t="n">
        <x:v>1</x:v>
      </x:c>
      <x:c r="M22" s="92" t="n">
        <x:v>1</x:v>
      </x:c>
      <x:c r="N22" s="92" t="n">
        <x:f>SUM(O22:Z22)</x:f>
        <x:v>0.07000000000000002</x:v>
      </x:c>
      <x:c r="O22" s="126" t="n">
        <x:v>0.02</x:v>
      </x:c>
      <x:c r="P22" s="126" t="n">
        <x:v>0.002</x:v>
      </x:c>
      <x:c r="Q22" s="126" t="n">
        <x:v>0.01</x:v>
      </x:c>
      <x:c r="R22" s="126" t="n">
        <x:v>0</x:v>
      </x:c>
      <x:c r="S22" s="126" t="n">
        <x:v>0</x:v>
      </x:c>
      <x:c r="T22" s="126" t="n">
        <x:v>0.02</x:v>
      </x:c>
      <x:c r="U22" s="126" t="n">
        <x:v>0</x:v>
      </x:c>
      <x:c r="V22" s="127" t="n">
        <x:v>0.004</x:v>
      </x:c>
      <x:c r="W22" s="127" t="n">
        <x:v>0.004</x:v>
      </x:c>
      <x:c r="X22" s="127" t="n">
        <x:v>0.004</x:v>
      </x:c>
      <x:c r="Y22" s="127" t="n">
        <x:v>0.004</x:v>
      </x:c>
      <x:c r="Z22" s="127" t="n">
        <x:v>0.002</x:v>
      </x:c>
      <x:c r="AA22" s="71" t="str">
        <x:f>IF(AND(A22&lt;&gt;"",B22&lt;&gt;"",G22&gt;0,M22&gt;=0,M22&lt;=999),"可回读","需修正")</x:f>
        <x:v>可回读</x:v>
      </x:c>
      <x:c r="AB22" s="71" t="str">
        <x:v>slime</x:v>
      </x:c>
      <x:c r="AC22" s="71" t="str">
        <x:v>res://resources/config/enemies/slime.tres</x:v>
      </x:c>
      <x:c r="AD22" s="71" t="str">
        <x:v>res://scene/enemy/slime/slime_basic.tscn</x:v>
      </x:c>
    </x:row>
    <x:row r="23" ht="23" customHeight="1">
      <x:c r="A23" s="71" t="str">
        <x:v>火焰史莱姆</x:v>
      </x:c>
      <x:c r="B23" s="71" t="str">
        <x:v>slime_fire</x:v>
      </x:c>
      <x:c r="C23" s="71" t="str">
        <x:v>火焰史莱姆</x:v>
      </x:c>
      <x:c r="D23" s="71" t="str">
        <x:v>史莱姆</x:v>
      </x:c>
      <x:c r="E23" s="71" t="str">
        <x:v>普通</x:v>
      </x:c>
      <x:c r="F23" s="71" t="str">
        <x:v>否</x:v>
      </x:c>
      <x:c r="G23" s="57" t="n">
        <x:v>200</x:v>
      </x:c>
      <x:c r="H23" s="57" t="n">
        <x:v>10</x:v>
      </x:c>
      <x:c r="I23" s="57" t="n">
        <x:v>0</x:v>
      </x:c>
      <x:c r="J23" s="57" t="n">
        <x:v>0</x:v>
      </x:c>
      <x:c r="K23" s="57" t="n">
        <x:v>20</x:v>
      </x:c>
      <x:c r="L23" s="57" t="n">
        <x:v>1</x:v>
      </x:c>
      <x:c r="M23" s="92" t="n">
        <x:v>1</x:v>
      </x:c>
      <x:c r="N23" s="92" t="n">
        <x:f>SUM(O23:Z23)</x:f>
        <x:v>0.07000000000000002</x:v>
      </x:c>
      <x:c r="O23" s="126" t="n">
        <x:v>0.02</x:v>
      </x:c>
      <x:c r="P23" s="126" t="n">
        <x:v>0.002</x:v>
      </x:c>
      <x:c r="Q23" s="126" t="n">
        <x:v>0.01</x:v>
      </x:c>
      <x:c r="R23" s="126" t="n">
        <x:v>0</x:v>
      </x:c>
      <x:c r="S23" s="126" t="n">
        <x:v>0</x:v>
      </x:c>
      <x:c r="T23" s="126" t="n">
        <x:v>0.02</x:v>
      </x:c>
      <x:c r="U23" s="126" t="n">
        <x:v>0</x:v>
      </x:c>
      <x:c r="V23" s="127" t="n">
        <x:v>0.004</x:v>
      </x:c>
      <x:c r="W23" s="127" t="n">
        <x:v>0.004</x:v>
      </x:c>
      <x:c r="X23" s="127" t="n">
        <x:v>0.004</x:v>
      </x:c>
      <x:c r="Y23" s="127" t="n">
        <x:v>0.004</x:v>
      </x:c>
      <x:c r="Z23" s="127" t="n">
        <x:v>0.002</x:v>
      </x:c>
      <x:c r="AA23" s="71" t="str">
        <x:f>IF(AND(A23&lt;&gt;"",B23&lt;&gt;"",G23&gt;0,M23&gt;=0,M23&lt;=999),"可回读","需修正")</x:f>
        <x:v>可回读</x:v>
      </x:c>
      <x:c r="AB23" s="71" t="str">
        <x:v>slime</x:v>
      </x:c>
      <x:c r="AC23" s="71" t="str">
        <x:v>res://resources/config/enemies/slime_fire.tres</x:v>
      </x:c>
      <x:c r="AD23" s="71" t="str">
        <x:v>res://scene/enemy/slime/slime_fire.tscn</x:v>
      </x:c>
    </x:row>
    <x:row r="24" ht="23" customHeight="1">
      <x:c r="A24" s="71" t="str">
        <x:v>寒冰史莱姆</x:v>
      </x:c>
      <x:c r="B24" s="71" t="str">
        <x:v>slime_frost</x:v>
      </x:c>
      <x:c r="C24" s="71" t="str">
        <x:v>寒冰史莱姆</x:v>
      </x:c>
      <x:c r="D24" s="71" t="str">
        <x:v>史莱姆</x:v>
      </x:c>
      <x:c r="E24" s="71" t="str">
        <x:v>普通</x:v>
      </x:c>
      <x:c r="F24" s="71" t="str">
        <x:v>否</x:v>
      </x:c>
      <x:c r="G24" s="57" t="n">
        <x:v>200</x:v>
      </x:c>
      <x:c r="H24" s="57" t="n">
        <x:v>10</x:v>
      </x:c>
      <x:c r="I24" s="57" t="n">
        <x:v>0</x:v>
      </x:c>
      <x:c r="J24" s="57" t="n">
        <x:v>0</x:v>
      </x:c>
      <x:c r="K24" s="57" t="n">
        <x:v>20</x:v>
      </x:c>
      <x:c r="L24" s="57" t="n">
        <x:v>1</x:v>
      </x:c>
      <x:c r="M24" s="92" t="n">
        <x:v>1</x:v>
      </x:c>
      <x:c r="N24" s="92" t="n">
        <x:f>SUM(O24:Z24)</x:f>
        <x:v>0.07000000000000002</x:v>
      </x:c>
      <x:c r="O24" s="126" t="n">
        <x:v>0.02</x:v>
      </x:c>
      <x:c r="P24" s="126" t="n">
        <x:v>0.002</x:v>
      </x:c>
      <x:c r="Q24" s="126" t="n">
        <x:v>0.01</x:v>
      </x:c>
      <x:c r="R24" s="126" t="n">
        <x:v>0</x:v>
      </x:c>
      <x:c r="S24" s="126" t="n">
        <x:v>0</x:v>
      </x:c>
      <x:c r="T24" s="126" t="n">
        <x:v>0.02</x:v>
      </x:c>
      <x:c r="U24" s="126" t="n">
        <x:v>0</x:v>
      </x:c>
      <x:c r="V24" s="127" t="n">
        <x:v>0.004</x:v>
      </x:c>
      <x:c r="W24" s="127" t="n">
        <x:v>0.004</x:v>
      </x:c>
      <x:c r="X24" s="127" t="n">
        <x:v>0.004</x:v>
      </x:c>
      <x:c r="Y24" s="127" t="n">
        <x:v>0.004</x:v>
      </x:c>
      <x:c r="Z24" s="127" t="n">
        <x:v>0.002</x:v>
      </x:c>
      <x:c r="AA24" s="71" t="str">
        <x:f>IF(AND(A24&lt;&gt;"",B24&lt;&gt;"",G24&gt;0,M24&gt;=0,M24&lt;=999),"可回读","需修正")</x:f>
        <x:v>可回读</x:v>
      </x:c>
      <x:c r="AB24" s="71" t="str">
        <x:v>slime</x:v>
      </x:c>
      <x:c r="AC24" s="71" t="str">
        <x:v>res://resources/config/enemies/slime_frost.tres</x:v>
      </x:c>
      <x:c r="AD24" s="71" t="str">
        <x:v>res://scene/enemy/slime/slime_frost.tscn</x:v>
      </x:c>
    </x:row>
    <x:row r="25" ht="23" customHeight="1">
      <x:c r="A25" s="71" t="str">
        <x:v>绿色史莱姆</x:v>
      </x:c>
      <x:c r="B25" s="71" t="str">
        <x:v>slime_green</x:v>
      </x:c>
      <x:c r="C25" s="71" t="str">
        <x:v>绿色史莱姆</x:v>
      </x:c>
      <x:c r="D25" s="71" t="str">
        <x:v>史莱姆</x:v>
      </x:c>
      <x:c r="E25" s="71" t="str">
        <x:v>普通</x:v>
      </x:c>
      <x:c r="F25" s="71" t="str">
        <x:v>否</x:v>
      </x:c>
      <x:c r="G25" s="57" t="n">
        <x:v>300</x:v>
      </x:c>
      <x:c r="H25" s="57" t="n">
        <x:v>10</x:v>
      </x:c>
      <x:c r="I25" s="57" t="n">
        <x:v>50</x:v>
      </x:c>
      <x:c r="J25" s="57" t="n">
        <x:v>50</x:v>
      </x:c>
      <x:c r="K25" s="57" t="n">
        <x:v>20</x:v>
      </x:c>
      <x:c r="L25" s="57" t="n">
        <x:v>1</x:v>
      </x:c>
      <x:c r="M25" s="92" t="n">
        <x:v>1</x:v>
      </x:c>
      <x:c r="N25" s="92" t="n">
        <x:f>SUM(O25:Z25)</x:f>
        <x:v>0.07000000000000002</x:v>
      </x:c>
      <x:c r="O25" s="126" t="n">
        <x:v>0.02</x:v>
      </x:c>
      <x:c r="P25" s="126" t="n">
        <x:v>0.002</x:v>
      </x:c>
      <x:c r="Q25" s="126" t="n">
        <x:v>0.01</x:v>
      </x:c>
      <x:c r="R25" s="126" t="n">
        <x:v>0</x:v>
      </x:c>
      <x:c r="S25" s="126" t="n">
        <x:v>0</x:v>
      </x:c>
      <x:c r="T25" s="126" t="n">
        <x:v>0.02</x:v>
      </x:c>
      <x:c r="U25" s="126" t="n">
        <x:v>0</x:v>
      </x:c>
      <x:c r="V25" s="127" t="n">
        <x:v>0.004</x:v>
      </x:c>
      <x:c r="W25" s="127" t="n">
        <x:v>0.004</x:v>
      </x:c>
      <x:c r="X25" s="127" t="n">
        <x:v>0.004</x:v>
      </x:c>
      <x:c r="Y25" s="127" t="n">
        <x:v>0.004</x:v>
      </x:c>
      <x:c r="Z25" s="127" t="n">
        <x:v>0.002</x:v>
      </x:c>
      <x:c r="AA25" s="71" t="str">
        <x:f>IF(AND(A25&lt;&gt;"",B25&lt;&gt;"",G25&gt;0,M25&gt;=0,M25&lt;=999),"可回读","需修正")</x:f>
        <x:v>可回读</x:v>
      </x:c>
      <x:c r="AB25" s="71" t="str">
        <x:v>slime</x:v>
      </x:c>
      <x:c r="AC25" s="71" t="str">
        <x:v>res://resources/config/enemies/slime_green.tres</x:v>
      </x:c>
      <x:c r="AD25" s="71" t="str">
        <x:v>res://scene/enemy/slime/slime_green.tscn</x:v>
      </x:c>
    </x:row>
    <x:row r="26" ht="23" customHeight="1">
      <x:c r="A26" s="71" t="str">
        <x:v>黄金史莱姆</x:v>
      </x:c>
      <x:c r="B26" s="71" t="str">
        <x:v>slime_golden</x:v>
      </x:c>
      <x:c r="C26" s="71" t="str">
        <x:v>黄金史莱姆</x:v>
      </x:c>
      <x:c r="D26" s="71" t="str">
        <x:v>史莱姆</x:v>
      </x:c>
      <x:c r="E26" s="71" t="str">
        <x:v>普通</x:v>
      </x:c>
      <x:c r="F26" s="71" t="str">
        <x:v>否</x:v>
      </x:c>
      <x:c r="G26" s="57" t="n">
        <x:v>1000</x:v>
      </x:c>
      <x:c r="H26" s="57" t="n">
        <x:v>50</x:v>
      </x:c>
      <x:c r="I26" s="57" t="n">
        <x:v>0</x:v>
      </x:c>
      <x:c r="J26" s="57" t="n">
        <x:v>0</x:v>
      </x:c>
      <x:c r="K26" s="57" t="n">
        <x:v>20</x:v>
      </x:c>
      <x:c r="L26" s="57" t="n">
        <x:v>1</x:v>
      </x:c>
      <x:c r="M26" s="92" t="n">
        <x:v>1</x:v>
      </x:c>
      <x:c r="N26" s="92" t="n">
        <x:f>SUM(O26:Z26)</x:f>
        <x:v>0.07000000000000002</x:v>
      </x:c>
      <x:c r="O26" s="126" t="n">
        <x:v>0.02</x:v>
      </x:c>
      <x:c r="P26" s="126" t="n">
        <x:v>0.002</x:v>
      </x:c>
      <x:c r="Q26" s="126" t="n">
        <x:v>0.01</x:v>
      </x:c>
      <x:c r="R26" s="126" t="n">
        <x:v>0</x:v>
      </x:c>
      <x:c r="S26" s="126" t="n">
        <x:v>0</x:v>
      </x:c>
      <x:c r="T26" s="126" t="n">
        <x:v>0.02</x:v>
      </x:c>
      <x:c r="U26" s="126" t="n">
        <x:v>0</x:v>
      </x:c>
      <x:c r="V26" s="127" t="n">
        <x:v>0.004</x:v>
      </x:c>
      <x:c r="W26" s="127" t="n">
        <x:v>0.004</x:v>
      </x:c>
      <x:c r="X26" s="127" t="n">
        <x:v>0.004</x:v>
      </x:c>
      <x:c r="Y26" s="127" t="n">
        <x:v>0.004</x:v>
      </x:c>
      <x:c r="Z26" s="127" t="n">
        <x:v>0.002</x:v>
      </x:c>
      <x:c r="AA26" s="71" t="str">
        <x:f>IF(AND(A26&lt;&gt;"",B26&lt;&gt;"",G26&gt;0,M26&gt;=0,M26&lt;=999),"可回读","需修正")</x:f>
        <x:v>可回读</x:v>
      </x:c>
      <x:c r="AB26" s="71" t="str">
        <x:v>slime</x:v>
      </x:c>
      <x:c r="AC26" s="71" t="str">
        <x:v>res://resources/config/enemies/slime_golden.tres</x:v>
      </x:c>
      <x:c r="AD26" s="71" t="str">
        <x:v>res://scene/enemy/slime/slime_golden.tscn</x:v>
      </x:c>
    </x:row>
    <x:row r="27" ht="23" customHeight="1">
      <x:c r="A27" s="71" t="str">
        <x:v>被石头侵蚀的史莱姆</x:v>
      </x:c>
      <x:c r="B27" s="71" t="str">
        <x:v>stone_eroded_slime</x:v>
      </x:c>
      <x:c r="C27" s="71" t="str">
        <x:v>被石头侵蚀的史莱姆</x:v>
      </x:c>
      <x:c r="D27" s="71" t="str">
        <x:v>史莱姆</x:v>
      </x:c>
      <x:c r="E27" s="71" t="str">
        <x:v>普通</x:v>
      </x:c>
      <x:c r="F27" s="71" t="str">
        <x:v>否</x:v>
      </x:c>
      <x:c r="G27" s="57" t="n">
        <x:v>200</x:v>
      </x:c>
      <x:c r="H27" s="57" t="n">
        <x:v>10</x:v>
      </x:c>
      <x:c r="I27" s="57" t="n">
        <x:v>150</x:v>
      </x:c>
      <x:c r="J27" s="57" t="n">
        <x:v>0</x:v>
      </x:c>
      <x:c r="K27" s="57" t="n">
        <x:v>20</x:v>
      </x:c>
      <x:c r="L27" s="57" t="n">
        <x:v>1</x:v>
      </x:c>
      <x:c r="M27" s="92" t="n">
        <x:v>1</x:v>
      </x:c>
      <x:c r="N27" s="92" t="n">
        <x:f>SUM(O27:Z27)</x:f>
        <x:v>0.07000000000000002</x:v>
      </x:c>
      <x:c r="O27" s="126" t="n">
        <x:v>0.02</x:v>
      </x:c>
      <x:c r="P27" s="126" t="n">
        <x:v>0.002</x:v>
      </x:c>
      <x:c r="Q27" s="126" t="n">
        <x:v>0.01</x:v>
      </x:c>
      <x:c r="R27" s="126" t="n">
        <x:v>0</x:v>
      </x:c>
      <x:c r="S27" s="126" t="n">
        <x:v>0</x:v>
      </x:c>
      <x:c r="T27" s="126" t="n">
        <x:v>0.02</x:v>
      </x:c>
      <x:c r="U27" s="126" t="n">
        <x:v>0</x:v>
      </x:c>
      <x:c r="V27" s="127" t="n">
        <x:v>0.004</x:v>
      </x:c>
      <x:c r="W27" s="127" t="n">
        <x:v>0.004</x:v>
      </x:c>
      <x:c r="X27" s="127" t="n">
        <x:v>0.004</x:v>
      </x:c>
      <x:c r="Y27" s="127" t="n">
        <x:v>0.004</x:v>
      </x:c>
      <x:c r="Z27" s="127" t="n">
        <x:v>0.002</x:v>
      </x:c>
      <x:c r="AA27" s="71" t="str">
        <x:f>IF(AND(A27&lt;&gt;"",B27&lt;&gt;"",G27&gt;0,M27&gt;=0,M27&lt;=999),"可回读","需修正")</x:f>
        <x:v>可回读</x:v>
      </x:c>
      <x:c r="AB27" s="71" t="str">
        <x:v>slime, stone_eroded</x:v>
      </x:c>
      <x:c r="AC27" s="71" t="str">
        <x:v>res://resources/config/enemies/stone_eroded_slime.tres</x:v>
      </x:c>
      <x:c r="AD27" s="71" t="str">
        <x:v>res://scene/enemy/stone_eroded/stone_eroded_slime.tscn</x:v>
      </x:c>
    </x:row>
    <x:row r="28" ht="23" customHeight="1">
      <x:c r="A28" s="71" t="str">
        <x:v>被石头侵蚀的火焰史莱姆</x:v>
      </x:c>
      <x:c r="B28" s="71" t="str">
        <x:v>stone_eroded_slime_fire</x:v>
      </x:c>
      <x:c r="C28" s="71" t="str">
        <x:v>被石头侵蚀的火焰史莱姆</x:v>
      </x:c>
      <x:c r="D28" s="71" t="str">
        <x:v>史莱姆</x:v>
      </x:c>
      <x:c r="E28" s="71" t="str">
        <x:v>普通</x:v>
      </x:c>
      <x:c r="F28" s="71" t="str">
        <x:v>否</x:v>
      </x:c>
      <x:c r="G28" s="57" t="n">
        <x:v>400</x:v>
      </x:c>
      <x:c r="H28" s="57" t="n">
        <x:v>10</x:v>
      </x:c>
      <x:c r="I28" s="57" t="n">
        <x:v>150</x:v>
      </x:c>
      <x:c r="J28" s="57" t="n">
        <x:v>0</x:v>
      </x:c>
      <x:c r="K28" s="57" t="n">
        <x:v>20</x:v>
      </x:c>
      <x:c r="L28" s="57" t="n">
        <x:v>1</x:v>
      </x:c>
      <x:c r="M28" s="92" t="n">
        <x:v>1</x:v>
      </x:c>
      <x:c r="N28" s="92" t="n">
        <x:f>SUM(O28:Z28)</x:f>
        <x:v>0.07000000000000002</x:v>
      </x:c>
      <x:c r="O28" s="126" t="n">
        <x:v>0.02</x:v>
      </x:c>
      <x:c r="P28" s="126" t="n">
        <x:v>0.002</x:v>
      </x:c>
      <x:c r="Q28" s="126" t="n">
        <x:v>0.01</x:v>
      </x:c>
      <x:c r="R28" s="126" t="n">
        <x:v>0</x:v>
      </x:c>
      <x:c r="S28" s="126" t="n">
        <x:v>0</x:v>
      </x:c>
      <x:c r="T28" s="126" t="n">
        <x:v>0.02</x:v>
      </x:c>
      <x:c r="U28" s="126" t="n">
        <x:v>0</x:v>
      </x:c>
      <x:c r="V28" s="127" t="n">
        <x:v>0.004</x:v>
      </x:c>
      <x:c r="W28" s="127" t="n">
        <x:v>0.004</x:v>
      </x:c>
      <x:c r="X28" s="127" t="n">
        <x:v>0.004</x:v>
      </x:c>
      <x:c r="Y28" s="127" t="n">
        <x:v>0.004</x:v>
      </x:c>
      <x:c r="Z28" s="127" t="n">
        <x:v>0.002</x:v>
      </x:c>
      <x:c r="AA28" s="71" t="str">
        <x:f>IF(AND(A28&lt;&gt;"",B28&lt;&gt;"",G28&gt;0,M28&gt;=0,M28&lt;=999),"可回读","需修正")</x:f>
        <x:v>可回读</x:v>
      </x:c>
      <x:c r="AB28" s="71" t="str">
        <x:v>slime, stone_eroded</x:v>
      </x:c>
      <x:c r="AC28" s="71" t="str">
        <x:v>res://resources/config/enemies/stone_eroded_slime_fire.tres</x:v>
      </x:c>
      <x:c r="AD28" s="71" t="str">
        <x:v>res://scene/enemy/stone_eroded/stone_eroded_slime_fire.tscn</x:v>
      </x:c>
    </x:row>
    <x:row r="29" ht="23" customHeight="1">
      <x:c r="A29" s="71" t="str">
        <x:v>被石头侵蚀的寒冰史莱姆</x:v>
      </x:c>
      <x:c r="B29" s="71" t="str">
        <x:v>stone_eroded_slime_frost</x:v>
      </x:c>
      <x:c r="C29" s="71" t="str">
        <x:v>被石头侵蚀的寒冰史莱姆</x:v>
      </x:c>
      <x:c r="D29" s="71" t="str">
        <x:v>史莱姆</x:v>
      </x:c>
      <x:c r="E29" s="71" t="str">
        <x:v>普通</x:v>
      </x:c>
      <x:c r="F29" s="71" t="str">
        <x:v>否</x:v>
      </x:c>
      <x:c r="G29" s="57" t="n">
        <x:v>400</x:v>
      </x:c>
      <x:c r="H29" s="57" t="n">
        <x:v>10</x:v>
      </x:c>
      <x:c r="I29" s="57" t="n">
        <x:v>150</x:v>
      </x:c>
      <x:c r="J29" s="57" t="n">
        <x:v>0</x:v>
      </x:c>
      <x:c r="K29" s="57" t="n">
        <x:v>20</x:v>
      </x:c>
      <x:c r="L29" s="57" t="n">
        <x:v>1</x:v>
      </x:c>
      <x:c r="M29" s="92" t="n">
        <x:v>1</x:v>
      </x:c>
      <x:c r="N29" s="92" t="n">
        <x:f>SUM(O29:Z29)</x:f>
        <x:v>0.07000000000000002</x:v>
      </x:c>
      <x:c r="O29" s="126" t="n">
        <x:v>0.02</x:v>
      </x:c>
      <x:c r="P29" s="126" t="n">
        <x:v>0.002</x:v>
      </x:c>
      <x:c r="Q29" s="126" t="n">
        <x:v>0.01</x:v>
      </x:c>
      <x:c r="R29" s="126" t="n">
        <x:v>0</x:v>
      </x:c>
      <x:c r="S29" s="126" t="n">
        <x:v>0</x:v>
      </x:c>
      <x:c r="T29" s="126" t="n">
        <x:v>0.02</x:v>
      </x:c>
      <x:c r="U29" s="126" t="n">
        <x:v>0</x:v>
      </x:c>
      <x:c r="V29" s="127" t="n">
        <x:v>0.004</x:v>
      </x:c>
      <x:c r="W29" s="127" t="n">
        <x:v>0.004</x:v>
      </x:c>
      <x:c r="X29" s="127" t="n">
        <x:v>0.004</x:v>
      </x:c>
      <x:c r="Y29" s="127" t="n">
        <x:v>0.004</x:v>
      </x:c>
      <x:c r="Z29" s="127" t="n">
        <x:v>0.002</x:v>
      </x:c>
      <x:c r="AA29" s="71" t="str">
        <x:f>IF(AND(A29&lt;&gt;"",B29&lt;&gt;"",G29&gt;0,M29&gt;=0,M29&lt;=999),"可回读","需修正")</x:f>
        <x:v>可回读</x:v>
      </x:c>
      <x:c r="AB29" s="71" t="str">
        <x:v>slime, stone_eroded</x:v>
      </x:c>
      <x:c r="AC29" s="71" t="str">
        <x:v>res://resources/config/enemies/stone_eroded_slime_frost.tres</x:v>
      </x:c>
      <x:c r="AD29" s="71" t="str">
        <x:v>res://scene/enemy/stone_eroded/stone_eroded_slime_frost.tscn</x:v>
      </x:c>
    </x:row>
    <x:row r="30" ht="23" customHeight="1">
      <x:c r="A30" s="71" t="str">
        <x:v>被石头侵蚀的绿色史莱姆</x:v>
      </x:c>
      <x:c r="B30" s="71" t="str">
        <x:v>stone_eroded_slime_green</x:v>
      </x:c>
      <x:c r="C30" s="71" t="str">
        <x:v>被石头侵蚀的绿色史莱姆</x:v>
      </x:c>
      <x:c r="D30" s="71" t="str">
        <x:v>史莱姆</x:v>
      </x:c>
      <x:c r="E30" s="71" t="str">
        <x:v>普通</x:v>
      </x:c>
      <x:c r="F30" s="71" t="str">
        <x:v>否</x:v>
      </x:c>
      <x:c r="G30" s="57" t="n">
        <x:v>600</x:v>
      </x:c>
      <x:c r="H30" s="57" t="n">
        <x:v>10</x:v>
      </x:c>
      <x:c r="I30" s="57" t="n">
        <x:v>150</x:v>
      </x:c>
      <x:c r="J30" s="57" t="n">
        <x:v>50</x:v>
      </x:c>
      <x:c r="K30" s="57" t="n">
        <x:v>20</x:v>
      </x:c>
      <x:c r="L30" s="57" t="n">
        <x:v>1</x:v>
      </x:c>
      <x:c r="M30" s="92" t="n">
        <x:v>1</x:v>
      </x:c>
      <x:c r="N30" s="92" t="n">
        <x:f>SUM(O30:Z30)</x:f>
        <x:v>0.07000000000000002</x:v>
      </x:c>
      <x:c r="O30" s="126" t="n">
        <x:v>0.02</x:v>
      </x:c>
      <x:c r="P30" s="126" t="n">
        <x:v>0.002</x:v>
      </x:c>
      <x:c r="Q30" s="126" t="n">
        <x:v>0.01</x:v>
      </x:c>
      <x:c r="R30" s="126" t="n">
        <x:v>0</x:v>
      </x:c>
      <x:c r="S30" s="126" t="n">
        <x:v>0</x:v>
      </x:c>
      <x:c r="T30" s="126" t="n">
        <x:v>0.02</x:v>
      </x:c>
      <x:c r="U30" s="126" t="n">
        <x:v>0</x:v>
      </x:c>
      <x:c r="V30" s="127" t="n">
        <x:v>0.004</x:v>
      </x:c>
      <x:c r="W30" s="127" t="n">
        <x:v>0.004</x:v>
      </x:c>
      <x:c r="X30" s="127" t="n">
        <x:v>0.004</x:v>
      </x:c>
      <x:c r="Y30" s="127" t="n">
        <x:v>0.004</x:v>
      </x:c>
      <x:c r="Z30" s="127" t="n">
        <x:v>0.002</x:v>
      </x:c>
      <x:c r="AA30" s="71" t="str">
        <x:f>IF(AND(A30&lt;&gt;"",B30&lt;&gt;"",G30&gt;0,M30&gt;=0,M30&lt;=999),"可回读","需修正")</x:f>
        <x:v>可回读</x:v>
      </x:c>
      <x:c r="AB30" s="71" t="str">
        <x:v>slime, stone_eroded</x:v>
      </x:c>
      <x:c r="AC30" s="71" t="str">
        <x:v>res://resources/config/enemies/stone_eroded_slime_green.tres</x:v>
      </x:c>
      <x:c r="AD30" s="71" t="str">
        <x:v>res://scene/enemy/stone_eroded/stone_eroded_slime_green.tscn</x:v>
      </x:c>
    </x:row>
    <x:row r="31" ht="23" customHeight="1">
      <x:c r="A31" s="71" t="str">
        <x:v>被石头侵蚀的黄金史莱姆</x:v>
      </x:c>
      <x:c r="B31" s="71" t="str">
        <x:v>stone_eroded_slime_golden</x:v>
      </x:c>
      <x:c r="C31" s="71" t="str">
        <x:v>被石头侵蚀的黄金史莱姆</x:v>
      </x:c>
      <x:c r="D31" s="71" t="str">
        <x:v>史莱姆</x:v>
      </x:c>
      <x:c r="E31" s="71" t="str">
        <x:v>普通</x:v>
      </x:c>
      <x:c r="F31" s="71" t="str">
        <x:v>否</x:v>
      </x:c>
      <x:c r="G31" s="57" t="n">
        <x:v>2000</x:v>
      </x:c>
      <x:c r="H31" s="57" t="n">
        <x:v>50</x:v>
      </x:c>
      <x:c r="I31" s="57" t="n">
        <x:v>150</x:v>
      </x:c>
      <x:c r="J31" s="57" t="n">
        <x:v>0</x:v>
      </x:c>
      <x:c r="K31" s="57" t="n">
        <x:v>20</x:v>
      </x:c>
      <x:c r="L31" s="57" t="n">
        <x:v>1</x:v>
      </x:c>
      <x:c r="M31" s="92" t="n">
        <x:v>1</x:v>
      </x:c>
      <x:c r="N31" s="92" t="n">
        <x:f>SUM(O31:Z31)</x:f>
        <x:v>0.07000000000000002</x:v>
      </x:c>
      <x:c r="O31" s="126" t="n">
        <x:v>0.02</x:v>
      </x:c>
      <x:c r="P31" s="126" t="n">
        <x:v>0.002</x:v>
      </x:c>
      <x:c r="Q31" s="126" t="n">
        <x:v>0.01</x:v>
      </x:c>
      <x:c r="R31" s="126" t="n">
        <x:v>0</x:v>
      </x:c>
      <x:c r="S31" s="126" t="n">
        <x:v>0</x:v>
      </x:c>
      <x:c r="T31" s="126" t="n">
        <x:v>0.02</x:v>
      </x:c>
      <x:c r="U31" s="126" t="n">
        <x:v>0</x:v>
      </x:c>
      <x:c r="V31" s="127" t="n">
        <x:v>0.004</x:v>
      </x:c>
      <x:c r="W31" s="127" t="n">
        <x:v>0.004</x:v>
      </x:c>
      <x:c r="X31" s="127" t="n">
        <x:v>0.004</x:v>
      </x:c>
      <x:c r="Y31" s="127" t="n">
        <x:v>0.004</x:v>
      </x:c>
      <x:c r="Z31" s="127" t="n">
        <x:v>0.002</x:v>
      </x:c>
      <x:c r="AA31" s="71" t="str">
        <x:f>IF(AND(A31&lt;&gt;"",B31&lt;&gt;"",G31&gt;0,M31&gt;=0,M31&lt;=999),"可回读","需修正")</x:f>
        <x:v>可回读</x:v>
      </x:c>
      <x:c r="AB31" s="71" t="str">
        <x:v>slime, stone_eroded</x:v>
      </x:c>
      <x:c r="AC31" s="71" t="str">
        <x:v>res://resources/config/enemies/stone_eroded_slime_golden.tres</x:v>
      </x:c>
      <x:c r="AD31" s="71" t="str">
        <x:v>res://scene/enemy/stone_eroded/stone_eroded_slime_golden.tscn</x:v>
      </x:c>
    </x:row>
    <x:row r="32" ht="23" customHeight="1">
      <x:c r="A32" s="71" t="str">
        <x:v>骑士猫猫虫</x:v>
      </x:c>
      <x:c r="B32" s="71" t="str">
        <x:v>capoo_knight</x:v>
      </x:c>
      <x:c r="C32" s="71" t="str">
        <x:v>骑士猫猫虫</x:v>
      </x:c>
      <x:c r="D32" s="71" t="str">
        <x:v>猫猫虫</x:v>
      </x:c>
      <x:c r="E32" s="71" t="str">
        <x:v>普通</x:v>
      </x:c>
      <x:c r="F32" s="71" t="str">
        <x:v>是</x:v>
      </x:c>
      <x:c r="G32" s="57" t="n">
        <x:v>200</x:v>
      </x:c>
      <x:c r="H32" s="57" t="n">
        <x:v>28</x:v>
      </x:c>
      <x:c r="I32" s="57" t="n">
        <x:v>10</x:v>
      </x:c>
      <x:c r="J32" s="57" t="n">
        <x:v>0</x:v>
      </x:c>
      <x:c r="K32" s="57" t="n">
        <x:v>34</x:v>
      </x:c>
      <x:c r="L32" s="57" t="n">
        <x:v>2</x:v>
      </x:c>
      <x:c r="M32" s="92" t="n">
        <x:v>4</x:v>
      </x:c>
      <x:c r="N32" s="92" t="n">
        <x:f>SUM(O32:Z32)</x:f>
        <x:v>0.07000000000000002</x:v>
      </x:c>
      <x:c r="O32" s="126" t="n">
        <x:v>0.02</x:v>
      </x:c>
      <x:c r="P32" s="126" t="n">
        <x:v>0.002</x:v>
      </x:c>
      <x:c r="Q32" s="126" t="n">
        <x:v>0.01</x:v>
      </x:c>
      <x:c r="R32" s="126" t="n">
        <x:v>0.01</x:v>
      </x:c>
      <x:c r="S32" s="126" t="n">
        <x:v>0.01</x:v>
      </x:c>
      <x:c r="T32" s="126" t="n">
        <x:v>0</x:v>
      </x:c>
      <x:c r="U32" s="126" t="n">
        <x:v>0</x:v>
      </x:c>
      <x:c r="V32" s="127" t="n">
        <x:v>0.004</x:v>
      </x:c>
      <x:c r="W32" s="127" t="n">
        <x:v>0.004</x:v>
      </x:c>
      <x:c r="X32" s="127" t="n">
        <x:v>0.004</x:v>
      </x:c>
      <x:c r="Y32" s="127" t="n">
        <x:v>0.004</x:v>
      </x:c>
      <x:c r="Z32" s="127" t="n">
        <x:v>0.002</x:v>
      </x:c>
      <x:c r="AA32" s="71" t="str">
        <x:f>IF(AND(A32&lt;&gt;"",B32&lt;&gt;"",G32&gt;0,M32&gt;=0,M32&lt;=999),"可回读","需修正")</x:f>
        <x:v>可回读</x:v>
      </x:c>
      <x:c r="AB32" s="71" t="str">
        <x:v>capoo</x:v>
      </x:c>
      <x:c r="AC32" s="71" t="str">
        <x:v>res://resources/config/enemies/capoo_knight.tres</x:v>
      </x:c>
      <x:c r="AD32" s="71" t="str">
        <x:v>res://scene/enemy/capoo/capoo_knight.tscn</x:v>
      </x:c>
    </x:row>
    <x:row r="33" ht="23" customHeight="1">
      <x:c r="A33" s="71" t="str">
        <x:v>精英骑士猫猫虫</x:v>
      </x:c>
      <x:c r="B33" s="71" t="str">
        <x:v>capoo_knight_elite</x:v>
      </x:c>
      <x:c r="C33" s="71" t="str">
        <x:v>精英骑士猫猫虫</x:v>
      </x:c>
      <x:c r="D33" s="71" t="str">
        <x:v>猫猫虫</x:v>
      </x:c>
      <x:c r="E33" s="71" t="str">
        <x:v>精英</x:v>
      </x:c>
      <x:c r="F33" s="71" t="str">
        <x:v>否</x:v>
      </x:c>
      <x:c r="G33" s="57" t="n">
        <x:v>350</x:v>
      </x:c>
      <x:c r="H33" s="57" t="n">
        <x:v>28</x:v>
      </x:c>
      <x:c r="I33" s="57" t="n">
        <x:v>15</x:v>
      </x:c>
      <x:c r="J33" s="57" t="n">
        <x:v>0</x:v>
      </x:c>
      <x:c r="K33" s="57" t="n">
        <x:v>34</x:v>
      </x:c>
      <x:c r="L33" s="57" t="n">
        <x:v>2</x:v>
      </x:c>
      <x:c r="M33" s="92" t="n">
        <x:v>4</x:v>
      </x:c>
      <x:c r="N33" s="92" t="n">
        <x:f>SUM(O33:Z33)</x:f>
        <x:v>0.07000000000000002</x:v>
      </x:c>
      <x:c r="O33" s="126" t="n">
        <x:v>0.02</x:v>
      </x:c>
      <x:c r="P33" s="126" t="n">
        <x:v>0.002</x:v>
      </x:c>
      <x:c r="Q33" s="126" t="n">
        <x:v>0.01</x:v>
      </x:c>
      <x:c r="R33" s="126" t="n">
        <x:v>0.01</x:v>
      </x:c>
      <x:c r="S33" s="126" t="n">
        <x:v>0.01</x:v>
      </x:c>
      <x:c r="T33" s="126" t="n">
        <x:v>0</x:v>
      </x:c>
      <x:c r="U33" s="126" t="n">
        <x:v>0</x:v>
      </x:c>
      <x:c r="V33" s="127" t="n">
        <x:v>0.004</x:v>
      </x:c>
      <x:c r="W33" s="127" t="n">
        <x:v>0.004</x:v>
      </x:c>
      <x:c r="X33" s="127" t="n">
        <x:v>0.004</x:v>
      </x:c>
      <x:c r="Y33" s="127" t="n">
        <x:v>0.004</x:v>
      </x:c>
      <x:c r="Z33" s="127" t="n">
        <x:v>0.002</x:v>
      </x:c>
      <x:c r="AA33" s="71" t="str">
        <x:f>IF(AND(A33&lt;&gt;"",B33&lt;&gt;"",G33&gt;0,M33&gt;=0,M33&lt;=999),"可回读","需修正")</x:f>
        <x:v>可回读</x:v>
      </x:c>
      <x:c r="AB33" s="71" t="str">
        <x:v>capoo</x:v>
      </x:c>
      <x:c r="AC33" s="71" t="str">
        <x:v>res://resources/config/enemies/capoo_knight_elite.tres</x:v>
      </x:c>
      <x:c r="AD33" s="71" t="str">
        <x:v>res://scene/enemy/capoo/capoo_knight_elite.tscn</x:v>
      </x:c>
    </x:row>
    <x:row r="34" ht="23" customHeight="1">
      <x:c r="A34" s="71" t="str">
        <x:v>剑客猫猫虫</x:v>
      </x:c>
      <x:c r="B34" s="71" t="str">
        <x:v>capoo_swordsman</x:v>
      </x:c>
      <x:c r="C34" s="71" t="str">
        <x:v>剑客猫猫虫</x:v>
      </x:c>
      <x:c r="D34" s="71" t="str">
        <x:v>猫猫虫</x:v>
      </x:c>
      <x:c r="E34" s="71" t="str">
        <x:v>普通</x:v>
      </x:c>
      <x:c r="F34" s="71" t="str">
        <x:v>否</x:v>
      </x:c>
      <x:c r="G34" s="57" t="n">
        <x:v>400</x:v>
      </x:c>
      <x:c r="H34" s="57" t="n">
        <x:v>24</x:v>
      </x:c>
      <x:c r="I34" s="57" t="n">
        <x:v>5</x:v>
      </x:c>
      <x:c r="J34" s="57" t="n">
        <x:v>0</x:v>
      </x:c>
      <x:c r="K34" s="57" t="n">
        <x:v>38</x:v>
      </x:c>
      <x:c r="L34" s="57" t="n">
        <x:v>2</x:v>
      </x:c>
      <x:c r="M34" s="92" t="n">
        <x:v>4</x:v>
      </x:c>
      <x:c r="N34" s="92" t="n">
        <x:f>SUM(O34:Z34)</x:f>
        <x:v>0.07000000000000002</x:v>
      </x:c>
      <x:c r="O34" s="126" t="n">
        <x:v>0.02</x:v>
      </x:c>
      <x:c r="P34" s="126" t="n">
        <x:v>0.002</x:v>
      </x:c>
      <x:c r="Q34" s="126" t="n">
        <x:v>0.01</x:v>
      </x:c>
      <x:c r="R34" s="126" t="n">
        <x:v>0.01</x:v>
      </x:c>
      <x:c r="S34" s="126" t="n">
        <x:v>0.01</x:v>
      </x:c>
      <x:c r="T34" s="126" t="n">
        <x:v>0</x:v>
      </x:c>
      <x:c r="U34" s="126" t="n">
        <x:v>0</x:v>
      </x:c>
      <x:c r="V34" s="127" t="n">
        <x:v>0.004</x:v>
      </x:c>
      <x:c r="W34" s="127" t="n">
        <x:v>0.004</x:v>
      </x:c>
      <x:c r="X34" s="127" t="n">
        <x:v>0.004</x:v>
      </x:c>
      <x:c r="Y34" s="127" t="n">
        <x:v>0.004</x:v>
      </x:c>
      <x:c r="Z34" s="127" t="n">
        <x:v>0.002</x:v>
      </x:c>
      <x:c r="AA34" s="71" t="str">
        <x:f>IF(AND(A34&lt;&gt;"",B34&lt;&gt;"",G34&gt;0,M34&gt;=0,M34&lt;=999),"可回读","需修正")</x:f>
        <x:v>可回读</x:v>
      </x:c>
      <x:c r="AB34" s="71" t="str">
        <x:v>capoo</x:v>
      </x:c>
      <x:c r="AC34" s="71" t="str">
        <x:v>res://resources/config/enemies/capoo_swordsman.tres</x:v>
      </x:c>
      <x:c r="AD34" s="71" t="str">
        <x:v>res://scene/enemy/capoo/capoo_swordsman.tscn</x:v>
      </x:c>
    </x:row>
    <x:row r="35" ht="23" customHeight="1">
      <x:c r="A35" s="71" t="str">
        <x:v>冲锋枪 Capoo</x:v>
      </x:c>
      <x:c r="B35" s="71" t="str">
        <x:v>capoo_smg</x:v>
      </x:c>
      <x:c r="C35" s="71" t="str">
        <x:v>冲锋枪 Capoo</x:v>
      </x:c>
      <x:c r="D35" s="71" t="str">
        <x:v>猫猫虫</x:v>
      </x:c>
      <x:c r="E35" s="71" t="str">
        <x:v>普通</x:v>
      </x:c>
      <x:c r="F35" s="71" t="str">
        <x:v>否</x:v>
      </x:c>
      <x:c r="G35" s="57" t="n">
        <x:v>200</x:v>
      </x:c>
      <x:c r="H35" s="57" t="n">
        <x:v>30</x:v>
      </x:c>
      <x:c r="I35" s="57" t="n">
        <x:v>0</x:v>
      </x:c>
      <x:c r="J35" s="57" t="n">
        <x:v>0</x:v>
      </x:c>
      <x:c r="K35" s="57" t="n">
        <x:v>100</x:v>
      </x:c>
      <x:c r="L35" s="57" t="n">
        <x:v>2</x:v>
      </x:c>
      <x:c r="M35" s="92" t="n">
        <x:v>5</x:v>
      </x:c>
      <x:c r="N35" s="92" t="n">
        <x:f>SUM(O35:Z35)</x:f>
        <x:v>0.07000000000000002</x:v>
      </x:c>
      <x:c r="O35" s="126" t="n">
        <x:v>0.02</x:v>
      </x:c>
      <x:c r="P35" s="126" t="n">
        <x:v>0.002</x:v>
      </x:c>
      <x:c r="Q35" s="126" t="n">
        <x:v>0.01</x:v>
      </x:c>
      <x:c r="R35" s="126" t="n">
        <x:v>0.01</x:v>
      </x:c>
      <x:c r="S35" s="126" t="n">
        <x:v>0.01</x:v>
      </x:c>
      <x:c r="T35" s="126" t="n">
        <x:v>0</x:v>
      </x:c>
      <x:c r="U35" s="126" t="n">
        <x:v>0</x:v>
      </x:c>
      <x:c r="V35" s="127" t="n">
        <x:v>0.004</x:v>
      </x:c>
      <x:c r="W35" s="127" t="n">
        <x:v>0.004</x:v>
      </x:c>
      <x:c r="X35" s="127" t="n">
        <x:v>0.004</x:v>
      </x:c>
      <x:c r="Y35" s="127" t="n">
        <x:v>0.004</x:v>
      </x:c>
      <x:c r="Z35" s="127" t="n">
        <x:v>0.002</x:v>
      </x:c>
      <x:c r="AA35" s="71" t="str">
        <x:f>IF(AND(A35&lt;&gt;"",B35&lt;&gt;"",G35&gt;0,M35&gt;=0,M35&lt;=999),"可回读","需修正")</x:f>
        <x:v>可回读</x:v>
      </x:c>
      <x:c r="AB35" s="71" t="str">
        <x:v>capoo</x:v>
      </x:c>
      <x:c r="AC35" s="71" t="str">
        <x:v>res://resources/config/enemies/capoo_smg.tres</x:v>
      </x:c>
      <x:c r="AD35" s="71" t="str">
        <x:v>res://scene/enemy/capoo/capoo_smg.tscn</x:v>
      </x:c>
    </x:row>
    <x:row r="36" ht="23" customHeight="1">
      <x:c r="A36" s="71" t="str">
        <x:v>AK猫猫虫</x:v>
      </x:c>
      <x:c r="B36" s="71" t="str">
        <x:v>capoo_ak47</x:v>
      </x:c>
      <x:c r="C36" s="71" t="str">
        <x:v>AK猫猫虫</x:v>
      </x:c>
      <x:c r="D36" s="71" t="str">
        <x:v>猫猫虫</x:v>
      </x:c>
      <x:c r="E36" s="71" t="str">
        <x:v>普通</x:v>
      </x:c>
      <x:c r="F36" s="71" t="str">
        <x:v>是</x:v>
      </x:c>
      <x:c r="G36" s="57" t="n">
        <x:v>150</x:v>
      </x:c>
      <x:c r="H36" s="57" t="n">
        <x:v>20</x:v>
      </x:c>
      <x:c r="I36" s="57" t="n">
        <x:v>0</x:v>
      </x:c>
      <x:c r="J36" s="57" t="n">
        <x:v>0</x:v>
      </x:c>
      <x:c r="K36" s="57" t="n">
        <x:v>18</x:v>
      </x:c>
      <x:c r="L36" s="57" t="n">
        <x:v>2</x:v>
      </x:c>
      <x:c r="M36" s="92" t="n">
        <x:v>5</x:v>
      </x:c>
      <x:c r="N36" s="92" t="n">
        <x:f>SUM(O36:Z36)</x:f>
        <x:v>0.07000000000000002</x:v>
      </x:c>
      <x:c r="O36" s="126" t="n">
        <x:v>0.02</x:v>
      </x:c>
      <x:c r="P36" s="126" t="n">
        <x:v>0.002</x:v>
      </x:c>
      <x:c r="Q36" s="126" t="n">
        <x:v>0.01</x:v>
      </x:c>
      <x:c r="R36" s="126" t="n">
        <x:v>0.01</x:v>
      </x:c>
      <x:c r="S36" s="126" t="n">
        <x:v>0.01</x:v>
      </x:c>
      <x:c r="T36" s="126" t="n">
        <x:v>0</x:v>
      </x:c>
      <x:c r="U36" s="126" t="n">
        <x:v>0</x:v>
      </x:c>
      <x:c r="V36" s="127" t="n">
        <x:v>0.004</x:v>
      </x:c>
      <x:c r="W36" s="127" t="n">
        <x:v>0.004</x:v>
      </x:c>
      <x:c r="X36" s="127" t="n">
        <x:v>0.004</x:v>
      </x:c>
      <x:c r="Y36" s="127" t="n">
        <x:v>0.004</x:v>
      </x:c>
      <x:c r="Z36" s="127" t="n">
        <x:v>0.002</x:v>
      </x:c>
      <x:c r="AA36" s="71" t="str">
        <x:f>IF(AND(A36&lt;&gt;"",B36&lt;&gt;"",G36&gt;0,M36&gt;=0,M36&lt;=999),"可回读","需修正")</x:f>
        <x:v>可回读</x:v>
      </x:c>
      <x:c r="AB36" s="71" t="str">
        <x:v>capoo</x:v>
      </x:c>
      <x:c r="AC36" s="71" t="str">
        <x:v>res://resources/config/enemies/capoo_ak47.tres</x:v>
      </x:c>
      <x:c r="AD36" s="71" t="str">
        <x:v>res://scene/enemy/capoo/capoo_ak47.tscn</x:v>
      </x:c>
    </x:row>
    <x:row r="37" ht="23" customHeight="1">
      <x:c r="A37" s="71" t="str">
        <x:v>RPG猫猫虫</x:v>
      </x:c>
      <x:c r="B37" s="71" t="str">
        <x:v>capoo_rpg</x:v>
      </x:c>
      <x:c r="C37" s="71" t="str">
        <x:v>RPG猫猫虫</x:v>
      </x:c>
      <x:c r="D37" s="71" t="str">
        <x:v>猫猫虫</x:v>
      </x:c>
      <x:c r="E37" s="71" t="str">
        <x:v>普通</x:v>
      </x:c>
      <x:c r="F37" s="71" t="str">
        <x:v>是</x:v>
      </x:c>
      <x:c r="G37" s="57" t="n">
        <x:v>200</x:v>
      </x:c>
      <x:c r="H37" s="57" t="n">
        <x:v>20</x:v>
      </x:c>
      <x:c r="I37" s="57" t="n">
        <x:v>0</x:v>
      </x:c>
      <x:c r="J37" s="57" t="n">
        <x:v>0</x:v>
      </x:c>
      <x:c r="K37" s="57" t="n">
        <x:v>16</x:v>
      </x:c>
      <x:c r="L37" s="57" t="n">
        <x:v>2</x:v>
      </x:c>
      <x:c r="M37" s="92" t="n">
        <x:v>5</x:v>
      </x:c>
      <x:c r="N37" s="92" t="n">
        <x:f>SUM(O37:Z37)</x:f>
        <x:v>0.07000000000000002</x:v>
      </x:c>
      <x:c r="O37" s="126" t="n">
        <x:v>0.02</x:v>
      </x:c>
      <x:c r="P37" s="126" t="n">
        <x:v>0.002</x:v>
      </x:c>
      <x:c r="Q37" s="126" t="n">
        <x:v>0.01</x:v>
      </x:c>
      <x:c r="R37" s="126" t="n">
        <x:v>0.01</x:v>
      </x:c>
      <x:c r="S37" s="126" t="n">
        <x:v>0.01</x:v>
      </x:c>
      <x:c r="T37" s="126" t="n">
        <x:v>0</x:v>
      </x:c>
      <x:c r="U37" s="126" t="n">
        <x:v>0</x:v>
      </x:c>
      <x:c r="V37" s="127" t="n">
        <x:v>0.004</x:v>
      </x:c>
      <x:c r="W37" s="127" t="n">
        <x:v>0.004</x:v>
      </x:c>
      <x:c r="X37" s="127" t="n">
        <x:v>0.004</x:v>
      </x:c>
      <x:c r="Y37" s="127" t="n">
        <x:v>0.004</x:v>
      </x:c>
      <x:c r="Z37" s="127" t="n">
        <x:v>0.002</x:v>
      </x:c>
      <x:c r="AA37" s="71" t="str">
        <x:f>IF(AND(A37&lt;&gt;"",B37&lt;&gt;"",G37&gt;0,M37&gt;=0,M37&lt;=999),"可回读","需修正")</x:f>
        <x:v>可回读</x:v>
      </x:c>
      <x:c r="AB37" s="71" t="str">
        <x:v>capoo</x:v>
      </x:c>
      <x:c r="AC37" s="71" t="str">
        <x:v>res://resources/config/enemies/capoo_rpg.tres</x:v>
      </x:c>
      <x:c r="AD37" s="71" t="str">
        <x:v>res://scene/enemy/capoo/capoo_rpg.tscn</x:v>
      </x:c>
    </x:row>
    <x:row r="38" ht="23" customHeight="1">
      <x:c r="A38" s="71" t="str">
        <x:v>法师 Capoo</x:v>
      </x:c>
      <x:c r="B38" s="71" t="str">
        <x:v>capoo_mage</x:v>
      </x:c>
      <x:c r="C38" s="71" t="str">
        <x:v>法师 Capoo</x:v>
      </x:c>
      <x:c r="D38" s="71" t="str">
        <x:v>猫猫虫</x:v>
      </x:c>
      <x:c r="E38" s="71" t="str">
        <x:v>普通</x:v>
      </x:c>
      <x:c r="F38" s="71" t="str">
        <x:v>是</x:v>
      </x:c>
      <x:c r="G38" s="57" t="n">
        <x:v>200</x:v>
      </x:c>
      <x:c r="H38" s="57" t="n">
        <x:v>35</x:v>
      </x:c>
      <x:c r="I38" s="57" t="n">
        <x:v>0</x:v>
      </x:c>
      <x:c r="J38" s="57" t="n">
        <x:v>0</x:v>
      </x:c>
      <x:c r="K38" s="57" t="n">
        <x:v>24</x:v>
      </x:c>
      <x:c r="L38" s="57" t="n">
        <x:v>2</x:v>
      </x:c>
      <x:c r="M38" s="92" t="n">
        <x:v>10</x:v>
      </x:c>
      <x:c r="N38" s="92" t="n">
        <x:f>SUM(O38:Z38)</x:f>
        <x:v>0.07000000000000002</x:v>
      </x:c>
      <x:c r="O38" s="126" t="n">
        <x:v>0.02</x:v>
      </x:c>
      <x:c r="P38" s="126" t="n">
        <x:v>0.002</x:v>
      </x:c>
      <x:c r="Q38" s="126" t="n">
        <x:v>0.01</x:v>
      </x:c>
      <x:c r="R38" s="126" t="n">
        <x:v>0.01</x:v>
      </x:c>
      <x:c r="S38" s="126" t="n">
        <x:v>0.01</x:v>
      </x:c>
      <x:c r="T38" s="126" t="n">
        <x:v>0</x:v>
      </x:c>
      <x:c r="U38" s="126" t="n">
        <x:v>0</x:v>
      </x:c>
      <x:c r="V38" s="127" t="n">
        <x:v>0.004</x:v>
      </x:c>
      <x:c r="W38" s="127" t="n">
        <x:v>0.004</x:v>
      </x:c>
      <x:c r="X38" s="127" t="n">
        <x:v>0.004</x:v>
      </x:c>
      <x:c r="Y38" s="127" t="n">
        <x:v>0.004</x:v>
      </x:c>
      <x:c r="Z38" s="127" t="n">
        <x:v>0.002</x:v>
      </x:c>
      <x:c r="AA38" s="71" t="str">
        <x:f>IF(AND(A38&lt;&gt;"",B38&lt;&gt;"",G38&gt;0,M38&gt;=0,M38&lt;=999),"可回读","需修正")</x:f>
        <x:v>可回读</x:v>
      </x:c>
      <x:c r="AB38" s="71" t="str">
        <x:v>capoo</x:v>
      </x:c>
      <x:c r="AC38" s="71" t="str">
        <x:v>res://resources/config/enemies/capoo_mage.tres</x:v>
      </x:c>
      <x:c r="AD38" s="71" t="str">
        <x:v>res://scene/enemy/capoo/capoo_mage.tscn</x:v>
      </x:c>
    </x:row>
    <x:row r="39" ht="23" customHeight="1">
      <x:c r="A39" s="71" t="str">
        <x:v>狙击手 Capoo</x:v>
      </x:c>
      <x:c r="B39" s="71" t="str">
        <x:v>capoo_sniper</x:v>
      </x:c>
      <x:c r="C39" s="71" t="str">
        <x:v>狙击手 Capoo</x:v>
      </x:c>
      <x:c r="D39" s="71" t="str">
        <x:v>猫猫虫</x:v>
      </x:c>
      <x:c r="E39" s="71" t="str">
        <x:v>普通</x:v>
      </x:c>
      <x:c r="F39" s="71" t="str">
        <x:v>否</x:v>
      </x:c>
      <x:c r="G39" s="57" t="n">
        <x:v>100</x:v>
      </x:c>
      <x:c r="H39" s="57" t="n">
        <x:v>200</x:v>
      </x:c>
      <x:c r="I39" s="57" t="n">
        <x:v>20</x:v>
      </x:c>
      <x:c r="J39" s="57" t="n">
        <x:v>0</x:v>
      </x:c>
      <x:c r="K39" s="57" t="n">
        <x:v>80</x:v>
      </x:c>
      <x:c r="L39" s="57" t="n">
        <x:v>2</x:v>
      </x:c>
      <x:c r="M39" s="92" t="n">
        <x:v>10</x:v>
      </x:c>
      <x:c r="N39" s="92" t="n">
        <x:f>SUM(O39:Z39)</x:f>
        <x:v>0.07000000000000002</x:v>
      </x:c>
      <x:c r="O39" s="126" t="n">
        <x:v>0.02</x:v>
      </x:c>
      <x:c r="P39" s="126" t="n">
        <x:v>0.002</x:v>
      </x:c>
      <x:c r="Q39" s="126" t="n">
        <x:v>0.01</x:v>
      </x:c>
      <x:c r="R39" s="126" t="n">
        <x:v>0.01</x:v>
      </x:c>
      <x:c r="S39" s="126" t="n">
        <x:v>0.01</x:v>
      </x:c>
      <x:c r="T39" s="126" t="n">
        <x:v>0</x:v>
      </x:c>
      <x:c r="U39" s="126" t="n">
        <x:v>0</x:v>
      </x:c>
      <x:c r="V39" s="127" t="n">
        <x:v>0.004</x:v>
      </x:c>
      <x:c r="W39" s="127" t="n">
        <x:v>0.004</x:v>
      </x:c>
      <x:c r="X39" s="127" t="n">
        <x:v>0.004</x:v>
      </x:c>
      <x:c r="Y39" s="127" t="n">
        <x:v>0.004</x:v>
      </x:c>
      <x:c r="Z39" s="127" t="n">
        <x:v>0.002</x:v>
      </x:c>
      <x:c r="AA39" s="71" t="str">
        <x:f>IF(AND(A39&lt;&gt;"",B39&lt;&gt;"",G39&gt;0,M39&gt;=0,M39&lt;=999),"可回读","需修正")</x:f>
        <x:v>可回读</x:v>
      </x:c>
      <x:c r="AB39" s="71" t="str">
        <x:v>capoo</x:v>
      </x:c>
      <x:c r="AC39" s="71" t="str">
        <x:v>res://resources/config/enemies/capoo_sniper.tres</x:v>
      </x:c>
      <x:c r="AD39" s="71" t="str">
        <x:v>res://scene/enemy/capoo/capoo_sniper.tscn</x:v>
      </x:c>
    </x:row>
    <x:row r="40" ht="23" customHeight="1">
      <x:c r="A40" s="71" t="str">
        <x:v>被石头侵蚀的骑士猫猫虫</x:v>
      </x:c>
      <x:c r="B40" s="71" t="str">
        <x:v>stone_eroded_capoo_knight</x:v>
      </x:c>
      <x:c r="C40" s="71" t="str">
        <x:v>被石头侵蚀的骑士猫猫虫</x:v>
      </x:c>
      <x:c r="D40" s="71" t="str">
        <x:v>猫猫虫</x:v>
      </x:c>
      <x:c r="E40" s="71" t="str">
        <x:v>普通</x:v>
      </x:c>
      <x:c r="F40" s="71" t="str">
        <x:v>否</x:v>
      </x:c>
      <x:c r="G40" s="57" t="n">
        <x:v>400</x:v>
      </x:c>
      <x:c r="H40" s="57" t="n">
        <x:v>28</x:v>
      </x:c>
      <x:c r="I40" s="57" t="n">
        <x:v>150</x:v>
      </x:c>
      <x:c r="J40" s="57" t="n">
        <x:v>0</x:v>
      </x:c>
      <x:c r="K40" s="57" t="n">
        <x:v>34</x:v>
      </x:c>
      <x:c r="L40" s="57" t="n">
        <x:v>2</x:v>
      </x:c>
      <x:c r="M40" s="92" t="n">
        <x:v>4</x:v>
      </x:c>
      <x:c r="N40" s="92" t="n">
        <x:f>SUM(O40:Z40)</x:f>
        <x:v>0.07000000000000002</x:v>
      </x:c>
      <x:c r="O40" s="126" t="n">
        <x:v>0.02</x:v>
      </x:c>
      <x:c r="P40" s="126" t="n">
        <x:v>0.002</x:v>
      </x:c>
      <x:c r="Q40" s="126" t="n">
        <x:v>0.01</x:v>
      </x:c>
      <x:c r="R40" s="126" t="n">
        <x:v>0.01</x:v>
      </x:c>
      <x:c r="S40" s="126" t="n">
        <x:v>0.01</x:v>
      </x:c>
      <x:c r="T40" s="126" t="n">
        <x:v>0</x:v>
      </x:c>
      <x:c r="U40" s="126" t="n">
        <x:v>0</x:v>
      </x:c>
      <x:c r="V40" s="127" t="n">
        <x:v>0.004</x:v>
      </x:c>
      <x:c r="W40" s="127" t="n">
        <x:v>0.004</x:v>
      </x:c>
      <x:c r="X40" s="127" t="n">
        <x:v>0.004</x:v>
      </x:c>
      <x:c r="Y40" s="127" t="n">
        <x:v>0.004</x:v>
      </x:c>
      <x:c r="Z40" s="127" t="n">
        <x:v>0.002</x:v>
      </x:c>
      <x:c r="AA40" s="71" t="str">
        <x:f>IF(AND(A40&lt;&gt;"",B40&lt;&gt;"",G40&gt;0,M40&gt;=0,M40&lt;=999),"可回读","需修正")</x:f>
        <x:v>可回读</x:v>
      </x:c>
      <x:c r="AB40" s="71" t="str">
        <x:v>capoo, stone_eroded</x:v>
      </x:c>
      <x:c r="AC40" s="71" t="str">
        <x:v>res://resources/config/enemies/stone_eroded_capoo_knight.tres</x:v>
      </x:c>
      <x:c r="AD40" s="71" t="str">
        <x:v>res://scene/enemy/stone_eroded/stone_eroded_capoo_knight.tscn</x:v>
      </x:c>
    </x:row>
    <x:row r="41" ht="23" customHeight="1">
      <x:c r="A41" s="71" t="str">
        <x:v>被石头侵蚀的精英骑士猫猫虫</x:v>
      </x:c>
      <x:c r="B41" s="71" t="str">
        <x:v>stone_eroded_capoo_knight_elite</x:v>
      </x:c>
      <x:c r="C41" s="71" t="str">
        <x:v>被石头侵蚀的精英骑士猫猫虫</x:v>
      </x:c>
      <x:c r="D41" s="71" t="str">
        <x:v>猫猫虫</x:v>
      </x:c>
      <x:c r="E41" s="71" t="str">
        <x:v>精英</x:v>
      </x:c>
      <x:c r="F41" s="71" t="str">
        <x:v>否</x:v>
      </x:c>
      <x:c r="G41" s="57" t="n">
        <x:v>700</x:v>
      </x:c>
      <x:c r="H41" s="57" t="n">
        <x:v>28</x:v>
      </x:c>
      <x:c r="I41" s="57" t="n">
        <x:v>150</x:v>
      </x:c>
      <x:c r="J41" s="57" t="n">
        <x:v>0</x:v>
      </x:c>
      <x:c r="K41" s="57" t="n">
        <x:v>34</x:v>
      </x:c>
      <x:c r="L41" s="57" t="n">
        <x:v>2</x:v>
      </x:c>
      <x:c r="M41" s="92" t="n">
        <x:v>4</x:v>
      </x:c>
      <x:c r="N41" s="92" t="n">
        <x:f>SUM(O41:Z41)</x:f>
        <x:v>0.07000000000000002</x:v>
      </x:c>
      <x:c r="O41" s="126" t="n">
        <x:v>0.02</x:v>
      </x:c>
      <x:c r="P41" s="126" t="n">
        <x:v>0.002</x:v>
      </x:c>
      <x:c r="Q41" s="126" t="n">
        <x:v>0.01</x:v>
      </x:c>
      <x:c r="R41" s="126" t="n">
        <x:v>0.01</x:v>
      </x:c>
      <x:c r="S41" s="126" t="n">
        <x:v>0.01</x:v>
      </x:c>
      <x:c r="T41" s="126" t="n">
        <x:v>0</x:v>
      </x:c>
      <x:c r="U41" s="126" t="n">
        <x:v>0</x:v>
      </x:c>
      <x:c r="V41" s="127" t="n">
        <x:v>0.004</x:v>
      </x:c>
      <x:c r="W41" s="127" t="n">
        <x:v>0.004</x:v>
      </x:c>
      <x:c r="X41" s="127" t="n">
        <x:v>0.004</x:v>
      </x:c>
      <x:c r="Y41" s="127" t="n">
        <x:v>0.004</x:v>
      </x:c>
      <x:c r="Z41" s="127" t="n">
        <x:v>0.002</x:v>
      </x:c>
      <x:c r="AA41" s="71" t="str">
        <x:f>IF(AND(A41&lt;&gt;"",B41&lt;&gt;"",G41&gt;0,M41&gt;=0,M41&lt;=999),"可回读","需修正")</x:f>
        <x:v>可回读</x:v>
      </x:c>
      <x:c r="AB41" s="71" t="str">
        <x:v>capoo, stone_eroded</x:v>
      </x:c>
      <x:c r="AC41" s="71" t="str">
        <x:v>res://resources/config/enemies/stone_eroded_capoo_knight_elite.tres</x:v>
      </x:c>
      <x:c r="AD41" s="71" t="str">
        <x:v>res://scene/enemy/stone_eroded/stone_eroded_capoo_knight_elite.tscn</x:v>
      </x:c>
    </x:row>
    <x:row r="42" ht="23" customHeight="1">
      <x:c r="A42" s="71" t="str">
        <x:v>被石头侵蚀的剑客猫猫虫</x:v>
      </x:c>
      <x:c r="B42" s="71" t="str">
        <x:v>stone_eroded_capoo_swordsman</x:v>
      </x:c>
      <x:c r="C42" s="71" t="str">
        <x:v>被石头侵蚀的剑客猫猫虫</x:v>
      </x:c>
      <x:c r="D42" s="71" t="str">
        <x:v>猫猫虫</x:v>
      </x:c>
      <x:c r="E42" s="71" t="str">
        <x:v>普通</x:v>
      </x:c>
      <x:c r="F42" s="71" t="str">
        <x:v>否</x:v>
      </x:c>
      <x:c r="G42" s="57" t="n">
        <x:v>800</x:v>
      </x:c>
      <x:c r="H42" s="57" t="n">
        <x:v>24</x:v>
      </x:c>
      <x:c r="I42" s="57" t="n">
        <x:v>150</x:v>
      </x:c>
      <x:c r="J42" s="57" t="n">
        <x:v>0</x:v>
      </x:c>
      <x:c r="K42" s="57" t="n">
        <x:v>38</x:v>
      </x:c>
      <x:c r="L42" s="57" t="n">
        <x:v>2</x:v>
      </x:c>
      <x:c r="M42" s="92" t="n">
        <x:v>4</x:v>
      </x:c>
      <x:c r="N42" s="92" t="n">
        <x:f>SUM(O42:Z42)</x:f>
        <x:v>0.07000000000000002</x:v>
      </x:c>
      <x:c r="O42" s="126" t="n">
        <x:v>0.02</x:v>
      </x:c>
      <x:c r="P42" s="126" t="n">
        <x:v>0.002</x:v>
      </x:c>
      <x:c r="Q42" s="126" t="n">
        <x:v>0.01</x:v>
      </x:c>
      <x:c r="R42" s="126" t="n">
        <x:v>0.01</x:v>
      </x:c>
      <x:c r="S42" s="126" t="n">
        <x:v>0.01</x:v>
      </x:c>
      <x:c r="T42" s="126" t="n">
        <x:v>0</x:v>
      </x:c>
      <x:c r="U42" s="126" t="n">
        <x:v>0</x:v>
      </x:c>
      <x:c r="V42" s="127" t="n">
        <x:v>0.004</x:v>
      </x:c>
      <x:c r="W42" s="127" t="n">
        <x:v>0.004</x:v>
      </x:c>
      <x:c r="X42" s="127" t="n">
        <x:v>0.004</x:v>
      </x:c>
      <x:c r="Y42" s="127" t="n">
        <x:v>0.004</x:v>
      </x:c>
      <x:c r="Z42" s="127" t="n">
        <x:v>0.002</x:v>
      </x:c>
      <x:c r="AA42" s="71" t="str">
        <x:f>IF(AND(A42&lt;&gt;"",B42&lt;&gt;"",G42&gt;0,M42&gt;=0,M42&lt;=999),"可回读","需修正")</x:f>
        <x:v>可回读</x:v>
      </x:c>
      <x:c r="AB42" s="71" t="str">
        <x:v>capoo, stone_eroded</x:v>
      </x:c>
      <x:c r="AC42" s="71" t="str">
        <x:v>res://resources/config/enemies/stone_eroded_capoo_swordsman.tres</x:v>
      </x:c>
      <x:c r="AD42" s="71" t="str">
        <x:v>res://scene/enemy/stone_eroded/stone_eroded_capoo_swordsman.tscn</x:v>
      </x:c>
    </x:row>
    <x:row r="43" ht="23" customHeight="1">
      <x:c r="A43" s="71" t="str">
        <x:v>被石头侵蚀的冲锋枪 Capoo</x:v>
      </x:c>
      <x:c r="B43" s="71" t="str">
        <x:v>stone_eroded_capoo_smg</x:v>
      </x:c>
      <x:c r="C43" s="71" t="str">
        <x:v>被石头侵蚀的冲锋枪 Capoo</x:v>
      </x:c>
      <x:c r="D43" s="71" t="str">
        <x:v>猫猫虫</x:v>
      </x:c>
      <x:c r="E43" s="71" t="str">
        <x:v>普通</x:v>
      </x:c>
      <x:c r="F43" s="71" t="str">
        <x:v>否</x:v>
      </x:c>
      <x:c r="G43" s="57" t="n">
        <x:v>400</x:v>
      </x:c>
      <x:c r="H43" s="57" t="n">
        <x:v>30</x:v>
      </x:c>
      <x:c r="I43" s="57" t="n">
        <x:v>150</x:v>
      </x:c>
      <x:c r="J43" s="57" t="n">
        <x:v>0</x:v>
      </x:c>
      <x:c r="K43" s="57" t="n">
        <x:v>100</x:v>
      </x:c>
      <x:c r="L43" s="57" t="n">
        <x:v>2</x:v>
      </x:c>
      <x:c r="M43" s="92" t="n">
        <x:v>5</x:v>
      </x:c>
      <x:c r="N43" s="92" t="n">
        <x:f>SUM(O43:Z43)</x:f>
        <x:v>0.07000000000000002</x:v>
      </x:c>
      <x:c r="O43" s="126" t="n">
        <x:v>0.02</x:v>
      </x:c>
      <x:c r="P43" s="126" t="n">
        <x:v>0.002</x:v>
      </x:c>
      <x:c r="Q43" s="126" t="n">
        <x:v>0.01</x:v>
      </x:c>
      <x:c r="R43" s="126" t="n">
        <x:v>0.01</x:v>
      </x:c>
      <x:c r="S43" s="126" t="n">
        <x:v>0.01</x:v>
      </x:c>
      <x:c r="T43" s="126" t="n">
        <x:v>0</x:v>
      </x:c>
      <x:c r="U43" s="126" t="n">
        <x:v>0</x:v>
      </x:c>
      <x:c r="V43" s="127" t="n">
        <x:v>0.004</x:v>
      </x:c>
      <x:c r="W43" s="127" t="n">
        <x:v>0.004</x:v>
      </x:c>
      <x:c r="X43" s="127" t="n">
        <x:v>0.004</x:v>
      </x:c>
      <x:c r="Y43" s="127" t="n">
        <x:v>0.004</x:v>
      </x:c>
      <x:c r="Z43" s="127" t="n">
        <x:v>0.002</x:v>
      </x:c>
      <x:c r="AA43" s="71" t="str">
        <x:f>IF(AND(A43&lt;&gt;"",B43&lt;&gt;"",G43&gt;0,M43&gt;=0,M43&lt;=999),"可回读","需修正")</x:f>
        <x:v>可回读</x:v>
      </x:c>
      <x:c r="AB43" s="71" t="str">
        <x:v>capoo, stone_eroded</x:v>
      </x:c>
      <x:c r="AC43" s="71" t="str">
        <x:v>res://resources/config/enemies/stone_eroded_capoo_smg.tres</x:v>
      </x:c>
      <x:c r="AD43" s="71" t="str">
        <x:v>res://scene/enemy/stone_eroded/stone_eroded_capoo_smg.tscn</x:v>
      </x:c>
    </x:row>
    <x:row r="44" ht="23" customHeight="1">
      <x:c r="A44" s="71" t="str">
        <x:v>被石头侵蚀的AK猫猫虫</x:v>
      </x:c>
      <x:c r="B44" s="71" t="str">
        <x:v>stone_eroded_capoo_ak47</x:v>
      </x:c>
      <x:c r="C44" s="71" t="str">
        <x:v>被石头侵蚀的AK猫猫虫</x:v>
      </x:c>
      <x:c r="D44" s="71" t="str">
        <x:v>猫猫虫</x:v>
      </x:c>
      <x:c r="E44" s="71" t="str">
        <x:v>普通</x:v>
      </x:c>
      <x:c r="F44" s="71" t="str">
        <x:v>否</x:v>
      </x:c>
      <x:c r="G44" s="57" t="n">
        <x:v>300</x:v>
      </x:c>
      <x:c r="H44" s="57" t="n">
        <x:v>20</x:v>
      </x:c>
      <x:c r="I44" s="57" t="n">
        <x:v>150</x:v>
      </x:c>
      <x:c r="J44" s="57" t="n">
        <x:v>0</x:v>
      </x:c>
      <x:c r="K44" s="57" t="n">
        <x:v>18</x:v>
      </x:c>
      <x:c r="L44" s="57" t="n">
        <x:v>2</x:v>
      </x:c>
      <x:c r="M44" s="92" t="n">
        <x:v>5</x:v>
      </x:c>
      <x:c r="N44" s="92" t="n">
        <x:f>SUM(O44:Z44)</x:f>
        <x:v>0.07000000000000002</x:v>
      </x:c>
      <x:c r="O44" s="126" t="n">
        <x:v>0.02</x:v>
      </x:c>
      <x:c r="P44" s="126" t="n">
        <x:v>0.002</x:v>
      </x:c>
      <x:c r="Q44" s="126" t="n">
        <x:v>0.01</x:v>
      </x:c>
      <x:c r="R44" s="126" t="n">
        <x:v>0.01</x:v>
      </x:c>
      <x:c r="S44" s="126" t="n">
        <x:v>0.01</x:v>
      </x:c>
      <x:c r="T44" s="126" t="n">
        <x:v>0</x:v>
      </x:c>
      <x:c r="U44" s="126" t="n">
        <x:v>0</x:v>
      </x:c>
      <x:c r="V44" s="127" t="n">
        <x:v>0.004</x:v>
      </x:c>
      <x:c r="W44" s="127" t="n">
        <x:v>0.004</x:v>
      </x:c>
      <x:c r="X44" s="127" t="n">
        <x:v>0.004</x:v>
      </x:c>
      <x:c r="Y44" s="127" t="n">
        <x:v>0.004</x:v>
      </x:c>
      <x:c r="Z44" s="127" t="n">
        <x:v>0.002</x:v>
      </x:c>
      <x:c r="AA44" s="71" t="str">
        <x:f>IF(AND(A44&lt;&gt;"",B44&lt;&gt;"",G44&gt;0,M44&gt;=0,M44&lt;=999),"可回读","需修正")</x:f>
        <x:v>可回读</x:v>
      </x:c>
      <x:c r="AB44" s="71" t="str">
        <x:v>capoo, stone_eroded</x:v>
      </x:c>
      <x:c r="AC44" s="71" t="str">
        <x:v>res://resources/config/enemies/stone_eroded_capoo_ak47.tres</x:v>
      </x:c>
      <x:c r="AD44" s="71" t="str">
        <x:v>res://scene/enemy/stone_eroded/stone_eroded_capoo_ak47.tscn</x:v>
      </x:c>
    </x:row>
    <x:row r="45" ht="23" customHeight="1">
      <x:c r="A45" s="71" t="str">
        <x:v>被石头侵蚀的RPG猫猫虫</x:v>
      </x:c>
      <x:c r="B45" s="71" t="str">
        <x:v>stone_eroded_capoo_rpg</x:v>
      </x:c>
      <x:c r="C45" s="71" t="str">
        <x:v>被石头侵蚀的RPG猫猫虫</x:v>
      </x:c>
      <x:c r="D45" s="71" t="str">
        <x:v>猫猫虫</x:v>
      </x:c>
      <x:c r="E45" s="71" t="str">
        <x:v>普通</x:v>
      </x:c>
      <x:c r="F45" s="71" t="str">
        <x:v>否</x:v>
      </x:c>
      <x:c r="G45" s="57" t="n">
        <x:v>400</x:v>
      </x:c>
      <x:c r="H45" s="57" t="n">
        <x:v>20</x:v>
      </x:c>
      <x:c r="I45" s="57" t="n">
        <x:v>150</x:v>
      </x:c>
      <x:c r="J45" s="57" t="n">
        <x:v>0</x:v>
      </x:c>
      <x:c r="K45" s="57" t="n">
        <x:v>16</x:v>
      </x:c>
      <x:c r="L45" s="57" t="n">
        <x:v>2</x:v>
      </x:c>
      <x:c r="M45" s="92" t="n">
        <x:v>5</x:v>
      </x:c>
      <x:c r="N45" s="92" t="n">
        <x:f>SUM(O45:Z45)</x:f>
        <x:v>0.07000000000000002</x:v>
      </x:c>
      <x:c r="O45" s="126" t="n">
        <x:v>0.02</x:v>
      </x:c>
      <x:c r="P45" s="126" t="n">
        <x:v>0.002</x:v>
      </x:c>
      <x:c r="Q45" s="126" t="n">
        <x:v>0.01</x:v>
      </x:c>
      <x:c r="R45" s="126" t="n">
        <x:v>0.01</x:v>
      </x:c>
      <x:c r="S45" s="126" t="n">
        <x:v>0.01</x:v>
      </x:c>
      <x:c r="T45" s="126" t="n">
        <x:v>0</x:v>
      </x:c>
      <x:c r="U45" s="126" t="n">
        <x:v>0</x:v>
      </x:c>
      <x:c r="V45" s="127" t="n">
        <x:v>0.004</x:v>
      </x:c>
      <x:c r="W45" s="127" t="n">
        <x:v>0.004</x:v>
      </x:c>
      <x:c r="X45" s="127" t="n">
        <x:v>0.004</x:v>
      </x:c>
      <x:c r="Y45" s="127" t="n">
        <x:v>0.004</x:v>
      </x:c>
      <x:c r="Z45" s="127" t="n">
        <x:v>0.002</x:v>
      </x:c>
      <x:c r="AA45" s="71" t="str">
        <x:f>IF(AND(A45&lt;&gt;"",B45&lt;&gt;"",G45&gt;0,M45&gt;=0,M45&lt;=999),"可回读","需修正")</x:f>
        <x:v>可回读</x:v>
      </x:c>
      <x:c r="AB45" s="71" t="str">
        <x:v>capoo, stone_eroded</x:v>
      </x:c>
      <x:c r="AC45" s="71" t="str">
        <x:v>res://resources/config/enemies/stone_eroded_capoo_rpg.tres</x:v>
      </x:c>
      <x:c r="AD45" s="71" t="str">
        <x:v>res://scene/enemy/stone_eroded/stone_eroded_capoo_rpg.tscn</x:v>
      </x:c>
    </x:row>
    <x:row r="46" ht="23" customHeight="1">
      <x:c r="A46" s="71" t="str">
        <x:v>被石头侵蚀的法师 Capoo</x:v>
      </x:c>
      <x:c r="B46" s="71" t="str">
        <x:v>stone_eroded_capoo_mage</x:v>
      </x:c>
      <x:c r="C46" s="71" t="str">
        <x:v>被石头侵蚀的法师 Capoo</x:v>
      </x:c>
      <x:c r="D46" s="71" t="str">
        <x:v>猫猫虫</x:v>
      </x:c>
      <x:c r="E46" s="71" t="str">
        <x:v>普通</x:v>
      </x:c>
      <x:c r="F46" s="71" t="str">
        <x:v>否</x:v>
      </x:c>
      <x:c r="G46" s="57" t="n">
        <x:v>400</x:v>
      </x:c>
      <x:c r="H46" s="57" t="n">
        <x:v>35</x:v>
      </x:c>
      <x:c r="I46" s="57" t="n">
        <x:v>150</x:v>
      </x:c>
      <x:c r="J46" s="57" t="n">
        <x:v>0</x:v>
      </x:c>
      <x:c r="K46" s="57" t="n">
        <x:v>24</x:v>
      </x:c>
      <x:c r="L46" s="57" t="n">
        <x:v>2</x:v>
      </x:c>
      <x:c r="M46" s="92" t="n">
        <x:v>10</x:v>
      </x:c>
      <x:c r="N46" s="92" t="n">
        <x:f>SUM(O46:Z46)</x:f>
        <x:v>0.07000000000000002</x:v>
      </x:c>
      <x:c r="O46" s="126" t="n">
        <x:v>0.02</x:v>
      </x:c>
      <x:c r="P46" s="126" t="n">
        <x:v>0.002</x:v>
      </x:c>
      <x:c r="Q46" s="126" t="n">
        <x:v>0.01</x:v>
      </x:c>
      <x:c r="R46" s="126" t="n">
        <x:v>0.01</x:v>
      </x:c>
      <x:c r="S46" s="126" t="n">
        <x:v>0.01</x:v>
      </x:c>
      <x:c r="T46" s="126" t="n">
        <x:v>0</x:v>
      </x:c>
      <x:c r="U46" s="126" t="n">
        <x:v>0</x:v>
      </x:c>
      <x:c r="V46" s="127" t="n">
        <x:v>0.004</x:v>
      </x:c>
      <x:c r="W46" s="127" t="n">
        <x:v>0.004</x:v>
      </x:c>
      <x:c r="X46" s="127" t="n">
        <x:v>0.004</x:v>
      </x:c>
      <x:c r="Y46" s="127" t="n">
        <x:v>0.004</x:v>
      </x:c>
      <x:c r="Z46" s="127" t="n">
        <x:v>0.002</x:v>
      </x:c>
      <x:c r="AA46" s="71" t="str">
        <x:f>IF(AND(A46&lt;&gt;"",B46&lt;&gt;"",G46&gt;0,M46&gt;=0,M46&lt;=999),"可回读","需修正")</x:f>
        <x:v>可回读</x:v>
      </x:c>
      <x:c r="AB46" s="71" t="str">
        <x:v>capoo, stone_eroded</x:v>
      </x:c>
      <x:c r="AC46" s="71" t="str">
        <x:v>res://resources/config/enemies/stone_eroded_capoo_mage.tres</x:v>
      </x:c>
      <x:c r="AD46" s="71" t="str">
        <x:v>res://scene/enemy/stone_eroded/stone_eroded_capoo_mage.tscn</x:v>
      </x:c>
    </x:row>
    <x:row r="47" ht="23" customHeight="1">
      <x:c r="A47" s="71" t="str">
        <x:v>被石头侵蚀的狙击手 Capoo</x:v>
      </x:c>
      <x:c r="B47" s="71" t="str">
        <x:v>stone_eroded_capoo_sniper</x:v>
      </x:c>
      <x:c r="C47" s="71" t="str">
        <x:v>被石头侵蚀的狙击手 Capoo</x:v>
      </x:c>
      <x:c r="D47" s="71" t="str">
        <x:v>猫猫虫</x:v>
      </x:c>
      <x:c r="E47" s="71" t="str">
        <x:v>普通</x:v>
      </x:c>
      <x:c r="F47" s="71" t="str">
        <x:v>否</x:v>
      </x:c>
      <x:c r="G47" s="57" t="n">
        <x:v>200</x:v>
      </x:c>
      <x:c r="H47" s="57" t="n">
        <x:v>200</x:v>
      </x:c>
      <x:c r="I47" s="57" t="n">
        <x:v>150</x:v>
      </x:c>
      <x:c r="J47" s="57" t="n">
        <x:v>0</x:v>
      </x:c>
      <x:c r="K47" s="57" t="n">
        <x:v>80</x:v>
      </x:c>
      <x:c r="L47" s="57" t="n">
        <x:v>2</x:v>
      </x:c>
      <x:c r="M47" s="92" t="n">
        <x:v>10</x:v>
      </x:c>
      <x:c r="N47" s="92" t="n">
        <x:f>SUM(O47:Z47)</x:f>
        <x:v>0.07000000000000002</x:v>
      </x:c>
      <x:c r="O47" s="126" t="n">
        <x:v>0.02</x:v>
      </x:c>
      <x:c r="P47" s="126" t="n">
        <x:v>0.002</x:v>
      </x:c>
      <x:c r="Q47" s="126" t="n">
        <x:v>0.01</x:v>
      </x:c>
      <x:c r="R47" s="126" t="n">
        <x:v>0.01</x:v>
      </x:c>
      <x:c r="S47" s="126" t="n">
        <x:v>0.01</x:v>
      </x:c>
      <x:c r="T47" s="126" t="n">
        <x:v>0</x:v>
      </x:c>
      <x:c r="U47" s="126" t="n">
        <x:v>0</x:v>
      </x:c>
      <x:c r="V47" s="127" t="n">
        <x:v>0.004</x:v>
      </x:c>
      <x:c r="W47" s="127" t="n">
        <x:v>0.004</x:v>
      </x:c>
      <x:c r="X47" s="127" t="n">
        <x:v>0.004</x:v>
      </x:c>
      <x:c r="Y47" s="127" t="n">
        <x:v>0.004</x:v>
      </x:c>
      <x:c r="Z47" s="127" t="n">
        <x:v>0.002</x:v>
      </x:c>
      <x:c r="AA47" s="71" t="str">
        <x:f>IF(AND(A47&lt;&gt;"",B47&lt;&gt;"",G47&gt;0,M47&gt;=0,M47&lt;=999),"可回读","需修正")</x:f>
        <x:v>可回读</x:v>
      </x:c>
      <x:c r="AB47" s="71" t="str">
        <x:v>capoo, stone_eroded</x:v>
      </x:c>
      <x:c r="AC47" s="71" t="str">
        <x:v>res://resources/config/enemies/stone_eroded_capoo_sniper.tres</x:v>
      </x:c>
      <x:c r="AD47" s="71" t="str">
        <x:v>res://scene/enemy/stone_eroded/stone_eroded_capoo_sniper.tscn</x:v>
      </x:c>
    </x:row>
    <x:row r="48" ht="23" customHeight="1">
      <x:c r="A48" s="71" t="str">
        <x:v>火焰术士</x:v>
      </x:c>
      <x:c r="B48" s="71" t="str">
        <x:v>fire_sorcerer</x:v>
      </x:c>
      <x:c r="C48" s="71" t="str">
        <x:v>火焰术士</x:v>
      </x:c>
      <x:c r="D48" s="71" t="str">
        <x:v>术士</x:v>
      </x:c>
      <x:c r="E48" s="71" t="str">
        <x:v>普通</x:v>
      </x:c>
      <x:c r="F48" s="71" t="str">
        <x:v>否</x:v>
      </x:c>
      <x:c r="G48" s="57" t="n">
        <x:v>200</x:v>
      </x:c>
      <x:c r="H48" s="57" t="n">
        <x:v>40</x:v>
      </x:c>
      <x:c r="I48" s="57" t="n">
        <x:v>20</x:v>
      </x:c>
      <x:c r="J48" s="57" t="n">
        <x:v>80</x:v>
      </x:c>
      <x:c r="K48" s="57" t="n">
        <x:v>24</x:v>
      </x:c>
      <x:c r="L48" s="57" t="n">
        <x:v>3</x:v>
      </x:c>
      <x:c r="M48" s="92" t="n">
        <x:v>20</x:v>
      </x:c>
      <x:c r="N48" s="92" t="n">
        <x:f>SUM(O48:Z48)</x:f>
        <x:v>0.07000000000000002</x:v>
      </x:c>
      <x:c r="O48" s="126" t="n">
        <x:v>0.02</x:v>
      </x:c>
      <x:c r="P48" s="126" t="n">
        <x:v>0.002</x:v>
      </x:c>
      <x:c r="Q48" s="126" t="n">
        <x:v>0.01</x:v>
      </x:c>
      <x:c r="R48" s="126" t="n">
        <x:v>0.01</x:v>
      </x:c>
      <x:c r="S48" s="126" t="n">
        <x:v>0.01</x:v>
      </x:c>
      <x:c r="T48" s="126" t="n">
        <x:v>0</x:v>
      </x:c>
      <x:c r="U48" s="126" t="n">
        <x:v>0</x:v>
      </x:c>
      <x:c r="V48" s="127" t="n">
        <x:v>0.004</x:v>
      </x:c>
      <x:c r="W48" s="127" t="n">
        <x:v>0.004</x:v>
      </x:c>
      <x:c r="X48" s="127" t="n">
        <x:v>0.004</x:v>
      </x:c>
      <x:c r="Y48" s="127" t="n">
        <x:v>0.004</x:v>
      </x:c>
      <x:c r="Z48" s="127" t="n">
        <x:v>0.002</x:v>
      </x:c>
      <x:c r="AA48" s="71" t="str">
        <x:f>IF(AND(A48&lt;&gt;"",B48&lt;&gt;"",G48&gt;0,M48&gt;=0,M48&lt;=999),"可回读","需修正")</x:f>
        <x:v>可回读</x:v>
      </x:c>
      <x:c r="AB48" s="71" t="str">
        <x:v>sorcerer</x:v>
      </x:c>
      <x:c r="AC48" s="71" t="str">
        <x:v>res://resources/config/enemies/fire_sorcerer.tres</x:v>
      </x:c>
      <x:c r="AD48" s="71" t="str">
        <x:v>res://scene/enemy/sorcerer/fire_sorcerer.tscn</x:v>
      </x:c>
    </x:row>
    <x:row r="49" ht="23" customHeight="1">
      <x:c r="A49" s="71" t="str">
        <x:v>精英火焰术士</x:v>
      </x:c>
      <x:c r="B49" s="71" t="str">
        <x:v>fire_sorcerer_elite</x:v>
      </x:c>
      <x:c r="C49" s="71" t="str">
        <x:v>精英火焰术士</x:v>
      </x:c>
      <x:c r="D49" s="71" t="str">
        <x:v>术士</x:v>
      </x:c>
      <x:c r="E49" s="71" t="str">
        <x:v>精英</x:v>
      </x:c>
      <x:c r="F49" s="71" t="str">
        <x:v>否</x:v>
      </x:c>
      <x:c r="G49" s="57" t="n">
        <x:v>300</x:v>
      </x:c>
      <x:c r="H49" s="57" t="n">
        <x:v>70</x:v>
      </x:c>
      <x:c r="I49" s="57" t="n">
        <x:v>40</x:v>
      </x:c>
      <x:c r="J49" s="57" t="n">
        <x:v>80</x:v>
      </x:c>
      <x:c r="K49" s="57" t="n">
        <x:v>24</x:v>
      </x:c>
      <x:c r="L49" s="57" t="n">
        <x:v>3</x:v>
      </x:c>
      <x:c r="M49" s="92" t="n">
        <x:v>40</x:v>
      </x:c>
      <x:c r="N49" s="92" t="n">
        <x:f>SUM(O49:Z49)</x:f>
        <x:v>0.07000000000000002</x:v>
      </x:c>
      <x:c r="O49" s="126" t="n">
        <x:v>0.02</x:v>
      </x:c>
      <x:c r="P49" s="126" t="n">
        <x:v>0.002</x:v>
      </x:c>
      <x:c r="Q49" s="126" t="n">
        <x:v>0.01</x:v>
      </x:c>
      <x:c r="R49" s="126" t="n">
        <x:v>0.01</x:v>
      </x:c>
      <x:c r="S49" s="126" t="n">
        <x:v>0.01</x:v>
      </x:c>
      <x:c r="T49" s="126" t="n">
        <x:v>0</x:v>
      </x:c>
      <x:c r="U49" s="126" t="n">
        <x:v>0</x:v>
      </x:c>
      <x:c r="V49" s="127" t="n">
        <x:v>0.004</x:v>
      </x:c>
      <x:c r="W49" s="127" t="n">
        <x:v>0.004</x:v>
      </x:c>
      <x:c r="X49" s="127" t="n">
        <x:v>0.004</x:v>
      </x:c>
      <x:c r="Y49" s="127" t="n">
        <x:v>0.004</x:v>
      </x:c>
      <x:c r="Z49" s="127" t="n">
        <x:v>0.002</x:v>
      </x:c>
      <x:c r="AA49" s="71" t="str">
        <x:f>IF(AND(A49&lt;&gt;"",B49&lt;&gt;"",G49&gt;0,M49&gt;=0,M49&lt;=999),"可回读","需修正")</x:f>
        <x:v>可回读</x:v>
      </x:c>
      <x:c r="AB49" s="71" t="str">
        <x:v>sorcerer</x:v>
      </x:c>
      <x:c r="AC49" s="71" t="str">
        <x:v>res://resources/config/enemies/fire_sorcerer_elite.tres</x:v>
      </x:c>
      <x:c r="AD49" s="71" t="str">
        <x:v>res://scene/enemy/sorcerer/fire_sorcerer_elite.tscn</x:v>
      </x:c>
    </x:row>
    <x:row r="50" ht="23" customHeight="1">
      <x:c r="A50" s="71" t="str">
        <x:v>寒冰术士</x:v>
      </x:c>
      <x:c r="B50" s="71" t="str">
        <x:v>frost_sorcerer</x:v>
      </x:c>
      <x:c r="C50" s="71" t="str">
        <x:v>寒冰术士</x:v>
      </x:c>
      <x:c r="D50" s="71" t="str">
        <x:v>术士</x:v>
      </x:c>
      <x:c r="E50" s="71" t="str">
        <x:v>普通</x:v>
      </x:c>
      <x:c r="F50" s="71" t="str">
        <x:v>否</x:v>
      </x:c>
      <x:c r="G50" s="57" t="n">
        <x:v>200</x:v>
      </x:c>
      <x:c r="H50" s="57" t="n">
        <x:v>50</x:v>
      </x:c>
      <x:c r="I50" s="57" t="n">
        <x:v>20</x:v>
      </x:c>
      <x:c r="J50" s="57" t="n">
        <x:v>80</x:v>
      </x:c>
      <x:c r="K50" s="57" t="n">
        <x:v>24</x:v>
      </x:c>
      <x:c r="L50" s="57" t="n">
        <x:v>3</x:v>
      </x:c>
      <x:c r="M50" s="92" t="n">
        <x:v>20</x:v>
      </x:c>
      <x:c r="N50" s="92" t="n">
        <x:f>SUM(O50:Z50)</x:f>
        <x:v>0.07000000000000002</x:v>
      </x:c>
      <x:c r="O50" s="126" t="n">
        <x:v>0.02</x:v>
      </x:c>
      <x:c r="P50" s="126" t="n">
        <x:v>0.002</x:v>
      </x:c>
      <x:c r="Q50" s="126" t="n">
        <x:v>0.01</x:v>
      </x:c>
      <x:c r="R50" s="126" t="n">
        <x:v>0.01</x:v>
      </x:c>
      <x:c r="S50" s="126" t="n">
        <x:v>0.01</x:v>
      </x:c>
      <x:c r="T50" s="126" t="n">
        <x:v>0</x:v>
      </x:c>
      <x:c r="U50" s="126" t="n">
        <x:v>0</x:v>
      </x:c>
      <x:c r="V50" s="127" t="n">
        <x:v>0.004</x:v>
      </x:c>
      <x:c r="W50" s="127" t="n">
        <x:v>0.004</x:v>
      </x:c>
      <x:c r="X50" s="127" t="n">
        <x:v>0.004</x:v>
      </x:c>
      <x:c r="Y50" s="127" t="n">
        <x:v>0.004</x:v>
      </x:c>
      <x:c r="Z50" s="127" t="n">
        <x:v>0.002</x:v>
      </x:c>
      <x:c r="AA50" s="71" t="str">
        <x:f>IF(AND(A50&lt;&gt;"",B50&lt;&gt;"",G50&gt;0,M50&gt;=0,M50&lt;=999),"可回读","需修正")</x:f>
        <x:v>可回读</x:v>
      </x:c>
      <x:c r="AB50" s="71" t="str">
        <x:v>sorcerer</x:v>
      </x:c>
      <x:c r="AC50" s="71" t="str">
        <x:v>res://resources/config/enemies/frost_sorcerer.tres</x:v>
      </x:c>
      <x:c r="AD50" s="71" t="str">
        <x:v>res://scene/enemy/sorcerer/frost_sorcerer.tscn</x:v>
      </x:c>
    </x:row>
    <x:row r="51" ht="23" customHeight="1">
      <x:c r="A51" s="71" t="str">
        <x:v>精英冰霜术士</x:v>
      </x:c>
      <x:c r="B51" s="71" t="str">
        <x:v>frost_sorcerer_elite</x:v>
      </x:c>
      <x:c r="C51" s="71" t="str">
        <x:v>精英冰霜术士</x:v>
      </x:c>
      <x:c r="D51" s="71" t="str">
        <x:v>术士</x:v>
      </x:c>
      <x:c r="E51" s="71" t="str">
        <x:v>精英</x:v>
      </x:c>
      <x:c r="F51" s="71" t="str">
        <x:v>否</x:v>
      </x:c>
      <x:c r="G51" s="57" t="n">
        <x:v>300</x:v>
      </x:c>
      <x:c r="H51" s="57" t="n">
        <x:v>80</x:v>
      </x:c>
      <x:c r="I51" s="57" t="n">
        <x:v>20</x:v>
      </x:c>
      <x:c r="J51" s="57" t="n">
        <x:v>80</x:v>
      </x:c>
      <x:c r="K51" s="57" t="n">
        <x:v>24</x:v>
      </x:c>
      <x:c r="L51" s="57" t="n">
        <x:v>3</x:v>
      </x:c>
      <x:c r="M51" s="92" t="n">
        <x:v>40</x:v>
      </x:c>
      <x:c r="N51" s="92" t="n">
        <x:f>SUM(O51:Z51)</x:f>
        <x:v>0.07000000000000002</x:v>
      </x:c>
      <x:c r="O51" s="126" t="n">
        <x:v>0.02</x:v>
      </x:c>
      <x:c r="P51" s="126" t="n">
        <x:v>0.002</x:v>
      </x:c>
      <x:c r="Q51" s="126" t="n">
        <x:v>0.01</x:v>
      </x:c>
      <x:c r="R51" s="126" t="n">
        <x:v>0.01</x:v>
      </x:c>
      <x:c r="S51" s="126" t="n">
        <x:v>0.01</x:v>
      </x:c>
      <x:c r="T51" s="126" t="n">
        <x:v>0</x:v>
      </x:c>
      <x:c r="U51" s="126" t="n">
        <x:v>0</x:v>
      </x:c>
      <x:c r="V51" s="127" t="n">
        <x:v>0.004</x:v>
      </x:c>
      <x:c r="W51" s="127" t="n">
        <x:v>0.004</x:v>
      </x:c>
      <x:c r="X51" s="127" t="n">
        <x:v>0.004</x:v>
      </x:c>
      <x:c r="Y51" s="127" t="n">
        <x:v>0.004</x:v>
      </x:c>
      <x:c r="Z51" s="127" t="n">
        <x:v>0.002</x:v>
      </x:c>
      <x:c r="AA51" s="71" t="str">
        <x:f>IF(AND(A51&lt;&gt;"",B51&lt;&gt;"",G51&gt;0,M51&gt;=0,M51&lt;=999),"可回读","需修正")</x:f>
        <x:v>可回读</x:v>
      </x:c>
      <x:c r="AB51" s="71" t="str">
        <x:v>sorcerer</x:v>
      </x:c>
      <x:c r="AC51" s="71" t="str">
        <x:v>res://resources/config/enemies/frost_sorcerer_elite.tres</x:v>
      </x:c>
      <x:c r="AD51" s="71" t="str">
        <x:v>res://scene/enemy/sorcerer/frost_sorcerer_elite.tscn</x:v>
      </x:c>
    </x:row>
    <x:row r="52" ht="23" customHeight="1">
      <x:c r="A52" s="71" t="str">
        <x:v>雷电术士</x:v>
      </x:c>
      <x:c r="B52" s="71" t="str">
        <x:v>lightning_sorcerer</x:v>
      </x:c>
      <x:c r="C52" s="71" t="str">
        <x:v>雷电术士</x:v>
      </x:c>
      <x:c r="D52" s="71" t="str">
        <x:v>术士</x:v>
      </x:c>
      <x:c r="E52" s="71" t="str">
        <x:v>普通</x:v>
      </x:c>
      <x:c r="F52" s="71" t="str">
        <x:v>否</x:v>
      </x:c>
      <x:c r="G52" s="57" t="n">
        <x:v>200</x:v>
      </x:c>
      <x:c r="H52" s="57" t="n">
        <x:v>50</x:v>
      </x:c>
      <x:c r="I52" s="57" t="n">
        <x:v>20</x:v>
      </x:c>
      <x:c r="J52" s="57" t="n">
        <x:v>80</x:v>
      </x:c>
      <x:c r="K52" s="57" t="n">
        <x:v>24</x:v>
      </x:c>
      <x:c r="L52" s="57" t="n">
        <x:v>3</x:v>
      </x:c>
      <x:c r="M52" s="92" t="n">
        <x:v>20</x:v>
      </x:c>
      <x:c r="N52" s="92" t="n">
        <x:f>SUM(O52:Z52)</x:f>
        <x:v>0.07000000000000002</x:v>
      </x:c>
      <x:c r="O52" s="126" t="n">
        <x:v>0.02</x:v>
      </x:c>
      <x:c r="P52" s="126" t="n">
        <x:v>0.002</x:v>
      </x:c>
      <x:c r="Q52" s="126" t="n">
        <x:v>0.01</x:v>
      </x:c>
      <x:c r="R52" s="126" t="n">
        <x:v>0.01</x:v>
      </x:c>
      <x:c r="S52" s="126" t="n">
        <x:v>0.01</x:v>
      </x:c>
      <x:c r="T52" s="126" t="n">
        <x:v>0</x:v>
      </x:c>
      <x:c r="U52" s="126" t="n">
        <x:v>0</x:v>
      </x:c>
      <x:c r="V52" s="127" t="n">
        <x:v>0.004</x:v>
      </x:c>
      <x:c r="W52" s="127" t="n">
        <x:v>0.004</x:v>
      </x:c>
      <x:c r="X52" s="127" t="n">
        <x:v>0.004</x:v>
      </x:c>
      <x:c r="Y52" s="127" t="n">
        <x:v>0.004</x:v>
      </x:c>
      <x:c r="Z52" s="127" t="n">
        <x:v>0.002</x:v>
      </x:c>
      <x:c r="AA52" s="71" t="str">
        <x:f>IF(AND(A52&lt;&gt;"",B52&lt;&gt;"",G52&gt;0,M52&gt;=0,M52&lt;=999),"可回读","需修正")</x:f>
        <x:v>可回读</x:v>
      </x:c>
      <x:c r="AB52" s="71" t="str">
        <x:v>sorcerer</x:v>
      </x:c>
      <x:c r="AC52" s="71" t="str">
        <x:v>res://resources/config/enemies/lightning_sorcerer.tres</x:v>
      </x:c>
      <x:c r="AD52" s="71" t="str">
        <x:v>res://scene/enemy/sorcerer/lightning_sorcerer.tscn</x:v>
      </x:c>
    </x:row>
    <x:row r="53" ht="23" customHeight="1">
      <x:c r="A53" s="71" t="str">
        <x:v>石头人</x:v>
      </x:c>
      <x:c r="B53" s="71" t="str">
        <x:v>stone_golem</x:v>
      </x:c>
      <x:c r="C53" s="71" t="str">
        <x:v>石头人</x:v>
      </x:c>
      <x:c r="D53" s="71" t="str">
        <x:v>人工造物</x:v>
      </x:c>
      <x:c r="E53" s="71" t="str">
        <x:v>普通</x:v>
      </x:c>
      <x:c r="F53" s="71" t="str">
        <x:v>是</x:v>
      </x:c>
      <x:c r="G53" s="57" t="n">
        <x:v>1000</x:v>
      </x:c>
      <x:c r="H53" s="57" t="n">
        <x:v>100</x:v>
      </x:c>
      <x:c r="I53" s="57" t="n">
        <x:v>50</x:v>
      </x:c>
      <x:c r="J53" s="57" t="n">
        <x:v>0</x:v>
      </x:c>
      <x:c r="K53" s="57" t="n">
        <x:v>15</x:v>
      </x:c>
      <x:c r="L53" s="57" t="n">
        <x:v>3</x:v>
      </x:c>
      <x:c r="M53" s="92" t="n">
        <x:v>40</x:v>
      </x:c>
      <x:c r="N53" s="92" t="n">
        <x:f>SUM(O53:Z53)</x:f>
        <x:v>0.5700000000000001</x:v>
      </x:c>
      <x:c r="O53" s="126" t="n">
        <x:v>0.02</x:v>
      </x:c>
      <x:c r="P53" s="126" t="n">
        <x:v>0.002</x:v>
      </x:c>
      <x:c r="Q53" s="126" t="n">
        <x:v>0.01</x:v>
      </x:c>
      <x:c r="R53" s="126" t="n">
        <x:v>0.01</x:v>
      </x:c>
      <x:c r="S53" s="126" t="n">
        <x:v>0.01</x:v>
      </x:c>
      <x:c r="T53" s="126" t="n">
        <x:v>0</x:v>
      </x:c>
      <x:c r="U53" s="126" t="n">
        <x:v>0.5</x:v>
      </x:c>
      <x:c r="V53" s="127" t="n">
        <x:v>0.004</x:v>
      </x:c>
      <x:c r="W53" s="127" t="n">
        <x:v>0.004</x:v>
      </x:c>
      <x:c r="X53" s="127" t="n">
        <x:v>0.004</x:v>
      </x:c>
      <x:c r="Y53" s="127" t="n">
        <x:v>0.004</x:v>
      </x:c>
      <x:c r="Z53" s="127" t="n">
        <x:v>0.002</x:v>
      </x:c>
      <x:c r="AA53" s="71" t="str">
        <x:f>IF(AND(A53&lt;&gt;"",B53&lt;&gt;"",G53&gt;0,M53&gt;=0,M53&lt;=999),"可回读","需修正")</x:f>
        <x:v>可回读</x:v>
      </x:c>
      <x:c r="AB53" s="71" t="str">
        <x:v>artificial_creation</x:v>
      </x:c>
      <x:c r="AC53" s="71" t="str">
        <x:v>res://resources/config/enemies/stone_golem.tres</x:v>
      </x:c>
      <x:c r="AD53" s="71" t="str">
        <x:v>res://scene/enemy/artificial_creation/stone_golem.tscn</x:v>
      </x:c>
    </x:row>
    <x:row r="54" ht="23" customHeight="1">
      <x:c r="A54" s="71" t="str">
        <x:v>精英石头人</x:v>
      </x:c>
      <x:c r="B54" s="71" t="str">
        <x:v>stone_golem_elite</x:v>
      </x:c>
      <x:c r="C54" s="71" t="str">
        <x:v>精英石头人</x:v>
      </x:c>
      <x:c r="D54" s="71" t="str">
        <x:v>人工造物</x:v>
      </x:c>
      <x:c r="E54" s="71" t="str">
        <x:v>精英</x:v>
      </x:c>
      <x:c r="F54" s="71" t="str">
        <x:v>否</x:v>
      </x:c>
      <x:c r="G54" s="57" t="n">
        <x:v>1800</x:v>
      </x:c>
      <x:c r="H54" s="57" t="n">
        <x:v>150</x:v>
      </x:c>
      <x:c r="I54" s="57" t="n">
        <x:v>75</x:v>
      </x:c>
      <x:c r="J54" s="57" t="n">
        <x:v>0</x:v>
      </x:c>
      <x:c r="K54" s="57" t="n">
        <x:v>15</x:v>
      </x:c>
      <x:c r="L54" s="57" t="n">
        <x:v>3</x:v>
      </x:c>
      <x:c r="M54" s="92" t="n">
        <x:v>80</x:v>
      </x:c>
      <x:c r="N54" s="92" t="n">
        <x:f>SUM(O54:Z54)</x:f>
        <x:v>0.5700000000000001</x:v>
      </x:c>
      <x:c r="O54" s="126" t="n">
        <x:v>0.02</x:v>
      </x:c>
      <x:c r="P54" s="126" t="n">
        <x:v>0.002</x:v>
      </x:c>
      <x:c r="Q54" s="126" t="n">
        <x:v>0.01</x:v>
      </x:c>
      <x:c r="R54" s="126" t="n">
        <x:v>0.01</x:v>
      </x:c>
      <x:c r="S54" s="126" t="n">
        <x:v>0.01</x:v>
      </x:c>
      <x:c r="T54" s="126" t="n">
        <x:v>0</x:v>
      </x:c>
      <x:c r="U54" s="126" t="n">
        <x:v>0.5</x:v>
      </x:c>
      <x:c r="V54" s="127" t="n">
        <x:v>0.004</x:v>
      </x:c>
      <x:c r="W54" s="127" t="n">
        <x:v>0.004</x:v>
      </x:c>
      <x:c r="X54" s="127" t="n">
        <x:v>0.004</x:v>
      </x:c>
      <x:c r="Y54" s="127" t="n">
        <x:v>0.004</x:v>
      </x:c>
      <x:c r="Z54" s="127" t="n">
        <x:v>0.002</x:v>
      </x:c>
      <x:c r="AA54" s="71" t="str">
        <x:f>IF(AND(A54&lt;&gt;"",B54&lt;&gt;"",G54&gt;0,M54&gt;=0,M54&lt;=999),"可回读","需修正")</x:f>
        <x:v>可回读</x:v>
      </x:c>
      <x:c r="AB54" s="71" t="str">
        <x:v>artificial_creation</x:v>
      </x:c>
      <x:c r="AC54" s="71" t="str">
        <x:v>res://resources/config/enemies/stone_golem_elite.tres</x:v>
      </x:c>
      <x:c r="AD54" s="71" t="str">
        <x:v>res://scene/enemy/artificial_creation/stone_golem_elite.tscn</x:v>
      </x:c>
    </x:row>
  </x:sheetData>
  <x:mergeCells>
    <x:mergeCell ref="A1:AD1"/>
    <x:mergeCell ref="A2:AD2"/>
    <x:mergeCell ref="A4:F4"/>
    <x:mergeCell ref="G4:L4"/>
    <x:mergeCell ref="O4:U4"/>
    <x:mergeCell ref="V4:Z4"/>
    <x:mergeCell ref="AA4:AD4"/>
  </x:mergeCells>
  <x:dataValidations count="2">
    <x:dataValidation type="decimal" operator="between" sqref="G6:M54">
      <x:formula1>0</x:formula1>
      <x:formula2>999999</x:formula2>
    </x:dataValidation>
    <x:dataValidation type="decimal" operator="between" sqref="O6:Z54">
      <x:formula1>0</x:formula1>
      <x:formula2>1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0" hidden="0" customWidth="1"/>
    <x:col min="3" max="3" width="15" hidden="0" customWidth="1"/>
    <x:col min="4" max="4" width="15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9" hidden="0" customWidth="1"/>
    <x:col min="10" max="10" width="16" hidden="0" customWidth="1"/>
    <x:col min="11" max="11" width="21" hidden="0" customWidth="1"/>
    <x:col min="12" max="12" width="17" hidden="0" customWidth="1"/>
    <x:col min="13" max="13" width="25" hidden="0" customWidth="1"/>
    <x:col min="14" max="14" width="29" hidden="0" customWidth="1"/>
    <x:col min="15" max="15" width="16" hidden="0" customWidth="1"/>
    <x:col min="16" max="16" width="20" hidden="0" customWidth="1"/>
    <x:col min="17" max="17" width="14" hidden="0" customWidth="1"/>
    <x:col min="18" max="18" width="14" hidden="0" customWidth="1"/>
    <x:col min="19" max="19" width="15" hidden="0" customWidth="1"/>
    <x:col min="20" max="20" width="14" hidden="0" customWidth="1"/>
    <x:col min="21" max="21" width="14" hidden="0" customWidth="1"/>
    <x:col min="22" max="22" width="24" hidden="0" customWidth="1"/>
    <x:col min="23" max="23" width="16" hidden="0" customWidth="1"/>
    <x:col min="24" max="24" width="52" hidden="0" customWidth="1"/>
  </x:cols>
  <x:sheetData>
    <x:row r="1">
      <x:c r="A1" s="3" t="str">
        <x:v>敌人导入数据｜schema v3｜机器读取区域，请勿编辑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>
      <x:c r="A2" s="71" t="str">
        <x:v>schema_version</x:v>
      </x:c>
      <x:c r="B2" s="71" t="n">
        <x:v>3</x:v>
      </x:c>
      <x:c r="C2" s="71" t="str">
        <x:v>workbook_id</x:v>
      </x:c>
      <x:c r="D2" s="71" t="str">
        <x:v>tower_defense_4_day_campaign_designer_v3</x:v>
      </x:c>
      <x:c r="E2" s="71" t="str">
        <x:v>enemy_count</x:v>
      </x:c>
      <x:c r="F2" s="71" t="n">
        <x:v>49</x:v>
      </x:c>
      <x:c r="G2" s="71" t="str">
        <x:v>source</x:v>
      </x:c>
      <x:c r="H2" s="71" t="str">
        <x:v>敌人目录</x:v>
      </x:c>
    </x:row>
    <x:row r="4">
      <x:c r="A4" s="110" t="str">
        <x:v>schema_version</x:v>
      </x:c>
      <x:c r="B4" s="110" t="str">
        <x:v>enemy_id</x:v>
      </x:c>
      <x:c r="C4" s="110" t="str">
        <x:v>max_health</x:v>
      </x:c>
      <x:c r="D4" s="110" t="str">
        <x:v>attack_damage</x:v>
      </x:c>
      <x:c r="E4" s="110" t="str">
        <x:v>physical_defense</x:v>
      </x:c>
      <x:c r="F4" s="110" t="str">
        <x:v>magic_defense</x:v>
      </x:c>
      <x:c r="G4" s="110" t="str">
        <x:v>move_speed</x:v>
      </x:c>
      <x:c r="H4" s="110" t="str">
        <x:v>home_damage</x:v>
      </x:c>
      <x:c r="I4" s="110" t="str">
        <x:v>xirang_kill_reward</x:v>
      </x:c>
      <x:c r="J4" s="110" t="str">
        <x:v>material_wood</x:v>
      </x:c>
      <x:c r="K4" s="110" t="str">
        <x:v>material_white_crystal</x:v>
      </x:c>
      <x:c r="L4" s="110" t="str">
        <x:v>material_sapling</x:v>
      </x:c>
      <x:c r="M4" s="110" t="str">
        <x:v>material_capoo_blue_crystal</x:v>
      </x:c>
      <x:c r="N4" s="110" t="str">
        <x:v>material_sorcerer_violet_powder</x:v>
      </x:c>
      <x:c r="O4" s="110" t="str">
        <x:v>material_gel</x:v>
      </x:c>
      <x:c r="P4" s="110" t="str">
        <x:v>material_small_stone</x:v>
      </x:c>
      <x:c r="Q4" s="110" t="str">
        <x:v>pickup_speed</x:v>
      </x:c>
      <x:c r="R4" s="110" t="str">
        <x:v>pickup_rapid</x:v>
      </x:c>
      <x:c r="S4" s="110" t="str">
        <x:v>pickup_tenpura</x:v>
      </x:c>
      <x:c r="T4" s="110" t="str">
        <x:v>pickup_health</x:v>
      </x:c>
      <x:c r="U4" s="110" t="str">
        <x:v>pickup_spiral</x:v>
      </x:c>
      <x:c r="V4" s="110" t="str">
        <x:v>expected_drop_count_per_kill</x:v>
      </x:c>
      <x:c r="W4" s="110" t="str">
        <x:v>row_validation</x:v>
      </x:c>
      <x:c r="X4" s="110" t="str">
        <x:v>config_path</x:v>
      </x:c>
    </x:row>
    <x:row r="5">
      <x:c r="A5" s="71" t="n">
        <x:v>3</x:v>
      </x:c>
      <x:c r="B5" s="71" t="str">
        <x:f>'敌人目录'!B6</x:f>
        <x:v>yuanshi_insect_basic</x:v>
      </x:c>
      <x:c r="C5" s="71" t="n">
        <x:f>'敌人目录'!G6</x:f>
        <x:v>40</x:v>
      </x:c>
      <x:c r="D5" s="71" t="n">
        <x:f>'敌人目录'!H6</x:f>
        <x:v>10</x:v>
      </x:c>
      <x:c r="E5" s="71" t="n">
        <x:f>'敌人目录'!I6</x:f>
        <x:v>0</x:v>
      </x:c>
      <x:c r="F5" s="71" t="n">
        <x:f>'敌人目录'!J6</x:f>
        <x:v>0</x:v>
      </x:c>
      <x:c r="G5" s="71" t="n">
        <x:f>'敌人目录'!K6</x:f>
        <x:v>20</x:v>
      </x:c>
      <x:c r="H5" s="71" t="n">
        <x:f>'敌人目录'!L6</x:f>
        <x:v>1</x:v>
      </x:c>
      <x:c r="I5" s="71" t="n">
        <x:f>'敌人目录'!M6</x:f>
        <x:v>1</x:v>
      </x:c>
      <x:c r="J5" s="71" t="n">
        <x:f>'敌人目录'!O6</x:f>
        <x:v>0.02</x:v>
      </x:c>
      <x:c r="K5" s="71" t="n">
        <x:f>'敌人目录'!P6</x:f>
        <x:v>0.002</x:v>
      </x:c>
      <x:c r="L5" s="71" t="n">
        <x:f>'敌人目录'!Q6</x:f>
        <x:v>0.01</x:v>
      </x:c>
      <x:c r="M5" s="71" t="n">
        <x:f>'敌人目录'!R6</x:f>
        <x:v>0</x:v>
      </x:c>
      <x:c r="N5" s="71" t="n">
        <x:f>'敌人目录'!S6</x:f>
        <x:v>0</x:v>
      </x:c>
      <x:c r="O5" s="71" t="n">
        <x:f>'敌人目录'!T6</x:f>
        <x:v>0</x:v>
      </x:c>
      <x:c r="P5" s="71" t="n">
        <x:f>'敌人目录'!U6</x:f>
        <x:v>0</x:v>
      </x:c>
      <x:c r="Q5" s="71" t="n">
        <x:f>'敌人目录'!V6</x:f>
        <x:v>0.004</x:v>
      </x:c>
      <x:c r="R5" s="71" t="n">
        <x:f>'敌人目录'!W6</x:f>
        <x:v>0.004</x:v>
      </x:c>
      <x:c r="S5" s="71" t="n">
        <x:f>'敌人目录'!X6</x:f>
        <x:v>0.004</x:v>
      </x:c>
      <x:c r="T5" s="71" t="n">
        <x:f>'敌人目录'!Y6</x:f>
        <x:v>0.004</x:v>
      </x:c>
      <x:c r="U5" s="71" t="n">
        <x:f>'敌人目录'!Z6</x:f>
        <x:v>0.002</x:v>
      </x:c>
      <x:c r="V5" s="71" t="n">
        <x:f>'敌人目录'!N6</x:f>
        <x:v>0.05000000000000002</x:v>
      </x:c>
      <x:c r="W5" s="71" t="str">
        <x:f>'敌人目录'!AA6</x:f>
        <x:v>可回读</x:v>
      </x:c>
      <x:c r="X5" s="71" t="str">
        <x:f>'敌人目录'!AC6</x:f>
        <x:v>res://resources/config/enemies/yuanshi_insect_basic.tres</x:v>
      </x:c>
    </x:row>
    <x:row r="6">
      <x:c r="A6" s="71" t="n">
        <x:v>3</x:v>
      </x:c>
      <x:c r="B6" s="71" t="str">
        <x:f>'敌人目录'!B7</x:f>
        <x:v>yuanshi_insect_shell</x:v>
      </x:c>
      <x:c r="C6" s="71" t="n">
        <x:f>'敌人目录'!G7</x:f>
        <x:v>140</x:v>
      </x:c>
      <x:c r="D6" s="71" t="n">
        <x:f>'敌人目录'!H7</x:f>
        <x:v>14</x:v>
      </x:c>
      <x:c r="E6" s="71" t="n">
        <x:f>'敌人目录'!I7</x:f>
        <x:v>3</x:v>
      </x:c>
      <x:c r="F6" s="71" t="n">
        <x:f>'敌人目录'!J7</x:f>
        <x:v>0</x:v>
      </x:c>
      <x:c r="G6" s="71" t="n">
        <x:f>'敌人目录'!K7</x:f>
        <x:v>20</x:v>
      </x:c>
      <x:c r="H6" s="71" t="n">
        <x:f>'敌人目录'!L7</x:f>
        <x:v>1</x:v>
      </x:c>
      <x:c r="I6" s="71" t="n">
        <x:f>'敌人目录'!M7</x:f>
        <x:v>2</x:v>
      </x:c>
      <x:c r="J6" s="71" t="n">
        <x:f>'敌人目录'!O7</x:f>
        <x:v>0.02</x:v>
      </x:c>
      <x:c r="K6" s="71" t="n">
        <x:f>'敌人目录'!P7</x:f>
        <x:v>0.002</x:v>
      </x:c>
      <x:c r="L6" s="71" t="n">
        <x:f>'敌人目录'!Q7</x:f>
        <x:v>0.01</x:v>
      </x:c>
      <x:c r="M6" s="71" t="n">
        <x:f>'敌人目录'!R7</x:f>
        <x:v>0</x:v>
      </x:c>
      <x:c r="N6" s="71" t="n">
        <x:f>'敌人目录'!S7</x:f>
        <x:v>0</x:v>
      </x:c>
      <x:c r="O6" s="71" t="n">
        <x:f>'敌人目录'!T7</x:f>
        <x:v>0</x:v>
      </x:c>
      <x:c r="P6" s="71" t="n">
        <x:f>'敌人目录'!U7</x:f>
        <x:v>0</x:v>
      </x:c>
      <x:c r="Q6" s="71" t="n">
        <x:f>'敌人目录'!V7</x:f>
        <x:v>0.004</x:v>
      </x:c>
      <x:c r="R6" s="71" t="n">
        <x:f>'敌人目录'!W7</x:f>
        <x:v>0.004</x:v>
      </x:c>
      <x:c r="S6" s="71" t="n">
        <x:f>'敌人目录'!X7</x:f>
        <x:v>0.004</x:v>
      </x:c>
      <x:c r="T6" s="71" t="n">
        <x:f>'敌人目录'!Y7</x:f>
        <x:v>0.004</x:v>
      </x:c>
      <x:c r="U6" s="71" t="n">
        <x:f>'敌人目录'!Z7</x:f>
        <x:v>0.002</x:v>
      </x:c>
      <x:c r="V6" s="71" t="n">
        <x:f>'敌人目录'!N7</x:f>
        <x:v>0.05000000000000002</x:v>
      </x:c>
      <x:c r="W6" s="71" t="str">
        <x:f>'敌人目录'!AA7</x:f>
        <x:v>可回读</x:v>
      </x:c>
      <x:c r="X6" s="71" t="str">
        <x:f>'敌人目录'!AC7</x:f>
        <x:v>res://resources/config/enemies/yuanshi_insect_shell.tres</x:v>
      </x:c>
    </x:row>
    <x:row r="7">
      <x:c r="A7" s="71" t="n">
        <x:v>3</x:v>
      </x:c>
      <x:c r="B7" s="71" t="str">
        <x:f>'敌人目录'!B8</x:f>
        <x:v>yuanshi_insect_fast</x:v>
      </x:c>
      <x:c r="C7" s="71" t="n">
        <x:f>'敌人目录'!G8</x:f>
        <x:v>35</x:v>
      </x:c>
      <x:c r="D7" s="71" t="n">
        <x:f>'敌人目录'!H8</x:f>
        <x:v>10</x:v>
      </x:c>
      <x:c r="E7" s="71" t="n">
        <x:f>'敌人目录'!I8</x:f>
        <x:v>0</x:v>
      </x:c>
      <x:c r="F7" s="71" t="n">
        <x:f>'敌人目录'!J8</x:f>
        <x:v>0</x:v>
      </x:c>
      <x:c r="G7" s="71" t="n">
        <x:f>'敌人目录'!K8</x:f>
        <x:v>40</x:v>
      </x:c>
      <x:c r="H7" s="71" t="n">
        <x:f>'敌人目录'!L8</x:f>
        <x:v>1</x:v>
      </x:c>
      <x:c r="I7" s="71" t="n">
        <x:f>'敌人目录'!M8</x:f>
        <x:v>1</x:v>
      </x:c>
      <x:c r="J7" s="71" t="n">
        <x:f>'敌人目录'!O8</x:f>
        <x:v>0.02</x:v>
      </x:c>
      <x:c r="K7" s="71" t="n">
        <x:f>'敌人目录'!P8</x:f>
        <x:v>0.002</x:v>
      </x:c>
      <x:c r="L7" s="71" t="n">
        <x:f>'敌人目录'!Q8</x:f>
        <x:v>0.01</x:v>
      </x:c>
      <x:c r="M7" s="71" t="n">
        <x:f>'敌人目录'!R8</x:f>
        <x:v>0</x:v>
      </x:c>
      <x:c r="N7" s="71" t="n">
        <x:f>'敌人目录'!S8</x:f>
        <x:v>0</x:v>
      </x:c>
      <x:c r="O7" s="71" t="n">
        <x:f>'敌人目录'!T8</x:f>
        <x:v>0</x:v>
      </x:c>
      <x:c r="P7" s="71" t="n">
        <x:f>'敌人目录'!U8</x:f>
        <x:v>0</x:v>
      </x:c>
      <x:c r="Q7" s="71" t="n">
        <x:f>'敌人目录'!V8</x:f>
        <x:v>0.004</x:v>
      </x:c>
      <x:c r="R7" s="71" t="n">
        <x:f>'敌人目录'!W8</x:f>
        <x:v>0.004</x:v>
      </x:c>
      <x:c r="S7" s="71" t="n">
        <x:f>'敌人目录'!X8</x:f>
        <x:v>0.004</x:v>
      </x:c>
      <x:c r="T7" s="71" t="n">
        <x:f>'敌人目录'!Y8</x:f>
        <x:v>0.004</x:v>
      </x:c>
      <x:c r="U7" s="71" t="n">
        <x:f>'敌人目录'!Z8</x:f>
        <x:v>0.002</x:v>
      </x:c>
      <x:c r="V7" s="71" t="n">
        <x:f>'敌人目录'!N8</x:f>
        <x:v>0.05000000000000002</x:v>
      </x:c>
      <x:c r="W7" s="71" t="str">
        <x:f>'敌人目录'!AA8</x:f>
        <x:v>可回读</x:v>
      </x:c>
      <x:c r="X7" s="71" t="str">
        <x:f>'敌人目录'!AC8</x:f>
        <x:v>res://resources/config/enemies/yuanshi_insect_fast.tres</x:v>
      </x:c>
    </x:row>
    <x:row r="8">
      <x:c r="A8" s="71" t="n">
        <x:v>3</x:v>
      </x:c>
      <x:c r="B8" s="71" t="str">
        <x:f>'敌人目录'!B9</x:f>
        <x:v>yuanshi_insect_bomber</x:v>
      </x:c>
      <x:c r="C8" s="71" t="n">
        <x:f>'敌人目录'!G9</x:f>
        <x:v>30</x:v>
      </x:c>
      <x:c r="D8" s="71" t="n">
        <x:f>'敌人目录'!H9</x:f>
        <x:v>10</x:v>
      </x:c>
      <x:c r="E8" s="71" t="n">
        <x:f>'敌人目录'!I9</x:f>
        <x:v>0</x:v>
      </x:c>
      <x:c r="F8" s="71" t="n">
        <x:f>'敌人目录'!J9</x:f>
        <x:v>0</x:v>
      </x:c>
      <x:c r="G8" s="71" t="n">
        <x:f>'敌人目录'!K9</x:f>
        <x:v>18</x:v>
      </x:c>
      <x:c r="H8" s="71" t="n">
        <x:f>'敌人目录'!L9</x:f>
        <x:v>1</x:v>
      </x:c>
      <x:c r="I8" s="71" t="n">
        <x:f>'敌人目录'!M9</x:f>
        <x:v>1</x:v>
      </x:c>
      <x:c r="J8" s="71" t="n">
        <x:f>'敌人目录'!O9</x:f>
        <x:v>0.02</x:v>
      </x:c>
      <x:c r="K8" s="71" t="n">
        <x:f>'敌人目录'!P9</x:f>
        <x:v>0.002</x:v>
      </x:c>
      <x:c r="L8" s="71" t="n">
        <x:f>'敌人目录'!Q9</x:f>
        <x:v>0.01</x:v>
      </x:c>
      <x:c r="M8" s="71" t="n">
        <x:f>'敌人目录'!R9</x:f>
        <x:v>0</x:v>
      </x:c>
      <x:c r="N8" s="71" t="n">
        <x:f>'敌人目录'!S9</x:f>
        <x:v>0</x:v>
      </x:c>
      <x:c r="O8" s="71" t="n">
        <x:f>'敌人目录'!T9</x:f>
        <x:v>0</x:v>
      </x:c>
      <x:c r="P8" s="71" t="n">
        <x:f>'敌人目录'!U9</x:f>
        <x:v>0</x:v>
      </x:c>
      <x:c r="Q8" s="71" t="n">
        <x:f>'敌人目录'!V9</x:f>
        <x:v>0.004</x:v>
      </x:c>
      <x:c r="R8" s="71" t="n">
        <x:f>'敌人目录'!W9</x:f>
        <x:v>0.004</x:v>
      </x:c>
      <x:c r="S8" s="71" t="n">
        <x:f>'敌人目录'!X9</x:f>
        <x:v>0.004</x:v>
      </x:c>
      <x:c r="T8" s="71" t="n">
        <x:f>'敌人目录'!Y9</x:f>
        <x:v>0.004</x:v>
      </x:c>
      <x:c r="U8" s="71" t="n">
        <x:f>'敌人目录'!Z9</x:f>
        <x:v>0.002</x:v>
      </x:c>
      <x:c r="V8" s="71" t="n">
        <x:f>'敌人目录'!N9</x:f>
        <x:v>0.05000000000000002</x:v>
      </x:c>
      <x:c r="W8" s="71" t="str">
        <x:f>'敌人目录'!AA9</x:f>
        <x:v>可回读</x:v>
      </x:c>
      <x:c r="X8" s="71" t="str">
        <x:f>'敌人目录'!AC9</x:f>
        <x:v>res://resources/config/enemies/yuanshi_insect_bomber.tres</x:v>
      </x:c>
    </x:row>
    <x:row r="9">
      <x:c r="A9" s="71" t="n">
        <x:v>3</x:v>
      </x:c>
      <x:c r="B9" s="71" t="str">
        <x:f>'敌人目录'!B10</x:f>
        <x:v>yuanshi_insect_purple_bomber</x:v>
      </x:c>
      <x:c r="C9" s="71" t="n">
        <x:f>'敌人目录'!G10</x:f>
        <x:v>40</x:v>
      </x:c>
      <x:c r="D9" s="71" t="n">
        <x:f>'敌人目录'!H10</x:f>
        <x:v>10</x:v>
      </x:c>
      <x:c r="E9" s="71" t="n">
        <x:f>'敌人目录'!I10</x:f>
        <x:v>0</x:v>
      </x:c>
      <x:c r="F9" s="71" t="n">
        <x:f>'敌人目录'!J10</x:f>
        <x:v>0</x:v>
      </x:c>
      <x:c r="G9" s="71" t="n">
        <x:f>'敌人目录'!K10</x:f>
        <x:v>32</x:v>
      </x:c>
      <x:c r="H9" s="71" t="n">
        <x:f>'敌人目录'!L10</x:f>
        <x:v>1</x:v>
      </x:c>
      <x:c r="I9" s="71" t="n">
        <x:f>'敌人目录'!M10</x:f>
        <x:v>2</x:v>
      </x:c>
      <x:c r="J9" s="71" t="n">
        <x:f>'敌人目录'!O10</x:f>
        <x:v>0.02</x:v>
      </x:c>
      <x:c r="K9" s="71" t="n">
        <x:f>'敌人目录'!P10</x:f>
        <x:v>0.002</x:v>
      </x:c>
      <x:c r="L9" s="71" t="n">
        <x:f>'敌人目录'!Q10</x:f>
        <x:v>0.01</x:v>
      </x:c>
      <x:c r="M9" s="71" t="n">
        <x:f>'敌人目录'!R10</x:f>
        <x:v>0</x:v>
      </x:c>
      <x:c r="N9" s="71" t="n">
        <x:f>'敌人目录'!S10</x:f>
        <x:v>0</x:v>
      </x:c>
      <x:c r="O9" s="71" t="n">
        <x:f>'敌人目录'!T10</x:f>
        <x:v>0</x:v>
      </x:c>
      <x:c r="P9" s="71" t="n">
        <x:f>'敌人目录'!U10</x:f>
        <x:v>0</x:v>
      </x:c>
      <x:c r="Q9" s="71" t="n">
        <x:f>'敌人目录'!V10</x:f>
        <x:v>0.004</x:v>
      </x:c>
      <x:c r="R9" s="71" t="n">
        <x:f>'敌人目录'!W10</x:f>
        <x:v>0.004</x:v>
      </x:c>
      <x:c r="S9" s="71" t="n">
        <x:f>'敌人目录'!X10</x:f>
        <x:v>0.004</x:v>
      </x:c>
      <x:c r="T9" s="71" t="n">
        <x:f>'敌人目录'!Y10</x:f>
        <x:v>0.004</x:v>
      </x:c>
      <x:c r="U9" s="71" t="n">
        <x:f>'敌人目录'!Z10</x:f>
        <x:v>0.002</x:v>
      </x:c>
      <x:c r="V9" s="71" t="n">
        <x:f>'敌人目录'!N10</x:f>
        <x:v>0.05000000000000002</x:v>
      </x:c>
      <x:c r="W9" s="71" t="str">
        <x:f>'敌人目录'!AA10</x:f>
        <x:v>可回读</x:v>
      </x:c>
      <x:c r="X9" s="71" t="str">
        <x:f>'敌人目录'!AC10</x:f>
        <x:v>res://resources/config/enemies/yuanshi_insect_purple_bomber.tres</x:v>
      </x:c>
    </x:row>
    <x:row r="10">
      <x:c r="A10" s="71" t="n">
        <x:v>3</x:v>
      </x:c>
      <x:c r="B10" s="71" t="str">
        <x:f>'敌人目录'!B11</x:f>
        <x:v>yuanshi_insect_green_shell</x:v>
      </x:c>
      <x:c r="C10" s="71" t="n">
        <x:f>'敌人目录'!G11</x:f>
        <x:v>200</x:v>
      </x:c>
      <x:c r="D10" s="71" t="n">
        <x:f>'敌人目录'!H11</x:f>
        <x:v>20</x:v>
      </x:c>
      <x:c r="E10" s="71" t="n">
        <x:f>'敌人目录'!I11</x:f>
        <x:v>5</x:v>
      </x:c>
      <x:c r="F10" s="71" t="n">
        <x:f>'敌人目录'!J11</x:f>
        <x:v>0</x:v>
      </x:c>
      <x:c r="G10" s="71" t="n">
        <x:f>'敌人目录'!K11</x:f>
        <x:v>15</x:v>
      </x:c>
      <x:c r="H10" s="71" t="n">
        <x:f>'敌人目录'!L11</x:f>
        <x:v>1</x:v>
      </x:c>
      <x:c r="I10" s="71" t="n">
        <x:f>'敌人目录'!M11</x:f>
        <x:v>2</x:v>
      </x:c>
      <x:c r="J10" s="71" t="n">
        <x:f>'敌人目录'!O11</x:f>
        <x:v>0.02</x:v>
      </x:c>
      <x:c r="K10" s="71" t="n">
        <x:f>'敌人目录'!P11</x:f>
        <x:v>0.002</x:v>
      </x:c>
      <x:c r="L10" s="71" t="n">
        <x:f>'敌人目录'!Q11</x:f>
        <x:v>0.01</x:v>
      </x:c>
      <x:c r="M10" s="71" t="n">
        <x:f>'敌人目录'!R11</x:f>
        <x:v>0</x:v>
      </x:c>
      <x:c r="N10" s="71" t="n">
        <x:f>'敌人目录'!S11</x:f>
        <x:v>0</x:v>
      </x:c>
      <x:c r="O10" s="71" t="n">
        <x:f>'敌人目录'!T11</x:f>
        <x:v>0</x:v>
      </x:c>
      <x:c r="P10" s="71" t="n">
        <x:f>'敌人目录'!U11</x:f>
        <x:v>0</x:v>
      </x:c>
      <x:c r="Q10" s="71" t="n">
        <x:f>'敌人目录'!V11</x:f>
        <x:v>0.004</x:v>
      </x:c>
      <x:c r="R10" s="71" t="n">
        <x:f>'敌人目录'!W11</x:f>
        <x:v>0.004</x:v>
      </x:c>
      <x:c r="S10" s="71" t="n">
        <x:f>'敌人目录'!X11</x:f>
        <x:v>0.004</x:v>
      </x:c>
      <x:c r="T10" s="71" t="n">
        <x:f>'敌人目录'!Y11</x:f>
        <x:v>0.004</x:v>
      </x:c>
      <x:c r="U10" s="71" t="n">
        <x:f>'敌人目录'!Z11</x:f>
        <x:v>0.002</x:v>
      </x:c>
      <x:c r="V10" s="71" t="n">
        <x:f>'敌人目录'!N11</x:f>
        <x:v>0.05000000000000002</x:v>
      </x:c>
      <x:c r="W10" s="71" t="str">
        <x:f>'敌人目录'!AA11</x:f>
        <x:v>可回读</x:v>
      </x:c>
      <x:c r="X10" s="71" t="str">
        <x:f>'敌人目录'!AC11</x:f>
        <x:v>res://resources/config/enemies/yuanshi_insect_green_shell.tres</x:v>
      </x:c>
    </x:row>
    <x:row r="11">
      <x:c r="A11" s="71" t="n">
        <x:v>3</x:v>
      </x:c>
      <x:c r="B11" s="71" t="str">
        <x:f>'敌人目录'!B12</x:f>
        <x:v>yuanshi_insect_fire_ranged</x:v>
      </x:c>
      <x:c r="C11" s="71" t="n">
        <x:f>'敌人目录'!G12</x:f>
        <x:v>40</x:v>
      </x:c>
      <x:c r="D11" s="71" t="n">
        <x:f>'敌人目录'!H12</x:f>
        <x:v>25</x:v>
      </x:c>
      <x:c r="E11" s="71" t="n">
        <x:f>'敌人目录'!I12</x:f>
        <x:v>0</x:v>
      </x:c>
      <x:c r="F11" s="71" t="n">
        <x:f>'敌人目录'!J12</x:f>
        <x:v>0</x:v>
      </x:c>
      <x:c r="G11" s="71" t="n">
        <x:f>'敌人目录'!K12</x:f>
        <x:v>22</x:v>
      </x:c>
      <x:c r="H11" s="71" t="n">
        <x:f>'敌人目录'!L12</x:f>
        <x:v>1</x:v>
      </x:c>
      <x:c r="I11" s="71" t="n">
        <x:f>'敌人目录'!M12</x:f>
        <x:v>1</x:v>
      </x:c>
      <x:c r="J11" s="71" t="n">
        <x:f>'敌人目录'!O12</x:f>
        <x:v>0.02</x:v>
      </x:c>
      <x:c r="K11" s="71" t="n">
        <x:f>'敌人目录'!P12</x:f>
        <x:v>0.002</x:v>
      </x:c>
      <x:c r="L11" s="71" t="n">
        <x:f>'敌人目录'!Q12</x:f>
        <x:v>0.01</x:v>
      </x:c>
      <x:c r="M11" s="71" t="n">
        <x:f>'敌人目录'!R12</x:f>
        <x:v>0</x:v>
      </x:c>
      <x:c r="N11" s="71" t="n">
        <x:f>'敌人目录'!S12</x:f>
        <x:v>0</x:v>
      </x:c>
      <x:c r="O11" s="71" t="n">
        <x:f>'敌人目录'!T12</x:f>
        <x:v>0</x:v>
      </x:c>
      <x:c r="P11" s="71" t="n">
        <x:f>'敌人目录'!U12</x:f>
        <x:v>0</x:v>
      </x:c>
      <x:c r="Q11" s="71" t="n">
        <x:f>'敌人目录'!V12</x:f>
        <x:v>0.004</x:v>
      </x:c>
      <x:c r="R11" s="71" t="n">
        <x:f>'敌人目录'!W12</x:f>
        <x:v>0.004</x:v>
      </x:c>
      <x:c r="S11" s="71" t="n">
        <x:f>'敌人目录'!X12</x:f>
        <x:v>0.004</x:v>
      </x:c>
      <x:c r="T11" s="71" t="n">
        <x:f>'敌人目录'!Y12</x:f>
        <x:v>0.004</x:v>
      </x:c>
      <x:c r="U11" s="71" t="n">
        <x:f>'敌人目录'!Z12</x:f>
        <x:v>0.002</x:v>
      </x:c>
      <x:c r="V11" s="71" t="n">
        <x:f>'敌人目录'!N12</x:f>
        <x:v>0.05000000000000002</x:v>
      </x:c>
      <x:c r="W11" s="71" t="str">
        <x:f>'敌人目录'!AA12</x:f>
        <x:v>可回读</x:v>
      </x:c>
      <x:c r="X11" s="71" t="str">
        <x:f>'敌人目录'!AC12</x:f>
        <x:v>res://resources/config/enemies/yuanshi_insect_fire_ranged.tres</x:v>
      </x:c>
    </x:row>
    <x:row r="12">
      <x:c r="A12" s="71" t="n">
        <x:v>3</x:v>
      </x:c>
      <x:c r="B12" s="71" t="str">
        <x:f>'敌人目录'!B13</x:f>
        <x:v>yuanshi_insect_guardian</x:v>
      </x:c>
      <x:c r="C12" s="71" t="n">
        <x:f>'敌人目录'!G13</x:f>
        <x:v>150</x:v>
      </x:c>
      <x:c r="D12" s="71" t="n">
        <x:f>'敌人目录'!H13</x:f>
        <x:v>10</x:v>
      </x:c>
      <x:c r="E12" s="71" t="n">
        <x:f>'敌人目录'!I13</x:f>
        <x:v>5</x:v>
      </x:c>
      <x:c r="F12" s="71" t="n">
        <x:f>'敌人目录'!J13</x:f>
        <x:v>0</x:v>
      </x:c>
      <x:c r="G12" s="71" t="n">
        <x:f>'敌人目录'!K13</x:f>
        <x:v>20</x:v>
      </x:c>
      <x:c r="H12" s="71" t="n">
        <x:f>'敌人目录'!L13</x:f>
        <x:v>1</x:v>
      </x:c>
      <x:c r="I12" s="71" t="n">
        <x:f>'敌人目录'!M13</x:f>
        <x:v>2</x:v>
      </x:c>
      <x:c r="J12" s="71" t="n">
        <x:f>'敌人目录'!O13</x:f>
        <x:v>0.02</x:v>
      </x:c>
      <x:c r="K12" s="71" t="n">
        <x:f>'敌人目录'!P13</x:f>
        <x:v>0.002</x:v>
      </x:c>
      <x:c r="L12" s="71" t="n">
        <x:f>'敌人目录'!Q13</x:f>
        <x:v>0.01</x:v>
      </x:c>
      <x:c r="M12" s="71" t="n">
        <x:f>'敌人目录'!R13</x:f>
        <x:v>0</x:v>
      </x:c>
      <x:c r="N12" s="71" t="n">
        <x:f>'敌人目录'!S13</x:f>
        <x:v>0</x:v>
      </x:c>
      <x:c r="O12" s="71" t="n">
        <x:f>'敌人目录'!T13</x:f>
        <x:v>0</x:v>
      </x:c>
      <x:c r="P12" s="71" t="n">
        <x:f>'敌人目录'!U13</x:f>
        <x:v>0</x:v>
      </x:c>
      <x:c r="Q12" s="71" t="n">
        <x:f>'敌人目录'!V13</x:f>
        <x:v>0.004</x:v>
      </x:c>
      <x:c r="R12" s="71" t="n">
        <x:f>'敌人目录'!W13</x:f>
        <x:v>0.004</x:v>
      </x:c>
      <x:c r="S12" s="71" t="n">
        <x:f>'敌人目录'!X13</x:f>
        <x:v>0.004</x:v>
      </x:c>
      <x:c r="T12" s="71" t="n">
        <x:f>'敌人目录'!Y13</x:f>
        <x:v>0.004</x:v>
      </x:c>
      <x:c r="U12" s="71" t="n">
        <x:f>'敌人目录'!Z13</x:f>
        <x:v>0.002</x:v>
      </x:c>
      <x:c r="V12" s="71" t="n">
        <x:f>'敌人目录'!N13</x:f>
        <x:v>0.05000000000000002</x:v>
      </x:c>
      <x:c r="W12" s="71" t="str">
        <x:f>'敌人目录'!AA13</x:f>
        <x:v>可回读</x:v>
      </x:c>
      <x:c r="X12" s="71" t="str">
        <x:f>'敌人目录'!AC13</x:f>
        <x:v>res://resources/config/enemies/yuanshi_insect_guardian.tres</x:v>
      </x:c>
    </x:row>
    <x:row r="13">
      <x:c r="A13" s="71" t="n">
        <x:v>3</x:v>
      </x:c>
      <x:c r="B13" s="71" t="str">
        <x:f>'敌人目录'!B14</x:f>
        <x:v>stone_eroded_yuanshi_insect_basic</x:v>
      </x:c>
      <x:c r="C13" s="71" t="n">
        <x:f>'敌人目录'!G14</x:f>
        <x:v>80</x:v>
      </x:c>
      <x:c r="D13" s="71" t="n">
        <x:f>'敌人目录'!H14</x:f>
        <x:v>10</x:v>
      </x:c>
      <x:c r="E13" s="71" t="n">
        <x:f>'敌人目录'!I14</x:f>
        <x:v>150</x:v>
      </x:c>
      <x:c r="F13" s="71" t="n">
        <x:f>'敌人目录'!J14</x:f>
        <x:v>0</x:v>
      </x:c>
      <x:c r="G13" s="71" t="n">
        <x:f>'敌人目录'!K14</x:f>
        <x:v>20</x:v>
      </x:c>
      <x:c r="H13" s="71" t="n">
        <x:f>'敌人目录'!L14</x:f>
        <x:v>1</x:v>
      </x:c>
      <x:c r="I13" s="71" t="n">
        <x:f>'敌人目录'!M14</x:f>
        <x:v>1</x:v>
      </x:c>
      <x:c r="J13" s="71" t="n">
        <x:f>'敌人目录'!O14</x:f>
        <x:v>0.02</x:v>
      </x:c>
      <x:c r="K13" s="71" t="n">
        <x:f>'敌人目录'!P14</x:f>
        <x:v>0.002</x:v>
      </x:c>
      <x:c r="L13" s="71" t="n">
        <x:f>'敌人目录'!Q14</x:f>
        <x:v>0.01</x:v>
      </x:c>
      <x:c r="M13" s="71" t="n">
        <x:f>'敌人目录'!R14</x:f>
        <x:v>0</x:v>
      </x:c>
      <x:c r="N13" s="71" t="n">
        <x:f>'敌人目录'!S14</x:f>
        <x:v>0</x:v>
      </x:c>
      <x:c r="O13" s="71" t="n">
        <x:f>'敌人目录'!T14</x:f>
        <x:v>0</x:v>
      </x:c>
      <x:c r="P13" s="71" t="n">
        <x:f>'敌人目录'!U14</x:f>
        <x:v>0</x:v>
      </x:c>
      <x:c r="Q13" s="71" t="n">
        <x:f>'敌人目录'!V14</x:f>
        <x:v>0.004</x:v>
      </x:c>
      <x:c r="R13" s="71" t="n">
        <x:f>'敌人目录'!W14</x:f>
        <x:v>0.004</x:v>
      </x:c>
      <x:c r="S13" s="71" t="n">
        <x:f>'敌人目录'!X14</x:f>
        <x:v>0.004</x:v>
      </x:c>
      <x:c r="T13" s="71" t="n">
        <x:f>'敌人目录'!Y14</x:f>
        <x:v>0.004</x:v>
      </x:c>
      <x:c r="U13" s="71" t="n">
        <x:f>'敌人目录'!Z14</x:f>
        <x:v>0.002</x:v>
      </x:c>
      <x:c r="V13" s="71" t="n">
        <x:f>'敌人目录'!N14</x:f>
        <x:v>0.05000000000000002</x:v>
      </x:c>
      <x:c r="W13" s="71" t="str">
        <x:f>'敌人目录'!AA14</x:f>
        <x:v>可回读</x:v>
      </x:c>
      <x:c r="X13" s="71" t="str">
        <x:f>'敌人目录'!AC14</x:f>
        <x:v>res://resources/config/enemies/stone_eroded_yuanshi_insect_basic.tres</x:v>
      </x:c>
    </x:row>
    <x:row r="14">
      <x:c r="A14" s="71" t="n">
        <x:v>3</x:v>
      </x:c>
      <x:c r="B14" s="71" t="str">
        <x:f>'敌人目录'!B15</x:f>
        <x:v>stone_eroded_yuanshi_insect_shell</x:v>
      </x:c>
      <x:c r="C14" s="71" t="n">
        <x:f>'敌人目录'!G15</x:f>
        <x:v>280</x:v>
      </x:c>
      <x:c r="D14" s="71" t="n">
        <x:f>'敌人目录'!H15</x:f>
        <x:v>14</x:v>
      </x:c>
      <x:c r="E14" s="71" t="n">
        <x:f>'敌人目录'!I15</x:f>
        <x:v>150</x:v>
      </x:c>
      <x:c r="F14" s="71" t="n">
        <x:f>'敌人目录'!J15</x:f>
        <x:v>0</x:v>
      </x:c>
      <x:c r="G14" s="71" t="n">
        <x:f>'敌人目录'!K15</x:f>
        <x:v>20</x:v>
      </x:c>
      <x:c r="H14" s="71" t="n">
        <x:f>'敌人目录'!L15</x:f>
        <x:v>1</x:v>
      </x:c>
      <x:c r="I14" s="71" t="n">
        <x:f>'敌人目录'!M15</x:f>
        <x:v>2</x:v>
      </x:c>
      <x:c r="J14" s="71" t="n">
        <x:f>'敌人目录'!O15</x:f>
        <x:v>0.02</x:v>
      </x:c>
      <x:c r="K14" s="71" t="n">
        <x:f>'敌人目录'!P15</x:f>
        <x:v>0.002</x:v>
      </x:c>
      <x:c r="L14" s="71" t="n">
        <x:f>'敌人目录'!Q15</x:f>
        <x:v>0.01</x:v>
      </x:c>
      <x:c r="M14" s="71" t="n">
        <x:f>'敌人目录'!R15</x:f>
        <x:v>0</x:v>
      </x:c>
      <x:c r="N14" s="71" t="n">
        <x:f>'敌人目录'!S15</x:f>
        <x:v>0</x:v>
      </x:c>
      <x:c r="O14" s="71" t="n">
        <x:f>'敌人目录'!T15</x:f>
        <x:v>0</x:v>
      </x:c>
      <x:c r="P14" s="71" t="n">
        <x:f>'敌人目录'!U15</x:f>
        <x:v>0</x:v>
      </x:c>
      <x:c r="Q14" s="71" t="n">
        <x:f>'敌人目录'!V15</x:f>
        <x:v>0.004</x:v>
      </x:c>
      <x:c r="R14" s="71" t="n">
        <x:f>'敌人目录'!W15</x:f>
        <x:v>0.004</x:v>
      </x:c>
      <x:c r="S14" s="71" t="n">
        <x:f>'敌人目录'!X15</x:f>
        <x:v>0.004</x:v>
      </x:c>
      <x:c r="T14" s="71" t="n">
        <x:f>'敌人目录'!Y15</x:f>
        <x:v>0.004</x:v>
      </x:c>
      <x:c r="U14" s="71" t="n">
        <x:f>'敌人目录'!Z15</x:f>
        <x:v>0.002</x:v>
      </x:c>
      <x:c r="V14" s="71" t="n">
        <x:f>'敌人目录'!N15</x:f>
        <x:v>0.05000000000000002</x:v>
      </x:c>
      <x:c r="W14" s="71" t="str">
        <x:f>'敌人目录'!AA15</x:f>
        <x:v>可回读</x:v>
      </x:c>
      <x:c r="X14" s="71" t="str">
        <x:f>'敌人目录'!AC15</x:f>
        <x:v>res://resources/config/enemies/stone_eroded_yuanshi_insect_shell.tres</x:v>
      </x:c>
    </x:row>
    <x:row r="15">
      <x:c r="A15" s="71" t="n">
        <x:v>3</x:v>
      </x:c>
      <x:c r="B15" s="71" t="str">
        <x:f>'敌人目录'!B16</x:f>
        <x:v>stone_eroded_yuanshi_insect_fast</x:v>
      </x:c>
      <x:c r="C15" s="71" t="n">
        <x:f>'敌人目录'!G16</x:f>
        <x:v>70</x:v>
      </x:c>
      <x:c r="D15" s="71" t="n">
        <x:f>'敌人目录'!H16</x:f>
        <x:v>10</x:v>
      </x:c>
      <x:c r="E15" s="71" t="n">
        <x:f>'敌人目录'!I16</x:f>
        <x:v>150</x:v>
      </x:c>
      <x:c r="F15" s="71" t="n">
        <x:f>'敌人目录'!J16</x:f>
        <x:v>0</x:v>
      </x:c>
      <x:c r="G15" s="71" t="n">
        <x:f>'敌人目录'!K16</x:f>
        <x:v>40</x:v>
      </x:c>
      <x:c r="H15" s="71" t="n">
        <x:f>'敌人目录'!L16</x:f>
        <x:v>1</x:v>
      </x:c>
      <x:c r="I15" s="71" t="n">
        <x:f>'敌人目录'!M16</x:f>
        <x:v>1</x:v>
      </x:c>
      <x:c r="J15" s="71" t="n">
        <x:f>'敌人目录'!O16</x:f>
        <x:v>0.02</x:v>
      </x:c>
      <x:c r="K15" s="71" t="n">
        <x:f>'敌人目录'!P16</x:f>
        <x:v>0.002</x:v>
      </x:c>
      <x:c r="L15" s="71" t="n">
        <x:f>'敌人目录'!Q16</x:f>
        <x:v>0.01</x:v>
      </x:c>
      <x:c r="M15" s="71" t="n">
        <x:f>'敌人目录'!R16</x:f>
        <x:v>0</x:v>
      </x:c>
      <x:c r="N15" s="71" t="n">
        <x:f>'敌人目录'!S16</x:f>
        <x:v>0</x:v>
      </x:c>
      <x:c r="O15" s="71" t="n">
        <x:f>'敌人目录'!T16</x:f>
        <x:v>0</x:v>
      </x:c>
      <x:c r="P15" s="71" t="n">
        <x:f>'敌人目录'!U16</x:f>
        <x:v>0</x:v>
      </x:c>
      <x:c r="Q15" s="71" t="n">
        <x:f>'敌人目录'!V16</x:f>
        <x:v>0.004</x:v>
      </x:c>
      <x:c r="R15" s="71" t="n">
        <x:f>'敌人目录'!W16</x:f>
        <x:v>0.004</x:v>
      </x:c>
      <x:c r="S15" s="71" t="n">
        <x:f>'敌人目录'!X16</x:f>
        <x:v>0.004</x:v>
      </x:c>
      <x:c r="T15" s="71" t="n">
        <x:f>'敌人目录'!Y16</x:f>
        <x:v>0.004</x:v>
      </x:c>
      <x:c r="U15" s="71" t="n">
        <x:f>'敌人目录'!Z16</x:f>
        <x:v>0.002</x:v>
      </x:c>
      <x:c r="V15" s="71" t="n">
        <x:f>'敌人目录'!N16</x:f>
        <x:v>0.05000000000000002</x:v>
      </x:c>
      <x:c r="W15" s="71" t="str">
        <x:f>'敌人目录'!AA16</x:f>
        <x:v>可回读</x:v>
      </x:c>
      <x:c r="X15" s="71" t="str">
        <x:f>'敌人目录'!AC16</x:f>
        <x:v>res://resources/config/enemies/stone_eroded_yuanshi_insect_fast.tres</x:v>
      </x:c>
    </x:row>
    <x:row r="16">
      <x:c r="A16" s="71" t="n">
        <x:v>3</x:v>
      </x:c>
      <x:c r="B16" s="71" t="str">
        <x:f>'敌人目录'!B17</x:f>
        <x:v>stone_eroded_yuanshi_insect_bomber</x:v>
      </x:c>
      <x:c r="C16" s="71" t="n">
        <x:f>'敌人目录'!G17</x:f>
        <x:v>60</x:v>
      </x:c>
      <x:c r="D16" s="71" t="n">
        <x:f>'敌人目录'!H17</x:f>
        <x:v>10</x:v>
      </x:c>
      <x:c r="E16" s="71" t="n">
        <x:f>'敌人目录'!I17</x:f>
        <x:v>150</x:v>
      </x:c>
      <x:c r="F16" s="71" t="n">
        <x:f>'敌人目录'!J17</x:f>
        <x:v>0</x:v>
      </x:c>
      <x:c r="G16" s="71" t="n">
        <x:f>'敌人目录'!K17</x:f>
        <x:v>18</x:v>
      </x:c>
      <x:c r="H16" s="71" t="n">
        <x:f>'敌人目录'!L17</x:f>
        <x:v>1</x:v>
      </x:c>
      <x:c r="I16" s="71" t="n">
        <x:f>'敌人目录'!M17</x:f>
        <x:v>1</x:v>
      </x:c>
      <x:c r="J16" s="71" t="n">
        <x:f>'敌人目录'!O17</x:f>
        <x:v>0.02</x:v>
      </x:c>
      <x:c r="K16" s="71" t="n">
        <x:f>'敌人目录'!P17</x:f>
        <x:v>0.002</x:v>
      </x:c>
      <x:c r="L16" s="71" t="n">
        <x:f>'敌人目录'!Q17</x:f>
        <x:v>0.01</x:v>
      </x:c>
      <x:c r="M16" s="71" t="n">
        <x:f>'敌人目录'!R17</x:f>
        <x:v>0</x:v>
      </x:c>
      <x:c r="N16" s="71" t="n">
        <x:f>'敌人目录'!S17</x:f>
        <x:v>0</x:v>
      </x:c>
      <x:c r="O16" s="71" t="n">
        <x:f>'敌人目录'!T17</x:f>
        <x:v>0</x:v>
      </x:c>
      <x:c r="P16" s="71" t="n">
        <x:f>'敌人目录'!U17</x:f>
        <x:v>0</x:v>
      </x:c>
      <x:c r="Q16" s="71" t="n">
        <x:f>'敌人目录'!V17</x:f>
        <x:v>0.004</x:v>
      </x:c>
      <x:c r="R16" s="71" t="n">
        <x:f>'敌人目录'!W17</x:f>
        <x:v>0.004</x:v>
      </x:c>
      <x:c r="S16" s="71" t="n">
        <x:f>'敌人目录'!X17</x:f>
        <x:v>0.004</x:v>
      </x:c>
      <x:c r="T16" s="71" t="n">
        <x:f>'敌人目录'!Y17</x:f>
        <x:v>0.004</x:v>
      </x:c>
      <x:c r="U16" s="71" t="n">
        <x:f>'敌人目录'!Z17</x:f>
        <x:v>0.002</x:v>
      </x:c>
      <x:c r="V16" s="71" t="n">
        <x:f>'敌人目录'!N17</x:f>
        <x:v>0.05000000000000002</x:v>
      </x:c>
      <x:c r="W16" s="71" t="str">
        <x:f>'敌人目录'!AA17</x:f>
        <x:v>可回读</x:v>
      </x:c>
      <x:c r="X16" s="71" t="str">
        <x:f>'敌人目录'!AC17</x:f>
        <x:v>res://resources/config/enemies/stone_eroded_yuanshi_insect_bomber.tres</x:v>
      </x:c>
    </x:row>
    <x:row r="17">
      <x:c r="A17" s="71" t="n">
        <x:v>3</x:v>
      </x:c>
      <x:c r="B17" s="71" t="str">
        <x:f>'敌人目录'!B18</x:f>
        <x:v>stone_eroded_yuanshi_insect_purple_bomber</x:v>
      </x:c>
      <x:c r="C17" s="71" t="n">
        <x:f>'敌人目录'!G18</x:f>
        <x:v>80</x:v>
      </x:c>
      <x:c r="D17" s="71" t="n">
        <x:f>'敌人目录'!H18</x:f>
        <x:v>10</x:v>
      </x:c>
      <x:c r="E17" s="71" t="n">
        <x:f>'敌人目录'!I18</x:f>
        <x:v>150</x:v>
      </x:c>
      <x:c r="F17" s="71" t="n">
        <x:f>'敌人目录'!J18</x:f>
        <x:v>0</x:v>
      </x:c>
      <x:c r="G17" s="71" t="n">
        <x:f>'敌人目录'!K18</x:f>
        <x:v>32</x:v>
      </x:c>
      <x:c r="H17" s="71" t="n">
        <x:f>'敌人目录'!L18</x:f>
        <x:v>1</x:v>
      </x:c>
      <x:c r="I17" s="71" t="n">
        <x:f>'敌人目录'!M18</x:f>
        <x:v>2</x:v>
      </x:c>
      <x:c r="J17" s="71" t="n">
        <x:f>'敌人目录'!O18</x:f>
        <x:v>0.02</x:v>
      </x:c>
      <x:c r="K17" s="71" t="n">
        <x:f>'敌人目录'!P18</x:f>
        <x:v>0.002</x:v>
      </x:c>
      <x:c r="L17" s="71" t="n">
        <x:f>'敌人目录'!Q18</x:f>
        <x:v>0.01</x:v>
      </x:c>
      <x:c r="M17" s="71" t="n">
        <x:f>'敌人目录'!R18</x:f>
        <x:v>0</x:v>
      </x:c>
      <x:c r="N17" s="71" t="n">
        <x:f>'敌人目录'!S18</x:f>
        <x:v>0</x:v>
      </x:c>
      <x:c r="O17" s="71" t="n">
        <x:f>'敌人目录'!T18</x:f>
        <x:v>0</x:v>
      </x:c>
      <x:c r="P17" s="71" t="n">
        <x:f>'敌人目录'!U18</x:f>
        <x:v>0</x:v>
      </x:c>
      <x:c r="Q17" s="71" t="n">
        <x:f>'敌人目录'!V18</x:f>
        <x:v>0.004</x:v>
      </x:c>
      <x:c r="R17" s="71" t="n">
        <x:f>'敌人目录'!W18</x:f>
        <x:v>0.004</x:v>
      </x:c>
      <x:c r="S17" s="71" t="n">
        <x:f>'敌人目录'!X18</x:f>
        <x:v>0.004</x:v>
      </x:c>
      <x:c r="T17" s="71" t="n">
        <x:f>'敌人目录'!Y18</x:f>
        <x:v>0.004</x:v>
      </x:c>
      <x:c r="U17" s="71" t="n">
        <x:f>'敌人目录'!Z18</x:f>
        <x:v>0.002</x:v>
      </x:c>
      <x:c r="V17" s="71" t="n">
        <x:f>'敌人目录'!N18</x:f>
        <x:v>0.05000000000000002</x:v>
      </x:c>
      <x:c r="W17" s="71" t="str">
        <x:f>'敌人目录'!AA18</x:f>
        <x:v>可回读</x:v>
      </x:c>
      <x:c r="X17" s="71" t="str">
        <x:f>'敌人目录'!AC18</x:f>
        <x:v>res://resources/config/enemies/stone_eroded_yuanshi_insect_purple_bomber.tres</x:v>
      </x:c>
    </x:row>
    <x:row r="18">
      <x:c r="A18" s="71" t="n">
        <x:v>3</x:v>
      </x:c>
      <x:c r="B18" s="71" t="str">
        <x:f>'敌人目录'!B19</x:f>
        <x:v>stone_eroded_yuanshi_insect_green_shell</x:v>
      </x:c>
      <x:c r="C18" s="71" t="n">
        <x:f>'敌人目录'!G19</x:f>
        <x:v>400</x:v>
      </x:c>
      <x:c r="D18" s="71" t="n">
        <x:f>'敌人目录'!H19</x:f>
        <x:v>20</x:v>
      </x:c>
      <x:c r="E18" s="71" t="n">
        <x:f>'敌人目录'!I19</x:f>
        <x:v>150</x:v>
      </x:c>
      <x:c r="F18" s="71" t="n">
        <x:f>'敌人目录'!J19</x:f>
        <x:v>0</x:v>
      </x:c>
      <x:c r="G18" s="71" t="n">
        <x:f>'敌人目录'!K19</x:f>
        <x:v>15</x:v>
      </x:c>
      <x:c r="H18" s="71" t="n">
        <x:f>'敌人目录'!L19</x:f>
        <x:v>1</x:v>
      </x:c>
      <x:c r="I18" s="71" t="n">
        <x:f>'敌人目录'!M19</x:f>
        <x:v>2</x:v>
      </x:c>
      <x:c r="J18" s="71" t="n">
        <x:f>'敌人目录'!O19</x:f>
        <x:v>0.02</x:v>
      </x:c>
      <x:c r="K18" s="71" t="n">
        <x:f>'敌人目录'!P19</x:f>
        <x:v>0.002</x:v>
      </x:c>
      <x:c r="L18" s="71" t="n">
        <x:f>'敌人目录'!Q19</x:f>
        <x:v>0.01</x:v>
      </x:c>
      <x:c r="M18" s="71" t="n">
        <x:f>'敌人目录'!R19</x:f>
        <x:v>0</x:v>
      </x:c>
      <x:c r="N18" s="71" t="n">
        <x:f>'敌人目录'!S19</x:f>
        <x:v>0</x:v>
      </x:c>
      <x:c r="O18" s="71" t="n">
        <x:f>'敌人目录'!T19</x:f>
        <x:v>0</x:v>
      </x:c>
      <x:c r="P18" s="71" t="n">
        <x:f>'敌人目录'!U19</x:f>
        <x:v>0</x:v>
      </x:c>
      <x:c r="Q18" s="71" t="n">
        <x:f>'敌人目录'!V19</x:f>
        <x:v>0.004</x:v>
      </x:c>
      <x:c r="R18" s="71" t="n">
        <x:f>'敌人目录'!W19</x:f>
        <x:v>0.004</x:v>
      </x:c>
      <x:c r="S18" s="71" t="n">
        <x:f>'敌人目录'!X19</x:f>
        <x:v>0.004</x:v>
      </x:c>
      <x:c r="T18" s="71" t="n">
        <x:f>'敌人目录'!Y19</x:f>
        <x:v>0.004</x:v>
      </x:c>
      <x:c r="U18" s="71" t="n">
        <x:f>'敌人目录'!Z19</x:f>
        <x:v>0.002</x:v>
      </x:c>
      <x:c r="V18" s="71" t="n">
        <x:f>'敌人目录'!N19</x:f>
        <x:v>0.05000000000000002</x:v>
      </x:c>
      <x:c r="W18" s="71" t="str">
        <x:f>'敌人目录'!AA19</x:f>
        <x:v>可回读</x:v>
      </x:c>
      <x:c r="X18" s="71" t="str">
        <x:f>'敌人目录'!AC19</x:f>
        <x:v>res://resources/config/enemies/stone_eroded_yuanshi_insect_green_shell.tres</x:v>
      </x:c>
    </x:row>
    <x:row r="19">
      <x:c r="A19" s="71" t="n">
        <x:v>3</x:v>
      </x:c>
      <x:c r="B19" s="71" t="str">
        <x:f>'敌人目录'!B20</x:f>
        <x:v>stone_eroded_yuanshi_insect_fire_ranged</x:v>
      </x:c>
      <x:c r="C19" s="71" t="n">
        <x:f>'敌人目录'!G20</x:f>
        <x:v>80</x:v>
      </x:c>
      <x:c r="D19" s="71" t="n">
        <x:f>'敌人目录'!H20</x:f>
        <x:v>25</x:v>
      </x:c>
      <x:c r="E19" s="71" t="n">
        <x:f>'敌人目录'!I20</x:f>
        <x:v>150</x:v>
      </x:c>
      <x:c r="F19" s="71" t="n">
        <x:f>'敌人目录'!J20</x:f>
        <x:v>0</x:v>
      </x:c>
      <x:c r="G19" s="71" t="n">
        <x:f>'敌人目录'!K20</x:f>
        <x:v>22</x:v>
      </x:c>
      <x:c r="H19" s="71" t="n">
        <x:f>'敌人目录'!L20</x:f>
        <x:v>1</x:v>
      </x:c>
      <x:c r="I19" s="71" t="n">
        <x:f>'敌人目录'!M20</x:f>
        <x:v>1</x:v>
      </x:c>
      <x:c r="J19" s="71" t="n">
        <x:f>'敌人目录'!O20</x:f>
        <x:v>0.02</x:v>
      </x:c>
      <x:c r="K19" s="71" t="n">
        <x:f>'敌人目录'!P20</x:f>
        <x:v>0.002</x:v>
      </x:c>
      <x:c r="L19" s="71" t="n">
        <x:f>'敌人目录'!Q20</x:f>
        <x:v>0.01</x:v>
      </x:c>
      <x:c r="M19" s="71" t="n">
        <x:f>'敌人目录'!R20</x:f>
        <x:v>0</x:v>
      </x:c>
      <x:c r="N19" s="71" t="n">
        <x:f>'敌人目录'!S20</x:f>
        <x:v>0</x:v>
      </x:c>
      <x:c r="O19" s="71" t="n">
        <x:f>'敌人目录'!T20</x:f>
        <x:v>0</x:v>
      </x:c>
      <x:c r="P19" s="71" t="n">
        <x:f>'敌人目录'!U20</x:f>
        <x:v>0</x:v>
      </x:c>
      <x:c r="Q19" s="71" t="n">
        <x:f>'敌人目录'!V20</x:f>
        <x:v>0.004</x:v>
      </x:c>
      <x:c r="R19" s="71" t="n">
        <x:f>'敌人目录'!W20</x:f>
        <x:v>0.004</x:v>
      </x:c>
      <x:c r="S19" s="71" t="n">
        <x:f>'敌人目录'!X20</x:f>
        <x:v>0.004</x:v>
      </x:c>
      <x:c r="T19" s="71" t="n">
        <x:f>'敌人目录'!Y20</x:f>
        <x:v>0.004</x:v>
      </x:c>
      <x:c r="U19" s="71" t="n">
        <x:f>'敌人目录'!Z20</x:f>
        <x:v>0.002</x:v>
      </x:c>
      <x:c r="V19" s="71" t="n">
        <x:f>'敌人目录'!N20</x:f>
        <x:v>0.05000000000000002</x:v>
      </x:c>
      <x:c r="W19" s="71" t="str">
        <x:f>'敌人目录'!AA20</x:f>
        <x:v>可回读</x:v>
      </x:c>
      <x:c r="X19" s="71" t="str">
        <x:f>'敌人目录'!AC20</x:f>
        <x:v>res://resources/config/enemies/stone_eroded_yuanshi_insect_fire_ranged.tres</x:v>
      </x:c>
    </x:row>
    <x:row r="20">
      <x:c r="A20" s="71" t="n">
        <x:v>3</x:v>
      </x:c>
      <x:c r="B20" s="71" t="str">
        <x:f>'敌人目录'!B21</x:f>
        <x:v>stone_eroded_yuanshi_insect_guardian</x:v>
      </x:c>
      <x:c r="C20" s="71" t="n">
        <x:f>'敌人目录'!G21</x:f>
        <x:v>300</x:v>
      </x:c>
      <x:c r="D20" s="71" t="n">
        <x:f>'敌人目录'!H21</x:f>
        <x:v>10</x:v>
      </x:c>
      <x:c r="E20" s="71" t="n">
        <x:f>'敌人目录'!I21</x:f>
        <x:v>150</x:v>
      </x:c>
      <x:c r="F20" s="71" t="n">
        <x:f>'敌人目录'!J21</x:f>
        <x:v>0</x:v>
      </x:c>
      <x:c r="G20" s="71" t="n">
        <x:f>'敌人目录'!K21</x:f>
        <x:v>20</x:v>
      </x:c>
      <x:c r="H20" s="71" t="n">
        <x:f>'敌人目录'!L21</x:f>
        <x:v>1</x:v>
      </x:c>
      <x:c r="I20" s="71" t="n">
        <x:f>'敌人目录'!M21</x:f>
        <x:v>2</x:v>
      </x:c>
      <x:c r="J20" s="71" t="n">
        <x:f>'敌人目录'!O21</x:f>
        <x:v>0.02</x:v>
      </x:c>
      <x:c r="K20" s="71" t="n">
        <x:f>'敌人目录'!P21</x:f>
        <x:v>0.002</x:v>
      </x:c>
      <x:c r="L20" s="71" t="n">
        <x:f>'敌人目录'!Q21</x:f>
        <x:v>0.01</x:v>
      </x:c>
      <x:c r="M20" s="71" t="n">
        <x:f>'敌人目录'!R21</x:f>
        <x:v>0</x:v>
      </x:c>
      <x:c r="N20" s="71" t="n">
        <x:f>'敌人目录'!S21</x:f>
        <x:v>0</x:v>
      </x:c>
      <x:c r="O20" s="71" t="n">
        <x:f>'敌人目录'!T21</x:f>
        <x:v>0</x:v>
      </x:c>
      <x:c r="P20" s="71" t="n">
        <x:f>'敌人目录'!U21</x:f>
        <x:v>0</x:v>
      </x:c>
      <x:c r="Q20" s="71" t="n">
        <x:f>'敌人目录'!V21</x:f>
        <x:v>0.004</x:v>
      </x:c>
      <x:c r="R20" s="71" t="n">
        <x:f>'敌人目录'!W21</x:f>
        <x:v>0.004</x:v>
      </x:c>
      <x:c r="S20" s="71" t="n">
        <x:f>'敌人目录'!X21</x:f>
        <x:v>0.004</x:v>
      </x:c>
      <x:c r="T20" s="71" t="n">
        <x:f>'敌人目录'!Y21</x:f>
        <x:v>0.004</x:v>
      </x:c>
      <x:c r="U20" s="71" t="n">
        <x:f>'敌人目录'!Z21</x:f>
        <x:v>0.002</x:v>
      </x:c>
      <x:c r="V20" s="71" t="n">
        <x:f>'敌人目录'!N21</x:f>
        <x:v>0.05000000000000002</x:v>
      </x:c>
      <x:c r="W20" s="71" t="str">
        <x:f>'敌人目录'!AA21</x:f>
        <x:v>可回读</x:v>
      </x:c>
      <x:c r="X20" s="71" t="str">
        <x:f>'敌人目录'!AC21</x:f>
        <x:v>res://resources/config/enemies/stone_eroded_yuanshi_insect_guardian.tres</x:v>
      </x:c>
    </x:row>
    <x:row r="21">
      <x:c r="A21" s="71" t="n">
        <x:v>3</x:v>
      </x:c>
      <x:c r="B21" s="71" t="str">
        <x:f>'敌人目录'!B22</x:f>
        <x:v>slime_basic</x:v>
      </x:c>
      <x:c r="C21" s="71" t="n">
        <x:f>'敌人目录'!G22</x:f>
        <x:v>100</x:v>
      </x:c>
      <x:c r="D21" s="71" t="n">
        <x:f>'敌人目录'!H22</x:f>
        <x:v>10</x:v>
      </x:c>
      <x:c r="E21" s="71" t="n">
        <x:f>'敌人目录'!I22</x:f>
        <x:v>0</x:v>
      </x:c>
      <x:c r="F21" s="71" t="n">
        <x:f>'敌人目录'!J22</x:f>
        <x:v>0</x:v>
      </x:c>
      <x:c r="G21" s="71" t="n">
        <x:f>'敌人目录'!K22</x:f>
        <x:v>20</x:v>
      </x:c>
      <x:c r="H21" s="71" t="n">
        <x:f>'敌人目录'!L22</x:f>
        <x:v>1</x:v>
      </x:c>
      <x:c r="I21" s="71" t="n">
        <x:f>'敌人目录'!M22</x:f>
        <x:v>1</x:v>
      </x:c>
      <x:c r="J21" s="71" t="n">
        <x:f>'敌人目录'!O22</x:f>
        <x:v>0.02</x:v>
      </x:c>
      <x:c r="K21" s="71" t="n">
        <x:f>'敌人目录'!P22</x:f>
        <x:v>0.002</x:v>
      </x:c>
      <x:c r="L21" s="71" t="n">
        <x:f>'敌人目录'!Q22</x:f>
        <x:v>0.01</x:v>
      </x:c>
      <x:c r="M21" s="71" t="n">
        <x:f>'敌人目录'!R22</x:f>
        <x:v>0</x:v>
      </x:c>
      <x:c r="N21" s="71" t="n">
        <x:f>'敌人目录'!S22</x:f>
        <x:v>0</x:v>
      </x:c>
      <x:c r="O21" s="71" t="n">
        <x:f>'敌人目录'!T22</x:f>
        <x:v>0.02</x:v>
      </x:c>
      <x:c r="P21" s="71" t="n">
        <x:f>'敌人目录'!U22</x:f>
        <x:v>0</x:v>
      </x:c>
      <x:c r="Q21" s="71" t="n">
        <x:f>'敌人目录'!V22</x:f>
        <x:v>0.004</x:v>
      </x:c>
      <x:c r="R21" s="71" t="n">
        <x:f>'敌人目录'!W22</x:f>
        <x:v>0.004</x:v>
      </x:c>
      <x:c r="S21" s="71" t="n">
        <x:f>'敌人目录'!X22</x:f>
        <x:v>0.004</x:v>
      </x:c>
      <x:c r="T21" s="71" t="n">
        <x:f>'敌人目录'!Y22</x:f>
        <x:v>0.004</x:v>
      </x:c>
      <x:c r="U21" s="71" t="n">
        <x:f>'敌人目录'!Z22</x:f>
        <x:v>0.002</x:v>
      </x:c>
      <x:c r="V21" s="71" t="n">
        <x:f>'敌人目录'!N22</x:f>
        <x:v>0.07000000000000002</x:v>
      </x:c>
      <x:c r="W21" s="71" t="str">
        <x:f>'敌人目录'!AA22</x:f>
        <x:v>可回读</x:v>
      </x:c>
      <x:c r="X21" s="71" t="str">
        <x:f>'敌人目录'!AC22</x:f>
        <x:v>res://resources/config/enemies/slime.tres</x:v>
      </x:c>
    </x:row>
    <x:row r="22">
      <x:c r="A22" s="71" t="n">
        <x:v>3</x:v>
      </x:c>
      <x:c r="B22" s="71" t="str">
        <x:f>'敌人目录'!B23</x:f>
        <x:v>slime_fire</x:v>
      </x:c>
      <x:c r="C22" s="71" t="n">
        <x:f>'敌人目录'!G23</x:f>
        <x:v>200</x:v>
      </x:c>
      <x:c r="D22" s="71" t="n">
        <x:f>'敌人目录'!H23</x:f>
        <x:v>10</x:v>
      </x:c>
      <x:c r="E22" s="71" t="n">
        <x:f>'敌人目录'!I23</x:f>
        <x:v>0</x:v>
      </x:c>
      <x:c r="F22" s="71" t="n">
        <x:f>'敌人目录'!J23</x:f>
        <x:v>0</x:v>
      </x:c>
      <x:c r="G22" s="71" t="n">
        <x:f>'敌人目录'!K23</x:f>
        <x:v>20</x:v>
      </x:c>
      <x:c r="H22" s="71" t="n">
        <x:f>'敌人目录'!L23</x:f>
        <x:v>1</x:v>
      </x:c>
      <x:c r="I22" s="71" t="n">
        <x:f>'敌人目录'!M23</x:f>
        <x:v>1</x:v>
      </x:c>
      <x:c r="J22" s="71" t="n">
        <x:f>'敌人目录'!O23</x:f>
        <x:v>0.02</x:v>
      </x:c>
      <x:c r="K22" s="71" t="n">
        <x:f>'敌人目录'!P23</x:f>
        <x:v>0.002</x:v>
      </x:c>
      <x:c r="L22" s="71" t="n">
        <x:f>'敌人目录'!Q23</x:f>
        <x:v>0.01</x:v>
      </x:c>
      <x:c r="M22" s="71" t="n">
        <x:f>'敌人目录'!R23</x:f>
        <x:v>0</x:v>
      </x:c>
      <x:c r="N22" s="71" t="n">
        <x:f>'敌人目录'!S23</x:f>
        <x:v>0</x:v>
      </x:c>
      <x:c r="O22" s="71" t="n">
        <x:f>'敌人目录'!T23</x:f>
        <x:v>0.02</x:v>
      </x:c>
      <x:c r="P22" s="71" t="n">
        <x:f>'敌人目录'!U23</x:f>
        <x:v>0</x:v>
      </x:c>
      <x:c r="Q22" s="71" t="n">
        <x:f>'敌人目录'!V23</x:f>
        <x:v>0.004</x:v>
      </x:c>
      <x:c r="R22" s="71" t="n">
        <x:f>'敌人目录'!W23</x:f>
        <x:v>0.004</x:v>
      </x:c>
      <x:c r="S22" s="71" t="n">
        <x:f>'敌人目录'!X23</x:f>
        <x:v>0.004</x:v>
      </x:c>
      <x:c r="T22" s="71" t="n">
        <x:f>'敌人目录'!Y23</x:f>
        <x:v>0.004</x:v>
      </x:c>
      <x:c r="U22" s="71" t="n">
        <x:f>'敌人目录'!Z23</x:f>
        <x:v>0.002</x:v>
      </x:c>
      <x:c r="V22" s="71" t="n">
        <x:f>'敌人目录'!N23</x:f>
        <x:v>0.07000000000000002</x:v>
      </x:c>
      <x:c r="W22" s="71" t="str">
        <x:f>'敌人目录'!AA23</x:f>
        <x:v>可回读</x:v>
      </x:c>
      <x:c r="X22" s="71" t="str">
        <x:f>'敌人目录'!AC23</x:f>
        <x:v>res://resources/config/enemies/slime_fire.tres</x:v>
      </x:c>
    </x:row>
    <x:row r="23">
      <x:c r="A23" s="71" t="n">
        <x:v>3</x:v>
      </x:c>
      <x:c r="B23" s="71" t="str">
        <x:f>'敌人目录'!B24</x:f>
        <x:v>slime_frost</x:v>
      </x:c>
      <x:c r="C23" s="71" t="n">
        <x:f>'敌人目录'!G24</x:f>
        <x:v>200</x:v>
      </x:c>
      <x:c r="D23" s="71" t="n">
        <x:f>'敌人目录'!H24</x:f>
        <x:v>10</x:v>
      </x:c>
      <x:c r="E23" s="71" t="n">
        <x:f>'敌人目录'!I24</x:f>
        <x:v>0</x:v>
      </x:c>
      <x:c r="F23" s="71" t="n">
        <x:f>'敌人目录'!J24</x:f>
        <x:v>0</x:v>
      </x:c>
      <x:c r="G23" s="71" t="n">
        <x:f>'敌人目录'!K24</x:f>
        <x:v>20</x:v>
      </x:c>
      <x:c r="H23" s="71" t="n">
        <x:f>'敌人目录'!L24</x:f>
        <x:v>1</x:v>
      </x:c>
      <x:c r="I23" s="71" t="n">
        <x:f>'敌人目录'!M24</x:f>
        <x:v>1</x:v>
      </x:c>
      <x:c r="J23" s="71" t="n">
        <x:f>'敌人目录'!O24</x:f>
        <x:v>0.02</x:v>
      </x:c>
      <x:c r="K23" s="71" t="n">
        <x:f>'敌人目录'!P24</x:f>
        <x:v>0.002</x:v>
      </x:c>
      <x:c r="L23" s="71" t="n">
        <x:f>'敌人目录'!Q24</x:f>
        <x:v>0.01</x:v>
      </x:c>
      <x:c r="M23" s="71" t="n">
        <x:f>'敌人目录'!R24</x:f>
        <x:v>0</x:v>
      </x:c>
      <x:c r="N23" s="71" t="n">
        <x:f>'敌人目录'!S24</x:f>
        <x:v>0</x:v>
      </x:c>
      <x:c r="O23" s="71" t="n">
        <x:f>'敌人目录'!T24</x:f>
        <x:v>0.02</x:v>
      </x:c>
      <x:c r="P23" s="71" t="n">
        <x:f>'敌人目录'!U24</x:f>
        <x:v>0</x:v>
      </x:c>
      <x:c r="Q23" s="71" t="n">
        <x:f>'敌人目录'!V24</x:f>
        <x:v>0.004</x:v>
      </x:c>
      <x:c r="R23" s="71" t="n">
        <x:f>'敌人目录'!W24</x:f>
        <x:v>0.004</x:v>
      </x:c>
      <x:c r="S23" s="71" t="n">
        <x:f>'敌人目录'!X24</x:f>
        <x:v>0.004</x:v>
      </x:c>
      <x:c r="T23" s="71" t="n">
        <x:f>'敌人目录'!Y24</x:f>
        <x:v>0.004</x:v>
      </x:c>
      <x:c r="U23" s="71" t="n">
        <x:f>'敌人目录'!Z24</x:f>
        <x:v>0.002</x:v>
      </x:c>
      <x:c r="V23" s="71" t="n">
        <x:f>'敌人目录'!N24</x:f>
        <x:v>0.07000000000000002</x:v>
      </x:c>
      <x:c r="W23" s="71" t="str">
        <x:f>'敌人目录'!AA24</x:f>
        <x:v>可回读</x:v>
      </x:c>
      <x:c r="X23" s="71" t="str">
        <x:f>'敌人目录'!AC24</x:f>
        <x:v>res://resources/config/enemies/slime_frost.tres</x:v>
      </x:c>
    </x:row>
    <x:row r="24">
      <x:c r="A24" s="71" t="n">
        <x:v>3</x:v>
      </x:c>
      <x:c r="B24" s="71" t="str">
        <x:f>'敌人目录'!B25</x:f>
        <x:v>slime_green</x:v>
      </x:c>
      <x:c r="C24" s="71" t="n">
        <x:f>'敌人目录'!G25</x:f>
        <x:v>300</x:v>
      </x:c>
      <x:c r="D24" s="71" t="n">
        <x:f>'敌人目录'!H25</x:f>
        <x:v>10</x:v>
      </x:c>
      <x:c r="E24" s="71" t="n">
        <x:f>'敌人目录'!I25</x:f>
        <x:v>50</x:v>
      </x:c>
      <x:c r="F24" s="71" t="n">
        <x:f>'敌人目录'!J25</x:f>
        <x:v>50</x:v>
      </x:c>
      <x:c r="G24" s="71" t="n">
        <x:f>'敌人目录'!K25</x:f>
        <x:v>20</x:v>
      </x:c>
      <x:c r="H24" s="71" t="n">
        <x:f>'敌人目录'!L25</x:f>
        <x:v>1</x:v>
      </x:c>
      <x:c r="I24" s="71" t="n">
        <x:f>'敌人目录'!M25</x:f>
        <x:v>1</x:v>
      </x:c>
      <x:c r="J24" s="71" t="n">
        <x:f>'敌人目录'!O25</x:f>
        <x:v>0.02</x:v>
      </x:c>
      <x:c r="K24" s="71" t="n">
        <x:f>'敌人目录'!P25</x:f>
        <x:v>0.002</x:v>
      </x:c>
      <x:c r="L24" s="71" t="n">
        <x:f>'敌人目录'!Q25</x:f>
        <x:v>0.01</x:v>
      </x:c>
      <x:c r="M24" s="71" t="n">
        <x:f>'敌人目录'!R25</x:f>
        <x:v>0</x:v>
      </x:c>
      <x:c r="N24" s="71" t="n">
        <x:f>'敌人目录'!S25</x:f>
        <x:v>0</x:v>
      </x:c>
      <x:c r="O24" s="71" t="n">
        <x:f>'敌人目录'!T25</x:f>
        <x:v>0.02</x:v>
      </x:c>
      <x:c r="P24" s="71" t="n">
        <x:f>'敌人目录'!U25</x:f>
        <x:v>0</x:v>
      </x:c>
      <x:c r="Q24" s="71" t="n">
        <x:f>'敌人目录'!V25</x:f>
        <x:v>0.004</x:v>
      </x:c>
      <x:c r="R24" s="71" t="n">
        <x:f>'敌人目录'!W25</x:f>
        <x:v>0.004</x:v>
      </x:c>
      <x:c r="S24" s="71" t="n">
        <x:f>'敌人目录'!X25</x:f>
        <x:v>0.004</x:v>
      </x:c>
      <x:c r="T24" s="71" t="n">
        <x:f>'敌人目录'!Y25</x:f>
        <x:v>0.004</x:v>
      </x:c>
      <x:c r="U24" s="71" t="n">
        <x:f>'敌人目录'!Z25</x:f>
        <x:v>0.002</x:v>
      </x:c>
      <x:c r="V24" s="71" t="n">
        <x:f>'敌人目录'!N25</x:f>
        <x:v>0.07000000000000002</x:v>
      </x:c>
      <x:c r="W24" s="71" t="str">
        <x:f>'敌人目录'!AA25</x:f>
        <x:v>可回读</x:v>
      </x:c>
      <x:c r="X24" s="71" t="str">
        <x:f>'敌人目录'!AC25</x:f>
        <x:v>res://resources/config/enemies/slime_green.tres</x:v>
      </x:c>
    </x:row>
    <x:row r="25">
      <x:c r="A25" s="71" t="n">
        <x:v>3</x:v>
      </x:c>
      <x:c r="B25" s="71" t="str">
        <x:f>'敌人目录'!B26</x:f>
        <x:v>slime_golden</x:v>
      </x:c>
      <x:c r="C25" s="71" t="n">
        <x:f>'敌人目录'!G26</x:f>
        <x:v>1000</x:v>
      </x:c>
      <x:c r="D25" s="71" t="n">
        <x:f>'敌人目录'!H26</x:f>
        <x:v>50</x:v>
      </x:c>
      <x:c r="E25" s="71" t="n">
        <x:f>'敌人目录'!I26</x:f>
        <x:v>0</x:v>
      </x:c>
      <x:c r="F25" s="71" t="n">
        <x:f>'敌人目录'!J26</x:f>
        <x:v>0</x:v>
      </x:c>
      <x:c r="G25" s="71" t="n">
        <x:f>'敌人目录'!K26</x:f>
        <x:v>20</x:v>
      </x:c>
      <x:c r="H25" s="71" t="n">
        <x:f>'敌人目录'!L26</x:f>
        <x:v>1</x:v>
      </x:c>
      <x:c r="I25" s="71" t="n">
        <x:f>'敌人目录'!M26</x:f>
        <x:v>1</x:v>
      </x:c>
      <x:c r="J25" s="71" t="n">
        <x:f>'敌人目录'!O26</x:f>
        <x:v>0.02</x:v>
      </x:c>
      <x:c r="K25" s="71" t="n">
        <x:f>'敌人目录'!P26</x:f>
        <x:v>0.002</x:v>
      </x:c>
      <x:c r="L25" s="71" t="n">
        <x:f>'敌人目录'!Q26</x:f>
        <x:v>0.01</x:v>
      </x:c>
      <x:c r="M25" s="71" t="n">
        <x:f>'敌人目录'!R26</x:f>
        <x:v>0</x:v>
      </x:c>
      <x:c r="N25" s="71" t="n">
        <x:f>'敌人目录'!S26</x:f>
        <x:v>0</x:v>
      </x:c>
      <x:c r="O25" s="71" t="n">
        <x:f>'敌人目录'!T26</x:f>
        <x:v>0.02</x:v>
      </x:c>
      <x:c r="P25" s="71" t="n">
        <x:f>'敌人目录'!U26</x:f>
        <x:v>0</x:v>
      </x:c>
      <x:c r="Q25" s="71" t="n">
        <x:f>'敌人目录'!V26</x:f>
        <x:v>0.004</x:v>
      </x:c>
      <x:c r="R25" s="71" t="n">
        <x:f>'敌人目录'!W26</x:f>
        <x:v>0.004</x:v>
      </x:c>
      <x:c r="S25" s="71" t="n">
        <x:f>'敌人目录'!X26</x:f>
        <x:v>0.004</x:v>
      </x:c>
      <x:c r="T25" s="71" t="n">
        <x:f>'敌人目录'!Y26</x:f>
        <x:v>0.004</x:v>
      </x:c>
      <x:c r="U25" s="71" t="n">
        <x:f>'敌人目录'!Z26</x:f>
        <x:v>0.002</x:v>
      </x:c>
      <x:c r="V25" s="71" t="n">
        <x:f>'敌人目录'!N26</x:f>
        <x:v>0.07000000000000002</x:v>
      </x:c>
      <x:c r="W25" s="71" t="str">
        <x:f>'敌人目录'!AA26</x:f>
        <x:v>可回读</x:v>
      </x:c>
      <x:c r="X25" s="71" t="str">
        <x:f>'敌人目录'!AC26</x:f>
        <x:v>res://resources/config/enemies/slime_golden.tres</x:v>
      </x:c>
    </x:row>
    <x:row r="26">
      <x:c r="A26" s="71" t="n">
        <x:v>3</x:v>
      </x:c>
      <x:c r="B26" s="71" t="str">
        <x:f>'敌人目录'!B27</x:f>
        <x:v>stone_eroded_slime</x:v>
      </x:c>
      <x:c r="C26" s="71" t="n">
        <x:f>'敌人目录'!G27</x:f>
        <x:v>200</x:v>
      </x:c>
      <x:c r="D26" s="71" t="n">
        <x:f>'敌人目录'!H27</x:f>
        <x:v>10</x:v>
      </x:c>
      <x:c r="E26" s="71" t="n">
        <x:f>'敌人目录'!I27</x:f>
        <x:v>150</x:v>
      </x:c>
      <x:c r="F26" s="71" t="n">
        <x:f>'敌人目录'!J27</x:f>
        <x:v>0</x:v>
      </x:c>
      <x:c r="G26" s="71" t="n">
        <x:f>'敌人目录'!K27</x:f>
        <x:v>20</x:v>
      </x:c>
      <x:c r="H26" s="71" t="n">
        <x:f>'敌人目录'!L27</x:f>
        <x:v>1</x:v>
      </x:c>
      <x:c r="I26" s="71" t="n">
        <x:f>'敌人目录'!M27</x:f>
        <x:v>1</x:v>
      </x:c>
      <x:c r="J26" s="71" t="n">
        <x:f>'敌人目录'!O27</x:f>
        <x:v>0.02</x:v>
      </x:c>
      <x:c r="K26" s="71" t="n">
        <x:f>'敌人目录'!P27</x:f>
        <x:v>0.002</x:v>
      </x:c>
      <x:c r="L26" s="71" t="n">
        <x:f>'敌人目录'!Q27</x:f>
        <x:v>0.01</x:v>
      </x:c>
      <x:c r="M26" s="71" t="n">
        <x:f>'敌人目录'!R27</x:f>
        <x:v>0</x:v>
      </x:c>
      <x:c r="N26" s="71" t="n">
        <x:f>'敌人目录'!S27</x:f>
        <x:v>0</x:v>
      </x:c>
      <x:c r="O26" s="71" t="n">
        <x:f>'敌人目录'!T27</x:f>
        <x:v>0.02</x:v>
      </x:c>
      <x:c r="P26" s="71" t="n">
        <x:f>'敌人目录'!U27</x:f>
        <x:v>0</x:v>
      </x:c>
      <x:c r="Q26" s="71" t="n">
        <x:f>'敌人目录'!V27</x:f>
        <x:v>0.004</x:v>
      </x:c>
      <x:c r="R26" s="71" t="n">
        <x:f>'敌人目录'!W27</x:f>
        <x:v>0.004</x:v>
      </x:c>
      <x:c r="S26" s="71" t="n">
        <x:f>'敌人目录'!X27</x:f>
        <x:v>0.004</x:v>
      </x:c>
      <x:c r="T26" s="71" t="n">
        <x:f>'敌人目录'!Y27</x:f>
        <x:v>0.004</x:v>
      </x:c>
      <x:c r="U26" s="71" t="n">
        <x:f>'敌人目录'!Z27</x:f>
        <x:v>0.002</x:v>
      </x:c>
      <x:c r="V26" s="71" t="n">
        <x:f>'敌人目录'!N27</x:f>
        <x:v>0.07000000000000002</x:v>
      </x:c>
      <x:c r="W26" s="71" t="str">
        <x:f>'敌人目录'!AA27</x:f>
        <x:v>可回读</x:v>
      </x:c>
      <x:c r="X26" s="71" t="str">
        <x:f>'敌人目录'!AC27</x:f>
        <x:v>res://resources/config/enemies/stone_eroded_slime.tres</x:v>
      </x:c>
    </x:row>
    <x:row r="27">
      <x:c r="A27" s="71" t="n">
        <x:v>3</x:v>
      </x:c>
      <x:c r="B27" s="71" t="str">
        <x:f>'敌人目录'!B28</x:f>
        <x:v>stone_eroded_slime_fire</x:v>
      </x:c>
      <x:c r="C27" s="71" t="n">
        <x:f>'敌人目录'!G28</x:f>
        <x:v>400</x:v>
      </x:c>
      <x:c r="D27" s="71" t="n">
        <x:f>'敌人目录'!H28</x:f>
        <x:v>10</x:v>
      </x:c>
      <x:c r="E27" s="71" t="n">
        <x:f>'敌人目录'!I28</x:f>
        <x:v>150</x:v>
      </x:c>
      <x:c r="F27" s="71" t="n">
        <x:f>'敌人目录'!J28</x:f>
        <x:v>0</x:v>
      </x:c>
      <x:c r="G27" s="71" t="n">
        <x:f>'敌人目录'!K28</x:f>
        <x:v>20</x:v>
      </x:c>
      <x:c r="H27" s="71" t="n">
        <x:f>'敌人目录'!L28</x:f>
        <x:v>1</x:v>
      </x:c>
      <x:c r="I27" s="71" t="n">
        <x:f>'敌人目录'!M28</x:f>
        <x:v>1</x:v>
      </x:c>
      <x:c r="J27" s="71" t="n">
        <x:f>'敌人目录'!O28</x:f>
        <x:v>0.02</x:v>
      </x:c>
      <x:c r="K27" s="71" t="n">
        <x:f>'敌人目录'!P28</x:f>
        <x:v>0.002</x:v>
      </x:c>
      <x:c r="L27" s="71" t="n">
        <x:f>'敌人目录'!Q28</x:f>
        <x:v>0.01</x:v>
      </x:c>
      <x:c r="M27" s="71" t="n">
        <x:f>'敌人目录'!R28</x:f>
        <x:v>0</x:v>
      </x:c>
      <x:c r="N27" s="71" t="n">
        <x:f>'敌人目录'!S28</x:f>
        <x:v>0</x:v>
      </x:c>
      <x:c r="O27" s="71" t="n">
        <x:f>'敌人目录'!T28</x:f>
        <x:v>0.02</x:v>
      </x:c>
      <x:c r="P27" s="71" t="n">
        <x:f>'敌人目录'!U28</x:f>
        <x:v>0</x:v>
      </x:c>
      <x:c r="Q27" s="71" t="n">
        <x:f>'敌人目录'!V28</x:f>
        <x:v>0.004</x:v>
      </x:c>
      <x:c r="R27" s="71" t="n">
        <x:f>'敌人目录'!W28</x:f>
        <x:v>0.004</x:v>
      </x:c>
      <x:c r="S27" s="71" t="n">
        <x:f>'敌人目录'!X28</x:f>
        <x:v>0.004</x:v>
      </x:c>
      <x:c r="T27" s="71" t="n">
        <x:f>'敌人目录'!Y28</x:f>
        <x:v>0.004</x:v>
      </x:c>
      <x:c r="U27" s="71" t="n">
        <x:f>'敌人目录'!Z28</x:f>
        <x:v>0.002</x:v>
      </x:c>
      <x:c r="V27" s="71" t="n">
        <x:f>'敌人目录'!N28</x:f>
        <x:v>0.07000000000000002</x:v>
      </x:c>
      <x:c r="W27" s="71" t="str">
        <x:f>'敌人目录'!AA28</x:f>
        <x:v>可回读</x:v>
      </x:c>
      <x:c r="X27" s="71" t="str">
        <x:f>'敌人目录'!AC28</x:f>
        <x:v>res://resources/config/enemies/stone_eroded_slime_fire.tres</x:v>
      </x:c>
    </x:row>
    <x:row r="28">
      <x:c r="A28" s="71" t="n">
        <x:v>3</x:v>
      </x:c>
      <x:c r="B28" s="71" t="str">
        <x:f>'敌人目录'!B29</x:f>
        <x:v>stone_eroded_slime_frost</x:v>
      </x:c>
      <x:c r="C28" s="71" t="n">
        <x:f>'敌人目录'!G29</x:f>
        <x:v>400</x:v>
      </x:c>
      <x:c r="D28" s="71" t="n">
        <x:f>'敌人目录'!H29</x:f>
        <x:v>10</x:v>
      </x:c>
      <x:c r="E28" s="71" t="n">
        <x:f>'敌人目录'!I29</x:f>
        <x:v>150</x:v>
      </x:c>
      <x:c r="F28" s="71" t="n">
        <x:f>'敌人目录'!J29</x:f>
        <x:v>0</x:v>
      </x:c>
      <x:c r="G28" s="71" t="n">
        <x:f>'敌人目录'!K29</x:f>
        <x:v>20</x:v>
      </x:c>
      <x:c r="H28" s="71" t="n">
        <x:f>'敌人目录'!L29</x:f>
        <x:v>1</x:v>
      </x:c>
      <x:c r="I28" s="71" t="n">
        <x:f>'敌人目录'!M29</x:f>
        <x:v>1</x:v>
      </x:c>
      <x:c r="J28" s="71" t="n">
        <x:f>'敌人目录'!O29</x:f>
        <x:v>0.02</x:v>
      </x:c>
      <x:c r="K28" s="71" t="n">
        <x:f>'敌人目录'!P29</x:f>
        <x:v>0.002</x:v>
      </x:c>
      <x:c r="L28" s="71" t="n">
        <x:f>'敌人目录'!Q29</x:f>
        <x:v>0.01</x:v>
      </x:c>
      <x:c r="M28" s="71" t="n">
        <x:f>'敌人目录'!R29</x:f>
        <x:v>0</x:v>
      </x:c>
      <x:c r="N28" s="71" t="n">
        <x:f>'敌人目录'!S29</x:f>
        <x:v>0</x:v>
      </x:c>
      <x:c r="O28" s="71" t="n">
        <x:f>'敌人目录'!T29</x:f>
        <x:v>0.02</x:v>
      </x:c>
      <x:c r="P28" s="71" t="n">
        <x:f>'敌人目录'!U29</x:f>
        <x:v>0</x:v>
      </x:c>
      <x:c r="Q28" s="71" t="n">
        <x:f>'敌人目录'!V29</x:f>
        <x:v>0.004</x:v>
      </x:c>
      <x:c r="R28" s="71" t="n">
        <x:f>'敌人目录'!W29</x:f>
        <x:v>0.004</x:v>
      </x:c>
      <x:c r="S28" s="71" t="n">
        <x:f>'敌人目录'!X29</x:f>
        <x:v>0.004</x:v>
      </x:c>
      <x:c r="T28" s="71" t="n">
        <x:f>'敌人目录'!Y29</x:f>
        <x:v>0.004</x:v>
      </x:c>
      <x:c r="U28" s="71" t="n">
        <x:f>'敌人目录'!Z29</x:f>
        <x:v>0.002</x:v>
      </x:c>
      <x:c r="V28" s="71" t="n">
        <x:f>'敌人目录'!N29</x:f>
        <x:v>0.07000000000000002</x:v>
      </x:c>
      <x:c r="W28" s="71" t="str">
        <x:f>'敌人目录'!AA29</x:f>
        <x:v>可回读</x:v>
      </x:c>
      <x:c r="X28" s="71" t="str">
        <x:f>'敌人目录'!AC29</x:f>
        <x:v>res://resources/config/enemies/stone_eroded_slime_frost.tres</x:v>
      </x:c>
    </x:row>
    <x:row r="29">
      <x:c r="A29" s="71" t="n">
        <x:v>3</x:v>
      </x:c>
      <x:c r="B29" s="71" t="str">
        <x:f>'敌人目录'!B30</x:f>
        <x:v>stone_eroded_slime_green</x:v>
      </x:c>
      <x:c r="C29" s="71" t="n">
        <x:f>'敌人目录'!G30</x:f>
        <x:v>600</x:v>
      </x:c>
      <x:c r="D29" s="71" t="n">
        <x:f>'敌人目录'!H30</x:f>
        <x:v>10</x:v>
      </x:c>
      <x:c r="E29" s="71" t="n">
        <x:f>'敌人目录'!I30</x:f>
        <x:v>150</x:v>
      </x:c>
      <x:c r="F29" s="71" t="n">
        <x:f>'敌人目录'!J30</x:f>
        <x:v>50</x:v>
      </x:c>
      <x:c r="G29" s="71" t="n">
        <x:f>'敌人目录'!K30</x:f>
        <x:v>20</x:v>
      </x:c>
      <x:c r="H29" s="71" t="n">
        <x:f>'敌人目录'!L30</x:f>
        <x:v>1</x:v>
      </x:c>
      <x:c r="I29" s="71" t="n">
        <x:f>'敌人目录'!M30</x:f>
        <x:v>1</x:v>
      </x:c>
      <x:c r="J29" s="71" t="n">
        <x:f>'敌人目录'!O30</x:f>
        <x:v>0.02</x:v>
      </x:c>
      <x:c r="K29" s="71" t="n">
        <x:f>'敌人目录'!P30</x:f>
        <x:v>0.002</x:v>
      </x:c>
      <x:c r="L29" s="71" t="n">
        <x:f>'敌人目录'!Q30</x:f>
        <x:v>0.01</x:v>
      </x:c>
      <x:c r="M29" s="71" t="n">
        <x:f>'敌人目录'!R30</x:f>
        <x:v>0</x:v>
      </x:c>
      <x:c r="N29" s="71" t="n">
        <x:f>'敌人目录'!S30</x:f>
        <x:v>0</x:v>
      </x:c>
      <x:c r="O29" s="71" t="n">
        <x:f>'敌人目录'!T30</x:f>
        <x:v>0.02</x:v>
      </x:c>
      <x:c r="P29" s="71" t="n">
        <x:f>'敌人目录'!U30</x:f>
        <x:v>0</x:v>
      </x:c>
      <x:c r="Q29" s="71" t="n">
        <x:f>'敌人目录'!V30</x:f>
        <x:v>0.004</x:v>
      </x:c>
      <x:c r="R29" s="71" t="n">
        <x:f>'敌人目录'!W30</x:f>
        <x:v>0.004</x:v>
      </x:c>
      <x:c r="S29" s="71" t="n">
        <x:f>'敌人目录'!X30</x:f>
        <x:v>0.004</x:v>
      </x:c>
      <x:c r="T29" s="71" t="n">
        <x:f>'敌人目录'!Y30</x:f>
        <x:v>0.004</x:v>
      </x:c>
      <x:c r="U29" s="71" t="n">
        <x:f>'敌人目录'!Z30</x:f>
        <x:v>0.002</x:v>
      </x:c>
      <x:c r="V29" s="71" t="n">
        <x:f>'敌人目录'!N30</x:f>
        <x:v>0.07000000000000002</x:v>
      </x:c>
      <x:c r="W29" s="71" t="str">
        <x:f>'敌人目录'!AA30</x:f>
        <x:v>可回读</x:v>
      </x:c>
      <x:c r="X29" s="71" t="str">
        <x:f>'敌人目录'!AC30</x:f>
        <x:v>res://resources/config/enemies/stone_eroded_slime_green.tres</x:v>
      </x:c>
    </x:row>
    <x:row r="30">
      <x:c r="A30" s="71" t="n">
        <x:v>3</x:v>
      </x:c>
      <x:c r="B30" s="71" t="str">
        <x:f>'敌人目录'!B31</x:f>
        <x:v>stone_eroded_slime_golden</x:v>
      </x:c>
      <x:c r="C30" s="71" t="n">
        <x:f>'敌人目录'!G31</x:f>
        <x:v>2000</x:v>
      </x:c>
      <x:c r="D30" s="71" t="n">
        <x:f>'敌人目录'!H31</x:f>
        <x:v>50</x:v>
      </x:c>
      <x:c r="E30" s="71" t="n">
        <x:f>'敌人目录'!I31</x:f>
        <x:v>150</x:v>
      </x:c>
      <x:c r="F30" s="71" t="n">
        <x:f>'敌人目录'!J31</x:f>
        <x:v>0</x:v>
      </x:c>
      <x:c r="G30" s="71" t="n">
        <x:f>'敌人目录'!K31</x:f>
        <x:v>20</x:v>
      </x:c>
      <x:c r="H30" s="71" t="n">
        <x:f>'敌人目录'!L31</x:f>
        <x:v>1</x:v>
      </x:c>
      <x:c r="I30" s="71" t="n">
        <x:f>'敌人目录'!M31</x:f>
        <x:v>1</x:v>
      </x:c>
      <x:c r="J30" s="71" t="n">
        <x:f>'敌人目录'!O31</x:f>
        <x:v>0.02</x:v>
      </x:c>
      <x:c r="K30" s="71" t="n">
        <x:f>'敌人目录'!P31</x:f>
        <x:v>0.002</x:v>
      </x:c>
      <x:c r="L30" s="71" t="n">
        <x:f>'敌人目录'!Q31</x:f>
        <x:v>0.01</x:v>
      </x:c>
      <x:c r="M30" s="71" t="n">
        <x:f>'敌人目录'!R31</x:f>
        <x:v>0</x:v>
      </x:c>
      <x:c r="N30" s="71" t="n">
        <x:f>'敌人目录'!S31</x:f>
        <x:v>0</x:v>
      </x:c>
      <x:c r="O30" s="71" t="n">
        <x:f>'敌人目录'!T31</x:f>
        <x:v>0.02</x:v>
      </x:c>
      <x:c r="P30" s="71" t="n">
        <x:f>'敌人目录'!U31</x:f>
        <x:v>0</x:v>
      </x:c>
      <x:c r="Q30" s="71" t="n">
        <x:f>'敌人目录'!V31</x:f>
        <x:v>0.004</x:v>
      </x:c>
      <x:c r="R30" s="71" t="n">
        <x:f>'敌人目录'!W31</x:f>
        <x:v>0.004</x:v>
      </x:c>
      <x:c r="S30" s="71" t="n">
        <x:f>'敌人目录'!X31</x:f>
        <x:v>0.004</x:v>
      </x:c>
      <x:c r="T30" s="71" t="n">
        <x:f>'敌人目录'!Y31</x:f>
        <x:v>0.004</x:v>
      </x:c>
      <x:c r="U30" s="71" t="n">
        <x:f>'敌人目录'!Z31</x:f>
        <x:v>0.002</x:v>
      </x:c>
      <x:c r="V30" s="71" t="n">
        <x:f>'敌人目录'!N31</x:f>
        <x:v>0.07000000000000002</x:v>
      </x:c>
      <x:c r="W30" s="71" t="str">
        <x:f>'敌人目录'!AA31</x:f>
        <x:v>可回读</x:v>
      </x:c>
      <x:c r="X30" s="71" t="str">
        <x:f>'敌人目录'!AC31</x:f>
        <x:v>res://resources/config/enemies/stone_eroded_slime_golden.tres</x:v>
      </x:c>
    </x:row>
    <x:row r="31">
      <x:c r="A31" s="71" t="n">
        <x:v>3</x:v>
      </x:c>
      <x:c r="B31" s="71" t="str">
        <x:f>'敌人目录'!B32</x:f>
        <x:v>capoo_knight</x:v>
      </x:c>
      <x:c r="C31" s="71" t="n">
        <x:f>'敌人目录'!G32</x:f>
        <x:v>200</x:v>
      </x:c>
      <x:c r="D31" s="71" t="n">
        <x:f>'敌人目录'!H32</x:f>
        <x:v>28</x:v>
      </x:c>
      <x:c r="E31" s="71" t="n">
        <x:f>'敌人目录'!I32</x:f>
        <x:v>10</x:v>
      </x:c>
      <x:c r="F31" s="71" t="n">
        <x:f>'敌人目录'!J32</x:f>
        <x:v>0</x:v>
      </x:c>
      <x:c r="G31" s="71" t="n">
        <x:f>'敌人目录'!K32</x:f>
        <x:v>34</x:v>
      </x:c>
      <x:c r="H31" s="71" t="n">
        <x:f>'敌人目录'!L32</x:f>
        <x:v>2</x:v>
      </x:c>
      <x:c r="I31" s="71" t="n">
        <x:f>'敌人目录'!M32</x:f>
        <x:v>4</x:v>
      </x:c>
      <x:c r="J31" s="71" t="n">
        <x:f>'敌人目录'!O32</x:f>
        <x:v>0.02</x:v>
      </x:c>
      <x:c r="K31" s="71" t="n">
        <x:f>'敌人目录'!P32</x:f>
        <x:v>0.002</x:v>
      </x:c>
      <x:c r="L31" s="71" t="n">
        <x:f>'敌人目录'!Q32</x:f>
        <x:v>0.01</x:v>
      </x:c>
      <x:c r="M31" s="71" t="n">
        <x:f>'敌人目录'!R32</x:f>
        <x:v>0.01</x:v>
      </x:c>
      <x:c r="N31" s="71" t="n">
        <x:f>'敌人目录'!S32</x:f>
        <x:v>0.01</x:v>
      </x:c>
      <x:c r="O31" s="71" t="n">
        <x:f>'敌人目录'!T32</x:f>
        <x:v>0</x:v>
      </x:c>
      <x:c r="P31" s="71" t="n">
        <x:f>'敌人目录'!U32</x:f>
        <x:v>0</x:v>
      </x:c>
      <x:c r="Q31" s="71" t="n">
        <x:f>'敌人目录'!V32</x:f>
        <x:v>0.004</x:v>
      </x:c>
      <x:c r="R31" s="71" t="n">
        <x:f>'敌人目录'!W32</x:f>
        <x:v>0.004</x:v>
      </x:c>
      <x:c r="S31" s="71" t="n">
        <x:f>'敌人目录'!X32</x:f>
        <x:v>0.004</x:v>
      </x:c>
      <x:c r="T31" s="71" t="n">
        <x:f>'敌人目录'!Y32</x:f>
        <x:v>0.004</x:v>
      </x:c>
      <x:c r="U31" s="71" t="n">
        <x:f>'敌人目录'!Z32</x:f>
        <x:v>0.002</x:v>
      </x:c>
      <x:c r="V31" s="71" t="n">
        <x:f>'敌人目录'!N32</x:f>
        <x:v>0.07000000000000002</x:v>
      </x:c>
      <x:c r="W31" s="71" t="str">
        <x:f>'敌人目录'!AA32</x:f>
        <x:v>可回读</x:v>
      </x:c>
      <x:c r="X31" s="71" t="str">
        <x:f>'敌人目录'!AC32</x:f>
        <x:v>res://resources/config/enemies/capoo_knight.tres</x:v>
      </x:c>
    </x:row>
    <x:row r="32">
      <x:c r="A32" s="71" t="n">
        <x:v>3</x:v>
      </x:c>
      <x:c r="B32" s="71" t="str">
        <x:f>'敌人目录'!B33</x:f>
        <x:v>capoo_knight_elite</x:v>
      </x:c>
      <x:c r="C32" s="71" t="n">
        <x:f>'敌人目录'!G33</x:f>
        <x:v>350</x:v>
      </x:c>
      <x:c r="D32" s="71" t="n">
        <x:f>'敌人目录'!H33</x:f>
        <x:v>28</x:v>
      </x:c>
      <x:c r="E32" s="71" t="n">
        <x:f>'敌人目录'!I33</x:f>
        <x:v>15</x:v>
      </x:c>
      <x:c r="F32" s="71" t="n">
        <x:f>'敌人目录'!J33</x:f>
        <x:v>0</x:v>
      </x:c>
      <x:c r="G32" s="71" t="n">
        <x:f>'敌人目录'!K33</x:f>
        <x:v>34</x:v>
      </x:c>
      <x:c r="H32" s="71" t="n">
        <x:f>'敌人目录'!L33</x:f>
        <x:v>2</x:v>
      </x:c>
      <x:c r="I32" s="71" t="n">
        <x:f>'敌人目录'!M33</x:f>
        <x:v>4</x:v>
      </x:c>
      <x:c r="J32" s="71" t="n">
        <x:f>'敌人目录'!O33</x:f>
        <x:v>0.02</x:v>
      </x:c>
      <x:c r="K32" s="71" t="n">
        <x:f>'敌人目录'!P33</x:f>
        <x:v>0.002</x:v>
      </x:c>
      <x:c r="L32" s="71" t="n">
        <x:f>'敌人目录'!Q33</x:f>
        <x:v>0.01</x:v>
      </x:c>
      <x:c r="M32" s="71" t="n">
        <x:f>'敌人目录'!R33</x:f>
        <x:v>0.01</x:v>
      </x:c>
      <x:c r="N32" s="71" t="n">
        <x:f>'敌人目录'!S33</x:f>
        <x:v>0.01</x:v>
      </x:c>
      <x:c r="O32" s="71" t="n">
        <x:f>'敌人目录'!T33</x:f>
        <x:v>0</x:v>
      </x:c>
      <x:c r="P32" s="71" t="n">
        <x:f>'敌人目录'!U33</x:f>
        <x:v>0</x:v>
      </x:c>
      <x:c r="Q32" s="71" t="n">
        <x:f>'敌人目录'!V33</x:f>
        <x:v>0.004</x:v>
      </x:c>
      <x:c r="R32" s="71" t="n">
        <x:f>'敌人目录'!W33</x:f>
        <x:v>0.004</x:v>
      </x:c>
      <x:c r="S32" s="71" t="n">
        <x:f>'敌人目录'!X33</x:f>
        <x:v>0.004</x:v>
      </x:c>
      <x:c r="T32" s="71" t="n">
        <x:f>'敌人目录'!Y33</x:f>
        <x:v>0.004</x:v>
      </x:c>
      <x:c r="U32" s="71" t="n">
        <x:f>'敌人目录'!Z33</x:f>
        <x:v>0.002</x:v>
      </x:c>
      <x:c r="V32" s="71" t="n">
        <x:f>'敌人目录'!N33</x:f>
        <x:v>0.07000000000000002</x:v>
      </x:c>
      <x:c r="W32" s="71" t="str">
        <x:f>'敌人目录'!AA33</x:f>
        <x:v>可回读</x:v>
      </x:c>
      <x:c r="X32" s="71" t="str">
        <x:f>'敌人目录'!AC33</x:f>
        <x:v>res://resources/config/enemies/capoo_knight_elite.tres</x:v>
      </x:c>
    </x:row>
    <x:row r="33">
      <x:c r="A33" s="71" t="n">
        <x:v>3</x:v>
      </x:c>
      <x:c r="B33" s="71" t="str">
        <x:f>'敌人目录'!B34</x:f>
        <x:v>capoo_swordsman</x:v>
      </x:c>
      <x:c r="C33" s="71" t="n">
        <x:f>'敌人目录'!G34</x:f>
        <x:v>400</x:v>
      </x:c>
      <x:c r="D33" s="71" t="n">
        <x:f>'敌人目录'!H34</x:f>
        <x:v>24</x:v>
      </x:c>
      <x:c r="E33" s="71" t="n">
        <x:f>'敌人目录'!I34</x:f>
        <x:v>5</x:v>
      </x:c>
      <x:c r="F33" s="71" t="n">
        <x:f>'敌人目录'!J34</x:f>
        <x:v>0</x:v>
      </x:c>
      <x:c r="G33" s="71" t="n">
        <x:f>'敌人目录'!K34</x:f>
        <x:v>38</x:v>
      </x:c>
      <x:c r="H33" s="71" t="n">
        <x:f>'敌人目录'!L34</x:f>
        <x:v>2</x:v>
      </x:c>
      <x:c r="I33" s="71" t="n">
        <x:f>'敌人目录'!M34</x:f>
        <x:v>4</x:v>
      </x:c>
      <x:c r="J33" s="71" t="n">
        <x:f>'敌人目录'!O34</x:f>
        <x:v>0.02</x:v>
      </x:c>
      <x:c r="K33" s="71" t="n">
        <x:f>'敌人目录'!P34</x:f>
        <x:v>0.002</x:v>
      </x:c>
      <x:c r="L33" s="71" t="n">
        <x:f>'敌人目录'!Q34</x:f>
        <x:v>0.01</x:v>
      </x:c>
      <x:c r="M33" s="71" t="n">
        <x:f>'敌人目录'!R34</x:f>
        <x:v>0.01</x:v>
      </x:c>
      <x:c r="N33" s="71" t="n">
        <x:f>'敌人目录'!S34</x:f>
        <x:v>0.01</x:v>
      </x:c>
      <x:c r="O33" s="71" t="n">
        <x:f>'敌人目录'!T34</x:f>
        <x:v>0</x:v>
      </x:c>
      <x:c r="P33" s="71" t="n">
        <x:f>'敌人目录'!U34</x:f>
        <x:v>0</x:v>
      </x:c>
      <x:c r="Q33" s="71" t="n">
        <x:f>'敌人目录'!V34</x:f>
        <x:v>0.004</x:v>
      </x:c>
      <x:c r="R33" s="71" t="n">
        <x:f>'敌人目录'!W34</x:f>
        <x:v>0.004</x:v>
      </x:c>
      <x:c r="S33" s="71" t="n">
        <x:f>'敌人目录'!X34</x:f>
        <x:v>0.004</x:v>
      </x:c>
      <x:c r="T33" s="71" t="n">
        <x:f>'敌人目录'!Y34</x:f>
        <x:v>0.004</x:v>
      </x:c>
      <x:c r="U33" s="71" t="n">
        <x:f>'敌人目录'!Z34</x:f>
        <x:v>0.002</x:v>
      </x:c>
      <x:c r="V33" s="71" t="n">
        <x:f>'敌人目录'!N34</x:f>
        <x:v>0.07000000000000002</x:v>
      </x:c>
      <x:c r="W33" s="71" t="str">
        <x:f>'敌人目录'!AA34</x:f>
        <x:v>可回读</x:v>
      </x:c>
      <x:c r="X33" s="71" t="str">
        <x:f>'敌人目录'!AC34</x:f>
        <x:v>res://resources/config/enemies/capoo_swordsman.tres</x:v>
      </x:c>
    </x:row>
    <x:row r="34">
      <x:c r="A34" s="71" t="n">
        <x:v>3</x:v>
      </x:c>
      <x:c r="B34" s="71" t="str">
        <x:f>'敌人目录'!B35</x:f>
        <x:v>capoo_smg</x:v>
      </x:c>
      <x:c r="C34" s="71" t="n">
        <x:f>'敌人目录'!G35</x:f>
        <x:v>200</x:v>
      </x:c>
      <x:c r="D34" s="71" t="n">
        <x:f>'敌人目录'!H35</x:f>
        <x:v>30</x:v>
      </x:c>
      <x:c r="E34" s="71" t="n">
        <x:f>'敌人目录'!I35</x:f>
        <x:v>0</x:v>
      </x:c>
      <x:c r="F34" s="71" t="n">
        <x:f>'敌人目录'!J35</x:f>
        <x:v>0</x:v>
      </x:c>
      <x:c r="G34" s="71" t="n">
        <x:f>'敌人目录'!K35</x:f>
        <x:v>100</x:v>
      </x:c>
      <x:c r="H34" s="71" t="n">
        <x:f>'敌人目录'!L35</x:f>
        <x:v>2</x:v>
      </x:c>
      <x:c r="I34" s="71" t="n">
        <x:f>'敌人目录'!M35</x:f>
        <x:v>5</x:v>
      </x:c>
      <x:c r="J34" s="71" t="n">
        <x:f>'敌人目录'!O35</x:f>
        <x:v>0.02</x:v>
      </x:c>
      <x:c r="K34" s="71" t="n">
        <x:f>'敌人目录'!P35</x:f>
        <x:v>0.002</x:v>
      </x:c>
      <x:c r="L34" s="71" t="n">
        <x:f>'敌人目录'!Q35</x:f>
        <x:v>0.01</x:v>
      </x:c>
      <x:c r="M34" s="71" t="n">
        <x:f>'敌人目录'!R35</x:f>
        <x:v>0.01</x:v>
      </x:c>
      <x:c r="N34" s="71" t="n">
        <x:f>'敌人目录'!S35</x:f>
        <x:v>0.01</x:v>
      </x:c>
      <x:c r="O34" s="71" t="n">
        <x:f>'敌人目录'!T35</x:f>
        <x:v>0</x:v>
      </x:c>
      <x:c r="P34" s="71" t="n">
        <x:f>'敌人目录'!U35</x:f>
        <x:v>0</x:v>
      </x:c>
      <x:c r="Q34" s="71" t="n">
        <x:f>'敌人目录'!V35</x:f>
        <x:v>0.004</x:v>
      </x:c>
      <x:c r="R34" s="71" t="n">
        <x:f>'敌人目录'!W35</x:f>
        <x:v>0.004</x:v>
      </x:c>
      <x:c r="S34" s="71" t="n">
        <x:f>'敌人目录'!X35</x:f>
        <x:v>0.004</x:v>
      </x:c>
      <x:c r="T34" s="71" t="n">
        <x:f>'敌人目录'!Y35</x:f>
        <x:v>0.004</x:v>
      </x:c>
      <x:c r="U34" s="71" t="n">
        <x:f>'敌人目录'!Z35</x:f>
        <x:v>0.002</x:v>
      </x:c>
      <x:c r="V34" s="71" t="n">
        <x:f>'敌人目录'!N35</x:f>
        <x:v>0.07000000000000002</x:v>
      </x:c>
      <x:c r="W34" s="71" t="str">
        <x:f>'敌人目录'!AA35</x:f>
        <x:v>可回读</x:v>
      </x:c>
      <x:c r="X34" s="71" t="str">
        <x:f>'敌人目录'!AC35</x:f>
        <x:v>res://resources/config/enemies/capoo_smg.tres</x:v>
      </x:c>
    </x:row>
    <x:row r="35">
      <x:c r="A35" s="71" t="n">
        <x:v>3</x:v>
      </x:c>
      <x:c r="B35" s="71" t="str">
        <x:f>'敌人目录'!B36</x:f>
        <x:v>capoo_ak47</x:v>
      </x:c>
      <x:c r="C35" s="71" t="n">
        <x:f>'敌人目录'!G36</x:f>
        <x:v>150</x:v>
      </x:c>
      <x:c r="D35" s="71" t="n">
        <x:f>'敌人目录'!H36</x:f>
        <x:v>20</x:v>
      </x:c>
      <x:c r="E35" s="71" t="n">
        <x:f>'敌人目录'!I36</x:f>
        <x:v>0</x:v>
      </x:c>
      <x:c r="F35" s="71" t="n">
        <x:f>'敌人目录'!J36</x:f>
        <x:v>0</x:v>
      </x:c>
      <x:c r="G35" s="71" t="n">
        <x:f>'敌人目录'!K36</x:f>
        <x:v>18</x:v>
      </x:c>
      <x:c r="H35" s="71" t="n">
        <x:f>'敌人目录'!L36</x:f>
        <x:v>2</x:v>
      </x:c>
      <x:c r="I35" s="71" t="n">
        <x:f>'敌人目录'!M36</x:f>
        <x:v>5</x:v>
      </x:c>
      <x:c r="J35" s="71" t="n">
        <x:f>'敌人目录'!O36</x:f>
        <x:v>0.02</x:v>
      </x:c>
      <x:c r="K35" s="71" t="n">
        <x:f>'敌人目录'!P36</x:f>
        <x:v>0.002</x:v>
      </x:c>
      <x:c r="L35" s="71" t="n">
        <x:f>'敌人目录'!Q36</x:f>
        <x:v>0.01</x:v>
      </x:c>
      <x:c r="M35" s="71" t="n">
        <x:f>'敌人目录'!R36</x:f>
        <x:v>0.01</x:v>
      </x:c>
      <x:c r="N35" s="71" t="n">
        <x:f>'敌人目录'!S36</x:f>
        <x:v>0.01</x:v>
      </x:c>
      <x:c r="O35" s="71" t="n">
        <x:f>'敌人目录'!T36</x:f>
        <x:v>0</x:v>
      </x:c>
      <x:c r="P35" s="71" t="n">
        <x:f>'敌人目录'!U36</x:f>
        <x:v>0</x:v>
      </x:c>
      <x:c r="Q35" s="71" t="n">
        <x:f>'敌人目录'!V36</x:f>
        <x:v>0.004</x:v>
      </x:c>
      <x:c r="R35" s="71" t="n">
        <x:f>'敌人目录'!W36</x:f>
        <x:v>0.004</x:v>
      </x:c>
      <x:c r="S35" s="71" t="n">
        <x:f>'敌人目录'!X36</x:f>
        <x:v>0.004</x:v>
      </x:c>
      <x:c r="T35" s="71" t="n">
        <x:f>'敌人目录'!Y36</x:f>
        <x:v>0.004</x:v>
      </x:c>
      <x:c r="U35" s="71" t="n">
        <x:f>'敌人目录'!Z36</x:f>
        <x:v>0.002</x:v>
      </x:c>
      <x:c r="V35" s="71" t="n">
        <x:f>'敌人目录'!N36</x:f>
        <x:v>0.07000000000000002</x:v>
      </x:c>
      <x:c r="W35" s="71" t="str">
        <x:f>'敌人目录'!AA36</x:f>
        <x:v>可回读</x:v>
      </x:c>
      <x:c r="X35" s="71" t="str">
        <x:f>'敌人目录'!AC36</x:f>
        <x:v>res://resources/config/enemies/capoo_ak47.tres</x:v>
      </x:c>
    </x:row>
    <x:row r="36">
      <x:c r="A36" s="71" t="n">
        <x:v>3</x:v>
      </x:c>
      <x:c r="B36" s="71" t="str">
        <x:f>'敌人目录'!B37</x:f>
        <x:v>capoo_rpg</x:v>
      </x:c>
      <x:c r="C36" s="71" t="n">
        <x:f>'敌人目录'!G37</x:f>
        <x:v>200</x:v>
      </x:c>
      <x:c r="D36" s="71" t="n">
        <x:f>'敌人目录'!H37</x:f>
        <x:v>20</x:v>
      </x:c>
      <x:c r="E36" s="71" t="n">
        <x:f>'敌人目录'!I37</x:f>
        <x:v>0</x:v>
      </x:c>
      <x:c r="F36" s="71" t="n">
        <x:f>'敌人目录'!J37</x:f>
        <x:v>0</x:v>
      </x:c>
      <x:c r="G36" s="71" t="n">
        <x:f>'敌人目录'!K37</x:f>
        <x:v>16</x:v>
      </x:c>
      <x:c r="H36" s="71" t="n">
        <x:f>'敌人目录'!L37</x:f>
        <x:v>2</x:v>
      </x:c>
      <x:c r="I36" s="71" t="n">
        <x:f>'敌人目录'!M37</x:f>
        <x:v>5</x:v>
      </x:c>
      <x:c r="J36" s="71" t="n">
        <x:f>'敌人目录'!O37</x:f>
        <x:v>0.02</x:v>
      </x:c>
      <x:c r="K36" s="71" t="n">
        <x:f>'敌人目录'!P37</x:f>
        <x:v>0.002</x:v>
      </x:c>
      <x:c r="L36" s="71" t="n">
        <x:f>'敌人目录'!Q37</x:f>
        <x:v>0.01</x:v>
      </x:c>
      <x:c r="M36" s="71" t="n">
        <x:f>'敌人目录'!R37</x:f>
        <x:v>0.01</x:v>
      </x:c>
      <x:c r="N36" s="71" t="n">
        <x:f>'敌人目录'!S37</x:f>
        <x:v>0.01</x:v>
      </x:c>
      <x:c r="O36" s="71" t="n">
        <x:f>'敌人目录'!T37</x:f>
        <x:v>0</x:v>
      </x:c>
      <x:c r="P36" s="71" t="n">
        <x:f>'敌人目录'!U37</x:f>
        <x:v>0</x:v>
      </x:c>
      <x:c r="Q36" s="71" t="n">
        <x:f>'敌人目录'!V37</x:f>
        <x:v>0.004</x:v>
      </x:c>
      <x:c r="R36" s="71" t="n">
        <x:f>'敌人目录'!W37</x:f>
        <x:v>0.004</x:v>
      </x:c>
      <x:c r="S36" s="71" t="n">
        <x:f>'敌人目录'!X37</x:f>
        <x:v>0.004</x:v>
      </x:c>
      <x:c r="T36" s="71" t="n">
        <x:f>'敌人目录'!Y37</x:f>
        <x:v>0.004</x:v>
      </x:c>
      <x:c r="U36" s="71" t="n">
        <x:f>'敌人目录'!Z37</x:f>
        <x:v>0.002</x:v>
      </x:c>
      <x:c r="V36" s="71" t="n">
        <x:f>'敌人目录'!N37</x:f>
        <x:v>0.07000000000000002</x:v>
      </x:c>
      <x:c r="W36" s="71" t="str">
        <x:f>'敌人目录'!AA37</x:f>
        <x:v>可回读</x:v>
      </x:c>
      <x:c r="X36" s="71" t="str">
        <x:f>'敌人目录'!AC37</x:f>
        <x:v>res://resources/config/enemies/capoo_rpg.tres</x:v>
      </x:c>
    </x:row>
    <x:row r="37">
      <x:c r="A37" s="71" t="n">
        <x:v>3</x:v>
      </x:c>
      <x:c r="B37" s="71" t="str">
        <x:f>'敌人目录'!B38</x:f>
        <x:v>capoo_mage</x:v>
      </x:c>
      <x:c r="C37" s="71" t="n">
        <x:f>'敌人目录'!G38</x:f>
        <x:v>200</x:v>
      </x:c>
      <x:c r="D37" s="71" t="n">
        <x:f>'敌人目录'!H38</x:f>
        <x:v>35</x:v>
      </x:c>
      <x:c r="E37" s="71" t="n">
        <x:f>'敌人目录'!I38</x:f>
        <x:v>0</x:v>
      </x:c>
      <x:c r="F37" s="71" t="n">
        <x:f>'敌人目录'!J38</x:f>
        <x:v>0</x:v>
      </x:c>
      <x:c r="G37" s="71" t="n">
        <x:f>'敌人目录'!K38</x:f>
        <x:v>24</x:v>
      </x:c>
      <x:c r="H37" s="71" t="n">
        <x:f>'敌人目录'!L38</x:f>
        <x:v>2</x:v>
      </x:c>
      <x:c r="I37" s="71" t="n">
        <x:f>'敌人目录'!M38</x:f>
        <x:v>10</x:v>
      </x:c>
      <x:c r="J37" s="71" t="n">
        <x:f>'敌人目录'!O38</x:f>
        <x:v>0.02</x:v>
      </x:c>
      <x:c r="K37" s="71" t="n">
        <x:f>'敌人目录'!P38</x:f>
        <x:v>0.002</x:v>
      </x:c>
      <x:c r="L37" s="71" t="n">
        <x:f>'敌人目录'!Q38</x:f>
        <x:v>0.01</x:v>
      </x:c>
      <x:c r="M37" s="71" t="n">
        <x:f>'敌人目录'!R38</x:f>
        <x:v>0.01</x:v>
      </x:c>
      <x:c r="N37" s="71" t="n">
        <x:f>'敌人目录'!S38</x:f>
        <x:v>0.01</x:v>
      </x:c>
      <x:c r="O37" s="71" t="n">
        <x:f>'敌人目录'!T38</x:f>
        <x:v>0</x:v>
      </x:c>
      <x:c r="P37" s="71" t="n">
        <x:f>'敌人目录'!U38</x:f>
        <x:v>0</x:v>
      </x:c>
      <x:c r="Q37" s="71" t="n">
        <x:f>'敌人目录'!V38</x:f>
        <x:v>0.004</x:v>
      </x:c>
      <x:c r="R37" s="71" t="n">
        <x:f>'敌人目录'!W38</x:f>
        <x:v>0.004</x:v>
      </x:c>
      <x:c r="S37" s="71" t="n">
        <x:f>'敌人目录'!X38</x:f>
        <x:v>0.004</x:v>
      </x:c>
      <x:c r="T37" s="71" t="n">
        <x:f>'敌人目录'!Y38</x:f>
        <x:v>0.004</x:v>
      </x:c>
      <x:c r="U37" s="71" t="n">
        <x:f>'敌人目录'!Z38</x:f>
        <x:v>0.002</x:v>
      </x:c>
      <x:c r="V37" s="71" t="n">
        <x:f>'敌人目录'!N38</x:f>
        <x:v>0.07000000000000002</x:v>
      </x:c>
      <x:c r="W37" s="71" t="str">
        <x:f>'敌人目录'!AA38</x:f>
        <x:v>可回读</x:v>
      </x:c>
      <x:c r="X37" s="71" t="str">
        <x:f>'敌人目录'!AC38</x:f>
        <x:v>res://resources/config/enemies/capoo_mage.tres</x:v>
      </x:c>
    </x:row>
    <x:row r="38">
      <x:c r="A38" s="71" t="n">
        <x:v>3</x:v>
      </x:c>
      <x:c r="B38" s="71" t="str">
        <x:f>'敌人目录'!B39</x:f>
        <x:v>capoo_sniper</x:v>
      </x:c>
      <x:c r="C38" s="71" t="n">
        <x:f>'敌人目录'!G39</x:f>
        <x:v>100</x:v>
      </x:c>
      <x:c r="D38" s="71" t="n">
        <x:f>'敌人目录'!H39</x:f>
        <x:v>200</x:v>
      </x:c>
      <x:c r="E38" s="71" t="n">
        <x:f>'敌人目录'!I39</x:f>
        <x:v>20</x:v>
      </x:c>
      <x:c r="F38" s="71" t="n">
        <x:f>'敌人目录'!J39</x:f>
        <x:v>0</x:v>
      </x:c>
      <x:c r="G38" s="71" t="n">
        <x:f>'敌人目录'!K39</x:f>
        <x:v>80</x:v>
      </x:c>
      <x:c r="H38" s="71" t="n">
        <x:f>'敌人目录'!L39</x:f>
        <x:v>2</x:v>
      </x:c>
      <x:c r="I38" s="71" t="n">
        <x:f>'敌人目录'!M39</x:f>
        <x:v>10</x:v>
      </x:c>
      <x:c r="J38" s="71" t="n">
        <x:f>'敌人目录'!O39</x:f>
        <x:v>0.02</x:v>
      </x:c>
      <x:c r="K38" s="71" t="n">
        <x:f>'敌人目录'!P39</x:f>
        <x:v>0.002</x:v>
      </x:c>
      <x:c r="L38" s="71" t="n">
        <x:f>'敌人目录'!Q39</x:f>
        <x:v>0.01</x:v>
      </x:c>
      <x:c r="M38" s="71" t="n">
        <x:f>'敌人目录'!R39</x:f>
        <x:v>0.01</x:v>
      </x:c>
      <x:c r="N38" s="71" t="n">
        <x:f>'敌人目录'!S39</x:f>
        <x:v>0.01</x:v>
      </x:c>
      <x:c r="O38" s="71" t="n">
        <x:f>'敌人目录'!T39</x:f>
        <x:v>0</x:v>
      </x:c>
      <x:c r="P38" s="71" t="n">
        <x:f>'敌人目录'!U39</x:f>
        <x:v>0</x:v>
      </x:c>
      <x:c r="Q38" s="71" t="n">
        <x:f>'敌人目录'!V39</x:f>
        <x:v>0.004</x:v>
      </x:c>
      <x:c r="R38" s="71" t="n">
        <x:f>'敌人目录'!W39</x:f>
        <x:v>0.004</x:v>
      </x:c>
      <x:c r="S38" s="71" t="n">
        <x:f>'敌人目录'!X39</x:f>
        <x:v>0.004</x:v>
      </x:c>
      <x:c r="T38" s="71" t="n">
        <x:f>'敌人目录'!Y39</x:f>
        <x:v>0.004</x:v>
      </x:c>
      <x:c r="U38" s="71" t="n">
        <x:f>'敌人目录'!Z39</x:f>
        <x:v>0.002</x:v>
      </x:c>
      <x:c r="V38" s="71" t="n">
        <x:f>'敌人目录'!N39</x:f>
        <x:v>0.07000000000000002</x:v>
      </x:c>
      <x:c r="W38" s="71" t="str">
        <x:f>'敌人目录'!AA39</x:f>
        <x:v>可回读</x:v>
      </x:c>
      <x:c r="X38" s="71" t="str">
        <x:f>'敌人目录'!AC39</x:f>
        <x:v>res://resources/config/enemies/capoo_sniper.tres</x:v>
      </x:c>
    </x:row>
    <x:row r="39">
      <x:c r="A39" s="71" t="n">
        <x:v>3</x:v>
      </x:c>
      <x:c r="B39" s="71" t="str">
        <x:f>'敌人目录'!B40</x:f>
        <x:v>stone_eroded_capoo_knight</x:v>
      </x:c>
      <x:c r="C39" s="71" t="n">
        <x:f>'敌人目录'!G40</x:f>
        <x:v>400</x:v>
      </x:c>
      <x:c r="D39" s="71" t="n">
        <x:f>'敌人目录'!H40</x:f>
        <x:v>28</x:v>
      </x:c>
      <x:c r="E39" s="71" t="n">
        <x:f>'敌人目录'!I40</x:f>
        <x:v>150</x:v>
      </x:c>
      <x:c r="F39" s="71" t="n">
        <x:f>'敌人目录'!J40</x:f>
        <x:v>0</x:v>
      </x:c>
      <x:c r="G39" s="71" t="n">
        <x:f>'敌人目录'!K40</x:f>
        <x:v>34</x:v>
      </x:c>
      <x:c r="H39" s="71" t="n">
        <x:f>'敌人目录'!L40</x:f>
        <x:v>2</x:v>
      </x:c>
      <x:c r="I39" s="71" t="n">
        <x:f>'敌人目录'!M40</x:f>
        <x:v>4</x:v>
      </x:c>
      <x:c r="J39" s="71" t="n">
        <x:f>'敌人目录'!O40</x:f>
        <x:v>0.02</x:v>
      </x:c>
      <x:c r="K39" s="71" t="n">
        <x:f>'敌人目录'!P40</x:f>
        <x:v>0.002</x:v>
      </x:c>
      <x:c r="L39" s="71" t="n">
        <x:f>'敌人目录'!Q40</x:f>
        <x:v>0.01</x:v>
      </x:c>
      <x:c r="M39" s="71" t="n">
        <x:f>'敌人目录'!R40</x:f>
        <x:v>0.01</x:v>
      </x:c>
      <x:c r="N39" s="71" t="n">
        <x:f>'敌人目录'!S40</x:f>
        <x:v>0.01</x:v>
      </x:c>
      <x:c r="O39" s="71" t="n">
        <x:f>'敌人目录'!T40</x:f>
        <x:v>0</x:v>
      </x:c>
      <x:c r="P39" s="71" t="n">
        <x:f>'敌人目录'!U40</x:f>
        <x:v>0</x:v>
      </x:c>
      <x:c r="Q39" s="71" t="n">
        <x:f>'敌人目录'!V40</x:f>
        <x:v>0.004</x:v>
      </x:c>
      <x:c r="R39" s="71" t="n">
        <x:f>'敌人目录'!W40</x:f>
        <x:v>0.004</x:v>
      </x:c>
      <x:c r="S39" s="71" t="n">
        <x:f>'敌人目录'!X40</x:f>
        <x:v>0.004</x:v>
      </x:c>
      <x:c r="T39" s="71" t="n">
        <x:f>'敌人目录'!Y40</x:f>
        <x:v>0.004</x:v>
      </x:c>
      <x:c r="U39" s="71" t="n">
        <x:f>'敌人目录'!Z40</x:f>
        <x:v>0.002</x:v>
      </x:c>
      <x:c r="V39" s="71" t="n">
        <x:f>'敌人目录'!N40</x:f>
        <x:v>0.07000000000000002</x:v>
      </x:c>
      <x:c r="W39" s="71" t="str">
        <x:f>'敌人目录'!AA40</x:f>
        <x:v>可回读</x:v>
      </x:c>
      <x:c r="X39" s="71" t="str">
        <x:f>'敌人目录'!AC40</x:f>
        <x:v>res://resources/config/enemies/stone_eroded_capoo_knight.tres</x:v>
      </x:c>
    </x:row>
    <x:row r="40">
      <x:c r="A40" s="71" t="n">
        <x:v>3</x:v>
      </x:c>
      <x:c r="B40" s="71" t="str">
        <x:f>'敌人目录'!B41</x:f>
        <x:v>stone_eroded_capoo_knight_elite</x:v>
      </x:c>
      <x:c r="C40" s="71" t="n">
        <x:f>'敌人目录'!G41</x:f>
        <x:v>700</x:v>
      </x:c>
      <x:c r="D40" s="71" t="n">
        <x:f>'敌人目录'!H41</x:f>
        <x:v>28</x:v>
      </x:c>
      <x:c r="E40" s="71" t="n">
        <x:f>'敌人目录'!I41</x:f>
        <x:v>150</x:v>
      </x:c>
      <x:c r="F40" s="71" t="n">
        <x:f>'敌人目录'!J41</x:f>
        <x:v>0</x:v>
      </x:c>
      <x:c r="G40" s="71" t="n">
        <x:f>'敌人目录'!K41</x:f>
        <x:v>34</x:v>
      </x:c>
      <x:c r="H40" s="71" t="n">
        <x:f>'敌人目录'!L41</x:f>
        <x:v>2</x:v>
      </x:c>
      <x:c r="I40" s="71" t="n">
        <x:f>'敌人目录'!M41</x:f>
        <x:v>4</x:v>
      </x:c>
      <x:c r="J40" s="71" t="n">
        <x:f>'敌人目录'!O41</x:f>
        <x:v>0.02</x:v>
      </x:c>
      <x:c r="K40" s="71" t="n">
        <x:f>'敌人目录'!P41</x:f>
        <x:v>0.002</x:v>
      </x:c>
      <x:c r="L40" s="71" t="n">
        <x:f>'敌人目录'!Q41</x:f>
        <x:v>0.01</x:v>
      </x:c>
      <x:c r="M40" s="71" t="n">
        <x:f>'敌人目录'!R41</x:f>
        <x:v>0.01</x:v>
      </x:c>
      <x:c r="N40" s="71" t="n">
        <x:f>'敌人目录'!S41</x:f>
        <x:v>0.01</x:v>
      </x:c>
      <x:c r="O40" s="71" t="n">
        <x:f>'敌人目录'!T41</x:f>
        <x:v>0</x:v>
      </x:c>
      <x:c r="P40" s="71" t="n">
        <x:f>'敌人目录'!U41</x:f>
        <x:v>0</x:v>
      </x:c>
      <x:c r="Q40" s="71" t="n">
        <x:f>'敌人目录'!V41</x:f>
        <x:v>0.004</x:v>
      </x:c>
      <x:c r="R40" s="71" t="n">
        <x:f>'敌人目录'!W41</x:f>
        <x:v>0.004</x:v>
      </x:c>
      <x:c r="S40" s="71" t="n">
        <x:f>'敌人目录'!X41</x:f>
        <x:v>0.004</x:v>
      </x:c>
      <x:c r="T40" s="71" t="n">
        <x:f>'敌人目录'!Y41</x:f>
        <x:v>0.004</x:v>
      </x:c>
      <x:c r="U40" s="71" t="n">
        <x:f>'敌人目录'!Z41</x:f>
        <x:v>0.002</x:v>
      </x:c>
      <x:c r="V40" s="71" t="n">
        <x:f>'敌人目录'!N41</x:f>
        <x:v>0.07000000000000002</x:v>
      </x:c>
      <x:c r="W40" s="71" t="str">
        <x:f>'敌人目录'!AA41</x:f>
        <x:v>可回读</x:v>
      </x:c>
      <x:c r="X40" s="71" t="str">
        <x:f>'敌人目录'!AC41</x:f>
        <x:v>res://resources/config/enemies/stone_eroded_capoo_knight_elite.tres</x:v>
      </x:c>
    </x:row>
    <x:row r="41">
      <x:c r="A41" s="71" t="n">
        <x:v>3</x:v>
      </x:c>
      <x:c r="B41" s="71" t="str">
        <x:f>'敌人目录'!B42</x:f>
        <x:v>stone_eroded_capoo_swordsman</x:v>
      </x:c>
      <x:c r="C41" s="71" t="n">
        <x:f>'敌人目录'!G42</x:f>
        <x:v>800</x:v>
      </x:c>
      <x:c r="D41" s="71" t="n">
        <x:f>'敌人目录'!H42</x:f>
        <x:v>24</x:v>
      </x:c>
      <x:c r="E41" s="71" t="n">
        <x:f>'敌人目录'!I42</x:f>
        <x:v>150</x:v>
      </x:c>
      <x:c r="F41" s="71" t="n">
        <x:f>'敌人目录'!J42</x:f>
        <x:v>0</x:v>
      </x:c>
      <x:c r="G41" s="71" t="n">
        <x:f>'敌人目录'!K42</x:f>
        <x:v>38</x:v>
      </x:c>
      <x:c r="H41" s="71" t="n">
        <x:f>'敌人目录'!L42</x:f>
        <x:v>2</x:v>
      </x:c>
      <x:c r="I41" s="71" t="n">
        <x:f>'敌人目录'!M42</x:f>
        <x:v>4</x:v>
      </x:c>
      <x:c r="J41" s="71" t="n">
        <x:f>'敌人目录'!O42</x:f>
        <x:v>0.02</x:v>
      </x:c>
      <x:c r="K41" s="71" t="n">
        <x:f>'敌人目录'!P42</x:f>
        <x:v>0.002</x:v>
      </x:c>
      <x:c r="L41" s="71" t="n">
        <x:f>'敌人目录'!Q42</x:f>
        <x:v>0.01</x:v>
      </x:c>
      <x:c r="M41" s="71" t="n">
        <x:f>'敌人目录'!R42</x:f>
        <x:v>0.01</x:v>
      </x:c>
      <x:c r="N41" s="71" t="n">
        <x:f>'敌人目录'!S42</x:f>
        <x:v>0.01</x:v>
      </x:c>
      <x:c r="O41" s="71" t="n">
        <x:f>'敌人目录'!T42</x:f>
        <x:v>0</x:v>
      </x:c>
      <x:c r="P41" s="71" t="n">
        <x:f>'敌人目录'!U42</x:f>
        <x:v>0</x:v>
      </x:c>
      <x:c r="Q41" s="71" t="n">
        <x:f>'敌人目录'!V42</x:f>
        <x:v>0.004</x:v>
      </x:c>
      <x:c r="R41" s="71" t="n">
        <x:f>'敌人目录'!W42</x:f>
        <x:v>0.004</x:v>
      </x:c>
      <x:c r="S41" s="71" t="n">
        <x:f>'敌人目录'!X42</x:f>
        <x:v>0.004</x:v>
      </x:c>
      <x:c r="T41" s="71" t="n">
        <x:f>'敌人目录'!Y42</x:f>
        <x:v>0.004</x:v>
      </x:c>
      <x:c r="U41" s="71" t="n">
        <x:f>'敌人目录'!Z42</x:f>
        <x:v>0.002</x:v>
      </x:c>
      <x:c r="V41" s="71" t="n">
        <x:f>'敌人目录'!N42</x:f>
        <x:v>0.07000000000000002</x:v>
      </x:c>
      <x:c r="W41" s="71" t="str">
        <x:f>'敌人目录'!AA42</x:f>
        <x:v>可回读</x:v>
      </x:c>
      <x:c r="X41" s="71" t="str">
        <x:f>'敌人目录'!AC42</x:f>
        <x:v>res://resources/config/enemies/stone_eroded_capoo_swordsman.tres</x:v>
      </x:c>
    </x:row>
    <x:row r="42">
      <x:c r="A42" s="71" t="n">
        <x:v>3</x:v>
      </x:c>
      <x:c r="B42" s="71" t="str">
        <x:f>'敌人目录'!B43</x:f>
        <x:v>stone_eroded_capoo_smg</x:v>
      </x:c>
      <x:c r="C42" s="71" t="n">
        <x:f>'敌人目录'!G43</x:f>
        <x:v>400</x:v>
      </x:c>
      <x:c r="D42" s="71" t="n">
        <x:f>'敌人目录'!H43</x:f>
        <x:v>30</x:v>
      </x:c>
      <x:c r="E42" s="71" t="n">
        <x:f>'敌人目录'!I43</x:f>
        <x:v>150</x:v>
      </x:c>
      <x:c r="F42" s="71" t="n">
        <x:f>'敌人目录'!J43</x:f>
        <x:v>0</x:v>
      </x:c>
      <x:c r="G42" s="71" t="n">
        <x:f>'敌人目录'!K43</x:f>
        <x:v>100</x:v>
      </x:c>
      <x:c r="H42" s="71" t="n">
        <x:f>'敌人目录'!L43</x:f>
        <x:v>2</x:v>
      </x:c>
      <x:c r="I42" s="71" t="n">
        <x:f>'敌人目录'!M43</x:f>
        <x:v>5</x:v>
      </x:c>
      <x:c r="J42" s="71" t="n">
        <x:f>'敌人目录'!O43</x:f>
        <x:v>0.02</x:v>
      </x:c>
      <x:c r="K42" s="71" t="n">
        <x:f>'敌人目录'!P43</x:f>
        <x:v>0.002</x:v>
      </x:c>
      <x:c r="L42" s="71" t="n">
        <x:f>'敌人目录'!Q43</x:f>
        <x:v>0.01</x:v>
      </x:c>
      <x:c r="M42" s="71" t="n">
        <x:f>'敌人目录'!R43</x:f>
        <x:v>0.01</x:v>
      </x:c>
      <x:c r="N42" s="71" t="n">
        <x:f>'敌人目录'!S43</x:f>
        <x:v>0.01</x:v>
      </x:c>
      <x:c r="O42" s="71" t="n">
        <x:f>'敌人目录'!T43</x:f>
        <x:v>0</x:v>
      </x:c>
      <x:c r="P42" s="71" t="n">
        <x:f>'敌人目录'!U43</x:f>
        <x:v>0</x:v>
      </x:c>
      <x:c r="Q42" s="71" t="n">
        <x:f>'敌人目录'!V43</x:f>
        <x:v>0.004</x:v>
      </x:c>
      <x:c r="R42" s="71" t="n">
        <x:f>'敌人目录'!W43</x:f>
        <x:v>0.004</x:v>
      </x:c>
      <x:c r="S42" s="71" t="n">
        <x:f>'敌人目录'!X43</x:f>
        <x:v>0.004</x:v>
      </x:c>
      <x:c r="T42" s="71" t="n">
        <x:f>'敌人目录'!Y43</x:f>
        <x:v>0.004</x:v>
      </x:c>
      <x:c r="U42" s="71" t="n">
        <x:f>'敌人目录'!Z43</x:f>
        <x:v>0.002</x:v>
      </x:c>
      <x:c r="V42" s="71" t="n">
        <x:f>'敌人目录'!N43</x:f>
        <x:v>0.07000000000000002</x:v>
      </x:c>
      <x:c r="W42" s="71" t="str">
        <x:f>'敌人目录'!AA43</x:f>
        <x:v>可回读</x:v>
      </x:c>
      <x:c r="X42" s="71" t="str">
        <x:f>'敌人目录'!AC43</x:f>
        <x:v>res://resources/config/enemies/stone_eroded_capoo_smg.tres</x:v>
      </x:c>
    </x:row>
    <x:row r="43">
      <x:c r="A43" s="71" t="n">
        <x:v>3</x:v>
      </x:c>
      <x:c r="B43" s="71" t="str">
        <x:f>'敌人目录'!B44</x:f>
        <x:v>stone_eroded_capoo_ak47</x:v>
      </x:c>
      <x:c r="C43" s="71" t="n">
        <x:f>'敌人目录'!G44</x:f>
        <x:v>300</x:v>
      </x:c>
      <x:c r="D43" s="71" t="n">
        <x:f>'敌人目录'!H44</x:f>
        <x:v>20</x:v>
      </x:c>
      <x:c r="E43" s="71" t="n">
        <x:f>'敌人目录'!I44</x:f>
        <x:v>150</x:v>
      </x:c>
      <x:c r="F43" s="71" t="n">
        <x:f>'敌人目录'!J44</x:f>
        <x:v>0</x:v>
      </x:c>
      <x:c r="G43" s="71" t="n">
        <x:f>'敌人目录'!K44</x:f>
        <x:v>18</x:v>
      </x:c>
      <x:c r="H43" s="71" t="n">
        <x:f>'敌人目录'!L44</x:f>
        <x:v>2</x:v>
      </x:c>
      <x:c r="I43" s="71" t="n">
        <x:f>'敌人目录'!M44</x:f>
        <x:v>5</x:v>
      </x:c>
      <x:c r="J43" s="71" t="n">
        <x:f>'敌人目录'!O44</x:f>
        <x:v>0.02</x:v>
      </x:c>
      <x:c r="K43" s="71" t="n">
        <x:f>'敌人目录'!P44</x:f>
        <x:v>0.002</x:v>
      </x:c>
      <x:c r="L43" s="71" t="n">
        <x:f>'敌人目录'!Q44</x:f>
        <x:v>0.01</x:v>
      </x:c>
      <x:c r="M43" s="71" t="n">
        <x:f>'敌人目录'!R44</x:f>
        <x:v>0.01</x:v>
      </x:c>
      <x:c r="N43" s="71" t="n">
        <x:f>'敌人目录'!S44</x:f>
        <x:v>0.01</x:v>
      </x:c>
      <x:c r="O43" s="71" t="n">
        <x:f>'敌人目录'!T44</x:f>
        <x:v>0</x:v>
      </x:c>
      <x:c r="P43" s="71" t="n">
        <x:f>'敌人目录'!U44</x:f>
        <x:v>0</x:v>
      </x:c>
      <x:c r="Q43" s="71" t="n">
        <x:f>'敌人目录'!V44</x:f>
        <x:v>0.004</x:v>
      </x:c>
      <x:c r="R43" s="71" t="n">
        <x:f>'敌人目录'!W44</x:f>
        <x:v>0.004</x:v>
      </x:c>
      <x:c r="S43" s="71" t="n">
        <x:f>'敌人目录'!X44</x:f>
        <x:v>0.004</x:v>
      </x:c>
      <x:c r="T43" s="71" t="n">
        <x:f>'敌人目录'!Y44</x:f>
        <x:v>0.004</x:v>
      </x:c>
      <x:c r="U43" s="71" t="n">
        <x:f>'敌人目录'!Z44</x:f>
        <x:v>0.002</x:v>
      </x:c>
      <x:c r="V43" s="71" t="n">
        <x:f>'敌人目录'!N44</x:f>
        <x:v>0.07000000000000002</x:v>
      </x:c>
      <x:c r="W43" s="71" t="str">
        <x:f>'敌人目录'!AA44</x:f>
        <x:v>可回读</x:v>
      </x:c>
      <x:c r="X43" s="71" t="str">
        <x:f>'敌人目录'!AC44</x:f>
        <x:v>res://resources/config/enemies/stone_eroded_capoo_ak47.tres</x:v>
      </x:c>
    </x:row>
    <x:row r="44">
      <x:c r="A44" s="71" t="n">
        <x:v>3</x:v>
      </x:c>
      <x:c r="B44" s="71" t="str">
        <x:f>'敌人目录'!B45</x:f>
        <x:v>stone_eroded_capoo_rpg</x:v>
      </x:c>
      <x:c r="C44" s="71" t="n">
        <x:f>'敌人目录'!G45</x:f>
        <x:v>400</x:v>
      </x:c>
      <x:c r="D44" s="71" t="n">
        <x:f>'敌人目录'!H45</x:f>
        <x:v>20</x:v>
      </x:c>
      <x:c r="E44" s="71" t="n">
        <x:f>'敌人目录'!I45</x:f>
        <x:v>150</x:v>
      </x:c>
      <x:c r="F44" s="71" t="n">
        <x:f>'敌人目录'!J45</x:f>
        <x:v>0</x:v>
      </x:c>
      <x:c r="G44" s="71" t="n">
        <x:f>'敌人目录'!K45</x:f>
        <x:v>16</x:v>
      </x:c>
      <x:c r="H44" s="71" t="n">
        <x:f>'敌人目录'!L45</x:f>
        <x:v>2</x:v>
      </x:c>
      <x:c r="I44" s="71" t="n">
        <x:f>'敌人目录'!M45</x:f>
        <x:v>5</x:v>
      </x:c>
      <x:c r="J44" s="71" t="n">
        <x:f>'敌人目录'!O45</x:f>
        <x:v>0.02</x:v>
      </x:c>
      <x:c r="K44" s="71" t="n">
        <x:f>'敌人目录'!P45</x:f>
        <x:v>0.002</x:v>
      </x:c>
      <x:c r="L44" s="71" t="n">
        <x:f>'敌人目录'!Q45</x:f>
        <x:v>0.01</x:v>
      </x:c>
      <x:c r="M44" s="71" t="n">
        <x:f>'敌人目录'!R45</x:f>
        <x:v>0.01</x:v>
      </x:c>
      <x:c r="N44" s="71" t="n">
        <x:f>'敌人目录'!S45</x:f>
        <x:v>0.01</x:v>
      </x:c>
      <x:c r="O44" s="71" t="n">
        <x:f>'敌人目录'!T45</x:f>
        <x:v>0</x:v>
      </x:c>
      <x:c r="P44" s="71" t="n">
        <x:f>'敌人目录'!U45</x:f>
        <x:v>0</x:v>
      </x:c>
      <x:c r="Q44" s="71" t="n">
        <x:f>'敌人目录'!V45</x:f>
        <x:v>0.004</x:v>
      </x:c>
      <x:c r="R44" s="71" t="n">
        <x:f>'敌人目录'!W45</x:f>
        <x:v>0.004</x:v>
      </x:c>
      <x:c r="S44" s="71" t="n">
        <x:f>'敌人目录'!X45</x:f>
        <x:v>0.004</x:v>
      </x:c>
      <x:c r="T44" s="71" t="n">
        <x:f>'敌人目录'!Y45</x:f>
        <x:v>0.004</x:v>
      </x:c>
      <x:c r="U44" s="71" t="n">
        <x:f>'敌人目录'!Z45</x:f>
        <x:v>0.002</x:v>
      </x:c>
      <x:c r="V44" s="71" t="n">
        <x:f>'敌人目录'!N45</x:f>
        <x:v>0.07000000000000002</x:v>
      </x:c>
      <x:c r="W44" s="71" t="str">
        <x:f>'敌人目录'!AA45</x:f>
        <x:v>可回读</x:v>
      </x:c>
      <x:c r="X44" s="71" t="str">
        <x:f>'敌人目录'!AC45</x:f>
        <x:v>res://resources/config/enemies/stone_eroded_capoo_rpg.tres</x:v>
      </x:c>
    </x:row>
    <x:row r="45">
      <x:c r="A45" s="71" t="n">
        <x:v>3</x:v>
      </x:c>
      <x:c r="B45" s="71" t="str">
        <x:f>'敌人目录'!B46</x:f>
        <x:v>stone_eroded_capoo_mage</x:v>
      </x:c>
      <x:c r="C45" s="71" t="n">
        <x:f>'敌人目录'!G46</x:f>
        <x:v>400</x:v>
      </x:c>
      <x:c r="D45" s="71" t="n">
        <x:f>'敌人目录'!H46</x:f>
        <x:v>35</x:v>
      </x:c>
      <x:c r="E45" s="71" t="n">
        <x:f>'敌人目录'!I46</x:f>
        <x:v>150</x:v>
      </x:c>
      <x:c r="F45" s="71" t="n">
        <x:f>'敌人目录'!J46</x:f>
        <x:v>0</x:v>
      </x:c>
      <x:c r="G45" s="71" t="n">
        <x:f>'敌人目录'!K46</x:f>
        <x:v>24</x:v>
      </x:c>
      <x:c r="H45" s="71" t="n">
        <x:f>'敌人目录'!L46</x:f>
        <x:v>2</x:v>
      </x:c>
      <x:c r="I45" s="71" t="n">
        <x:f>'敌人目录'!M46</x:f>
        <x:v>10</x:v>
      </x:c>
      <x:c r="J45" s="71" t="n">
        <x:f>'敌人目录'!O46</x:f>
        <x:v>0.02</x:v>
      </x:c>
      <x:c r="K45" s="71" t="n">
        <x:f>'敌人目录'!P46</x:f>
        <x:v>0.002</x:v>
      </x:c>
      <x:c r="L45" s="71" t="n">
        <x:f>'敌人目录'!Q46</x:f>
        <x:v>0.01</x:v>
      </x:c>
      <x:c r="M45" s="71" t="n">
        <x:f>'敌人目录'!R46</x:f>
        <x:v>0.01</x:v>
      </x:c>
      <x:c r="N45" s="71" t="n">
        <x:f>'敌人目录'!S46</x:f>
        <x:v>0.01</x:v>
      </x:c>
      <x:c r="O45" s="71" t="n">
        <x:f>'敌人目录'!T46</x:f>
        <x:v>0</x:v>
      </x:c>
      <x:c r="P45" s="71" t="n">
        <x:f>'敌人目录'!U46</x:f>
        <x:v>0</x:v>
      </x:c>
      <x:c r="Q45" s="71" t="n">
        <x:f>'敌人目录'!V46</x:f>
        <x:v>0.004</x:v>
      </x:c>
      <x:c r="R45" s="71" t="n">
        <x:f>'敌人目录'!W46</x:f>
        <x:v>0.004</x:v>
      </x:c>
      <x:c r="S45" s="71" t="n">
        <x:f>'敌人目录'!X46</x:f>
        <x:v>0.004</x:v>
      </x:c>
      <x:c r="T45" s="71" t="n">
        <x:f>'敌人目录'!Y46</x:f>
        <x:v>0.004</x:v>
      </x:c>
      <x:c r="U45" s="71" t="n">
        <x:f>'敌人目录'!Z46</x:f>
        <x:v>0.002</x:v>
      </x:c>
      <x:c r="V45" s="71" t="n">
        <x:f>'敌人目录'!N46</x:f>
        <x:v>0.07000000000000002</x:v>
      </x:c>
      <x:c r="W45" s="71" t="str">
        <x:f>'敌人目录'!AA46</x:f>
        <x:v>可回读</x:v>
      </x:c>
      <x:c r="X45" s="71" t="str">
        <x:f>'敌人目录'!AC46</x:f>
        <x:v>res://resources/config/enemies/stone_eroded_capoo_mage.tres</x:v>
      </x:c>
    </x:row>
    <x:row r="46">
      <x:c r="A46" s="71" t="n">
        <x:v>3</x:v>
      </x:c>
      <x:c r="B46" s="71" t="str">
        <x:f>'敌人目录'!B47</x:f>
        <x:v>stone_eroded_capoo_sniper</x:v>
      </x:c>
      <x:c r="C46" s="71" t="n">
        <x:f>'敌人目录'!G47</x:f>
        <x:v>200</x:v>
      </x:c>
      <x:c r="D46" s="71" t="n">
        <x:f>'敌人目录'!H47</x:f>
        <x:v>200</x:v>
      </x:c>
      <x:c r="E46" s="71" t="n">
        <x:f>'敌人目录'!I47</x:f>
        <x:v>150</x:v>
      </x:c>
      <x:c r="F46" s="71" t="n">
        <x:f>'敌人目录'!J47</x:f>
        <x:v>0</x:v>
      </x:c>
      <x:c r="G46" s="71" t="n">
        <x:f>'敌人目录'!K47</x:f>
        <x:v>80</x:v>
      </x:c>
      <x:c r="H46" s="71" t="n">
        <x:f>'敌人目录'!L47</x:f>
        <x:v>2</x:v>
      </x:c>
      <x:c r="I46" s="71" t="n">
        <x:f>'敌人目录'!M47</x:f>
        <x:v>10</x:v>
      </x:c>
      <x:c r="J46" s="71" t="n">
        <x:f>'敌人目录'!O47</x:f>
        <x:v>0.02</x:v>
      </x:c>
      <x:c r="K46" s="71" t="n">
        <x:f>'敌人目录'!P47</x:f>
        <x:v>0.002</x:v>
      </x:c>
      <x:c r="L46" s="71" t="n">
        <x:f>'敌人目录'!Q47</x:f>
        <x:v>0.01</x:v>
      </x:c>
      <x:c r="M46" s="71" t="n">
        <x:f>'敌人目录'!R47</x:f>
        <x:v>0.01</x:v>
      </x:c>
      <x:c r="N46" s="71" t="n">
        <x:f>'敌人目录'!S47</x:f>
        <x:v>0.01</x:v>
      </x:c>
      <x:c r="O46" s="71" t="n">
        <x:f>'敌人目录'!T47</x:f>
        <x:v>0</x:v>
      </x:c>
      <x:c r="P46" s="71" t="n">
        <x:f>'敌人目录'!U47</x:f>
        <x:v>0</x:v>
      </x:c>
      <x:c r="Q46" s="71" t="n">
        <x:f>'敌人目录'!V47</x:f>
        <x:v>0.004</x:v>
      </x:c>
      <x:c r="R46" s="71" t="n">
        <x:f>'敌人目录'!W47</x:f>
        <x:v>0.004</x:v>
      </x:c>
      <x:c r="S46" s="71" t="n">
        <x:f>'敌人目录'!X47</x:f>
        <x:v>0.004</x:v>
      </x:c>
      <x:c r="T46" s="71" t="n">
        <x:f>'敌人目录'!Y47</x:f>
        <x:v>0.004</x:v>
      </x:c>
      <x:c r="U46" s="71" t="n">
        <x:f>'敌人目录'!Z47</x:f>
        <x:v>0.002</x:v>
      </x:c>
      <x:c r="V46" s="71" t="n">
        <x:f>'敌人目录'!N47</x:f>
        <x:v>0.07000000000000002</x:v>
      </x:c>
      <x:c r="W46" s="71" t="str">
        <x:f>'敌人目录'!AA47</x:f>
        <x:v>可回读</x:v>
      </x:c>
      <x:c r="X46" s="71" t="str">
        <x:f>'敌人目录'!AC47</x:f>
        <x:v>res://resources/config/enemies/stone_eroded_capoo_sniper.tres</x:v>
      </x:c>
    </x:row>
    <x:row r="47">
      <x:c r="A47" s="71" t="n">
        <x:v>3</x:v>
      </x:c>
      <x:c r="B47" s="71" t="str">
        <x:f>'敌人目录'!B48</x:f>
        <x:v>fire_sorcerer</x:v>
      </x:c>
      <x:c r="C47" s="71" t="n">
        <x:f>'敌人目录'!G48</x:f>
        <x:v>200</x:v>
      </x:c>
      <x:c r="D47" s="71" t="n">
        <x:f>'敌人目录'!H48</x:f>
        <x:v>40</x:v>
      </x:c>
      <x:c r="E47" s="71" t="n">
        <x:f>'敌人目录'!I48</x:f>
        <x:v>20</x:v>
      </x:c>
      <x:c r="F47" s="71" t="n">
        <x:f>'敌人目录'!J48</x:f>
        <x:v>80</x:v>
      </x:c>
      <x:c r="G47" s="71" t="n">
        <x:f>'敌人目录'!K48</x:f>
        <x:v>24</x:v>
      </x:c>
      <x:c r="H47" s="71" t="n">
        <x:f>'敌人目录'!L48</x:f>
        <x:v>3</x:v>
      </x:c>
      <x:c r="I47" s="71" t="n">
        <x:f>'敌人目录'!M48</x:f>
        <x:v>20</x:v>
      </x:c>
      <x:c r="J47" s="71" t="n">
        <x:f>'敌人目录'!O48</x:f>
        <x:v>0.02</x:v>
      </x:c>
      <x:c r="K47" s="71" t="n">
        <x:f>'敌人目录'!P48</x:f>
        <x:v>0.002</x:v>
      </x:c>
      <x:c r="L47" s="71" t="n">
        <x:f>'敌人目录'!Q48</x:f>
        <x:v>0.01</x:v>
      </x:c>
      <x:c r="M47" s="71" t="n">
        <x:f>'敌人目录'!R48</x:f>
        <x:v>0.01</x:v>
      </x:c>
      <x:c r="N47" s="71" t="n">
        <x:f>'敌人目录'!S48</x:f>
        <x:v>0.01</x:v>
      </x:c>
      <x:c r="O47" s="71" t="n">
        <x:f>'敌人目录'!T48</x:f>
        <x:v>0</x:v>
      </x:c>
      <x:c r="P47" s="71" t="n">
        <x:f>'敌人目录'!U48</x:f>
        <x:v>0</x:v>
      </x:c>
      <x:c r="Q47" s="71" t="n">
        <x:f>'敌人目录'!V48</x:f>
        <x:v>0.004</x:v>
      </x:c>
      <x:c r="R47" s="71" t="n">
        <x:f>'敌人目录'!W48</x:f>
        <x:v>0.004</x:v>
      </x:c>
      <x:c r="S47" s="71" t="n">
        <x:f>'敌人目录'!X48</x:f>
        <x:v>0.004</x:v>
      </x:c>
      <x:c r="T47" s="71" t="n">
        <x:f>'敌人目录'!Y48</x:f>
        <x:v>0.004</x:v>
      </x:c>
      <x:c r="U47" s="71" t="n">
        <x:f>'敌人目录'!Z48</x:f>
        <x:v>0.002</x:v>
      </x:c>
      <x:c r="V47" s="71" t="n">
        <x:f>'敌人目录'!N48</x:f>
        <x:v>0.07000000000000002</x:v>
      </x:c>
      <x:c r="W47" s="71" t="str">
        <x:f>'敌人目录'!AA48</x:f>
        <x:v>可回读</x:v>
      </x:c>
      <x:c r="X47" s="71" t="str">
        <x:f>'敌人目录'!AC48</x:f>
        <x:v>res://resources/config/enemies/fire_sorcerer.tres</x:v>
      </x:c>
    </x:row>
    <x:row r="48">
      <x:c r="A48" s="71" t="n">
        <x:v>3</x:v>
      </x:c>
      <x:c r="B48" s="71" t="str">
        <x:f>'敌人目录'!B49</x:f>
        <x:v>fire_sorcerer_elite</x:v>
      </x:c>
      <x:c r="C48" s="71" t="n">
        <x:f>'敌人目录'!G49</x:f>
        <x:v>300</x:v>
      </x:c>
      <x:c r="D48" s="71" t="n">
        <x:f>'敌人目录'!H49</x:f>
        <x:v>70</x:v>
      </x:c>
      <x:c r="E48" s="71" t="n">
        <x:f>'敌人目录'!I49</x:f>
        <x:v>40</x:v>
      </x:c>
      <x:c r="F48" s="71" t="n">
        <x:f>'敌人目录'!J49</x:f>
        <x:v>80</x:v>
      </x:c>
      <x:c r="G48" s="71" t="n">
        <x:f>'敌人目录'!K49</x:f>
        <x:v>24</x:v>
      </x:c>
      <x:c r="H48" s="71" t="n">
        <x:f>'敌人目录'!L49</x:f>
        <x:v>3</x:v>
      </x:c>
      <x:c r="I48" s="71" t="n">
        <x:f>'敌人目录'!M49</x:f>
        <x:v>40</x:v>
      </x:c>
      <x:c r="J48" s="71" t="n">
        <x:f>'敌人目录'!O49</x:f>
        <x:v>0.02</x:v>
      </x:c>
      <x:c r="K48" s="71" t="n">
        <x:f>'敌人目录'!P49</x:f>
        <x:v>0.002</x:v>
      </x:c>
      <x:c r="L48" s="71" t="n">
        <x:f>'敌人目录'!Q49</x:f>
        <x:v>0.01</x:v>
      </x:c>
      <x:c r="M48" s="71" t="n">
        <x:f>'敌人目录'!R49</x:f>
        <x:v>0.01</x:v>
      </x:c>
      <x:c r="N48" s="71" t="n">
        <x:f>'敌人目录'!S49</x:f>
        <x:v>0.01</x:v>
      </x:c>
      <x:c r="O48" s="71" t="n">
        <x:f>'敌人目录'!T49</x:f>
        <x:v>0</x:v>
      </x:c>
      <x:c r="P48" s="71" t="n">
        <x:f>'敌人目录'!U49</x:f>
        <x:v>0</x:v>
      </x:c>
      <x:c r="Q48" s="71" t="n">
        <x:f>'敌人目录'!V49</x:f>
        <x:v>0.004</x:v>
      </x:c>
      <x:c r="R48" s="71" t="n">
        <x:f>'敌人目录'!W49</x:f>
        <x:v>0.004</x:v>
      </x:c>
      <x:c r="S48" s="71" t="n">
        <x:f>'敌人目录'!X49</x:f>
        <x:v>0.004</x:v>
      </x:c>
      <x:c r="T48" s="71" t="n">
        <x:f>'敌人目录'!Y49</x:f>
        <x:v>0.004</x:v>
      </x:c>
      <x:c r="U48" s="71" t="n">
        <x:f>'敌人目录'!Z49</x:f>
        <x:v>0.002</x:v>
      </x:c>
      <x:c r="V48" s="71" t="n">
        <x:f>'敌人目录'!N49</x:f>
        <x:v>0.07000000000000002</x:v>
      </x:c>
      <x:c r="W48" s="71" t="str">
        <x:f>'敌人目录'!AA49</x:f>
        <x:v>可回读</x:v>
      </x:c>
      <x:c r="X48" s="71" t="str">
        <x:f>'敌人目录'!AC49</x:f>
        <x:v>res://resources/config/enemies/fire_sorcerer_elite.tres</x:v>
      </x:c>
    </x:row>
    <x:row r="49">
      <x:c r="A49" s="71" t="n">
        <x:v>3</x:v>
      </x:c>
      <x:c r="B49" s="71" t="str">
        <x:f>'敌人目录'!B50</x:f>
        <x:v>frost_sorcerer</x:v>
      </x:c>
      <x:c r="C49" s="71" t="n">
        <x:f>'敌人目录'!G50</x:f>
        <x:v>200</x:v>
      </x:c>
      <x:c r="D49" s="71" t="n">
        <x:f>'敌人目录'!H50</x:f>
        <x:v>50</x:v>
      </x:c>
      <x:c r="E49" s="71" t="n">
        <x:f>'敌人目录'!I50</x:f>
        <x:v>20</x:v>
      </x:c>
      <x:c r="F49" s="71" t="n">
        <x:f>'敌人目录'!J50</x:f>
        <x:v>80</x:v>
      </x:c>
      <x:c r="G49" s="71" t="n">
        <x:f>'敌人目录'!K50</x:f>
        <x:v>24</x:v>
      </x:c>
      <x:c r="H49" s="71" t="n">
        <x:f>'敌人目录'!L50</x:f>
        <x:v>3</x:v>
      </x:c>
      <x:c r="I49" s="71" t="n">
        <x:f>'敌人目录'!M50</x:f>
        <x:v>20</x:v>
      </x:c>
      <x:c r="J49" s="71" t="n">
        <x:f>'敌人目录'!O50</x:f>
        <x:v>0.02</x:v>
      </x:c>
      <x:c r="K49" s="71" t="n">
        <x:f>'敌人目录'!P50</x:f>
        <x:v>0.002</x:v>
      </x:c>
      <x:c r="L49" s="71" t="n">
        <x:f>'敌人目录'!Q50</x:f>
        <x:v>0.01</x:v>
      </x:c>
      <x:c r="M49" s="71" t="n">
        <x:f>'敌人目录'!R50</x:f>
        <x:v>0.01</x:v>
      </x:c>
      <x:c r="N49" s="71" t="n">
        <x:f>'敌人目录'!S50</x:f>
        <x:v>0.01</x:v>
      </x:c>
      <x:c r="O49" s="71" t="n">
        <x:f>'敌人目录'!T50</x:f>
        <x:v>0</x:v>
      </x:c>
      <x:c r="P49" s="71" t="n">
        <x:f>'敌人目录'!U50</x:f>
        <x:v>0</x:v>
      </x:c>
      <x:c r="Q49" s="71" t="n">
        <x:f>'敌人目录'!V50</x:f>
        <x:v>0.004</x:v>
      </x:c>
      <x:c r="R49" s="71" t="n">
        <x:f>'敌人目录'!W50</x:f>
        <x:v>0.004</x:v>
      </x:c>
      <x:c r="S49" s="71" t="n">
        <x:f>'敌人目录'!X50</x:f>
        <x:v>0.004</x:v>
      </x:c>
      <x:c r="T49" s="71" t="n">
        <x:f>'敌人目录'!Y50</x:f>
        <x:v>0.004</x:v>
      </x:c>
      <x:c r="U49" s="71" t="n">
        <x:f>'敌人目录'!Z50</x:f>
        <x:v>0.002</x:v>
      </x:c>
      <x:c r="V49" s="71" t="n">
        <x:f>'敌人目录'!N50</x:f>
        <x:v>0.07000000000000002</x:v>
      </x:c>
      <x:c r="W49" s="71" t="str">
        <x:f>'敌人目录'!AA50</x:f>
        <x:v>可回读</x:v>
      </x:c>
      <x:c r="X49" s="71" t="str">
        <x:f>'敌人目录'!AC50</x:f>
        <x:v>res://resources/config/enemies/frost_sorcerer.tres</x:v>
      </x:c>
    </x:row>
    <x:row r="50">
      <x:c r="A50" s="71" t="n">
        <x:v>3</x:v>
      </x:c>
      <x:c r="B50" s="71" t="str">
        <x:f>'敌人目录'!B51</x:f>
        <x:v>frost_sorcerer_elite</x:v>
      </x:c>
      <x:c r="C50" s="71" t="n">
        <x:f>'敌人目录'!G51</x:f>
        <x:v>300</x:v>
      </x:c>
      <x:c r="D50" s="71" t="n">
        <x:f>'敌人目录'!H51</x:f>
        <x:v>80</x:v>
      </x:c>
      <x:c r="E50" s="71" t="n">
        <x:f>'敌人目录'!I51</x:f>
        <x:v>20</x:v>
      </x:c>
      <x:c r="F50" s="71" t="n">
        <x:f>'敌人目录'!J51</x:f>
        <x:v>80</x:v>
      </x:c>
      <x:c r="G50" s="71" t="n">
        <x:f>'敌人目录'!K51</x:f>
        <x:v>24</x:v>
      </x:c>
      <x:c r="H50" s="71" t="n">
        <x:f>'敌人目录'!L51</x:f>
        <x:v>3</x:v>
      </x:c>
      <x:c r="I50" s="71" t="n">
        <x:f>'敌人目录'!M51</x:f>
        <x:v>40</x:v>
      </x:c>
      <x:c r="J50" s="71" t="n">
        <x:f>'敌人目录'!O51</x:f>
        <x:v>0.02</x:v>
      </x:c>
      <x:c r="K50" s="71" t="n">
        <x:f>'敌人目录'!P51</x:f>
        <x:v>0.002</x:v>
      </x:c>
      <x:c r="L50" s="71" t="n">
        <x:f>'敌人目录'!Q51</x:f>
        <x:v>0.01</x:v>
      </x:c>
      <x:c r="M50" s="71" t="n">
        <x:f>'敌人目录'!R51</x:f>
        <x:v>0.01</x:v>
      </x:c>
      <x:c r="N50" s="71" t="n">
        <x:f>'敌人目录'!S51</x:f>
        <x:v>0.01</x:v>
      </x:c>
      <x:c r="O50" s="71" t="n">
        <x:f>'敌人目录'!T51</x:f>
        <x:v>0</x:v>
      </x:c>
      <x:c r="P50" s="71" t="n">
        <x:f>'敌人目录'!U51</x:f>
        <x:v>0</x:v>
      </x:c>
      <x:c r="Q50" s="71" t="n">
        <x:f>'敌人目录'!V51</x:f>
        <x:v>0.004</x:v>
      </x:c>
      <x:c r="R50" s="71" t="n">
        <x:f>'敌人目录'!W51</x:f>
        <x:v>0.004</x:v>
      </x:c>
      <x:c r="S50" s="71" t="n">
        <x:f>'敌人目录'!X51</x:f>
        <x:v>0.004</x:v>
      </x:c>
      <x:c r="T50" s="71" t="n">
        <x:f>'敌人目录'!Y51</x:f>
        <x:v>0.004</x:v>
      </x:c>
      <x:c r="U50" s="71" t="n">
        <x:f>'敌人目录'!Z51</x:f>
        <x:v>0.002</x:v>
      </x:c>
      <x:c r="V50" s="71" t="n">
        <x:f>'敌人目录'!N51</x:f>
        <x:v>0.07000000000000002</x:v>
      </x:c>
      <x:c r="W50" s="71" t="str">
        <x:f>'敌人目录'!AA51</x:f>
        <x:v>可回读</x:v>
      </x:c>
      <x:c r="X50" s="71" t="str">
        <x:f>'敌人目录'!AC51</x:f>
        <x:v>res://resources/config/enemies/frost_sorcerer_elite.tres</x:v>
      </x:c>
    </x:row>
    <x:row r="51">
      <x:c r="A51" s="71" t="n">
        <x:v>3</x:v>
      </x:c>
      <x:c r="B51" s="71" t="str">
        <x:f>'敌人目录'!B52</x:f>
        <x:v>lightning_sorcerer</x:v>
      </x:c>
      <x:c r="C51" s="71" t="n">
        <x:f>'敌人目录'!G52</x:f>
        <x:v>200</x:v>
      </x:c>
      <x:c r="D51" s="71" t="n">
        <x:f>'敌人目录'!H52</x:f>
        <x:v>50</x:v>
      </x:c>
      <x:c r="E51" s="71" t="n">
        <x:f>'敌人目录'!I52</x:f>
        <x:v>20</x:v>
      </x:c>
      <x:c r="F51" s="71" t="n">
        <x:f>'敌人目录'!J52</x:f>
        <x:v>80</x:v>
      </x:c>
      <x:c r="G51" s="71" t="n">
        <x:f>'敌人目录'!K52</x:f>
        <x:v>24</x:v>
      </x:c>
      <x:c r="H51" s="71" t="n">
        <x:f>'敌人目录'!L52</x:f>
        <x:v>3</x:v>
      </x:c>
      <x:c r="I51" s="71" t="n">
        <x:f>'敌人目录'!M52</x:f>
        <x:v>20</x:v>
      </x:c>
      <x:c r="J51" s="71" t="n">
        <x:f>'敌人目录'!O52</x:f>
        <x:v>0.02</x:v>
      </x:c>
      <x:c r="K51" s="71" t="n">
        <x:f>'敌人目录'!P52</x:f>
        <x:v>0.002</x:v>
      </x:c>
      <x:c r="L51" s="71" t="n">
        <x:f>'敌人目录'!Q52</x:f>
        <x:v>0.01</x:v>
      </x:c>
      <x:c r="M51" s="71" t="n">
        <x:f>'敌人目录'!R52</x:f>
        <x:v>0.01</x:v>
      </x:c>
      <x:c r="N51" s="71" t="n">
        <x:f>'敌人目录'!S52</x:f>
        <x:v>0.01</x:v>
      </x:c>
      <x:c r="O51" s="71" t="n">
        <x:f>'敌人目录'!T52</x:f>
        <x:v>0</x:v>
      </x:c>
      <x:c r="P51" s="71" t="n">
        <x:f>'敌人目录'!U52</x:f>
        <x:v>0</x:v>
      </x:c>
      <x:c r="Q51" s="71" t="n">
        <x:f>'敌人目录'!V52</x:f>
        <x:v>0.004</x:v>
      </x:c>
      <x:c r="R51" s="71" t="n">
        <x:f>'敌人目录'!W52</x:f>
        <x:v>0.004</x:v>
      </x:c>
      <x:c r="S51" s="71" t="n">
        <x:f>'敌人目录'!X52</x:f>
        <x:v>0.004</x:v>
      </x:c>
      <x:c r="T51" s="71" t="n">
        <x:f>'敌人目录'!Y52</x:f>
        <x:v>0.004</x:v>
      </x:c>
      <x:c r="U51" s="71" t="n">
        <x:f>'敌人目录'!Z52</x:f>
        <x:v>0.002</x:v>
      </x:c>
      <x:c r="V51" s="71" t="n">
        <x:f>'敌人目录'!N52</x:f>
        <x:v>0.07000000000000002</x:v>
      </x:c>
      <x:c r="W51" s="71" t="str">
        <x:f>'敌人目录'!AA52</x:f>
        <x:v>可回读</x:v>
      </x:c>
      <x:c r="X51" s="71" t="str">
        <x:f>'敌人目录'!AC52</x:f>
        <x:v>res://resources/config/enemies/lightning_sorcerer.tres</x:v>
      </x:c>
    </x:row>
    <x:row r="52">
      <x:c r="A52" s="71" t="n">
        <x:v>3</x:v>
      </x:c>
      <x:c r="B52" s="71" t="str">
        <x:f>'敌人目录'!B53</x:f>
        <x:v>stone_golem</x:v>
      </x:c>
      <x:c r="C52" s="71" t="n">
        <x:f>'敌人目录'!G53</x:f>
        <x:v>1000</x:v>
      </x:c>
      <x:c r="D52" s="71" t="n">
        <x:f>'敌人目录'!H53</x:f>
        <x:v>100</x:v>
      </x:c>
      <x:c r="E52" s="71" t="n">
        <x:f>'敌人目录'!I53</x:f>
        <x:v>50</x:v>
      </x:c>
      <x:c r="F52" s="71" t="n">
        <x:f>'敌人目录'!J53</x:f>
        <x:v>0</x:v>
      </x:c>
      <x:c r="G52" s="71" t="n">
        <x:f>'敌人目录'!K53</x:f>
        <x:v>15</x:v>
      </x:c>
      <x:c r="H52" s="71" t="n">
        <x:f>'敌人目录'!L53</x:f>
        <x:v>3</x:v>
      </x:c>
      <x:c r="I52" s="71" t="n">
        <x:f>'敌人目录'!M53</x:f>
        <x:v>40</x:v>
      </x:c>
      <x:c r="J52" s="71" t="n">
        <x:f>'敌人目录'!O53</x:f>
        <x:v>0.02</x:v>
      </x:c>
      <x:c r="K52" s="71" t="n">
        <x:f>'敌人目录'!P53</x:f>
        <x:v>0.002</x:v>
      </x:c>
      <x:c r="L52" s="71" t="n">
        <x:f>'敌人目录'!Q53</x:f>
        <x:v>0.01</x:v>
      </x:c>
      <x:c r="M52" s="71" t="n">
        <x:f>'敌人目录'!R53</x:f>
        <x:v>0.01</x:v>
      </x:c>
      <x:c r="N52" s="71" t="n">
        <x:f>'敌人目录'!S53</x:f>
        <x:v>0.01</x:v>
      </x:c>
      <x:c r="O52" s="71" t="n">
        <x:f>'敌人目录'!T53</x:f>
        <x:v>0</x:v>
      </x:c>
      <x:c r="P52" s="71" t="n">
        <x:f>'敌人目录'!U53</x:f>
        <x:v>0.5</x:v>
      </x:c>
      <x:c r="Q52" s="71" t="n">
        <x:f>'敌人目录'!V53</x:f>
        <x:v>0.004</x:v>
      </x:c>
      <x:c r="R52" s="71" t="n">
        <x:f>'敌人目录'!W53</x:f>
        <x:v>0.004</x:v>
      </x:c>
      <x:c r="S52" s="71" t="n">
        <x:f>'敌人目录'!X53</x:f>
        <x:v>0.004</x:v>
      </x:c>
      <x:c r="T52" s="71" t="n">
        <x:f>'敌人目录'!Y53</x:f>
        <x:v>0.004</x:v>
      </x:c>
      <x:c r="U52" s="71" t="n">
        <x:f>'敌人目录'!Z53</x:f>
        <x:v>0.002</x:v>
      </x:c>
      <x:c r="V52" s="71" t="n">
        <x:f>'敌人目录'!N53</x:f>
        <x:v>0.5700000000000001</x:v>
      </x:c>
      <x:c r="W52" s="71" t="str">
        <x:f>'敌人目录'!AA53</x:f>
        <x:v>可回读</x:v>
      </x:c>
      <x:c r="X52" s="71" t="str">
        <x:f>'敌人目录'!AC53</x:f>
        <x:v>res://resources/config/enemies/stone_golem.tres</x:v>
      </x:c>
    </x:row>
    <x:row r="53">
      <x:c r="A53" s="71" t="n">
        <x:v>3</x:v>
      </x:c>
      <x:c r="B53" s="71" t="str">
        <x:f>'敌人目录'!B54</x:f>
        <x:v>stone_golem_elite</x:v>
      </x:c>
      <x:c r="C53" s="71" t="n">
        <x:f>'敌人目录'!G54</x:f>
        <x:v>1800</x:v>
      </x:c>
      <x:c r="D53" s="71" t="n">
        <x:f>'敌人目录'!H54</x:f>
        <x:v>150</x:v>
      </x:c>
      <x:c r="E53" s="71" t="n">
        <x:f>'敌人目录'!I54</x:f>
        <x:v>75</x:v>
      </x:c>
      <x:c r="F53" s="71" t="n">
        <x:f>'敌人目录'!J54</x:f>
        <x:v>0</x:v>
      </x:c>
      <x:c r="G53" s="71" t="n">
        <x:f>'敌人目录'!K54</x:f>
        <x:v>15</x:v>
      </x:c>
      <x:c r="H53" s="71" t="n">
        <x:f>'敌人目录'!L54</x:f>
        <x:v>3</x:v>
      </x:c>
      <x:c r="I53" s="71" t="n">
        <x:f>'敌人目录'!M54</x:f>
        <x:v>80</x:v>
      </x:c>
      <x:c r="J53" s="71" t="n">
        <x:f>'敌人目录'!O54</x:f>
        <x:v>0.02</x:v>
      </x:c>
      <x:c r="K53" s="71" t="n">
        <x:f>'敌人目录'!P54</x:f>
        <x:v>0.002</x:v>
      </x:c>
      <x:c r="L53" s="71" t="n">
        <x:f>'敌人目录'!Q54</x:f>
        <x:v>0.01</x:v>
      </x:c>
      <x:c r="M53" s="71" t="n">
        <x:f>'敌人目录'!R54</x:f>
        <x:v>0.01</x:v>
      </x:c>
      <x:c r="N53" s="71" t="n">
        <x:f>'敌人目录'!S54</x:f>
        <x:v>0.01</x:v>
      </x:c>
      <x:c r="O53" s="71" t="n">
        <x:f>'敌人目录'!T54</x:f>
        <x:v>0</x:v>
      </x:c>
      <x:c r="P53" s="71" t="n">
        <x:f>'敌人目录'!U54</x:f>
        <x:v>0.5</x:v>
      </x:c>
      <x:c r="Q53" s="71" t="n">
        <x:f>'敌人目录'!V54</x:f>
        <x:v>0.004</x:v>
      </x:c>
      <x:c r="R53" s="71" t="n">
        <x:f>'敌人目录'!W54</x:f>
        <x:v>0.004</x:v>
      </x:c>
      <x:c r="S53" s="71" t="n">
        <x:f>'敌人目录'!X54</x:f>
        <x:v>0.004</x:v>
      </x:c>
      <x:c r="T53" s="71" t="n">
        <x:f>'敌人目录'!Y54</x:f>
        <x:v>0.004</x:v>
      </x:c>
      <x:c r="U53" s="71" t="n">
        <x:f>'敌人目录'!Z54</x:f>
        <x:v>0.002</x:v>
      </x:c>
      <x:c r="V53" s="71" t="n">
        <x:f>'敌人目录'!N54</x:f>
        <x:v>0.5700000000000001</x:v>
      </x:c>
      <x:c r="W53" s="71" t="str">
        <x:f>'敌人目录'!AA54</x:f>
        <x:v>可回读</x:v>
      </x:c>
      <x:c r="X53" s="71" t="str">
        <x:f>'敌人目录'!AC54</x:f>
        <x:v>res://resources/config/enemies/stone_golem_elite.tres</x:v>
      </x:c>
    </x:row>
  </x:sheetData>
  <x:mergeCells>
    <x:mergeCell ref="A1:X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3" hidden="0" customWidth="1"/>
    <x:col min="4" max="4" width="9" hidden="0" customWidth="1"/>
    <x:col min="5" max="5" width="14" hidden="0" customWidth="1"/>
    <x:col min="6" max="6" width="10" hidden="0" customWidth="1"/>
    <x:col min="7" max="7" width="28" hidden="0" customWidth="1"/>
    <x:col min="8" max="8" width="19" hidden="0" customWidth="1"/>
    <x:col min="9" max="9" width="17" hidden="0" customWidth="1"/>
    <x:col min="10" max="10" width="21" hidden="0" customWidth="1"/>
    <x:col min="11" max="11" width="18" hidden="0" customWidth="1"/>
    <x:col min="12" max="12" width="52" hidden="0" customWidth="1"/>
    <x:col min="13" max="13" width="52" hidden="0" customWidth="1"/>
    <x:col min="14" max="14" width="16" hidden="0" customWidth="1"/>
    <x:col min="15" max="15" width="13" hidden="0" customWidth="1"/>
    <x:col min="16" max="16" width="30" hidden="0" customWidth="1"/>
    <x:col min="17" max="17" width="12" hidden="0" customWidth="1"/>
    <x:col min="18" max="18" width="28" hidden="0" customWidth="1"/>
    <x:col min="19" max="19" width="16" hidden="0" customWidth="1"/>
  </x:cols>
  <x:sheetData>
    <x:row r="1">
      <x:c r="A1" s="3" t="str">
        <x:v>12 波导入数据｜schema v3｜机器读取区域，请勿编辑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>
      <x:c r="A2" s="71" t="str">
        <x:v>target_wave_count</x:v>
      </x:c>
      <x:c r="B2" s="71" t="n">
        <x:v>12</x:v>
      </x:c>
      <x:c r="C2" s="71" t="str">
        <x:v>day_count</x:v>
      </x:c>
      <x:c r="D2" s="71" t="n">
        <x:v>4</x:v>
      </x:c>
      <x:c r="E2" s="71" t="str">
        <x:v>boss_after_wave</x:v>
      </x:c>
      <x:c r="F2" s="71" t="n">
        <x:v>12</x:v>
      </x:c>
      <x:c r="G2" s="71" t="str">
        <x:v>boss_day</x:v>
      </x:c>
      <x:c r="H2" s="71" t="n">
        <x:v>4</x:v>
      </x:c>
    </x:row>
    <x:row r="4">
      <x:c r="A4" s="110" t="str">
        <x:v>schema_version</x:v>
      </x:c>
      <x:c r="B4" s="110" t="str">
        <x:v>wave_id</x:v>
      </x:c>
      <x:c r="C4" s="110" t="str">
        <x:v>wave_number</x:v>
      </x:c>
      <x:c r="D4" s="110" t="str">
        <x:v>day</x:v>
      </x:c>
      <x:c r="E4" s="110" t="str">
        <x:v>wave_in_day</x:v>
      </x:c>
      <x:c r="F4" s="110" t="str">
        <x:v>period</x:v>
      </x:c>
      <x:c r="G4" s="110" t="str">
        <x:v>display_name</x:v>
      </x:c>
      <x:c r="H4" s="110" t="str">
        <x:v>spawn_point_mask</x:v>
      </x:c>
      <x:c r="I4" s="110" t="str">
        <x:v>spawn_interval</x:v>
      </x:c>
      <x:c r="J4" s="110" t="str">
        <x:v>spawn_count_per_tick</x:v>
      </x:c>
      <x:c r="K4" s="110" t="str">
        <x:v>max_alive_enemies</x:v>
      </x:c>
      <x:c r="L4" s="110" t="str">
        <x:v>music_path</x:v>
      </x:c>
      <x:c r="M4" s="110" t="str">
        <x:v>post_wave_music_path</x:v>
      </x:c>
      <x:c r="N4" s="110" t="str">
        <x:v>is_placeholder</x:v>
      </x:c>
      <x:c r="O4" s="110" t="str">
        <x:v>enemy_slot</x:v>
      </x:c>
      <x:c r="P4" s="110" t="str">
        <x:v>enemy_id</x:v>
      </x:c>
      <x:c r="Q4" s="110" t="str">
        <x:v>count</x:v>
      </x:c>
      <x:c r="R4" s="110" t="str">
        <x:v>xirang_kill_reward_override</x:v>
      </x:c>
      <x:c r="S4" s="110" t="str">
        <x:v>row_validation</x:v>
      </x:c>
    </x:row>
    <x:row r="5">
      <x:c r="A5" s="71" t="n">
        <x:v>3</x:v>
      </x:c>
      <x:c r="B5" s="71" t="str">
        <x:v>wave_01</x:v>
      </x:c>
      <x:c r="C5" s="71" t="n">
        <x:v>1</x:v>
      </x:c>
      <x:c r="D5" s="71" t="n">
        <x:v>1</x:v>
      </x:c>
      <x:c r="E5" s="71" t="n">
        <x:v>1</x:v>
      </x:c>
      <x:c r="F5" s="71" t="str">
        <x:v>白昼</x:v>
      </x:c>
      <x:c r="G5" s="71" t="str">
        <x:f>'第1日'!B3</x:f>
        <x:v>第1波 林地试探</x:v>
      </x:c>
      <x:c r="H5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5" s="71" t="n">
        <x:f>'第1日'!E3</x:f>
        <x:v>0.2</x:v>
      </x:c>
      <x:c r="J5" s="71" t="n">
        <x:f>'第1日'!G3</x:f>
        <x:v>1</x:v>
      </x:c>
      <x:c r="K5" s="71" t="n">
        <x:f>'第1日'!I3</x:f>
        <x:v>300</x:v>
      </x:c>
      <x:c r="L5" s="71" t="str">
        <x:v>res://resources/audio/shenmu_forest_combat.ogg</x:v>
      </x:c>
      <x:c r="M5" s="71" t="str">
        <x:v>res://resources/audio/shenmu_forest_intermission.ogg</x:v>
      </x:c>
      <x:c r="N5" s="71" t="b">
        <x:f>'第1日'!I4="待设计"</x:f>
        <x:v>0</x:v>
      </x:c>
      <x:c r="O5" s="71" t="n">
        <x:v>1</x:v>
      </x:c>
      <x:c r="P5" s="71" t="str">
        <x:f>IF('第1日'!B7="","",IFERROR(VLOOKUP('第1日'!B7,'敌人目录'!$A$6:$B$54,2,FALSE),""))</x:f>
        <x:v>slime_basic</x:v>
      </x:c>
      <x:c r="Q5" s="71" t="n">
        <x:f>IF('第1日'!B7="","",'第1日'!C7)</x:f>
        <x:v>1300</x:v>
      </x:c>
      <x:c r="R5" s="71" t="n">
        <x:v>-1</x:v>
      </x:c>
      <x:c r="S5" s="71" t="str">
        <x:f>IF('第1日'!B7="","",'第1日'!I7)</x:f>
        <x:v>可回读</x:v>
      </x:c>
    </x:row>
    <x:row r="6">
      <x:c r="A6" s="71" t="n">
        <x:v>3</x:v>
      </x:c>
      <x:c r="B6" s="71" t="str">
        <x:v>wave_01</x:v>
      </x:c>
      <x:c r="C6" s="71" t="n">
        <x:v>1</x:v>
      </x:c>
      <x:c r="D6" s="71" t="n">
        <x:v>1</x:v>
      </x:c>
      <x:c r="E6" s="71" t="n">
        <x:v>1</x:v>
      </x:c>
      <x:c r="F6" s="71" t="str">
        <x:v>白昼</x:v>
      </x:c>
      <x:c r="G6" s="71" t="str">
        <x:f>'第1日'!B3</x:f>
        <x:v>第1波 林地试探</x:v>
      </x:c>
      <x:c r="H6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6" s="71" t="n">
        <x:f>'第1日'!E3</x:f>
        <x:v>0.2</x:v>
      </x:c>
      <x:c r="J6" s="71" t="n">
        <x:f>'第1日'!G3</x:f>
        <x:v>1</x:v>
      </x:c>
      <x:c r="K6" s="71" t="n">
        <x:f>'第1日'!I3</x:f>
        <x:v>300</x:v>
      </x:c>
      <x:c r="L6" s="71" t="str">
        <x:v>res://resources/audio/shenmu_forest_combat.ogg</x:v>
      </x:c>
      <x:c r="M6" s="71" t="str">
        <x:v>res://resources/audio/shenmu_forest_intermission.ogg</x:v>
      </x:c>
      <x:c r="N6" s="71" t="b">
        <x:f>'第1日'!I4="待设计"</x:f>
        <x:v>0</x:v>
      </x:c>
      <x:c r="O6" s="71" t="n">
        <x:v>2</x:v>
      </x:c>
      <x:c r="P6" s="71" t="str">
        <x:f>IF('第1日'!B8="","",IFERROR(VLOOKUP('第1日'!B8,'敌人目录'!$A$6:$B$54,2,FALSE),""))</x:f>
        <x:v>slime_fire</x:v>
      </x:c>
      <x:c r="Q6" s="71" t="n">
        <x:f>IF('第1日'!B8="","",'第1日'!C8)</x:f>
        <x:v>400</x:v>
      </x:c>
      <x:c r="R6" s="71" t="n">
        <x:v>-1</x:v>
      </x:c>
      <x:c r="S6" s="71" t="str">
        <x:f>IF('第1日'!B8="","",'第1日'!I8)</x:f>
        <x:v>可回读</x:v>
      </x:c>
    </x:row>
    <x:row r="7">
      <x:c r="A7" s="71" t="n">
        <x:v>3</x:v>
      </x:c>
      <x:c r="B7" s="71" t="str">
        <x:v>wave_01</x:v>
      </x:c>
      <x:c r="C7" s="71" t="n">
        <x:v>1</x:v>
      </x:c>
      <x:c r="D7" s="71" t="n">
        <x:v>1</x:v>
      </x:c>
      <x:c r="E7" s="71" t="n">
        <x:v>1</x:v>
      </x:c>
      <x:c r="F7" s="71" t="str">
        <x:v>白昼</x:v>
      </x:c>
      <x:c r="G7" s="71" t="str">
        <x:f>'第1日'!B3</x:f>
        <x:v>第1波 林地试探</x:v>
      </x:c>
      <x:c r="H7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7" s="71" t="n">
        <x:f>'第1日'!E3</x:f>
        <x:v>0.2</x:v>
      </x:c>
      <x:c r="J7" s="71" t="n">
        <x:f>'第1日'!G3</x:f>
        <x:v>1</x:v>
      </x:c>
      <x:c r="K7" s="71" t="n">
        <x:f>'第1日'!I3</x:f>
        <x:v>300</x:v>
      </x:c>
      <x:c r="L7" s="71" t="str">
        <x:v>res://resources/audio/shenmu_forest_combat.ogg</x:v>
      </x:c>
      <x:c r="M7" s="71" t="str">
        <x:v>res://resources/audio/shenmu_forest_intermission.ogg</x:v>
      </x:c>
      <x:c r="N7" s="71" t="b">
        <x:f>'第1日'!I4="待设计"</x:f>
        <x:v>0</x:v>
      </x:c>
      <x:c r="O7" s="71" t="n">
        <x:v>3</x:v>
      </x:c>
      <x:c r="P7" s="71" t="str">
        <x:f>IF('第1日'!B9="","",IFERROR(VLOOKUP('第1日'!B9,'敌人目录'!$A$6:$B$54,2,FALSE),""))</x:f>
        <x:v>yuanshi_insect_basic</x:v>
      </x:c>
      <x:c r="Q7" s="71" t="n">
        <x:f>IF('第1日'!B9="","",'第1日'!C9)</x:f>
        <x:v>500</x:v>
      </x:c>
      <x:c r="R7" s="71" t="n">
        <x:v>-1</x:v>
      </x:c>
      <x:c r="S7" s="71" t="str">
        <x:f>IF('第1日'!B9="","",'第1日'!I9)</x:f>
        <x:v>可回读</x:v>
      </x:c>
    </x:row>
    <x:row r="8">
      <x:c r="A8" s="71" t="n">
        <x:v>3</x:v>
      </x:c>
      <x:c r="B8" s="71" t="str">
        <x:v>wave_01</x:v>
      </x:c>
      <x:c r="C8" s="71" t="n">
        <x:v>1</x:v>
      </x:c>
      <x:c r="D8" s="71" t="n">
        <x:v>1</x:v>
      </x:c>
      <x:c r="E8" s="71" t="n">
        <x:v>1</x:v>
      </x:c>
      <x:c r="F8" s="71" t="str">
        <x:v>白昼</x:v>
      </x:c>
      <x:c r="G8" s="71" t="str">
        <x:f>'第1日'!B3</x:f>
        <x:v>第1波 林地试探</x:v>
      </x:c>
      <x:c r="H8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8" s="71" t="n">
        <x:f>'第1日'!E3</x:f>
        <x:v>0.2</x:v>
      </x:c>
      <x:c r="J8" s="71" t="n">
        <x:f>'第1日'!G3</x:f>
        <x:v>1</x:v>
      </x:c>
      <x:c r="K8" s="71" t="n">
        <x:f>'第1日'!I3</x:f>
        <x:v>300</x:v>
      </x:c>
      <x:c r="L8" s="71" t="str">
        <x:v>res://resources/audio/shenmu_forest_combat.ogg</x:v>
      </x:c>
      <x:c r="M8" s="71" t="str">
        <x:v>res://resources/audio/shenmu_forest_intermission.ogg</x:v>
      </x:c>
      <x:c r="N8" s="71" t="b">
        <x:f>'第1日'!I4="待设计"</x:f>
        <x:v>0</x:v>
      </x:c>
      <x:c r="O8" s="71" t="n">
        <x:v>4</x:v>
      </x:c>
      <x:c r="P8" s="71" t="str">
        <x:f>IF('第1日'!B10="","",IFERROR(VLOOKUP('第1日'!B10,'敌人目录'!$A$6:$B$54,2,FALSE),""))</x:f>
        <x:v>yuanshi_insect_fast</x:v>
      </x:c>
      <x:c r="Q8" s="71" t="n">
        <x:f>IF('第1日'!B10="","",'第1日'!C10)</x:f>
        <x:v>300</x:v>
      </x:c>
      <x:c r="R8" s="71" t="n">
        <x:v>-1</x:v>
      </x:c>
      <x:c r="S8" s="71" t="str">
        <x:f>IF('第1日'!B10="","",'第1日'!I10)</x:f>
        <x:v>可回读</x:v>
      </x:c>
    </x:row>
    <x:row r="9">
      <x:c r="A9" s="71" t="n">
        <x:v>3</x:v>
      </x:c>
      <x:c r="B9" s="71" t="str">
        <x:v>wave_01</x:v>
      </x:c>
      <x:c r="C9" s="71" t="n">
        <x:v>1</x:v>
      </x:c>
      <x:c r="D9" s="71" t="n">
        <x:v>1</x:v>
      </x:c>
      <x:c r="E9" s="71" t="n">
        <x:v>1</x:v>
      </x:c>
      <x:c r="F9" s="71" t="str">
        <x:v>白昼</x:v>
      </x:c>
      <x:c r="G9" s="71" t="str">
        <x:f>'第1日'!B3</x:f>
        <x:v>第1波 林地试探</x:v>
      </x:c>
      <x:c r="H9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9" s="71" t="n">
        <x:f>'第1日'!E3</x:f>
        <x:v>0.2</x:v>
      </x:c>
      <x:c r="J9" s="71" t="n">
        <x:f>'第1日'!G3</x:f>
        <x:v>1</x:v>
      </x:c>
      <x:c r="K9" s="71" t="n">
        <x:f>'第1日'!I3</x:f>
        <x:v>300</x:v>
      </x:c>
      <x:c r="L9" s="71" t="str">
        <x:v>res://resources/audio/shenmu_forest_combat.ogg</x:v>
      </x:c>
      <x:c r="M9" s="71" t="str">
        <x:v>res://resources/audio/shenmu_forest_intermission.ogg</x:v>
      </x:c>
      <x:c r="N9" s="71" t="b">
        <x:f>'第1日'!I4="待设计"</x:f>
        <x:v>0</x:v>
      </x:c>
      <x:c r="O9" s="71" t="n">
        <x:v>5</x:v>
      </x:c>
      <x:c r="P9" s="71" t="str">
        <x:f>IF('第1日'!B11="","",IFERROR(VLOOKUP('第1日'!B11,'敌人目录'!$A$6:$B$54,2,FALSE),""))</x:f>
      </x:c>
      <x:c r="Q9" s="71" t="str">
        <x:f>IF('第1日'!B11="","",'第1日'!C11)</x:f>
      </x:c>
      <x:c r="R9" s="71" t="n">
        <x:v>-1</x:v>
      </x:c>
      <x:c r="S9" s="71" t="str">
        <x:f>IF('第1日'!B11="","",'第1日'!I11)</x:f>
      </x:c>
    </x:row>
    <x:row r="10">
      <x:c r="A10" s="71" t="n">
        <x:v>3</x:v>
      </x:c>
      <x:c r="B10" s="71" t="str">
        <x:v>wave_01</x:v>
      </x:c>
      <x:c r="C10" s="71" t="n">
        <x:v>1</x:v>
      </x:c>
      <x:c r="D10" s="71" t="n">
        <x:v>1</x:v>
      </x:c>
      <x:c r="E10" s="71" t="n">
        <x:v>1</x:v>
      </x:c>
      <x:c r="F10" s="71" t="str">
        <x:v>白昼</x:v>
      </x:c>
      <x:c r="G10" s="71" t="str">
        <x:f>'第1日'!B3</x:f>
        <x:v>第1波 林地试探</x:v>
      </x:c>
      <x:c r="H10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0" s="71" t="n">
        <x:f>'第1日'!E3</x:f>
        <x:v>0.2</x:v>
      </x:c>
      <x:c r="J10" s="71" t="n">
        <x:f>'第1日'!G3</x:f>
        <x:v>1</x:v>
      </x:c>
      <x:c r="K10" s="71" t="n">
        <x:f>'第1日'!I3</x:f>
        <x:v>300</x:v>
      </x:c>
      <x:c r="L10" s="71" t="str">
        <x:v>res://resources/audio/shenmu_forest_combat.ogg</x:v>
      </x:c>
      <x:c r="M10" s="71" t="str">
        <x:v>res://resources/audio/shenmu_forest_intermission.ogg</x:v>
      </x:c>
      <x:c r="N10" s="71" t="b">
        <x:f>'第1日'!I4="待设计"</x:f>
        <x:v>0</x:v>
      </x:c>
      <x:c r="O10" s="71" t="n">
        <x:v>6</x:v>
      </x:c>
      <x:c r="P10" s="71" t="str">
        <x:f>IF('第1日'!B12="","",IFERROR(VLOOKUP('第1日'!B12,'敌人目录'!$A$6:$B$54,2,FALSE),""))</x:f>
      </x:c>
      <x:c r="Q10" s="71" t="str">
        <x:f>IF('第1日'!B12="","",'第1日'!C12)</x:f>
      </x:c>
      <x:c r="R10" s="71" t="n">
        <x:v>-1</x:v>
      </x:c>
      <x:c r="S10" s="71" t="str">
        <x:f>IF('第1日'!B12="","",'第1日'!I12)</x:f>
      </x:c>
    </x:row>
    <x:row r="11">
      <x:c r="A11" s="71" t="n">
        <x:v>3</x:v>
      </x:c>
      <x:c r="B11" s="71" t="str">
        <x:v>wave_01</x:v>
      </x:c>
      <x:c r="C11" s="71" t="n">
        <x:v>1</x:v>
      </x:c>
      <x:c r="D11" s="71" t="n">
        <x:v>1</x:v>
      </x:c>
      <x:c r="E11" s="71" t="n">
        <x:v>1</x:v>
      </x:c>
      <x:c r="F11" s="71" t="str">
        <x:v>白昼</x:v>
      </x:c>
      <x:c r="G11" s="71" t="str">
        <x:f>'第1日'!B3</x:f>
        <x:v>第1波 林地试探</x:v>
      </x:c>
      <x:c r="H11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1" s="71" t="n">
        <x:f>'第1日'!E3</x:f>
        <x:v>0.2</x:v>
      </x:c>
      <x:c r="J11" s="71" t="n">
        <x:f>'第1日'!G3</x:f>
        <x:v>1</x:v>
      </x:c>
      <x:c r="K11" s="71" t="n">
        <x:f>'第1日'!I3</x:f>
        <x:v>300</x:v>
      </x:c>
      <x:c r="L11" s="71" t="str">
        <x:v>res://resources/audio/shenmu_forest_combat.ogg</x:v>
      </x:c>
      <x:c r="M11" s="71" t="str">
        <x:v>res://resources/audio/shenmu_forest_intermission.ogg</x:v>
      </x:c>
      <x:c r="N11" s="71" t="b">
        <x:f>'第1日'!I4="待设计"</x:f>
        <x:v>0</x:v>
      </x:c>
      <x:c r="O11" s="71" t="n">
        <x:v>7</x:v>
      </x:c>
      <x:c r="P11" s="71" t="str">
        <x:f>IF('第1日'!B13="","",IFERROR(VLOOKUP('第1日'!B13,'敌人目录'!$A$6:$B$54,2,FALSE),""))</x:f>
      </x:c>
      <x:c r="Q11" s="71" t="str">
        <x:f>IF('第1日'!B13="","",'第1日'!C13)</x:f>
      </x:c>
      <x:c r="R11" s="71" t="n">
        <x:v>-1</x:v>
      </x:c>
      <x:c r="S11" s="71" t="str">
        <x:f>IF('第1日'!B13="","",'第1日'!I13)</x:f>
      </x:c>
    </x:row>
    <x:row r="12">
      <x:c r="A12" s="71" t="n">
        <x:v>3</x:v>
      </x:c>
      <x:c r="B12" s="71" t="str">
        <x:v>wave_01</x:v>
      </x:c>
      <x:c r="C12" s="71" t="n">
        <x:v>1</x:v>
      </x:c>
      <x:c r="D12" s="71" t="n">
        <x:v>1</x:v>
      </x:c>
      <x:c r="E12" s="71" t="n">
        <x:v>1</x:v>
      </x:c>
      <x:c r="F12" s="71" t="str">
        <x:v>白昼</x:v>
      </x:c>
      <x:c r="G12" s="71" t="str">
        <x:f>'第1日'!B3</x:f>
        <x:v>第1波 林地试探</x:v>
      </x:c>
      <x:c r="H12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2" s="71" t="n">
        <x:f>'第1日'!E3</x:f>
        <x:v>0.2</x:v>
      </x:c>
      <x:c r="J12" s="71" t="n">
        <x:f>'第1日'!G3</x:f>
        <x:v>1</x:v>
      </x:c>
      <x:c r="K12" s="71" t="n">
        <x:f>'第1日'!I3</x:f>
        <x:v>300</x:v>
      </x:c>
      <x:c r="L12" s="71" t="str">
        <x:v>res://resources/audio/shenmu_forest_combat.ogg</x:v>
      </x:c>
      <x:c r="M12" s="71" t="str">
        <x:v>res://resources/audio/shenmu_forest_intermission.ogg</x:v>
      </x:c>
      <x:c r="N12" s="71" t="b">
        <x:f>'第1日'!I4="待设计"</x:f>
        <x:v>0</x:v>
      </x:c>
      <x:c r="O12" s="71" t="n">
        <x:v>8</x:v>
      </x:c>
      <x:c r="P12" s="71" t="str">
        <x:f>IF('第1日'!B14="","",IFERROR(VLOOKUP('第1日'!B14,'敌人目录'!$A$6:$B$54,2,FALSE),""))</x:f>
      </x:c>
      <x:c r="Q12" s="71" t="str">
        <x:f>IF('第1日'!B14="","",'第1日'!C14)</x:f>
      </x:c>
      <x:c r="R12" s="71" t="n">
        <x:v>-1</x:v>
      </x:c>
      <x:c r="S12" s="71" t="str">
        <x:f>IF('第1日'!B14="","",'第1日'!I14)</x:f>
      </x:c>
    </x:row>
    <x:row r="13">
      <x:c r="A13" s="71" t="n">
        <x:v>3</x:v>
      </x:c>
      <x:c r="B13" s="71" t="str">
        <x:v>wave_01</x:v>
      </x:c>
      <x:c r="C13" s="71" t="n">
        <x:v>1</x:v>
      </x:c>
      <x:c r="D13" s="71" t="n">
        <x:v>1</x:v>
      </x:c>
      <x:c r="E13" s="71" t="n">
        <x:v>1</x:v>
      </x:c>
      <x:c r="F13" s="71" t="str">
        <x:v>白昼</x:v>
      </x:c>
      <x:c r="G13" s="71" t="str">
        <x:f>'第1日'!B3</x:f>
        <x:v>第1波 林地试探</x:v>
      </x:c>
      <x:c r="H13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3" s="71" t="n">
        <x:f>'第1日'!E3</x:f>
        <x:v>0.2</x:v>
      </x:c>
      <x:c r="J13" s="71" t="n">
        <x:f>'第1日'!G3</x:f>
        <x:v>1</x:v>
      </x:c>
      <x:c r="K13" s="71" t="n">
        <x:f>'第1日'!I3</x:f>
        <x:v>300</x:v>
      </x:c>
      <x:c r="L13" s="71" t="str">
        <x:v>res://resources/audio/shenmu_forest_combat.ogg</x:v>
      </x:c>
      <x:c r="M13" s="71" t="str">
        <x:v>res://resources/audio/shenmu_forest_intermission.ogg</x:v>
      </x:c>
      <x:c r="N13" s="71" t="b">
        <x:f>'第1日'!I4="待设计"</x:f>
        <x:v>0</x:v>
      </x:c>
      <x:c r="O13" s="71" t="n">
        <x:v>9</x:v>
      </x:c>
      <x:c r="P13" s="71" t="str">
        <x:f>IF('第1日'!B15="","",IFERROR(VLOOKUP('第1日'!B15,'敌人目录'!$A$6:$B$54,2,FALSE),""))</x:f>
      </x:c>
      <x:c r="Q13" s="71" t="str">
        <x:f>IF('第1日'!B15="","",'第1日'!C15)</x:f>
      </x:c>
      <x:c r="R13" s="71" t="n">
        <x:v>-1</x:v>
      </x:c>
      <x:c r="S13" s="71" t="str">
        <x:f>IF('第1日'!B15="","",'第1日'!I15)</x:f>
      </x:c>
    </x:row>
    <x:row r="14">
      <x:c r="A14" s="71" t="n">
        <x:v>3</x:v>
      </x:c>
      <x:c r="B14" s="71" t="str">
        <x:v>wave_01</x:v>
      </x:c>
      <x:c r="C14" s="71" t="n">
        <x:v>1</x:v>
      </x:c>
      <x:c r="D14" s="71" t="n">
        <x:v>1</x:v>
      </x:c>
      <x:c r="E14" s="71" t="n">
        <x:v>1</x:v>
      </x:c>
      <x:c r="F14" s="71" t="str">
        <x:v>白昼</x:v>
      </x:c>
      <x:c r="G14" s="71" t="str">
        <x:f>'第1日'!B3</x:f>
        <x:v>第1波 林地试探</x:v>
      </x:c>
      <x:c r="H14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4" s="71" t="n">
        <x:f>'第1日'!E3</x:f>
        <x:v>0.2</x:v>
      </x:c>
      <x:c r="J14" s="71" t="n">
        <x:f>'第1日'!G3</x:f>
        <x:v>1</x:v>
      </x:c>
      <x:c r="K14" s="71" t="n">
        <x:f>'第1日'!I3</x:f>
        <x:v>300</x:v>
      </x:c>
      <x:c r="L14" s="71" t="str">
        <x:v>res://resources/audio/shenmu_forest_combat.ogg</x:v>
      </x:c>
      <x:c r="M14" s="71" t="str">
        <x:v>res://resources/audio/shenmu_forest_intermission.ogg</x:v>
      </x:c>
      <x:c r="N14" s="71" t="b">
        <x:f>'第1日'!I4="待设计"</x:f>
        <x:v>0</x:v>
      </x:c>
      <x:c r="O14" s="71" t="n">
        <x:v>10</x:v>
      </x:c>
      <x:c r="P14" s="71" t="str">
        <x:f>IF('第1日'!B16="","",IFERROR(VLOOKUP('第1日'!B16,'敌人目录'!$A$6:$B$54,2,FALSE),""))</x:f>
      </x:c>
      <x:c r="Q14" s="71" t="str">
        <x:f>IF('第1日'!B16="","",'第1日'!C16)</x:f>
      </x:c>
      <x:c r="R14" s="71" t="n">
        <x:v>-1</x:v>
      </x:c>
      <x:c r="S14" s="71" t="str">
        <x:f>IF('第1日'!B16="","",'第1日'!I16)</x:f>
      </x:c>
    </x:row>
    <x:row r="15">
      <x:c r="A15" s="71" t="n">
        <x:v>3</x:v>
      </x:c>
      <x:c r="B15" s="71" t="str">
        <x:v>wave_01</x:v>
      </x:c>
      <x:c r="C15" s="71" t="n">
        <x:v>1</x:v>
      </x:c>
      <x:c r="D15" s="71" t="n">
        <x:v>1</x:v>
      </x:c>
      <x:c r="E15" s="71" t="n">
        <x:v>1</x:v>
      </x:c>
      <x:c r="F15" s="71" t="str">
        <x:v>白昼</x:v>
      </x:c>
      <x:c r="G15" s="71" t="str">
        <x:f>'第1日'!B3</x:f>
        <x:v>第1波 林地试探</x:v>
      </x:c>
      <x:c r="H15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5" s="71" t="n">
        <x:f>'第1日'!E3</x:f>
        <x:v>0.2</x:v>
      </x:c>
      <x:c r="J15" s="71" t="n">
        <x:f>'第1日'!G3</x:f>
        <x:v>1</x:v>
      </x:c>
      <x:c r="K15" s="71" t="n">
        <x:f>'第1日'!I3</x:f>
        <x:v>300</x:v>
      </x:c>
      <x:c r="L15" s="71" t="str">
        <x:v>res://resources/audio/shenmu_forest_combat.ogg</x:v>
      </x:c>
      <x:c r="M15" s="71" t="str">
        <x:v>res://resources/audio/shenmu_forest_intermission.ogg</x:v>
      </x:c>
      <x:c r="N15" s="71" t="b">
        <x:f>'第1日'!I4="待设计"</x:f>
        <x:v>0</x:v>
      </x:c>
      <x:c r="O15" s="71" t="n">
        <x:v>11</x:v>
      </x:c>
      <x:c r="P15" s="71" t="str">
        <x:f>IF('第1日'!B17="","",IFERROR(VLOOKUP('第1日'!B17,'敌人目录'!$A$6:$B$54,2,FALSE),""))</x:f>
      </x:c>
      <x:c r="Q15" s="71" t="str">
        <x:f>IF('第1日'!B17="","",'第1日'!C17)</x:f>
      </x:c>
      <x:c r="R15" s="71" t="n">
        <x:v>-1</x:v>
      </x:c>
      <x:c r="S15" s="71" t="str">
        <x:f>IF('第1日'!B17="","",'第1日'!I17)</x:f>
      </x:c>
    </x:row>
    <x:row r="16">
      <x:c r="A16" s="71" t="n">
        <x:v>3</x:v>
      </x:c>
      <x:c r="B16" s="71" t="str">
        <x:v>wave_01</x:v>
      </x:c>
      <x:c r="C16" s="71" t="n">
        <x:v>1</x:v>
      </x:c>
      <x:c r="D16" s="71" t="n">
        <x:v>1</x:v>
      </x:c>
      <x:c r="E16" s="71" t="n">
        <x:v>1</x:v>
      </x:c>
      <x:c r="F16" s="71" t="str">
        <x:v>白昼</x:v>
      </x:c>
      <x:c r="G16" s="71" t="str">
        <x:f>'第1日'!B3</x:f>
        <x:v>第1波 林地试探</x:v>
      </x:c>
      <x:c r="H16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6" s="71" t="n">
        <x:f>'第1日'!E3</x:f>
        <x:v>0.2</x:v>
      </x:c>
      <x:c r="J16" s="71" t="n">
        <x:f>'第1日'!G3</x:f>
        <x:v>1</x:v>
      </x:c>
      <x:c r="K16" s="71" t="n">
        <x:f>'第1日'!I3</x:f>
        <x:v>300</x:v>
      </x:c>
      <x:c r="L16" s="71" t="str">
        <x:v>res://resources/audio/shenmu_forest_combat.ogg</x:v>
      </x:c>
      <x:c r="M16" s="71" t="str">
        <x:v>res://resources/audio/shenmu_forest_intermission.ogg</x:v>
      </x:c>
      <x:c r="N16" s="71" t="b">
        <x:f>'第1日'!I4="待设计"</x:f>
        <x:v>0</x:v>
      </x:c>
      <x:c r="O16" s="71" t="n">
        <x:v>12</x:v>
      </x:c>
      <x:c r="P16" s="71" t="str">
        <x:f>IF('第1日'!B18="","",IFERROR(VLOOKUP('第1日'!B18,'敌人目录'!$A$6:$B$54,2,FALSE),""))</x:f>
      </x:c>
      <x:c r="Q16" s="71" t="str">
        <x:f>IF('第1日'!B18="","",'第1日'!C18)</x:f>
      </x:c>
      <x:c r="R16" s="71" t="n">
        <x:v>-1</x:v>
      </x:c>
      <x:c r="S16" s="71" t="str">
        <x:f>IF('第1日'!B18="","",'第1日'!I18)</x:f>
      </x:c>
    </x:row>
    <x:row r="17">
      <x:c r="A17" s="71" t="n">
        <x:v>3</x:v>
      </x:c>
      <x:c r="B17" s="71" t="str">
        <x:v>wave_01</x:v>
      </x:c>
      <x:c r="C17" s="71" t="n">
        <x:v>1</x:v>
      </x:c>
      <x:c r="D17" s="71" t="n">
        <x:v>1</x:v>
      </x:c>
      <x:c r="E17" s="71" t="n">
        <x:v>1</x:v>
      </x:c>
      <x:c r="F17" s="71" t="str">
        <x:v>白昼</x:v>
      </x:c>
      <x:c r="G17" s="71" t="str">
        <x:f>'第1日'!B3</x:f>
        <x:v>第1波 林地试探</x:v>
      </x:c>
      <x:c r="H17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7" s="71" t="n">
        <x:f>'第1日'!E3</x:f>
        <x:v>0.2</x:v>
      </x:c>
      <x:c r="J17" s="71" t="n">
        <x:f>'第1日'!G3</x:f>
        <x:v>1</x:v>
      </x:c>
      <x:c r="K17" s="71" t="n">
        <x:f>'第1日'!I3</x:f>
        <x:v>300</x:v>
      </x:c>
      <x:c r="L17" s="71" t="str">
        <x:v>res://resources/audio/shenmu_forest_combat.ogg</x:v>
      </x:c>
      <x:c r="M17" s="71" t="str">
        <x:v>res://resources/audio/shenmu_forest_intermission.ogg</x:v>
      </x:c>
      <x:c r="N17" s="71" t="b">
        <x:f>'第1日'!I4="待设计"</x:f>
        <x:v>0</x:v>
      </x:c>
      <x:c r="O17" s="71" t="n">
        <x:v>13</x:v>
      </x:c>
      <x:c r="P17" s="71" t="str">
        <x:f>IF('第1日'!B19="","",IFERROR(VLOOKUP('第1日'!B19,'敌人目录'!$A$6:$B$54,2,FALSE),""))</x:f>
      </x:c>
      <x:c r="Q17" s="71" t="str">
        <x:f>IF('第1日'!B19="","",'第1日'!C19)</x:f>
      </x:c>
      <x:c r="R17" s="71" t="n">
        <x:v>-1</x:v>
      </x:c>
      <x:c r="S17" s="71" t="str">
        <x:f>IF('第1日'!B19="","",'第1日'!I19)</x:f>
      </x:c>
    </x:row>
    <x:row r="18">
      <x:c r="A18" s="71" t="n">
        <x:v>3</x:v>
      </x:c>
      <x:c r="B18" s="71" t="str">
        <x:v>wave_01</x:v>
      </x:c>
      <x:c r="C18" s="71" t="n">
        <x:v>1</x:v>
      </x:c>
      <x:c r="D18" s="71" t="n">
        <x:v>1</x:v>
      </x:c>
      <x:c r="E18" s="71" t="n">
        <x:v>1</x:v>
      </x:c>
      <x:c r="F18" s="71" t="str">
        <x:v>白昼</x:v>
      </x:c>
      <x:c r="G18" s="71" t="str">
        <x:f>'第1日'!B3</x:f>
        <x:v>第1波 林地试探</x:v>
      </x:c>
      <x:c r="H18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8" s="71" t="n">
        <x:f>'第1日'!E3</x:f>
        <x:v>0.2</x:v>
      </x:c>
      <x:c r="J18" s="71" t="n">
        <x:f>'第1日'!G3</x:f>
        <x:v>1</x:v>
      </x:c>
      <x:c r="K18" s="71" t="n">
        <x:f>'第1日'!I3</x:f>
        <x:v>300</x:v>
      </x:c>
      <x:c r="L18" s="71" t="str">
        <x:v>res://resources/audio/shenmu_forest_combat.ogg</x:v>
      </x:c>
      <x:c r="M18" s="71" t="str">
        <x:v>res://resources/audio/shenmu_forest_intermission.ogg</x:v>
      </x:c>
      <x:c r="N18" s="71" t="b">
        <x:f>'第1日'!I4="待设计"</x:f>
        <x:v>0</x:v>
      </x:c>
      <x:c r="O18" s="71" t="n">
        <x:v>14</x:v>
      </x:c>
      <x:c r="P18" s="71" t="str">
        <x:f>IF('第1日'!B20="","",IFERROR(VLOOKUP('第1日'!B20,'敌人目录'!$A$6:$B$54,2,FALSE),""))</x:f>
      </x:c>
      <x:c r="Q18" s="71" t="str">
        <x:f>IF('第1日'!B20="","",'第1日'!C20)</x:f>
      </x:c>
      <x:c r="R18" s="71" t="n">
        <x:v>-1</x:v>
      </x:c>
      <x:c r="S18" s="71" t="str">
        <x:f>IF('第1日'!B20="","",'第1日'!I20)</x:f>
      </x:c>
    </x:row>
    <x:row r="19">
      <x:c r="A19" s="71" t="n">
        <x:v>3</x:v>
      </x:c>
      <x:c r="B19" s="71" t="str">
        <x:v>wave_01</x:v>
      </x:c>
      <x:c r="C19" s="71" t="n">
        <x:v>1</x:v>
      </x:c>
      <x:c r="D19" s="71" t="n">
        <x:v>1</x:v>
      </x:c>
      <x:c r="E19" s="71" t="n">
        <x:v>1</x:v>
      </x:c>
      <x:c r="F19" s="71" t="str">
        <x:v>白昼</x:v>
      </x:c>
      <x:c r="G19" s="71" t="str">
        <x:f>'第1日'!B3</x:f>
        <x:v>第1波 林地试探</x:v>
      </x:c>
      <x:c r="H19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9" s="71" t="n">
        <x:f>'第1日'!E3</x:f>
        <x:v>0.2</x:v>
      </x:c>
      <x:c r="J19" s="71" t="n">
        <x:f>'第1日'!G3</x:f>
        <x:v>1</x:v>
      </x:c>
      <x:c r="K19" s="71" t="n">
        <x:f>'第1日'!I3</x:f>
        <x:v>300</x:v>
      </x:c>
      <x:c r="L19" s="71" t="str">
        <x:v>res://resources/audio/shenmu_forest_combat.ogg</x:v>
      </x:c>
      <x:c r="M19" s="71" t="str">
        <x:v>res://resources/audio/shenmu_forest_intermission.ogg</x:v>
      </x:c>
      <x:c r="N19" s="71" t="b">
        <x:f>'第1日'!I4="待设计"</x:f>
        <x:v>0</x:v>
      </x:c>
      <x:c r="O19" s="71" t="n">
        <x:v>15</x:v>
      </x:c>
      <x:c r="P19" s="71" t="str">
        <x:f>IF('第1日'!B21="","",IFERROR(VLOOKUP('第1日'!B21,'敌人目录'!$A$6:$B$54,2,FALSE),""))</x:f>
      </x:c>
      <x:c r="Q19" s="71" t="str">
        <x:f>IF('第1日'!B21="","",'第1日'!C21)</x:f>
      </x:c>
      <x:c r="R19" s="71" t="n">
        <x:v>-1</x:v>
      </x:c>
      <x:c r="S19" s="71" t="str">
        <x:f>IF('第1日'!B21="","",'第1日'!I21)</x:f>
      </x:c>
    </x:row>
    <x:row r="20">
      <x:c r="A20" s="71" t="n">
        <x:v>3</x:v>
      </x:c>
      <x:c r="B20" s="71" t="str">
        <x:v>wave_01</x:v>
      </x:c>
      <x:c r="C20" s="71" t="n">
        <x:v>1</x:v>
      </x:c>
      <x:c r="D20" s="71" t="n">
        <x:v>1</x:v>
      </x:c>
      <x:c r="E20" s="71" t="n">
        <x:v>1</x:v>
      </x:c>
      <x:c r="F20" s="71" t="str">
        <x:v>白昼</x:v>
      </x:c>
      <x:c r="G20" s="71" t="str">
        <x:f>'第1日'!B3</x:f>
        <x:v>第1波 林地试探</x:v>
      </x:c>
      <x:c r="H20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20" s="71" t="n">
        <x:f>'第1日'!E3</x:f>
        <x:v>0.2</x:v>
      </x:c>
      <x:c r="J20" s="71" t="n">
        <x:f>'第1日'!G3</x:f>
        <x:v>1</x:v>
      </x:c>
      <x:c r="K20" s="71" t="n">
        <x:f>'第1日'!I3</x:f>
        <x:v>300</x:v>
      </x:c>
      <x:c r="L20" s="71" t="str">
        <x:v>res://resources/audio/shenmu_forest_combat.ogg</x:v>
      </x:c>
      <x:c r="M20" s="71" t="str">
        <x:v>res://resources/audio/shenmu_forest_intermission.ogg</x:v>
      </x:c>
      <x:c r="N20" s="71" t="b">
        <x:f>'第1日'!I4="待设计"</x:f>
        <x:v>0</x:v>
      </x:c>
      <x:c r="O20" s="71" t="n">
        <x:v>16</x:v>
      </x:c>
      <x:c r="P20" s="71" t="str">
        <x:f>IF('第1日'!B22="","",IFERROR(VLOOKUP('第1日'!B22,'敌人目录'!$A$6:$B$54,2,FALSE),""))</x:f>
      </x:c>
      <x:c r="Q20" s="71" t="str">
        <x:f>IF('第1日'!B22="","",'第1日'!C22)</x:f>
      </x:c>
      <x:c r="R20" s="71" t="n">
        <x:v>-1</x:v>
      </x:c>
      <x:c r="S20" s="71" t="str">
        <x:f>IF('第1日'!B22="","",'第1日'!I22)</x:f>
      </x:c>
    </x:row>
    <x:row r="21">
      <x:c r="A21" s="71" t="n">
        <x:v>3</x:v>
      </x:c>
      <x:c r="B21" s="71" t="str">
        <x:v>wave_01</x:v>
      </x:c>
      <x:c r="C21" s="71" t="n">
        <x:v>1</x:v>
      </x:c>
      <x:c r="D21" s="71" t="n">
        <x:v>1</x:v>
      </x:c>
      <x:c r="E21" s="71" t="n">
        <x:v>1</x:v>
      </x:c>
      <x:c r="F21" s="71" t="str">
        <x:v>白昼</x:v>
      </x:c>
      <x:c r="G21" s="71" t="str">
        <x:f>'第1日'!B3</x:f>
        <x:v>第1波 林地试探</x:v>
      </x:c>
      <x:c r="H21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21" s="71" t="n">
        <x:f>'第1日'!E3</x:f>
        <x:v>0.2</x:v>
      </x:c>
      <x:c r="J21" s="71" t="n">
        <x:f>'第1日'!G3</x:f>
        <x:v>1</x:v>
      </x:c>
      <x:c r="K21" s="71" t="n">
        <x:f>'第1日'!I3</x:f>
        <x:v>300</x:v>
      </x:c>
      <x:c r="L21" s="71" t="str">
        <x:v>res://resources/audio/shenmu_forest_combat.ogg</x:v>
      </x:c>
      <x:c r="M21" s="71" t="str">
        <x:v>res://resources/audio/shenmu_forest_intermission.ogg</x:v>
      </x:c>
      <x:c r="N21" s="71" t="b">
        <x:f>'第1日'!I4="待设计"</x:f>
        <x:v>0</x:v>
      </x:c>
      <x:c r="O21" s="71" t="n">
        <x:v>17</x:v>
      </x:c>
      <x:c r="P21" s="71" t="str">
        <x:f>IF('第1日'!B23="","",IFERROR(VLOOKUP('第1日'!B23,'敌人目录'!$A$6:$B$54,2,FALSE),""))</x:f>
      </x:c>
      <x:c r="Q21" s="71" t="str">
        <x:f>IF('第1日'!B23="","",'第1日'!C23)</x:f>
      </x:c>
      <x:c r="R21" s="71" t="n">
        <x:v>-1</x:v>
      </x:c>
      <x:c r="S21" s="71" t="str">
        <x:f>IF('第1日'!B23="","",'第1日'!I23)</x:f>
      </x:c>
    </x:row>
    <x:row r="22">
      <x:c r="A22" s="71" t="n">
        <x:v>3</x:v>
      </x:c>
      <x:c r="B22" s="71" t="str">
        <x:v>wave_01</x:v>
      </x:c>
      <x:c r="C22" s="71" t="n">
        <x:v>1</x:v>
      </x:c>
      <x:c r="D22" s="71" t="n">
        <x:v>1</x:v>
      </x:c>
      <x:c r="E22" s="71" t="n">
        <x:v>1</x:v>
      </x:c>
      <x:c r="F22" s="71" t="str">
        <x:v>白昼</x:v>
      </x:c>
      <x:c r="G22" s="71" t="str">
        <x:f>'第1日'!B3</x:f>
        <x:v>第1波 林地试探</x:v>
      </x:c>
      <x:c r="H22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22" s="71" t="n">
        <x:f>'第1日'!E3</x:f>
        <x:v>0.2</x:v>
      </x:c>
      <x:c r="J22" s="71" t="n">
        <x:f>'第1日'!G3</x:f>
        <x:v>1</x:v>
      </x:c>
      <x:c r="K22" s="71" t="n">
        <x:f>'第1日'!I3</x:f>
        <x:v>300</x:v>
      </x:c>
      <x:c r="L22" s="71" t="str">
        <x:v>res://resources/audio/shenmu_forest_combat.ogg</x:v>
      </x:c>
      <x:c r="M22" s="71" t="str">
        <x:v>res://resources/audio/shenmu_forest_intermission.ogg</x:v>
      </x:c>
      <x:c r="N22" s="71" t="b">
        <x:f>'第1日'!I4="待设计"</x:f>
        <x:v>0</x:v>
      </x:c>
      <x:c r="O22" s="71" t="n">
        <x:v>18</x:v>
      </x:c>
      <x:c r="P22" s="71" t="str">
        <x:f>IF('第1日'!B24="","",IFERROR(VLOOKUP('第1日'!B24,'敌人目录'!$A$6:$B$54,2,FALSE),""))</x:f>
      </x:c>
      <x:c r="Q22" s="71" t="str">
        <x:f>IF('第1日'!B24="","",'第1日'!C24)</x:f>
      </x:c>
      <x:c r="R22" s="71" t="n">
        <x:v>-1</x:v>
      </x:c>
      <x:c r="S22" s="71" t="str">
        <x:f>IF('第1日'!B24="","",'第1日'!I24)</x:f>
      </x:c>
    </x:row>
    <x:row r="23">
      <x:c r="A23" s="71" t="n">
        <x:v>3</x:v>
      </x:c>
      <x:c r="B23" s="71" t="str">
        <x:v>wave_02</x:v>
      </x:c>
      <x:c r="C23" s="71" t="n">
        <x:v>2</x:v>
      </x:c>
      <x:c r="D23" s="71" t="n">
        <x:v>1</x:v>
      </x:c>
      <x:c r="E23" s="71" t="n">
        <x:v>2</x:v>
      </x:c>
      <x:c r="F23" s="71" t="str">
        <x:v>白昼</x:v>
      </x:c>
      <x:c r="G23" s="71" t="str">
        <x:f>'第1日'!B32</x:f>
        <x:v>第2波 迅影与硬壳</x:v>
      </x:c>
      <x:c r="H23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3" s="71" t="n">
        <x:f>'第1日'!E32</x:f>
        <x:v>0.1</x:v>
      </x:c>
      <x:c r="J23" s="71" t="n">
        <x:f>'第1日'!G32</x:f>
        <x:v>1</x:v>
      </x:c>
      <x:c r="K23" s="71" t="n">
        <x:f>'第1日'!I32</x:f>
        <x:v>300</x:v>
      </x:c>
      <x:c r="L23" s="71" t="str">
        <x:v>res://resources/audio/shenmu_forest_combat.ogg</x:v>
      </x:c>
      <x:c r="M23" s="71" t="str">
        <x:v>res://resources/audio/shenmu_forest_intermission.ogg</x:v>
      </x:c>
      <x:c r="N23" s="71" t="b">
        <x:f>'第1日'!I33="待设计"</x:f>
        <x:v>0</x:v>
      </x:c>
      <x:c r="O23" s="71" t="n">
        <x:v>1</x:v>
      </x:c>
      <x:c r="P23" s="71" t="str">
        <x:f>IF('第1日'!B36="","",IFERROR(VLOOKUP('第1日'!B36,'敌人目录'!$A$6:$B$54,2,FALSE),""))</x:f>
        <x:v>slime_basic</x:v>
      </x:c>
      <x:c r="Q23" s="71" t="n">
        <x:f>IF('第1日'!B36="","",'第1日'!C36)</x:f>
        <x:v>2000</x:v>
      </x:c>
      <x:c r="R23" s="71" t="n">
        <x:v>-1</x:v>
      </x:c>
      <x:c r="S23" s="71" t="str">
        <x:f>IF('第1日'!B36="","",'第1日'!I36)</x:f>
        <x:v>可回读</x:v>
      </x:c>
    </x:row>
    <x:row r="24">
      <x:c r="A24" s="71" t="n">
        <x:v>3</x:v>
      </x:c>
      <x:c r="B24" s="71" t="str">
        <x:v>wave_02</x:v>
      </x:c>
      <x:c r="C24" s="71" t="n">
        <x:v>2</x:v>
      </x:c>
      <x:c r="D24" s="71" t="n">
        <x:v>1</x:v>
      </x:c>
      <x:c r="E24" s="71" t="n">
        <x:v>2</x:v>
      </x:c>
      <x:c r="F24" s="71" t="str">
        <x:v>白昼</x:v>
      </x:c>
      <x:c r="G24" s="71" t="str">
        <x:f>'第1日'!B32</x:f>
        <x:v>第2波 迅影与硬壳</x:v>
      </x:c>
      <x:c r="H24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4" s="71" t="n">
        <x:f>'第1日'!E32</x:f>
        <x:v>0.1</x:v>
      </x:c>
      <x:c r="J24" s="71" t="n">
        <x:f>'第1日'!G32</x:f>
        <x:v>1</x:v>
      </x:c>
      <x:c r="K24" s="71" t="n">
        <x:f>'第1日'!I32</x:f>
        <x:v>300</x:v>
      </x:c>
      <x:c r="L24" s="71" t="str">
        <x:v>res://resources/audio/shenmu_forest_combat.ogg</x:v>
      </x:c>
      <x:c r="M24" s="71" t="str">
        <x:v>res://resources/audio/shenmu_forest_intermission.ogg</x:v>
      </x:c>
      <x:c r="N24" s="71" t="b">
        <x:f>'第1日'!I33="待设计"</x:f>
        <x:v>0</x:v>
      </x:c>
      <x:c r="O24" s="71" t="n">
        <x:v>2</x:v>
      </x:c>
      <x:c r="P24" s="71" t="str">
        <x:f>IF('第1日'!B37="","",IFERROR(VLOOKUP('第1日'!B37,'敌人目录'!$A$6:$B$54,2,FALSE),""))</x:f>
        <x:v>slime_fire</x:v>
      </x:c>
      <x:c r="Q24" s="71" t="n">
        <x:f>IF('第1日'!B37="","",'第1日'!C37)</x:f>
        <x:v>400</x:v>
      </x:c>
      <x:c r="R24" s="71" t="n">
        <x:v>-1</x:v>
      </x:c>
      <x:c r="S24" s="71" t="str">
        <x:f>IF('第1日'!B37="","",'第1日'!I37)</x:f>
        <x:v>可回读</x:v>
      </x:c>
    </x:row>
    <x:row r="25">
      <x:c r="A25" s="71" t="n">
        <x:v>3</x:v>
      </x:c>
      <x:c r="B25" s="71" t="str">
        <x:v>wave_02</x:v>
      </x:c>
      <x:c r="C25" s="71" t="n">
        <x:v>2</x:v>
      </x:c>
      <x:c r="D25" s="71" t="n">
        <x:v>1</x:v>
      </x:c>
      <x:c r="E25" s="71" t="n">
        <x:v>2</x:v>
      </x:c>
      <x:c r="F25" s="71" t="str">
        <x:v>白昼</x:v>
      </x:c>
      <x:c r="G25" s="71" t="str">
        <x:f>'第1日'!B32</x:f>
        <x:v>第2波 迅影与硬壳</x:v>
      </x:c>
      <x:c r="H25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5" s="71" t="n">
        <x:f>'第1日'!E32</x:f>
        <x:v>0.1</x:v>
      </x:c>
      <x:c r="J25" s="71" t="n">
        <x:f>'第1日'!G32</x:f>
        <x:v>1</x:v>
      </x:c>
      <x:c r="K25" s="71" t="n">
        <x:f>'第1日'!I32</x:f>
        <x:v>300</x:v>
      </x:c>
      <x:c r="L25" s="71" t="str">
        <x:v>res://resources/audio/shenmu_forest_combat.ogg</x:v>
      </x:c>
      <x:c r="M25" s="71" t="str">
        <x:v>res://resources/audio/shenmu_forest_intermission.ogg</x:v>
      </x:c>
      <x:c r="N25" s="71" t="b">
        <x:f>'第1日'!I33="待设计"</x:f>
        <x:v>0</x:v>
      </x:c>
      <x:c r="O25" s="71" t="n">
        <x:v>3</x:v>
      </x:c>
      <x:c r="P25" s="71" t="str">
        <x:f>IF('第1日'!B38="","",IFERROR(VLOOKUP('第1日'!B38,'敌人目录'!$A$6:$B$54,2,FALSE),""))</x:f>
        <x:v>yuanshi_insect_basic</x:v>
      </x:c>
      <x:c r="Q25" s="71" t="n">
        <x:f>IF('第1日'!B38="","",'第1日'!C38)</x:f>
        <x:v>500</x:v>
      </x:c>
      <x:c r="R25" s="71" t="n">
        <x:v>-1</x:v>
      </x:c>
      <x:c r="S25" s="71" t="str">
        <x:f>IF('第1日'!B38="","",'第1日'!I38)</x:f>
        <x:v>可回读</x:v>
      </x:c>
    </x:row>
    <x:row r="26">
      <x:c r="A26" s="71" t="n">
        <x:v>3</x:v>
      </x:c>
      <x:c r="B26" s="71" t="str">
        <x:v>wave_02</x:v>
      </x:c>
      <x:c r="C26" s="71" t="n">
        <x:v>2</x:v>
      </x:c>
      <x:c r="D26" s="71" t="n">
        <x:v>1</x:v>
      </x:c>
      <x:c r="E26" s="71" t="n">
        <x:v>2</x:v>
      </x:c>
      <x:c r="F26" s="71" t="str">
        <x:v>白昼</x:v>
      </x:c>
      <x:c r="G26" s="71" t="str">
        <x:f>'第1日'!B32</x:f>
        <x:v>第2波 迅影与硬壳</x:v>
      </x:c>
      <x:c r="H26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6" s="71" t="n">
        <x:f>'第1日'!E32</x:f>
        <x:v>0.1</x:v>
      </x:c>
      <x:c r="J26" s="71" t="n">
        <x:f>'第1日'!G32</x:f>
        <x:v>1</x:v>
      </x:c>
      <x:c r="K26" s="71" t="n">
        <x:f>'第1日'!I32</x:f>
        <x:v>300</x:v>
      </x:c>
      <x:c r="L26" s="71" t="str">
        <x:v>res://resources/audio/shenmu_forest_combat.ogg</x:v>
      </x:c>
      <x:c r="M26" s="71" t="str">
        <x:v>res://resources/audio/shenmu_forest_intermission.ogg</x:v>
      </x:c>
      <x:c r="N26" s="71" t="b">
        <x:f>'第1日'!I33="待设计"</x:f>
        <x:v>0</x:v>
      </x:c>
      <x:c r="O26" s="71" t="n">
        <x:v>4</x:v>
      </x:c>
      <x:c r="P26" s="71" t="str">
        <x:f>IF('第1日'!B39="","",IFERROR(VLOOKUP('第1日'!B39,'敌人目录'!$A$6:$B$54,2,FALSE),""))</x:f>
        <x:v>yuanshi_insect_fast</x:v>
      </x:c>
      <x:c r="Q26" s="71" t="n">
        <x:f>IF('第1日'!B39="","",'第1日'!C39)</x:f>
        <x:v>300</x:v>
      </x:c>
      <x:c r="R26" s="71" t="n">
        <x:v>-1</x:v>
      </x:c>
      <x:c r="S26" s="71" t="str">
        <x:f>IF('第1日'!B39="","",'第1日'!I39)</x:f>
        <x:v>可回读</x:v>
      </x:c>
    </x:row>
    <x:row r="27">
      <x:c r="A27" s="71" t="n">
        <x:v>3</x:v>
      </x:c>
      <x:c r="B27" s="71" t="str">
        <x:v>wave_02</x:v>
      </x:c>
      <x:c r="C27" s="71" t="n">
        <x:v>2</x:v>
      </x:c>
      <x:c r="D27" s="71" t="n">
        <x:v>1</x:v>
      </x:c>
      <x:c r="E27" s="71" t="n">
        <x:v>2</x:v>
      </x:c>
      <x:c r="F27" s="71" t="str">
        <x:v>白昼</x:v>
      </x:c>
      <x:c r="G27" s="71" t="str">
        <x:f>'第1日'!B32</x:f>
        <x:v>第2波 迅影与硬壳</x:v>
      </x:c>
      <x:c r="H27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7" s="71" t="n">
        <x:f>'第1日'!E32</x:f>
        <x:v>0.1</x:v>
      </x:c>
      <x:c r="J27" s="71" t="n">
        <x:f>'第1日'!G32</x:f>
        <x:v>1</x:v>
      </x:c>
      <x:c r="K27" s="71" t="n">
        <x:f>'第1日'!I32</x:f>
        <x:v>300</x:v>
      </x:c>
      <x:c r="L27" s="71" t="str">
        <x:v>res://resources/audio/shenmu_forest_combat.ogg</x:v>
      </x:c>
      <x:c r="M27" s="71" t="str">
        <x:v>res://resources/audio/shenmu_forest_intermission.ogg</x:v>
      </x:c>
      <x:c r="N27" s="71" t="b">
        <x:f>'第1日'!I33="待设计"</x:f>
        <x:v>0</x:v>
      </x:c>
      <x:c r="O27" s="71" t="n">
        <x:v>5</x:v>
      </x:c>
      <x:c r="P27" s="71" t="str">
        <x:f>IF('第1日'!B40="","",IFERROR(VLOOKUP('第1日'!B40,'敌人目录'!$A$6:$B$54,2,FALSE),""))</x:f>
        <x:v>yuanshi_insect_shell</x:v>
      </x:c>
      <x:c r="Q27" s="71" t="n">
        <x:f>IF('第1日'!B40="","",'第1日'!C40)</x:f>
        <x:v>200</x:v>
      </x:c>
      <x:c r="R27" s="71" t="n">
        <x:v>-1</x:v>
      </x:c>
      <x:c r="S27" s="71" t="str">
        <x:f>IF('第1日'!B40="","",'第1日'!I40)</x:f>
        <x:v>可回读</x:v>
      </x:c>
    </x:row>
    <x:row r="28">
      <x:c r="A28" s="71" t="n">
        <x:v>3</x:v>
      </x:c>
      <x:c r="B28" s="71" t="str">
        <x:v>wave_02</x:v>
      </x:c>
      <x:c r="C28" s="71" t="n">
        <x:v>2</x:v>
      </x:c>
      <x:c r="D28" s="71" t="n">
        <x:v>1</x:v>
      </x:c>
      <x:c r="E28" s="71" t="n">
        <x:v>2</x:v>
      </x:c>
      <x:c r="F28" s="71" t="str">
        <x:v>白昼</x:v>
      </x:c>
      <x:c r="G28" s="71" t="str">
        <x:f>'第1日'!B32</x:f>
        <x:v>第2波 迅影与硬壳</x:v>
      </x:c>
      <x:c r="H28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8" s="71" t="n">
        <x:f>'第1日'!E32</x:f>
        <x:v>0.1</x:v>
      </x:c>
      <x:c r="J28" s="71" t="n">
        <x:f>'第1日'!G32</x:f>
        <x:v>1</x:v>
      </x:c>
      <x:c r="K28" s="71" t="n">
        <x:f>'第1日'!I32</x:f>
        <x:v>300</x:v>
      </x:c>
      <x:c r="L28" s="71" t="str">
        <x:v>res://resources/audio/shenmu_forest_combat.ogg</x:v>
      </x:c>
      <x:c r="M28" s="71" t="str">
        <x:v>res://resources/audio/shenmu_forest_intermission.ogg</x:v>
      </x:c>
      <x:c r="N28" s="71" t="b">
        <x:f>'第1日'!I33="待设计"</x:f>
        <x:v>0</x:v>
      </x:c>
      <x:c r="O28" s="71" t="n">
        <x:v>6</x:v>
      </x:c>
      <x:c r="P28" s="71" t="str">
        <x:f>IF('第1日'!B41="","",IFERROR(VLOOKUP('第1日'!B41,'敌人目录'!$A$6:$B$54,2,FALSE),""))</x:f>
        <x:v>yuanshi_insect_fire_ranged</x:v>
      </x:c>
      <x:c r="Q28" s="71" t="n">
        <x:f>IF('第1日'!B41="","",'第1日'!C41)</x:f>
        <x:v>50</x:v>
      </x:c>
      <x:c r="R28" s="71" t="n">
        <x:v>-1</x:v>
      </x:c>
      <x:c r="S28" s="71" t="str">
        <x:f>IF('第1日'!B41="","",'第1日'!I41)</x:f>
        <x:v>可回读</x:v>
      </x:c>
    </x:row>
    <x:row r="29">
      <x:c r="A29" s="71" t="n">
        <x:v>3</x:v>
      </x:c>
      <x:c r="B29" s="71" t="str">
        <x:v>wave_02</x:v>
      </x:c>
      <x:c r="C29" s="71" t="n">
        <x:v>2</x:v>
      </x:c>
      <x:c r="D29" s="71" t="n">
        <x:v>1</x:v>
      </x:c>
      <x:c r="E29" s="71" t="n">
        <x:v>2</x:v>
      </x:c>
      <x:c r="F29" s="71" t="str">
        <x:v>白昼</x:v>
      </x:c>
      <x:c r="G29" s="71" t="str">
        <x:f>'第1日'!B32</x:f>
        <x:v>第2波 迅影与硬壳</x:v>
      </x:c>
      <x:c r="H29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9" s="71" t="n">
        <x:f>'第1日'!E32</x:f>
        <x:v>0.1</x:v>
      </x:c>
      <x:c r="J29" s="71" t="n">
        <x:f>'第1日'!G32</x:f>
        <x:v>1</x:v>
      </x:c>
      <x:c r="K29" s="71" t="n">
        <x:f>'第1日'!I32</x:f>
        <x:v>300</x:v>
      </x:c>
      <x:c r="L29" s="71" t="str">
        <x:v>res://resources/audio/shenmu_forest_combat.ogg</x:v>
      </x:c>
      <x:c r="M29" s="71" t="str">
        <x:v>res://resources/audio/shenmu_forest_intermission.ogg</x:v>
      </x:c>
      <x:c r="N29" s="71" t="b">
        <x:f>'第1日'!I33="待设计"</x:f>
        <x:v>0</x:v>
      </x:c>
      <x:c r="O29" s="71" t="n">
        <x:v>7</x:v>
      </x:c>
      <x:c r="P29" s="71" t="str">
        <x:f>IF('第1日'!B42="","",IFERROR(VLOOKUP('第1日'!B42,'敌人目录'!$A$6:$B$54,2,FALSE),""))</x:f>
        <x:v>slime_frost</x:v>
      </x:c>
      <x:c r="Q29" s="71" t="n">
        <x:f>IF('第1日'!B42="","",'第1日'!C42)</x:f>
        <x:v>400</x:v>
      </x:c>
      <x:c r="R29" s="71" t="n">
        <x:v>-1</x:v>
      </x:c>
      <x:c r="S29" s="71" t="str">
        <x:f>IF('第1日'!B42="","",'第1日'!I42)</x:f>
        <x:v>可回读</x:v>
      </x:c>
    </x:row>
    <x:row r="30">
      <x:c r="A30" s="71" t="n">
        <x:v>3</x:v>
      </x:c>
      <x:c r="B30" s="71" t="str">
        <x:v>wave_02</x:v>
      </x:c>
      <x:c r="C30" s="71" t="n">
        <x:v>2</x:v>
      </x:c>
      <x:c r="D30" s="71" t="n">
        <x:v>1</x:v>
      </x:c>
      <x:c r="E30" s="71" t="n">
        <x:v>2</x:v>
      </x:c>
      <x:c r="F30" s="71" t="str">
        <x:v>白昼</x:v>
      </x:c>
      <x:c r="G30" s="71" t="str">
        <x:f>'第1日'!B32</x:f>
        <x:v>第2波 迅影与硬壳</x:v>
      </x:c>
      <x:c r="H30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0" s="71" t="n">
        <x:f>'第1日'!E32</x:f>
        <x:v>0.1</x:v>
      </x:c>
      <x:c r="J30" s="71" t="n">
        <x:f>'第1日'!G32</x:f>
        <x:v>1</x:v>
      </x:c>
      <x:c r="K30" s="71" t="n">
        <x:f>'第1日'!I32</x:f>
        <x:v>300</x:v>
      </x:c>
      <x:c r="L30" s="71" t="str">
        <x:v>res://resources/audio/shenmu_forest_combat.ogg</x:v>
      </x:c>
      <x:c r="M30" s="71" t="str">
        <x:v>res://resources/audio/shenmu_forest_intermission.ogg</x:v>
      </x:c>
      <x:c r="N30" s="71" t="b">
        <x:f>'第1日'!I33="待设计"</x:f>
        <x:v>0</x:v>
      </x:c>
      <x:c r="O30" s="71" t="n">
        <x:v>8</x:v>
      </x:c>
      <x:c r="P30" s="71" t="str">
        <x:f>IF('第1日'!B43="","",IFERROR(VLOOKUP('第1日'!B43,'敌人目录'!$A$6:$B$54,2,FALSE),""))</x:f>
      </x:c>
      <x:c r="Q30" s="71" t="str">
        <x:f>IF('第1日'!B43="","",'第1日'!C43)</x:f>
      </x:c>
      <x:c r="R30" s="71" t="n">
        <x:v>-1</x:v>
      </x:c>
      <x:c r="S30" s="71" t="str">
        <x:f>IF('第1日'!B43="","",'第1日'!I43)</x:f>
      </x:c>
    </x:row>
    <x:row r="31">
      <x:c r="A31" s="71" t="n">
        <x:v>3</x:v>
      </x:c>
      <x:c r="B31" s="71" t="str">
        <x:v>wave_02</x:v>
      </x:c>
      <x:c r="C31" s="71" t="n">
        <x:v>2</x:v>
      </x:c>
      <x:c r="D31" s="71" t="n">
        <x:v>1</x:v>
      </x:c>
      <x:c r="E31" s="71" t="n">
        <x:v>2</x:v>
      </x:c>
      <x:c r="F31" s="71" t="str">
        <x:v>白昼</x:v>
      </x:c>
      <x:c r="G31" s="71" t="str">
        <x:f>'第1日'!B32</x:f>
        <x:v>第2波 迅影与硬壳</x:v>
      </x:c>
      <x:c r="H31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1" s="71" t="n">
        <x:f>'第1日'!E32</x:f>
        <x:v>0.1</x:v>
      </x:c>
      <x:c r="J31" s="71" t="n">
        <x:f>'第1日'!G32</x:f>
        <x:v>1</x:v>
      </x:c>
      <x:c r="K31" s="71" t="n">
        <x:f>'第1日'!I32</x:f>
        <x:v>300</x:v>
      </x:c>
      <x:c r="L31" s="71" t="str">
        <x:v>res://resources/audio/shenmu_forest_combat.ogg</x:v>
      </x:c>
      <x:c r="M31" s="71" t="str">
        <x:v>res://resources/audio/shenmu_forest_intermission.ogg</x:v>
      </x:c>
      <x:c r="N31" s="71" t="b">
        <x:f>'第1日'!I33="待设计"</x:f>
        <x:v>0</x:v>
      </x:c>
      <x:c r="O31" s="71" t="n">
        <x:v>9</x:v>
      </x:c>
      <x:c r="P31" s="71" t="str">
        <x:f>IF('第1日'!B44="","",IFERROR(VLOOKUP('第1日'!B44,'敌人目录'!$A$6:$B$54,2,FALSE),""))</x:f>
      </x:c>
      <x:c r="Q31" s="71" t="str">
        <x:f>IF('第1日'!B44="","",'第1日'!C44)</x:f>
      </x:c>
      <x:c r="R31" s="71" t="n">
        <x:v>-1</x:v>
      </x:c>
      <x:c r="S31" s="71" t="str">
        <x:f>IF('第1日'!B44="","",'第1日'!I44)</x:f>
      </x:c>
    </x:row>
    <x:row r="32">
      <x:c r="A32" s="71" t="n">
        <x:v>3</x:v>
      </x:c>
      <x:c r="B32" s="71" t="str">
        <x:v>wave_02</x:v>
      </x:c>
      <x:c r="C32" s="71" t="n">
        <x:v>2</x:v>
      </x:c>
      <x:c r="D32" s="71" t="n">
        <x:v>1</x:v>
      </x:c>
      <x:c r="E32" s="71" t="n">
        <x:v>2</x:v>
      </x:c>
      <x:c r="F32" s="71" t="str">
        <x:v>白昼</x:v>
      </x:c>
      <x:c r="G32" s="71" t="str">
        <x:f>'第1日'!B32</x:f>
        <x:v>第2波 迅影与硬壳</x:v>
      </x:c>
      <x:c r="H32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2" s="71" t="n">
        <x:f>'第1日'!E32</x:f>
        <x:v>0.1</x:v>
      </x:c>
      <x:c r="J32" s="71" t="n">
        <x:f>'第1日'!G32</x:f>
        <x:v>1</x:v>
      </x:c>
      <x:c r="K32" s="71" t="n">
        <x:f>'第1日'!I32</x:f>
        <x:v>300</x:v>
      </x:c>
      <x:c r="L32" s="71" t="str">
        <x:v>res://resources/audio/shenmu_forest_combat.ogg</x:v>
      </x:c>
      <x:c r="M32" s="71" t="str">
        <x:v>res://resources/audio/shenmu_forest_intermission.ogg</x:v>
      </x:c>
      <x:c r="N32" s="71" t="b">
        <x:f>'第1日'!I33="待设计"</x:f>
        <x:v>0</x:v>
      </x:c>
      <x:c r="O32" s="71" t="n">
        <x:v>10</x:v>
      </x:c>
      <x:c r="P32" s="71" t="str">
        <x:f>IF('第1日'!B45="","",IFERROR(VLOOKUP('第1日'!B45,'敌人目录'!$A$6:$B$54,2,FALSE),""))</x:f>
      </x:c>
      <x:c r="Q32" s="71" t="str">
        <x:f>IF('第1日'!B45="","",'第1日'!C45)</x:f>
      </x:c>
      <x:c r="R32" s="71" t="n">
        <x:v>-1</x:v>
      </x:c>
      <x:c r="S32" s="71" t="str">
        <x:f>IF('第1日'!B45="","",'第1日'!I45)</x:f>
      </x:c>
    </x:row>
    <x:row r="33">
      <x:c r="A33" s="71" t="n">
        <x:v>3</x:v>
      </x:c>
      <x:c r="B33" s="71" t="str">
        <x:v>wave_02</x:v>
      </x:c>
      <x:c r="C33" s="71" t="n">
        <x:v>2</x:v>
      </x:c>
      <x:c r="D33" s="71" t="n">
        <x:v>1</x:v>
      </x:c>
      <x:c r="E33" s="71" t="n">
        <x:v>2</x:v>
      </x:c>
      <x:c r="F33" s="71" t="str">
        <x:v>白昼</x:v>
      </x:c>
      <x:c r="G33" s="71" t="str">
        <x:f>'第1日'!B32</x:f>
        <x:v>第2波 迅影与硬壳</x:v>
      </x:c>
      <x:c r="H33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3" s="71" t="n">
        <x:f>'第1日'!E32</x:f>
        <x:v>0.1</x:v>
      </x:c>
      <x:c r="J33" s="71" t="n">
        <x:f>'第1日'!G32</x:f>
        <x:v>1</x:v>
      </x:c>
      <x:c r="K33" s="71" t="n">
        <x:f>'第1日'!I32</x:f>
        <x:v>300</x:v>
      </x:c>
      <x:c r="L33" s="71" t="str">
        <x:v>res://resources/audio/shenmu_forest_combat.ogg</x:v>
      </x:c>
      <x:c r="M33" s="71" t="str">
        <x:v>res://resources/audio/shenmu_forest_intermission.ogg</x:v>
      </x:c>
      <x:c r="N33" s="71" t="b">
        <x:f>'第1日'!I33="待设计"</x:f>
        <x:v>0</x:v>
      </x:c>
      <x:c r="O33" s="71" t="n">
        <x:v>11</x:v>
      </x:c>
      <x:c r="P33" s="71" t="str">
        <x:f>IF('第1日'!B46="","",IFERROR(VLOOKUP('第1日'!B46,'敌人目录'!$A$6:$B$54,2,FALSE),""))</x:f>
      </x:c>
      <x:c r="Q33" s="71" t="str">
        <x:f>IF('第1日'!B46="","",'第1日'!C46)</x:f>
      </x:c>
      <x:c r="R33" s="71" t="n">
        <x:v>-1</x:v>
      </x:c>
      <x:c r="S33" s="71" t="str">
        <x:f>IF('第1日'!B46="","",'第1日'!I46)</x:f>
      </x:c>
    </x:row>
    <x:row r="34">
      <x:c r="A34" s="71" t="n">
        <x:v>3</x:v>
      </x:c>
      <x:c r="B34" s="71" t="str">
        <x:v>wave_02</x:v>
      </x:c>
      <x:c r="C34" s="71" t="n">
        <x:v>2</x:v>
      </x:c>
      <x:c r="D34" s="71" t="n">
        <x:v>1</x:v>
      </x:c>
      <x:c r="E34" s="71" t="n">
        <x:v>2</x:v>
      </x:c>
      <x:c r="F34" s="71" t="str">
        <x:v>白昼</x:v>
      </x:c>
      <x:c r="G34" s="71" t="str">
        <x:f>'第1日'!B32</x:f>
        <x:v>第2波 迅影与硬壳</x:v>
      </x:c>
      <x:c r="H34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4" s="71" t="n">
        <x:f>'第1日'!E32</x:f>
        <x:v>0.1</x:v>
      </x:c>
      <x:c r="J34" s="71" t="n">
        <x:f>'第1日'!G32</x:f>
        <x:v>1</x:v>
      </x:c>
      <x:c r="K34" s="71" t="n">
        <x:f>'第1日'!I32</x:f>
        <x:v>300</x:v>
      </x:c>
      <x:c r="L34" s="71" t="str">
        <x:v>res://resources/audio/shenmu_forest_combat.ogg</x:v>
      </x:c>
      <x:c r="M34" s="71" t="str">
        <x:v>res://resources/audio/shenmu_forest_intermission.ogg</x:v>
      </x:c>
      <x:c r="N34" s="71" t="b">
        <x:f>'第1日'!I33="待设计"</x:f>
        <x:v>0</x:v>
      </x:c>
      <x:c r="O34" s="71" t="n">
        <x:v>12</x:v>
      </x:c>
      <x:c r="P34" s="71" t="str">
        <x:f>IF('第1日'!B47="","",IFERROR(VLOOKUP('第1日'!B47,'敌人目录'!$A$6:$B$54,2,FALSE),""))</x:f>
      </x:c>
      <x:c r="Q34" s="71" t="str">
        <x:f>IF('第1日'!B47="","",'第1日'!C47)</x:f>
      </x:c>
      <x:c r="R34" s="71" t="n">
        <x:v>-1</x:v>
      </x:c>
      <x:c r="S34" s="71" t="str">
        <x:f>IF('第1日'!B47="","",'第1日'!I47)</x:f>
      </x:c>
    </x:row>
    <x:row r="35">
      <x:c r="A35" s="71" t="n">
        <x:v>3</x:v>
      </x:c>
      <x:c r="B35" s="71" t="str">
        <x:v>wave_02</x:v>
      </x:c>
      <x:c r="C35" s="71" t="n">
        <x:v>2</x:v>
      </x:c>
      <x:c r="D35" s="71" t="n">
        <x:v>1</x:v>
      </x:c>
      <x:c r="E35" s="71" t="n">
        <x:v>2</x:v>
      </x:c>
      <x:c r="F35" s="71" t="str">
        <x:v>白昼</x:v>
      </x:c>
      <x:c r="G35" s="71" t="str">
        <x:f>'第1日'!B32</x:f>
        <x:v>第2波 迅影与硬壳</x:v>
      </x:c>
      <x:c r="H35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5" s="71" t="n">
        <x:f>'第1日'!E32</x:f>
        <x:v>0.1</x:v>
      </x:c>
      <x:c r="J35" s="71" t="n">
        <x:f>'第1日'!G32</x:f>
        <x:v>1</x:v>
      </x:c>
      <x:c r="K35" s="71" t="n">
        <x:f>'第1日'!I32</x:f>
        <x:v>300</x:v>
      </x:c>
      <x:c r="L35" s="71" t="str">
        <x:v>res://resources/audio/shenmu_forest_combat.ogg</x:v>
      </x:c>
      <x:c r="M35" s="71" t="str">
        <x:v>res://resources/audio/shenmu_forest_intermission.ogg</x:v>
      </x:c>
      <x:c r="N35" s="71" t="b">
        <x:f>'第1日'!I33="待设计"</x:f>
        <x:v>0</x:v>
      </x:c>
      <x:c r="O35" s="71" t="n">
        <x:v>13</x:v>
      </x:c>
      <x:c r="P35" s="71" t="str">
        <x:f>IF('第1日'!B48="","",IFERROR(VLOOKUP('第1日'!B48,'敌人目录'!$A$6:$B$54,2,FALSE),""))</x:f>
      </x:c>
      <x:c r="Q35" s="71" t="str">
        <x:f>IF('第1日'!B48="","",'第1日'!C48)</x:f>
      </x:c>
      <x:c r="R35" s="71" t="n">
        <x:v>-1</x:v>
      </x:c>
      <x:c r="S35" s="71" t="str">
        <x:f>IF('第1日'!B48="","",'第1日'!I48)</x:f>
      </x:c>
    </x:row>
    <x:row r="36">
      <x:c r="A36" s="71" t="n">
        <x:v>3</x:v>
      </x:c>
      <x:c r="B36" s="71" t="str">
        <x:v>wave_02</x:v>
      </x:c>
      <x:c r="C36" s="71" t="n">
        <x:v>2</x:v>
      </x:c>
      <x:c r="D36" s="71" t="n">
        <x:v>1</x:v>
      </x:c>
      <x:c r="E36" s="71" t="n">
        <x:v>2</x:v>
      </x:c>
      <x:c r="F36" s="71" t="str">
        <x:v>白昼</x:v>
      </x:c>
      <x:c r="G36" s="71" t="str">
        <x:f>'第1日'!B32</x:f>
        <x:v>第2波 迅影与硬壳</x:v>
      </x:c>
      <x:c r="H36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6" s="71" t="n">
        <x:f>'第1日'!E32</x:f>
        <x:v>0.1</x:v>
      </x:c>
      <x:c r="J36" s="71" t="n">
        <x:f>'第1日'!G32</x:f>
        <x:v>1</x:v>
      </x:c>
      <x:c r="K36" s="71" t="n">
        <x:f>'第1日'!I32</x:f>
        <x:v>300</x:v>
      </x:c>
      <x:c r="L36" s="71" t="str">
        <x:v>res://resources/audio/shenmu_forest_combat.ogg</x:v>
      </x:c>
      <x:c r="M36" s="71" t="str">
        <x:v>res://resources/audio/shenmu_forest_intermission.ogg</x:v>
      </x:c>
      <x:c r="N36" s="71" t="b">
        <x:f>'第1日'!I33="待设计"</x:f>
        <x:v>0</x:v>
      </x:c>
      <x:c r="O36" s="71" t="n">
        <x:v>14</x:v>
      </x:c>
      <x:c r="P36" s="71" t="str">
        <x:f>IF('第1日'!B49="","",IFERROR(VLOOKUP('第1日'!B49,'敌人目录'!$A$6:$B$54,2,FALSE),""))</x:f>
      </x:c>
      <x:c r="Q36" s="71" t="str">
        <x:f>IF('第1日'!B49="","",'第1日'!C49)</x:f>
      </x:c>
      <x:c r="R36" s="71" t="n">
        <x:v>-1</x:v>
      </x:c>
      <x:c r="S36" s="71" t="str">
        <x:f>IF('第1日'!B49="","",'第1日'!I49)</x:f>
      </x:c>
    </x:row>
    <x:row r="37">
      <x:c r="A37" s="71" t="n">
        <x:v>3</x:v>
      </x:c>
      <x:c r="B37" s="71" t="str">
        <x:v>wave_02</x:v>
      </x:c>
      <x:c r="C37" s="71" t="n">
        <x:v>2</x:v>
      </x:c>
      <x:c r="D37" s="71" t="n">
        <x:v>1</x:v>
      </x:c>
      <x:c r="E37" s="71" t="n">
        <x:v>2</x:v>
      </x:c>
      <x:c r="F37" s="71" t="str">
        <x:v>白昼</x:v>
      </x:c>
      <x:c r="G37" s="71" t="str">
        <x:f>'第1日'!B32</x:f>
        <x:v>第2波 迅影与硬壳</x:v>
      </x:c>
      <x:c r="H37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7" s="71" t="n">
        <x:f>'第1日'!E32</x:f>
        <x:v>0.1</x:v>
      </x:c>
      <x:c r="J37" s="71" t="n">
        <x:f>'第1日'!G32</x:f>
        <x:v>1</x:v>
      </x:c>
      <x:c r="K37" s="71" t="n">
        <x:f>'第1日'!I32</x:f>
        <x:v>300</x:v>
      </x:c>
      <x:c r="L37" s="71" t="str">
        <x:v>res://resources/audio/shenmu_forest_combat.ogg</x:v>
      </x:c>
      <x:c r="M37" s="71" t="str">
        <x:v>res://resources/audio/shenmu_forest_intermission.ogg</x:v>
      </x:c>
      <x:c r="N37" s="71" t="b">
        <x:f>'第1日'!I33="待设计"</x:f>
        <x:v>0</x:v>
      </x:c>
      <x:c r="O37" s="71" t="n">
        <x:v>15</x:v>
      </x:c>
      <x:c r="P37" s="71" t="str">
        <x:f>IF('第1日'!B50="","",IFERROR(VLOOKUP('第1日'!B50,'敌人目录'!$A$6:$B$54,2,FALSE),""))</x:f>
      </x:c>
      <x:c r="Q37" s="71" t="str">
        <x:f>IF('第1日'!B50="","",'第1日'!C50)</x:f>
      </x:c>
      <x:c r="R37" s="71" t="n">
        <x:v>-1</x:v>
      </x:c>
      <x:c r="S37" s="71" t="str">
        <x:f>IF('第1日'!B50="","",'第1日'!I50)</x:f>
      </x:c>
    </x:row>
    <x:row r="38">
      <x:c r="A38" s="71" t="n">
        <x:v>3</x:v>
      </x:c>
      <x:c r="B38" s="71" t="str">
        <x:v>wave_02</x:v>
      </x:c>
      <x:c r="C38" s="71" t="n">
        <x:v>2</x:v>
      </x:c>
      <x:c r="D38" s="71" t="n">
        <x:v>1</x:v>
      </x:c>
      <x:c r="E38" s="71" t="n">
        <x:v>2</x:v>
      </x:c>
      <x:c r="F38" s="71" t="str">
        <x:v>白昼</x:v>
      </x:c>
      <x:c r="G38" s="71" t="str">
        <x:f>'第1日'!B32</x:f>
        <x:v>第2波 迅影与硬壳</x:v>
      </x:c>
      <x:c r="H38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8" s="71" t="n">
        <x:f>'第1日'!E32</x:f>
        <x:v>0.1</x:v>
      </x:c>
      <x:c r="J38" s="71" t="n">
        <x:f>'第1日'!G32</x:f>
        <x:v>1</x:v>
      </x:c>
      <x:c r="K38" s="71" t="n">
        <x:f>'第1日'!I32</x:f>
        <x:v>300</x:v>
      </x:c>
      <x:c r="L38" s="71" t="str">
        <x:v>res://resources/audio/shenmu_forest_combat.ogg</x:v>
      </x:c>
      <x:c r="M38" s="71" t="str">
        <x:v>res://resources/audio/shenmu_forest_intermission.ogg</x:v>
      </x:c>
      <x:c r="N38" s="71" t="b">
        <x:f>'第1日'!I33="待设计"</x:f>
        <x:v>0</x:v>
      </x:c>
      <x:c r="O38" s="71" t="n">
        <x:v>16</x:v>
      </x:c>
      <x:c r="P38" s="71" t="str">
        <x:f>IF('第1日'!B51="","",IFERROR(VLOOKUP('第1日'!B51,'敌人目录'!$A$6:$B$54,2,FALSE),""))</x:f>
      </x:c>
      <x:c r="Q38" s="71" t="str">
        <x:f>IF('第1日'!B51="","",'第1日'!C51)</x:f>
      </x:c>
      <x:c r="R38" s="71" t="n">
        <x:v>-1</x:v>
      </x:c>
      <x:c r="S38" s="71" t="str">
        <x:f>IF('第1日'!B51="","",'第1日'!I51)</x:f>
      </x:c>
    </x:row>
    <x:row r="39">
      <x:c r="A39" s="71" t="n">
        <x:v>3</x:v>
      </x:c>
      <x:c r="B39" s="71" t="str">
        <x:v>wave_02</x:v>
      </x:c>
      <x:c r="C39" s="71" t="n">
        <x:v>2</x:v>
      </x:c>
      <x:c r="D39" s="71" t="n">
        <x:v>1</x:v>
      </x:c>
      <x:c r="E39" s="71" t="n">
        <x:v>2</x:v>
      </x:c>
      <x:c r="F39" s="71" t="str">
        <x:v>白昼</x:v>
      </x:c>
      <x:c r="G39" s="71" t="str">
        <x:f>'第1日'!B32</x:f>
        <x:v>第2波 迅影与硬壳</x:v>
      </x:c>
      <x:c r="H39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9" s="71" t="n">
        <x:f>'第1日'!E32</x:f>
        <x:v>0.1</x:v>
      </x:c>
      <x:c r="J39" s="71" t="n">
        <x:f>'第1日'!G32</x:f>
        <x:v>1</x:v>
      </x:c>
      <x:c r="K39" s="71" t="n">
        <x:f>'第1日'!I32</x:f>
        <x:v>300</x:v>
      </x:c>
      <x:c r="L39" s="71" t="str">
        <x:v>res://resources/audio/shenmu_forest_combat.ogg</x:v>
      </x:c>
      <x:c r="M39" s="71" t="str">
        <x:v>res://resources/audio/shenmu_forest_intermission.ogg</x:v>
      </x:c>
      <x:c r="N39" s="71" t="b">
        <x:f>'第1日'!I33="待设计"</x:f>
        <x:v>0</x:v>
      </x:c>
      <x:c r="O39" s="71" t="n">
        <x:v>17</x:v>
      </x:c>
      <x:c r="P39" s="71" t="str">
        <x:f>IF('第1日'!B52="","",IFERROR(VLOOKUP('第1日'!B52,'敌人目录'!$A$6:$B$54,2,FALSE),""))</x:f>
      </x:c>
      <x:c r="Q39" s="71" t="str">
        <x:f>IF('第1日'!B52="","",'第1日'!C52)</x:f>
      </x:c>
      <x:c r="R39" s="71" t="n">
        <x:v>-1</x:v>
      </x:c>
      <x:c r="S39" s="71" t="str">
        <x:f>IF('第1日'!B52="","",'第1日'!I52)</x:f>
      </x:c>
    </x:row>
    <x:row r="40">
      <x:c r="A40" s="71" t="n">
        <x:v>3</x:v>
      </x:c>
      <x:c r="B40" s="71" t="str">
        <x:v>wave_02</x:v>
      </x:c>
      <x:c r="C40" s="71" t="n">
        <x:v>2</x:v>
      </x:c>
      <x:c r="D40" s="71" t="n">
        <x:v>1</x:v>
      </x:c>
      <x:c r="E40" s="71" t="n">
        <x:v>2</x:v>
      </x:c>
      <x:c r="F40" s="71" t="str">
        <x:v>白昼</x:v>
      </x:c>
      <x:c r="G40" s="71" t="str">
        <x:f>'第1日'!B32</x:f>
        <x:v>第2波 迅影与硬壳</x:v>
      </x:c>
      <x:c r="H40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40" s="71" t="n">
        <x:f>'第1日'!E32</x:f>
        <x:v>0.1</x:v>
      </x:c>
      <x:c r="J40" s="71" t="n">
        <x:f>'第1日'!G32</x:f>
        <x:v>1</x:v>
      </x:c>
      <x:c r="K40" s="71" t="n">
        <x:f>'第1日'!I32</x:f>
        <x:v>300</x:v>
      </x:c>
      <x:c r="L40" s="71" t="str">
        <x:v>res://resources/audio/shenmu_forest_combat.ogg</x:v>
      </x:c>
      <x:c r="M40" s="71" t="str">
        <x:v>res://resources/audio/shenmu_forest_intermission.ogg</x:v>
      </x:c>
      <x:c r="N40" s="71" t="b">
        <x:f>'第1日'!I33="待设计"</x:f>
        <x:v>0</x:v>
      </x:c>
      <x:c r="O40" s="71" t="n">
        <x:v>18</x:v>
      </x:c>
      <x:c r="P40" s="71" t="str">
        <x:f>IF('第1日'!B53="","",IFERROR(VLOOKUP('第1日'!B53,'敌人目录'!$A$6:$B$54,2,FALSE),""))</x:f>
      </x:c>
      <x:c r="Q40" s="71" t="str">
        <x:f>IF('第1日'!B53="","",'第1日'!C53)</x:f>
      </x:c>
      <x:c r="R40" s="71" t="n">
        <x:v>-1</x:v>
      </x:c>
      <x:c r="S40" s="71" t="str">
        <x:f>IF('第1日'!B53="","",'第1日'!I53)</x:f>
      </x:c>
    </x:row>
    <x:row r="41">
      <x:c r="A41" s="71" t="n">
        <x:v>3</x:v>
      </x:c>
      <x:c r="B41" s="71" t="str">
        <x:v>wave_03</x:v>
      </x:c>
      <x:c r="C41" s="71" t="n">
        <x:v>3</x:v>
      </x:c>
      <x:c r="D41" s="71" t="n">
        <x:v>1</x:v>
      </x:c>
      <x:c r="E41" s="71" t="n">
        <x:v>3</x:v>
      </x:c>
      <x:c r="F41" s="71" t="str">
        <x:v>夜晚</x:v>
      </x:c>
      <x:c r="G41" s="71" t="str">
        <x:f>'第1日'!B61</x:f>
        <x:v>第3波 火线初现</x:v>
      </x:c>
      <x:c r="H41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1" s="71" t="n">
        <x:f>'第1日'!E61</x:f>
        <x:v>0.1</x:v>
      </x:c>
      <x:c r="J41" s="71" t="n">
        <x:f>'第1日'!G61</x:f>
        <x:v>1</x:v>
      </x:c>
      <x:c r="K41" s="71" t="n">
        <x:f>'第1日'!I61</x:f>
        <x:v>300</x:v>
      </x:c>
      <x:c r="L41" s="71" t="str">
        <x:v>res://resources/audio/shenmu_forest_combat.ogg</x:v>
      </x:c>
      <x:c r="M41" s="71" t="str">
        <x:v>res://resources/audio/shenmu_forest_intermission.ogg</x:v>
      </x:c>
      <x:c r="N41" s="71" t="b">
        <x:f>'第1日'!I62="待设计"</x:f>
        <x:v>0</x:v>
      </x:c>
      <x:c r="O41" s="71" t="n">
        <x:v>1</x:v>
      </x:c>
      <x:c r="P41" s="71" t="str">
        <x:f>IF('第1日'!B65="","",IFERROR(VLOOKUP('第1日'!B65,'敌人目录'!$A$6:$B$54,2,FALSE),""))</x:f>
        <x:v>yuanshi_insect_guardian</x:v>
      </x:c>
      <x:c r="Q41" s="71" t="n">
        <x:f>IF('第1日'!B65="","",'第1日'!C65)</x:f>
        <x:v>50</x:v>
      </x:c>
      <x:c r="R41" s="71" t="n">
        <x:v>-1</x:v>
      </x:c>
      <x:c r="S41" s="71" t="str">
        <x:f>IF('第1日'!B65="","",'第1日'!I65)</x:f>
        <x:v>可回读</x:v>
      </x:c>
    </x:row>
    <x:row r="42">
      <x:c r="A42" s="71" t="n">
        <x:v>3</x:v>
      </x:c>
      <x:c r="B42" s="71" t="str">
        <x:v>wave_03</x:v>
      </x:c>
      <x:c r="C42" s="71" t="n">
        <x:v>3</x:v>
      </x:c>
      <x:c r="D42" s="71" t="n">
        <x:v>1</x:v>
      </x:c>
      <x:c r="E42" s="71" t="n">
        <x:v>3</x:v>
      </x:c>
      <x:c r="F42" s="71" t="str">
        <x:v>夜晚</x:v>
      </x:c>
      <x:c r="G42" s="71" t="str">
        <x:f>'第1日'!B61</x:f>
        <x:v>第3波 火线初现</x:v>
      </x:c>
      <x:c r="H42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2" s="71" t="n">
        <x:f>'第1日'!E61</x:f>
        <x:v>0.1</x:v>
      </x:c>
      <x:c r="J42" s="71" t="n">
        <x:f>'第1日'!G61</x:f>
        <x:v>1</x:v>
      </x:c>
      <x:c r="K42" s="71" t="n">
        <x:f>'第1日'!I61</x:f>
        <x:v>300</x:v>
      </x:c>
      <x:c r="L42" s="71" t="str">
        <x:v>res://resources/audio/shenmu_forest_combat.ogg</x:v>
      </x:c>
      <x:c r="M42" s="71" t="str">
        <x:v>res://resources/audio/shenmu_forest_intermission.ogg</x:v>
      </x:c>
      <x:c r="N42" s="71" t="b">
        <x:f>'第1日'!I62="待设计"</x:f>
        <x:v>0</x:v>
      </x:c>
      <x:c r="O42" s="71" t="n">
        <x:v>2</x:v>
      </x:c>
      <x:c r="P42" s="71" t="str">
        <x:f>IF('第1日'!B66="","",IFERROR(VLOOKUP('第1日'!B66,'敌人目录'!$A$6:$B$54,2,FALSE),""))</x:f>
        <x:v>yuanshi_insect_basic</x:v>
      </x:c>
      <x:c r="Q42" s="71" t="n">
        <x:f>IF('第1日'!B66="","",'第1日'!C66)</x:f>
        <x:v>500</x:v>
      </x:c>
      <x:c r="R42" s="71" t="n">
        <x:v>-1</x:v>
      </x:c>
      <x:c r="S42" s="71" t="str">
        <x:f>IF('第1日'!B66="","",'第1日'!I66)</x:f>
        <x:v>可回读</x:v>
      </x:c>
    </x:row>
    <x:row r="43">
      <x:c r="A43" s="71" t="n">
        <x:v>3</x:v>
      </x:c>
      <x:c r="B43" s="71" t="str">
        <x:v>wave_03</x:v>
      </x:c>
      <x:c r="C43" s="71" t="n">
        <x:v>3</x:v>
      </x:c>
      <x:c r="D43" s="71" t="n">
        <x:v>1</x:v>
      </x:c>
      <x:c r="E43" s="71" t="n">
        <x:v>3</x:v>
      </x:c>
      <x:c r="F43" s="71" t="str">
        <x:v>夜晚</x:v>
      </x:c>
      <x:c r="G43" s="71" t="str">
        <x:f>'第1日'!B61</x:f>
        <x:v>第3波 火线初现</x:v>
      </x:c>
      <x:c r="H43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3" s="71" t="n">
        <x:f>'第1日'!E61</x:f>
        <x:v>0.1</x:v>
      </x:c>
      <x:c r="J43" s="71" t="n">
        <x:f>'第1日'!G61</x:f>
        <x:v>1</x:v>
      </x:c>
      <x:c r="K43" s="71" t="n">
        <x:f>'第1日'!I61</x:f>
        <x:v>300</x:v>
      </x:c>
      <x:c r="L43" s="71" t="str">
        <x:v>res://resources/audio/shenmu_forest_combat.ogg</x:v>
      </x:c>
      <x:c r="M43" s="71" t="str">
        <x:v>res://resources/audio/shenmu_forest_intermission.ogg</x:v>
      </x:c>
      <x:c r="N43" s="71" t="b">
        <x:f>'第1日'!I62="待设计"</x:f>
        <x:v>0</x:v>
      </x:c>
      <x:c r="O43" s="71" t="n">
        <x:v>3</x:v>
      </x:c>
      <x:c r="P43" s="71" t="str">
        <x:f>IF('第1日'!B67="","",IFERROR(VLOOKUP('第1日'!B67,'敌人目录'!$A$6:$B$54,2,FALSE),""))</x:f>
        <x:v>yuanshi_insect_shell</x:v>
      </x:c>
      <x:c r="Q43" s="71" t="n">
        <x:f>IF('第1日'!B67="","",'第1日'!C67)</x:f>
        <x:v>1000</x:v>
      </x:c>
      <x:c r="R43" s="71" t="n">
        <x:v>-1</x:v>
      </x:c>
      <x:c r="S43" s="71" t="str">
        <x:f>IF('第1日'!B67="","",'第1日'!I67)</x:f>
        <x:v>可回读</x:v>
      </x:c>
    </x:row>
    <x:row r="44">
      <x:c r="A44" s="71" t="n">
        <x:v>3</x:v>
      </x:c>
      <x:c r="B44" s="71" t="str">
        <x:v>wave_03</x:v>
      </x:c>
      <x:c r="C44" s="71" t="n">
        <x:v>3</x:v>
      </x:c>
      <x:c r="D44" s="71" t="n">
        <x:v>1</x:v>
      </x:c>
      <x:c r="E44" s="71" t="n">
        <x:v>3</x:v>
      </x:c>
      <x:c r="F44" s="71" t="str">
        <x:v>夜晚</x:v>
      </x:c>
      <x:c r="G44" s="71" t="str">
        <x:f>'第1日'!B61</x:f>
        <x:v>第3波 火线初现</x:v>
      </x:c>
      <x:c r="H44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4" s="71" t="n">
        <x:f>'第1日'!E61</x:f>
        <x:v>0.1</x:v>
      </x:c>
      <x:c r="J44" s="71" t="n">
        <x:f>'第1日'!G61</x:f>
        <x:v>1</x:v>
      </x:c>
      <x:c r="K44" s="71" t="n">
        <x:f>'第1日'!I61</x:f>
        <x:v>300</x:v>
      </x:c>
      <x:c r="L44" s="71" t="str">
        <x:v>res://resources/audio/shenmu_forest_combat.ogg</x:v>
      </x:c>
      <x:c r="M44" s="71" t="str">
        <x:v>res://resources/audio/shenmu_forest_intermission.ogg</x:v>
      </x:c>
      <x:c r="N44" s="71" t="b">
        <x:f>'第1日'!I62="待设计"</x:f>
        <x:v>0</x:v>
      </x:c>
      <x:c r="O44" s="71" t="n">
        <x:v>4</x:v>
      </x:c>
      <x:c r="P44" s="71" t="str">
        <x:f>IF('第1日'!B68="","",IFERROR(VLOOKUP('第1日'!B68,'敌人目录'!$A$6:$B$54,2,FALSE),""))</x:f>
        <x:v>yuanshi_insect_bomber</x:v>
      </x:c>
      <x:c r="Q44" s="71" t="n">
        <x:f>IF('第1日'!B68="","",'第1日'!C68)</x:f>
        <x:v>400</x:v>
      </x:c>
      <x:c r="R44" s="71" t="n">
        <x:v>-1</x:v>
      </x:c>
      <x:c r="S44" s="71" t="str">
        <x:f>IF('第1日'!B68="","",'第1日'!I68)</x:f>
        <x:v>可回读</x:v>
      </x:c>
    </x:row>
    <x:row r="45">
      <x:c r="A45" s="71" t="n">
        <x:v>3</x:v>
      </x:c>
      <x:c r="B45" s="71" t="str">
        <x:v>wave_03</x:v>
      </x:c>
      <x:c r="C45" s="71" t="n">
        <x:v>3</x:v>
      </x:c>
      <x:c r="D45" s="71" t="n">
        <x:v>1</x:v>
      </x:c>
      <x:c r="E45" s="71" t="n">
        <x:v>3</x:v>
      </x:c>
      <x:c r="F45" s="71" t="str">
        <x:v>夜晚</x:v>
      </x:c>
      <x:c r="G45" s="71" t="str">
        <x:f>'第1日'!B61</x:f>
        <x:v>第3波 火线初现</x:v>
      </x:c>
      <x:c r="H45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5" s="71" t="n">
        <x:f>'第1日'!E61</x:f>
        <x:v>0.1</x:v>
      </x:c>
      <x:c r="J45" s="71" t="n">
        <x:f>'第1日'!G61</x:f>
        <x:v>1</x:v>
      </x:c>
      <x:c r="K45" s="71" t="n">
        <x:f>'第1日'!I61</x:f>
        <x:v>300</x:v>
      </x:c>
      <x:c r="L45" s="71" t="str">
        <x:v>res://resources/audio/shenmu_forest_combat.ogg</x:v>
      </x:c>
      <x:c r="M45" s="71" t="str">
        <x:v>res://resources/audio/shenmu_forest_intermission.ogg</x:v>
      </x:c>
      <x:c r="N45" s="71" t="b">
        <x:f>'第1日'!I62="待设计"</x:f>
        <x:v>0</x:v>
      </x:c>
      <x:c r="O45" s="71" t="n">
        <x:v>5</x:v>
      </x:c>
      <x:c r="P45" s="71" t="str">
        <x:f>IF('第1日'!B69="","",IFERROR(VLOOKUP('第1日'!B69,'敌人目录'!$A$6:$B$54,2,FALSE),""))</x:f>
        <x:v>slime_green</x:v>
      </x:c>
      <x:c r="Q45" s="71" t="n">
        <x:f>IF('第1日'!B69="","",'第1日'!C69)</x:f>
        <x:v>100</x:v>
      </x:c>
      <x:c r="R45" s="71" t="n">
        <x:v>-1</x:v>
      </x:c>
      <x:c r="S45" s="71" t="str">
        <x:f>IF('第1日'!B69="","",'第1日'!I69)</x:f>
        <x:v>可回读</x:v>
      </x:c>
    </x:row>
    <x:row r="46">
      <x:c r="A46" s="71" t="n">
        <x:v>3</x:v>
      </x:c>
      <x:c r="B46" s="71" t="str">
        <x:v>wave_03</x:v>
      </x:c>
      <x:c r="C46" s="71" t="n">
        <x:v>3</x:v>
      </x:c>
      <x:c r="D46" s="71" t="n">
        <x:v>1</x:v>
      </x:c>
      <x:c r="E46" s="71" t="n">
        <x:v>3</x:v>
      </x:c>
      <x:c r="F46" s="71" t="str">
        <x:v>夜晚</x:v>
      </x:c>
      <x:c r="G46" s="71" t="str">
        <x:f>'第1日'!B61</x:f>
        <x:v>第3波 火线初现</x:v>
      </x:c>
      <x:c r="H46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6" s="71" t="n">
        <x:f>'第1日'!E61</x:f>
        <x:v>0.1</x:v>
      </x:c>
      <x:c r="J46" s="71" t="n">
        <x:f>'第1日'!G61</x:f>
        <x:v>1</x:v>
      </x:c>
      <x:c r="K46" s="71" t="n">
        <x:f>'第1日'!I61</x:f>
        <x:v>300</x:v>
      </x:c>
      <x:c r="L46" s="71" t="str">
        <x:v>res://resources/audio/shenmu_forest_combat.ogg</x:v>
      </x:c>
      <x:c r="M46" s="71" t="str">
        <x:v>res://resources/audio/shenmu_forest_intermission.ogg</x:v>
      </x:c>
      <x:c r="N46" s="71" t="b">
        <x:f>'第1日'!I62="待设计"</x:f>
        <x:v>0</x:v>
      </x:c>
      <x:c r="O46" s="71" t="n">
        <x:v>6</x:v>
      </x:c>
      <x:c r="P46" s="71" t="str">
        <x:f>IF('第1日'!B70="","",IFERROR(VLOOKUP('第1日'!B70,'敌人目录'!$A$6:$B$54,2,FALSE),""))</x:f>
        <x:v>slime_frost</x:v>
      </x:c>
      <x:c r="Q46" s="71" t="n">
        <x:f>IF('第1日'!B70="","",'第1日'!C70)</x:f>
        <x:v>400</x:v>
      </x:c>
      <x:c r="R46" s="71" t="n">
        <x:v>-1</x:v>
      </x:c>
      <x:c r="S46" s="71" t="str">
        <x:f>IF('第1日'!B70="","",'第1日'!I70)</x:f>
        <x:v>可回读</x:v>
      </x:c>
    </x:row>
    <x:row r="47">
      <x:c r="A47" s="71" t="n">
        <x:v>3</x:v>
      </x:c>
      <x:c r="B47" s="71" t="str">
        <x:v>wave_03</x:v>
      </x:c>
      <x:c r="C47" s="71" t="n">
        <x:v>3</x:v>
      </x:c>
      <x:c r="D47" s="71" t="n">
        <x:v>1</x:v>
      </x:c>
      <x:c r="E47" s="71" t="n">
        <x:v>3</x:v>
      </x:c>
      <x:c r="F47" s="71" t="str">
        <x:v>夜晚</x:v>
      </x:c>
      <x:c r="G47" s="71" t="str">
        <x:f>'第1日'!B61</x:f>
        <x:v>第3波 火线初现</x:v>
      </x:c>
      <x:c r="H47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7" s="71" t="n">
        <x:f>'第1日'!E61</x:f>
        <x:v>0.1</x:v>
      </x:c>
      <x:c r="J47" s="71" t="n">
        <x:f>'第1日'!G61</x:f>
        <x:v>1</x:v>
      </x:c>
      <x:c r="K47" s="71" t="n">
        <x:f>'第1日'!I61</x:f>
        <x:v>300</x:v>
      </x:c>
      <x:c r="L47" s="71" t="str">
        <x:v>res://resources/audio/shenmu_forest_combat.ogg</x:v>
      </x:c>
      <x:c r="M47" s="71" t="str">
        <x:v>res://resources/audio/shenmu_forest_intermission.ogg</x:v>
      </x:c>
      <x:c r="N47" s="71" t="b">
        <x:f>'第1日'!I62="待设计"</x:f>
        <x:v>0</x:v>
      </x:c>
      <x:c r="O47" s="71" t="n">
        <x:v>7</x:v>
      </x:c>
      <x:c r="P47" s="71" t="str">
        <x:f>IF('第1日'!B71="","",IFERROR(VLOOKUP('第1日'!B71,'敌人目录'!$A$6:$B$54,2,FALSE),""))</x:f>
        <x:v>yuanshi_insect_fire_ranged</x:v>
      </x:c>
      <x:c r="Q47" s="71" t="n">
        <x:f>IF('第1日'!B71="","",'第1日'!C71)</x:f>
        <x:v>500</x:v>
      </x:c>
      <x:c r="R47" s="71" t="n">
        <x:v>-1</x:v>
      </x:c>
      <x:c r="S47" s="71" t="str">
        <x:f>IF('第1日'!B71="","",'第1日'!I71)</x:f>
        <x:v>可回读</x:v>
      </x:c>
    </x:row>
    <x:row r="48">
      <x:c r="A48" s="71" t="n">
        <x:v>3</x:v>
      </x:c>
      <x:c r="B48" s="71" t="str">
        <x:v>wave_03</x:v>
      </x:c>
      <x:c r="C48" s="71" t="n">
        <x:v>3</x:v>
      </x:c>
      <x:c r="D48" s="71" t="n">
        <x:v>1</x:v>
      </x:c>
      <x:c r="E48" s="71" t="n">
        <x:v>3</x:v>
      </x:c>
      <x:c r="F48" s="71" t="str">
        <x:v>夜晚</x:v>
      </x:c>
      <x:c r="G48" s="71" t="str">
        <x:f>'第1日'!B61</x:f>
        <x:v>第3波 火线初现</x:v>
      </x:c>
      <x:c r="H48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8" s="71" t="n">
        <x:f>'第1日'!E61</x:f>
        <x:v>0.1</x:v>
      </x:c>
      <x:c r="J48" s="71" t="n">
        <x:f>'第1日'!G61</x:f>
        <x:v>1</x:v>
      </x:c>
      <x:c r="K48" s="71" t="n">
        <x:f>'第1日'!I61</x:f>
        <x:v>300</x:v>
      </x:c>
      <x:c r="L48" s="71" t="str">
        <x:v>res://resources/audio/shenmu_forest_combat.ogg</x:v>
      </x:c>
      <x:c r="M48" s="71" t="str">
        <x:v>res://resources/audio/shenmu_forest_intermission.ogg</x:v>
      </x:c>
      <x:c r="N48" s="71" t="b">
        <x:f>'第1日'!I62="待设计"</x:f>
        <x:v>0</x:v>
      </x:c>
      <x:c r="O48" s="71" t="n">
        <x:v>8</x:v>
      </x:c>
      <x:c r="P48" s="71" t="str">
        <x:f>IF('第1日'!B72="","",IFERROR(VLOOKUP('第1日'!B72,'敌人目录'!$A$6:$B$54,2,FALSE),""))</x:f>
        <x:v>slime_basic</x:v>
      </x:c>
      <x:c r="Q48" s="71" t="n">
        <x:f>IF('第1日'!B72="","",'第1日'!C72)</x:f>
        <x:v>1000</x:v>
      </x:c>
      <x:c r="R48" s="71" t="n">
        <x:v>-1</x:v>
      </x:c>
      <x:c r="S48" s="71" t="str">
        <x:f>IF('第1日'!B72="","",'第1日'!I72)</x:f>
        <x:v>可回读</x:v>
      </x:c>
    </x:row>
    <x:row r="49">
      <x:c r="A49" s="71" t="n">
        <x:v>3</x:v>
      </x:c>
      <x:c r="B49" s="71" t="str">
        <x:v>wave_03</x:v>
      </x:c>
      <x:c r="C49" s="71" t="n">
        <x:v>3</x:v>
      </x:c>
      <x:c r="D49" s="71" t="n">
        <x:v>1</x:v>
      </x:c>
      <x:c r="E49" s="71" t="n">
        <x:v>3</x:v>
      </x:c>
      <x:c r="F49" s="71" t="str">
        <x:v>夜晚</x:v>
      </x:c>
      <x:c r="G49" s="71" t="str">
        <x:f>'第1日'!B61</x:f>
        <x:v>第3波 火线初现</x:v>
      </x:c>
      <x:c r="H49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9" s="71" t="n">
        <x:f>'第1日'!E61</x:f>
        <x:v>0.1</x:v>
      </x:c>
      <x:c r="J49" s="71" t="n">
        <x:f>'第1日'!G61</x:f>
        <x:v>1</x:v>
      </x:c>
      <x:c r="K49" s="71" t="n">
        <x:f>'第1日'!I61</x:f>
        <x:v>300</x:v>
      </x:c>
      <x:c r="L49" s="71" t="str">
        <x:v>res://resources/audio/shenmu_forest_combat.ogg</x:v>
      </x:c>
      <x:c r="M49" s="71" t="str">
        <x:v>res://resources/audio/shenmu_forest_intermission.ogg</x:v>
      </x:c>
      <x:c r="N49" s="71" t="b">
        <x:f>'第1日'!I62="待设计"</x:f>
        <x:v>0</x:v>
      </x:c>
      <x:c r="O49" s="71" t="n">
        <x:v>9</x:v>
      </x:c>
      <x:c r="P49" s="71" t="str">
        <x:f>IF('第1日'!B73="","",IFERROR(VLOOKUP('第1日'!B73,'敌人目录'!$A$6:$B$54,2,FALSE),""))</x:f>
      </x:c>
      <x:c r="Q49" s="71" t="str">
        <x:f>IF('第1日'!B73="","",'第1日'!C73)</x:f>
      </x:c>
      <x:c r="R49" s="71" t="n">
        <x:v>-1</x:v>
      </x:c>
      <x:c r="S49" s="71" t="str">
        <x:f>IF('第1日'!B73="","",'第1日'!I73)</x:f>
      </x:c>
    </x:row>
    <x:row r="50">
      <x:c r="A50" s="71" t="n">
        <x:v>3</x:v>
      </x:c>
      <x:c r="B50" s="71" t="str">
        <x:v>wave_03</x:v>
      </x:c>
      <x:c r="C50" s="71" t="n">
        <x:v>3</x:v>
      </x:c>
      <x:c r="D50" s="71" t="n">
        <x:v>1</x:v>
      </x:c>
      <x:c r="E50" s="71" t="n">
        <x:v>3</x:v>
      </x:c>
      <x:c r="F50" s="71" t="str">
        <x:v>夜晚</x:v>
      </x:c>
      <x:c r="G50" s="71" t="str">
        <x:f>'第1日'!B61</x:f>
        <x:v>第3波 火线初现</x:v>
      </x:c>
      <x:c r="H50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0" s="71" t="n">
        <x:f>'第1日'!E61</x:f>
        <x:v>0.1</x:v>
      </x:c>
      <x:c r="J50" s="71" t="n">
        <x:f>'第1日'!G61</x:f>
        <x:v>1</x:v>
      </x:c>
      <x:c r="K50" s="71" t="n">
        <x:f>'第1日'!I61</x:f>
        <x:v>300</x:v>
      </x:c>
      <x:c r="L50" s="71" t="str">
        <x:v>res://resources/audio/shenmu_forest_combat.ogg</x:v>
      </x:c>
      <x:c r="M50" s="71" t="str">
        <x:v>res://resources/audio/shenmu_forest_intermission.ogg</x:v>
      </x:c>
      <x:c r="N50" s="71" t="b">
        <x:f>'第1日'!I62="待设计"</x:f>
        <x:v>0</x:v>
      </x:c>
      <x:c r="O50" s="71" t="n">
        <x:v>10</x:v>
      </x:c>
      <x:c r="P50" s="71" t="str">
        <x:f>IF('第1日'!B74="","",IFERROR(VLOOKUP('第1日'!B74,'敌人目录'!$A$6:$B$54,2,FALSE),""))</x:f>
      </x:c>
      <x:c r="Q50" s="71" t="str">
        <x:f>IF('第1日'!B74="","",'第1日'!C74)</x:f>
      </x:c>
      <x:c r="R50" s="71" t="n">
        <x:v>-1</x:v>
      </x:c>
      <x:c r="S50" s="71" t="str">
        <x:f>IF('第1日'!B74="","",'第1日'!I74)</x:f>
      </x:c>
    </x:row>
    <x:row r="51">
      <x:c r="A51" s="71" t="n">
        <x:v>3</x:v>
      </x:c>
      <x:c r="B51" s="71" t="str">
        <x:v>wave_03</x:v>
      </x:c>
      <x:c r="C51" s="71" t="n">
        <x:v>3</x:v>
      </x:c>
      <x:c r="D51" s="71" t="n">
        <x:v>1</x:v>
      </x:c>
      <x:c r="E51" s="71" t="n">
        <x:v>3</x:v>
      </x:c>
      <x:c r="F51" s="71" t="str">
        <x:v>夜晚</x:v>
      </x:c>
      <x:c r="G51" s="71" t="str">
        <x:f>'第1日'!B61</x:f>
        <x:v>第3波 火线初现</x:v>
      </x:c>
      <x:c r="H51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1" s="71" t="n">
        <x:f>'第1日'!E61</x:f>
        <x:v>0.1</x:v>
      </x:c>
      <x:c r="J51" s="71" t="n">
        <x:f>'第1日'!G61</x:f>
        <x:v>1</x:v>
      </x:c>
      <x:c r="K51" s="71" t="n">
        <x:f>'第1日'!I61</x:f>
        <x:v>300</x:v>
      </x:c>
      <x:c r="L51" s="71" t="str">
        <x:v>res://resources/audio/shenmu_forest_combat.ogg</x:v>
      </x:c>
      <x:c r="M51" s="71" t="str">
        <x:v>res://resources/audio/shenmu_forest_intermission.ogg</x:v>
      </x:c>
      <x:c r="N51" s="71" t="b">
        <x:f>'第1日'!I62="待设计"</x:f>
        <x:v>0</x:v>
      </x:c>
      <x:c r="O51" s="71" t="n">
        <x:v>11</x:v>
      </x:c>
      <x:c r="P51" s="71" t="str">
        <x:f>IF('第1日'!B75="","",IFERROR(VLOOKUP('第1日'!B75,'敌人目录'!$A$6:$B$54,2,FALSE),""))</x:f>
      </x:c>
      <x:c r="Q51" s="71" t="str">
        <x:f>IF('第1日'!B75="","",'第1日'!C75)</x:f>
      </x:c>
      <x:c r="R51" s="71" t="n">
        <x:v>-1</x:v>
      </x:c>
      <x:c r="S51" s="71" t="str">
        <x:f>IF('第1日'!B75="","",'第1日'!I75)</x:f>
      </x:c>
    </x:row>
    <x:row r="52">
      <x:c r="A52" s="71" t="n">
        <x:v>3</x:v>
      </x:c>
      <x:c r="B52" s="71" t="str">
        <x:v>wave_03</x:v>
      </x:c>
      <x:c r="C52" s="71" t="n">
        <x:v>3</x:v>
      </x:c>
      <x:c r="D52" s="71" t="n">
        <x:v>1</x:v>
      </x:c>
      <x:c r="E52" s="71" t="n">
        <x:v>3</x:v>
      </x:c>
      <x:c r="F52" s="71" t="str">
        <x:v>夜晚</x:v>
      </x:c>
      <x:c r="G52" s="71" t="str">
        <x:f>'第1日'!B61</x:f>
        <x:v>第3波 火线初现</x:v>
      </x:c>
      <x:c r="H52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2" s="71" t="n">
        <x:f>'第1日'!E61</x:f>
        <x:v>0.1</x:v>
      </x:c>
      <x:c r="J52" s="71" t="n">
        <x:f>'第1日'!G61</x:f>
        <x:v>1</x:v>
      </x:c>
      <x:c r="K52" s="71" t="n">
        <x:f>'第1日'!I61</x:f>
        <x:v>300</x:v>
      </x:c>
      <x:c r="L52" s="71" t="str">
        <x:v>res://resources/audio/shenmu_forest_combat.ogg</x:v>
      </x:c>
      <x:c r="M52" s="71" t="str">
        <x:v>res://resources/audio/shenmu_forest_intermission.ogg</x:v>
      </x:c>
      <x:c r="N52" s="71" t="b">
        <x:f>'第1日'!I62="待设计"</x:f>
        <x:v>0</x:v>
      </x:c>
      <x:c r="O52" s="71" t="n">
        <x:v>12</x:v>
      </x:c>
      <x:c r="P52" s="71" t="str">
        <x:f>IF('第1日'!B76="","",IFERROR(VLOOKUP('第1日'!B76,'敌人目录'!$A$6:$B$54,2,FALSE),""))</x:f>
      </x:c>
      <x:c r="Q52" s="71" t="str">
        <x:f>IF('第1日'!B76="","",'第1日'!C76)</x:f>
      </x:c>
      <x:c r="R52" s="71" t="n">
        <x:v>-1</x:v>
      </x:c>
      <x:c r="S52" s="71" t="str">
        <x:f>IF('第1日'!B76="","",'第1日'!I76)</x:f>
      </x:c>
    </x:row>
    <x:row r="53">
      <x:c r="A53" s="71" t="n">
        <x:v>3</x:v>
      </x:c>
      <x:c r="B53" s="71" t="str">
        <x:v>wave_03</x:v>
      </x:c>
      <x:c r="C53" s="71" t="n">
        <x:v>3</x:v>
      </x:c>
      <x:c r="D53" s="71" t="n">
        <x:v>1</x:v>
      </x:c>
      <x:c r="E53" s="71" t="n">
        <x:v>3</x:v>
      </x:c>
      <x:c r="F53" s="71" t="str">
        <x:v>夜晚</x:v>
      </x:c>
      <x:c r="G53" s="71" t="str">
        <x:f>'第1日'!B61</x:f>
        <x:v>第3波 火线初现</x:v>
      </x:c>
      <x:c r="H53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3" s="71" t="n">
        <x:f>'第1日'!E61</x:f>
        <x:v>0.1</x:v>
      </x:c>
      <x:c r="J53" s="71" t="n">
        <x:f>'第1日'!G61</x:f>
        <x:v>1</x:v>
      </x:c>
      <x:c r="K53" s="71" t="n">
        <x:f>'第1日'!I61</x:f>
        <x:v>300</x:v>
      </x:c>
      <x:c r="L53" s="71" t="str">
        <x:v>res://resources/audio/shenmu_forest_combat.ogg</x:v>
      </x:c>
      <x:c r="M53" s="71" t="str">
        <x:v>res://resources/audio/shenmu_forest_intermission.ogg</x:v>
      </x:c>
      <x:c r="N53" s="71" t="b">
        <x:f>'第1日'!I62="待设计"</x:f>
        <x:v>0</x:v>
      </x:c>
      <x:c r="O53" s="71" t="n">
        <x:v>13</x:v>
      </x:c>
      <x:c r="P53" s="71" t="str">
        <x:f>IF('第1日'!B77="","",IFERROR(VLOOKUP('第1日'!B77,'敌人目录'!$A$6:$B$54,2,FALSE),""))</x:f>
      </x:c>
      <x:c r="Q53" s="71" t="str">
        <x:f>IF('第1日'!B77="","",'第1日'!C77)</x:f>
      </x:c>
      <x:c r="R53" s="71" t="n">
        <x:v>-1</x:v>
      </x:c>
      <x:c r="S53" s="71" t="str">
        <x:f>IF('第1日'!B77="","",'第1日'!I77)</x:f>
      </x:c>
    </x:row>
    <x:row r="54">
      <x:c r="A54" s="71" t="n">
        <x:v>3</x:v>
      </x:c>
      <x:c r="B54" s="71" t="str">
        <x:v>wave_03</x:v>
      </x:c>
      <x:c r="C54" s="71" t="n">
        <x:v>3</x:v>
      </x:c>
      <x:c r="D54" s="71" t="n">
        <x:v>1</x:v>
      </x:c>
      <x:c r="E54" s="71" t="n">
        <x:v>3</x:v>
      </x:c>
      <x:c r="F54" s="71" t="str">
        <x:v>夜晚</x:v>
      </x:c>
      <x:c r="G54" s="71" t="str">
        <x:f>'第1日'!B61</x:f>
        <x:v>第3波 火线初现</x:v>
      </x:c>
      <x:c r="H54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4" s="71" t="n">
        <x:f>'第1日'!E61</x:f>
        <x:v>0.1</x:v>
      </x:c>
      <x:c r="J54" s="71" t="n">
        <x:f>'第1日'!G61</x:f>
        <x:v>1</x:v>
      </x:c>
      <x:c r="K54" s="71" t="n">
        <x:f>'第1日'!I61</x:f>
        <x:v>300</x:v>
      </x:c>
      <x:c r="L54" s="71" t="str">
        <x:v>res://resources/audio/shenmu_forest_combat.ogg</x:v>
      </x:c>
      <x:c r="M54" s="71" t="str">
        <x:v>res://resources/audio/shenmu_forest_intermission.ogg</x:v>
      </x:c>
      <x:c r="N54" s="71" t="b">
        <x:f>'第1日'!I62="待设计"</x:f>
        <x:v>0</x:v>
      </x:c>
      <x:c r="O54" s="71" t="n">
        <x:v>14</x:v>
      </x:c>
      <x:c r="P54" s="71" t="str">
        <x:f>IF('第1日'!B78="","",IFERROR(VLOOKUP('第1日'!B78,'敌人目录'!$A$6:$B$54,2,FALSE),""))</x:f>
      </x:c>
      <x:c r="Q54" s="71" t="str">
        <x:f>IF('第1日'!B78="","",'第1日'!C78)</x:f>
      </x:c>
      <x:c r="R54" s="71" t="n">
        <x:v>-1</x:v>
      </x:c>
      <x:c r="S54" s="71" t="str">
        <x:f>IF('第1日'!B78="","",'第1日'!I78)</x:f>
      </x:c>
    </x:row>
    <x:row r="55">
      <x:c r="A55" s="71" t="n">
        <x:v>3</x:v>
      </x:c>
      <x:c r="B55" s="71" t="str">
        <x:v>wave_03</x:v>
      </x:c>
      <x:c r="C55" s="71" t="n">
        <x:v>3</x:v>
      </x:c>
      <x:c r="D55" s="71" t="n">
        <x:v>1</x:v>
      </x:c>
      <x:c r="E55" s="71" t="n">
        <x:v>3</x:v>
      </x:c>
      <x:c r="F55" s="71" t="str">
        <x:v>夜晚</x:v>
      </x:c>
      <x:c r="G55" s="71" t="str">
        <x:f>'第1日'!B61</x:f>
        <x:v>第3波 火线初现</x:v>
      </x:c>
      <x:c r="H55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5" s="71" t="n">
        <x:f>'第1日'!E61</x:f>
        <x:v>0.1</x:v>
      </x:c>
      <x:c r="J55" s="71" t="n">
        <x:f>'第1日'!G61</x:f>
        <x:v>1</x:v>
      </x:c>
      <x:c r="K55" s="71" t="n">
        <x:f>'第1日'!I61</x:f>
        <x:v>300</x:v>
      </x:c>
      <x:c r="L55" s="71" t="str">
        <x:v>res://resources/audio/shenmu_forest_combat.ogg</x:v>
      </x:c>
      <x:c r="M55" s="71" t="str">
        <x:v>res://resources/audio/shenmu_forest_intermission.ogg</x:v>
      </x:c>
      <x:c r="N55" s="71" t="b">
        <x:f>'第1日'!I62="待设计"</x:f>
        <x:v>0</x:v>
      </x:c>
      <x:c r="O55" s="71" t="n">
        <x:v>15</x:v>
      </x:c>
      <x:c r="P55" s="71" t="str">
        <x:f>IF('第1日'!B79="","",IFERROR(VLOOKUP('第1日'!B79,'敌人目录'!$A$6:$B$54,2,FALSE),""))</x:f>
      </x:c>
      <x:c r="Q55" s="71" t="str">
        <x:f>IF('第1日'!B79="","",'第1日'!C79)</x:f>
      </x:c>
      <x:c r="R55" s="71" t="n">
        <x:v>-1</x:v>
      </x:c>
      <x:c r="S55" s="71" t="str">
        <x:f>IF('第1日'!B79="","",'第1日'!I79)</x:f>
      </x:c>
    </x:row>
    <x:row r="56">
      <x:c r="A56" s="71" t="n">
        <x:v>3</x:v>
      </x:c>
      <x:c r="B56" s="71" t="str">
        <x:v>wave_03</x:v>
      </x:c>
      <x:c r="C56" s="71" t="n">
        <x:v>3</x:v>
      </x:c>
      <x:c r="D56" s="71" t="n">
        <x:v>1</x:v>
      </x:c>
      <x:c r="E56" s="71" t="n">
        <x:v>3</x:v>
      </x:c>
      <x:c r="F56" s="71" t="str">
        <x:v>夜晚</x:v>
      </x:c>
      <x:c r="G56" s="71" t="str">
        <x:f>'第1日'!B61</x:f>
        <x:v>第3波 火线初现</x:v>
      </x:c>
      <x:c r="H56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6" s="71" t="n">
        <x:f>'第1日'!E61</x:f>
        <x:v>0.1</x:v>
      </x:c>
      <x:c r="J56" s="71" t="n">
        <x:f>'第1日'!G61</x:f>
        <x:v>1</x:v>
      </x:c>
      <x:c r="K56" s="71" t="n">
        <x:f>'第1日'!I61</x:f>
        <x:v>300</x:v>
      </x:c>
      <x:c r="L56" s="71" t="str">
        <x:v>res://resources/audio/shenmu_forest_combat.ogg</x:v>
      </x:c>
      <x:c r="M56" s="71" t="str">
        <x:v>res://resources/audio/shenmu_forest_intermission.ogg</x:v>
      </x:c>
      <x:c r="N56" s="71" t="b">
        <x:f>'第1日'!I62="待设计"</x:f>
        <x:v>0</x:v>
      </x:c>
      <x:c r="O56" s="71" t="n">
        <x:v>16</x:v>
      </x:c>
      <x:c r="P56" s="71" t="str">
        <x:f>IF('第1日'!B80="","",IFERROR(VLOOKUP('第1日'!B80,'敌人目录'!$A$6:$B$54,2,FALSE),""))</x:f>
      </x:c>
      <x:c r="Q56" s="71" t="str">
        <x:f>IF('第1日'!B80="","",'第1日'!C80)</x:f>
      </x:c>
      <x:c r="R56" s="71" t="n">
        <x:v>-1</x:v>
      </x:c>
      <x:c r="S56" s="71" t="str">
        <x:f>IF('第1日'!B80="","",'第1日'!I80)</x:f>
      </x:c>
    </x:row>
    <x:row r="57">
      <x:c r="A57" s="71" t="n">
        <x:v>3</x:v>
      </x:c>
      <x:c r="B57" s="71" t="str">
        <x:v>wave_03</x:v>
      </x:c>
      <x:c r="C57" s="71" t="n">
        <x:v>3</x:v>
      </x:c>
      <x:c r="D57" s="71" t="n">
        <x:v>1</x:v>
      </x:c>
      <x:c r="E57" s="71" t="n">
        <x:v>3</x:v>
      </x:c>
      <x:c r="F57" s="71" t="str">
        <x:v>夜晚</x:v>
      </x:c>
      <x:c r="G57" s="71" t="str">
        <x:f>'第1日'!B61</x:f>
        <x:v>第3波 火线初现</x:v>
      </x:c>
      <x:c r="H57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7" s="71" t="n">
        <x:f>'第1日'!E61</x:f>
        <x:v>0.1</x:v>
      </x:c>
      <x:c r="J57" s="71" t="n">
        <x:f>'第1日'!G61</x:f>
        <x:v>1</x:v>
      </x:c>
      <x:c r="K57" s="71" t="n">
        <x:f>'第1日'!I61</x:f>
        <x:v>300</x:v>
      </x:c>
      <x:c r="L57" s="71" t="str">
        <x:v>res://resources/audio/shenmu_forest_combat.ogg</x:v>
      </x:c>
      <x:c r="M57" s="71" t="str">
        <x:v>res://resources/audio/shenmu_forest_intermission.ogg</x:v>
      </x:c>
      <x:c r="N57" s="71" t="b">
        <x:f>'第1日'!I62="待设计"</x:f>
        <x:v>0</x:v>
      </x:c>
      <x:c r="O57" s="71" t="n">
        <x:v>17</x:v>
      </x:c>
      <x:c r="P57" s="71" t="str">
        <x:f>IF('第1日'!B81="","",IFERROR(VLOOKUP('第1日'!B81,'敌人目录'!$A$6:$B$54,2,FALSE),""))</x:f>
      </x:c>
      <x:c r="Q57" s="71" t="str">
        <x:f>IF('第1日'!B81="","",'第1日'!C81)</x:f>
      </x:c>
      <x:c r="R57" s="71" t="n">
        <x:v>-1</x:v>
      </x:c>
      <x:c r="S57" s="71" t="str">
        <x:f>IF('第1日'!B81="","",'第1日'!I81)</x:f>
      </x:c>
    </x:row>
    <x:row r="58">
      <x:c r="A58" s="71" t="n">
        <x:v>3</x:v>
      </x:c>
      <x:c r="B58" s="71" t="str">
        <x:v>wave_03</x:v>
      </x:c>
      <x:c r="C58" s="71" t="n">
        <x:v>3</x:v>
      </x:c>
      <x:c r="D58" s="71" t="n">
        <x:v>1</x:v>
      </x:c>
      <x:c r="E58" s="71" t="n">
        <x:v>3</x:v>
      </x:c>
      <x:c r="F58" s="71" t="str">
        <x:v>夜晚</x:v>
      </x:c>
      <x:c r="G58" s="71" t="str">
        <x:f>'第1日'!B61</x:f>
        <x:v>第3波 火线初现</x:v>
      </x:c>
      <x:c r="H58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8" s="71" t="n">
        <x:f>'第1日'!E61</x:f>
        <x:v>0.1</x:v>
      </x:c>
      <x:c r="J58" s="71" t="n">
        <x:f>'第1日'!G61</x:f>
        <x:v>1</x:v>
      </x:c>
      <x:c r="K58" s="71" t="n">
        <x:f>'第1日'!I61</x:f>
        <x:v>300</x:v>
      </x:c>
      <x:c r="L58" s="71" t="str">
        <x:v>res://resources/audio/shenmu_forest_combat.ogg</x:v>
      </x:c>
      <x:c r="M58" s="71" t="str">
        <x:v>res://resources/audio/shenmu_forest_intermission.ogg</x:v>
      </x:c>
      <x:c r="N58" s="71" t="b">
        <x:f>'第1日'!I62="待设计"</x:f>
        <x:v>0</x:v>
      </x:c>
      <x:c r="O58" s="71" t="n">
        <x:v>18</x:v>
      </x:c>
      <x:c r="P58" s="71" t="str">
        <x:f>IF('第1日'!B82="","",IFERROR(VLOOKUP('第1日'!B82,'敌人目录'!$A$6:$B$54,2,FALSE),""))</x:f>
      </x:c>
      <x:c r="Q58" s="71" t="str">
        <x:f>IF('第1日'!B82="","",'第1日'!C82)</x:f>
      </x:c>
      <x:c r="R58" s="71" t="n">
        <x:v>-1</x:v>
      </x:c>
      <x:c r="S58" s="71" t="str">
        <x:f>IF('第1日'!B82="","",'第1日'!I82)</x:f>
      </x:c>
    </x:row>
    <x:row r="59">
      <x:c r="A59" s="71" t="n">
        <x:v>3</x:v>
      </x:c>
      <x:c r="B59" s="71" t="str">
        <x:v>wave_04</x:v>
      </x:c>
      <x:c r="C59" s="71" t="n">
        <x:v>4</x:v>
      </x:c>
      <x:c r="D59" s="71" t="n">
        <x:v>1</x:v>
      </x:c>
      <x:c r="E59" s="71" t="n">
        <x:v>4</x:v>
      </x:c>
      <x:c r="F59" s="71" t="str">
        <x:v>夜晚</x:v>
      </x:c>
      <x:c r="G59" s="71" t="str">
        <x:f>'第1日'!B90</x:f>
        <x:v>第4波 林地合围</x:v>
      </x:c>
      <x:c r="H59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59" s="71" t="n">
        <x:f>'第1日'!E90</x:f>
        <x:v>0.1</x:v>
      </x:c>
      <x:c r="J59" s="71" t="n">
        <x:f>'第1日'!G90</x:f>
        <x:v>1</x:v>
      </x:c>
      <x:c r="K59" s="71" t="n">
        <x:f>'第1日'!I90</x:f>
        <x:v>300</x:v>
      </x:c>
      <x:c r="L59" s="71" t="str">
        <x:v>res://resources/audio/shenmu_forest_combat.ogg</x:v>
      </x:c>
      <x:c r="M59" s="71" t="str">
        <x:v>res://resources/audio/shenmu_forest_intermission.ogg</x:v>
      </x:c>
      <x:c r="N59" s="71" t="b">
        <x:f>'第1日'!I91="待设计"</x:f>
        <x:v>1</x:v>
      </x:c>
      <x:c r="O59" s="71" t="n">
        <x:v>1</x:v>
      </x:c>
      <x:c r="P59" s="71" t="str">
        <x:f>IF('第1日'!B94="","",IFERROR(VLOOKUP('第1日'!B94,'敌人目录'!$A$6:$B$54,2,FALSE),""))</x:f>
      </x:c>
      <x:c r="Q59" s="71" t="str">
        <x:f>IF('第1日'!B94="","",'第1日'!C94)</x:f>
      </x:c>
      <x:c r="R59" s="71" t="n">
        <x:v>-1</x:v>
      </x:c>
      <x:c r="S59" s="71" t="str">
        <x:f>IF('第1日'!B94="","",'第1日'!I94)</x:f>
      </x:c>
    </x:row>
    <x:row r="60">
      <x:c r="A60" s="71" t="n">
        <x:v>3</x:v>
      </x:c>
      <x:c r="B60" s="71" t="str">
        <x:v>wave_04</x:v>
      </x:c>
      <x:c r="C60" s="71" t="n">
        <x:v>4</x:v>
      </x:c>
      <x:c r="D60" s="71" t="n">
        <x:v>1</x:v>
      </x:c>
      <x:c r="E60" s="71" t="n">
        <x:v>4</x:v>
      </x:c>
      <x:c r="F60" s="71" t="str">
        <x:v>夜晚</x:v>
      </x:c>
      <x:c r="G60" s="71" t="str">
        <x:f>'第1日'!B90</x:f>
        <x:v>第4波 林地合围</x:v>
      </x:c>
      <x:c r="H60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0" s="71" t="n">
        <x:f>'第1日'!E90</x:f>
        <x:v>0.1</x:v>
      </x:c>
      <x:c r="J60" s="71" t="n">
        <x:f>'第1日'!G90</x:f>
        <x:v>1</x:v>
      </x:c>
      <x:c r="K60" s="71" t="n">
        <x:f>'第1日'!I90</x:f>
        <x:v>300</x:v>
      </x:c>
      <x:c r="L60" s="71" t="str">
        <x:v>res://resources/audio/shenmu_forest_combat.ogg</x:v>
      </x:c>
      <x:c r="M60" s="71" t="str">
        <x:v>res://resources/audio/shenmu_forest_intermission.ogg</x:v>
      </x:c>
      <x:c r="N60" s="71" t="b">
        <x:f>'第1日'!I91="待设计"</x:f>
        <x:v>1</x:v>
      </x:c>
      <x:c r="O60" s="71" t="n">
        <x:v>2</x:v>
      </x:c>
      <x:c r="P60" s="71" t="str">
        <x:f>IF('第1日'!B95="","",IFERROR(VLOOKUP('第1日'!B95,'敌人目录'!$A$6:$B$54,2,FALSE),""))</x:f>
      </x:c>
      <x:c r="Q60" s="71" t="str">
        <x:f>IF('第1日'!B95="","",'第1日'!C95)</x:f>
      </x:c>
      <x:c r="R60" s="71" t="n">
        <x:v>-1</x:v>
      </x:c>
      <x:c r="S60" s="71" t="str">
        <x:f>IF('第1日'!B95="","",'第1日'!I95)</x:f>
      </x:c>
    </x:row>
    <x:row r="61">
      <x:c r="A61" s="71" t="n">
        <x:v>3</x:v>
      </x:c>
      <x:c r="B61" s="71" t="str">
        <x:v>wave_04</x:v>
      </x:c>
      <x:c r="C61" s="71" t="n">
        <x:v>4</x:v>
      </x:c>
      <x:c r="D61" s="71" t="n">
        <x:v>1</x:v>
      </x:c>
      <x:c r="E61" s="71" t="n">
        <x:v>4</x:v>
      </x:c>
      <x:c r="F61" s="71" t="str">
        <x:v>夜晚</x:v>
      </x:c>
      <x:c r="G61" s="71" t="str">
        <x:f>'第1日'!B90</x:f>
        <x:v>第4波 林地合围</x:v>
      </x:c>
      <x:c r="H61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1" s="71" t="n">
        <x:f>'第1日'!E90</x:f>
        <x:v>0.1</x:v>
      </x:c>
      <x:c r="J61" s="71" t="n">
        <x:f>'第1日'!G90</x:f>
        <x:v>1</x:v>
      </x:c>
      <x:c r="K61" s="71" t="n">
        <x:f>'第1日'!I90</x:f>
        <x:v>300</x:v>
      </x:c>
      <x:c r="L61" s="71" t="str">
        <x:v>res://resources/audio/shenmu_forest_combat.ogg</x:v>
      </x:c>
      <x:c r="M61" s="71" t="str">
        <x:v>res://resources/audio/shenmu_forest_intermission.ogg</x:v>
      </x:c>
      <x:c r="N61" s="71" t="b">
        <x:f>'第1日'!I91="待设计"</x:f>
        <x:v>1</x:v>
      </x:c>
      <x:c r="O61" s="71" t="n">
        <x:v>3</x:v>
      </x:c>
      <x:c r="P61" s="71" t="str">
        <x:f>IF('第1日'!B96="","",IFERROR(VLOOKUP('第1日'!B96,'敌人目录'!$A$6:$B$54,2,FALSE),""))</x:f>
      </x:c>
      <x:c r="Q61" s="71" t="str">
        <x:f>IF('第1日'!B96="","",'第1日'!C96)</x:f>
      </x:c>
      <x:c r="R61" s="71" t="n">
        <x:v>-1</x:v>
      </x:c>
      <x:c r="S61" s="71" t="str">
        <x:f>IF('第1日'!B96="","",'第1日'!I96)</x:f>
      </x:c>
    </x:row>
    <x:row r="62">
      <x:c r="A62" s="71" t="n">
        <x:v>3</x:v>
      </x:c>
      <x:c r="B62" s="71" t="str">
        <x:v>wave_04</x:v>
      </x:c>
      <x:c r="C62" s="71" t="n">
        <x:v>4</x:v>
      </x:c>
      <x:c r="D62" s="71" t="n">
        <x:v>1</x:v>
      </x:c>
      <x:c r="E62" s="71" t="n">
        <x:v>4</x:v>
      </x:c>
      <x:c r="F62" s="71" t="str">
        <x:v>夜晚</x:v>
      </x:c>
      <x:c r="G62" s="71" t="str">
        <x:f>'第1日'!B90</x:f>
        <x:v>第4波 林地合围</x:v>
      </x:c>
      <x:c r="H62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2" s="71" t="n">
        <x:f>'第1日'!E90</x:f>
        <x:v>0.1</x:v>
      </x:c>
      <x:c r="J62" s="71" t="n">
        <x:f>'第1日'!G90</x:f>
        <x:v>1</x:v>
      </x:c>
      <x:c r="K62" s="71" t="n">
        <x:f>'第1日'!I90</x:f>
        <x:v>300</x:v>
      </x:c>
      <x:c r="L62" s="71" t="str">
        <x:v>res://resources/audio/shenmu_forest_combat.ogg</x:v>
      </x:c>
      <x:c r="M62" s="71" t="str">
        <x:v>res://resources/audio/shenmu_forest_intermission.ogg</x:v>
      </x:c>
      <x:c r="N62" s="71" t="b">
        <x:f>'第1日'!I91="待设计"</x:f>
        <x:v>1</x:v>
      </x:c>
      <x:c r="O62" s="71" t="n">
        <x:v>4</x:v>
      </x:c>
      <x:c r="P62" s="71" t="str">
        <x:f>IF('第1日'!B97="","",IFERROR(VLOOKUP('第1日'!B97,'敌人目录'!$A$6:$B$54,2,FALSE),""))</x:f>
      </x:c>
      <x:c r="Q62" s="71" t="str">
        <x:f>IF('第1日'!B97="","",'第1日'!C97)</x:f>
      </x:c>
      <x:c r="R62" s="71" t="n">
        <x:v>-1</x:v>
      </x:c>
      <x:c r="S62" s="71" t="str">
        <x:f>IF('第1日'!B97="","",'第1日'!I97)</x:f>
      </x:c>
    </x:row>
    <x:row r="63">
      <x:c r="A63" s="71" t="n">
        <x:v>3</x:v>
      </x:c>
      <x:c r="B63" s="71" t="str">
        <x:v>wave_04</x:v>
      </x:c>
      <x:c r="C63" s="71" t="n">
        <x:v>4</x:v>
      </x:c>
      <x:c r="D63" s="71" t="n">
        <x:v>1</x:v>
      </x:c>
      <x:c r="E63" s="71" t="n">
        <x:v>4</x:v>
      </x:c>
      <x:c r="F63" s="71" t="str">
        <x:v>夜晚</x:v>
      </x:c>
      <x:c r="G63" s="71" t="str">
        <x:f>'第1日'!B90</x:f>
        <x:v>第4波 林地合围</x:v>
      </x:c>
      <x:c r="H63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3" s="71" t="n">
        <x:f>'第1日'!E90</x:f>
        <x:v>0.1</x:v>
      </x:c>
      <x:c r="J63" s="71" t="n">
        <x:f>'第1日'!G90</x:f>
        <x:v>1</x:v>
      </x:c>
      <x:c r="K63" s="71" t="n">
        <x:f>'第1日'!I90</x:f>
        <x:v>300</x:v>
      </x:c>
      <x:c r="L63" s="71" t="str">
        <x:v>res://resources/audio/shenmu_forest_combat.ogg</x:v>
      </x:c>
      <x:c r="M63" s="71" t="str">
        <x:v>res://resources/audio/shenmu_forest_intermission.ogg</x:v>
      </x:c>
      <x:c r="N63" s="71" t="b">
        <x:f>'第1日'!I91="待设计"</x:f>
        <x:v>1</x:v>
      </x:c>
      <x:c r="O63" s="71" t="n">
        <x:v>5</x:v>
      </x:c>
      <x:c r="P63" s="71" t="str">
        <x:f>IF('第1日'!B98="","",IFERROR(VLOOKUP('第1日'!B98,'敌人目录'!$A$6:$B$54,2,FALSE),""))</x:f>
      </x:c>
      <x:c r="Q63" s="71" t="str">
        <x:f>IF('第1日'!B98="","",'第1日'!C98)</x:f>
      </x:c>
      <x:c r="R63" s="71" t="n">
        <x:v>-1</x:v>
      </x:c>
      <x:c r="S63" s="71" t="str">
        <x:f>IF('第1日'!B98="","",'第1日'!I98)</x:f>
      </x:c>
    </x:row>
    <x:row r="64">
      <x:c r="A64" s="71" t="n">
        <x:v>3</x:v>
      </x:c>
      <x:c r="B64" s="71" t="str">
        <x:v>wave_04</x:v>
      </x:c>
      <x:c r="C64" s="71" t="n">
        <x:v>4</x:v>
      </x:c>
      <x:c r="D64" s="71" t="n">
        <x:v>1</x:v>
      </x:c>
      <x:c r="E64" s="71" t="n">
        <x:v>4</x:v>
      </x:c>
      <x:c r="F64" s="71" t="str">
        <x:v>夜晚</x:v>
      </x:c>
      <x:c r="G64" s="71" t="str">
        <x:f>'第1日'!B90</x:f>
        <x:v>第4波 林地合围</x:v>
      </x:c>
      <x:c r="H64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4" s="71" t="n">
        <x:f>'第1日'!E90</x:f>
        <x:v>0.1</x:v>
      </x:c>
      <x:c r="J64" s="71" t="n">
        <x:f>'第1日'!G90</x:f>
        <x:v>1</x:v>
      </x:c>
      <x:c r="K64" s="71" t="n">
        <x:f>'第1日'!I90</x:f>
        <x:v>300</x:v>
      </x:c>
      <x:c r="L64" s="71" t="str">
        <x:v>res://resources/audio/shenmu_forest_combat.ogg</x:v>
      </x:c>
      <x:c r="M64" s="71" t="str">
        <x:v>res://resources/audio/shenmu_forest_intermission.ogg</x:v>
      </x:c>
      <x:c r="N64" s="71" t="b">
        <x:f>'第1日'!I91="待设计"</x:f>
        <x:v>1</x:v>
      </x:c>
      <x:c r="O64" s="71" t="n">
        <x:v>6</x:v>
      </x:c>
      <x:c r="P64" s="71" t="str">
        <x:f>IF('第1日'!B99="","",IFERROR(VLOOKUP('第1日'!B99,'敌人目录'!$A$6:$B$54,2,FALSE),""))</x:f>
      </x:c>
      <x:c r="Q64" s="71" t="str">
        <x:f>IF('第1日'!B99="","",'第1日'!C99)</x:f>
      </x:c>
      <x:c r="R64" s="71" t="n">
        <x:v>-1</x:v>
      </x:c>
      <x:c r="S64" s="71" t="str">
        <x:f>IF('第1日'!B99="","",'第1日'!I99)</x:f>
      </x:c>
    </x:row>
    <x:row r="65">
      <x:c r="A65" s="71" t="n">
        <x:v>3</x:v>
      </x:c>
      <x:c r="B65" s="71" t="str">
        <x:v>wave_04</x:v>
      </x:c>
      <x:c r="C65" s="71" t="n">
        <x:v>4</x:v>
      </x:c>
      <x:c r="D65" s="71" t="n">
        <x:v>1</x:v>
      </x:c>
      <x:c r="E65" s="71" t="n">
        <x:v>4</x:v>
      </x:c>
      <x:c r="F65" s="71" t="str">
        <x:v>夜晚</x:v>
      </x:c>
      <x:c r="G65" s="71" t="str">
        <x:f>'第1日'!B90</x:f>
        <x:v>第4波 林地合围</x:v>
      </x:c>
      <x:c r="H65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5" s="71" t="n">
        <x:f>'第1日'!E90</x:f>
        <x:v>0.1</x:v>
      </x:c>
      <x:c r="J65" s="71" t="n">
        <x:f>'第1日'!G90</x:f>
        <x:v>1</x:v>
      </x:c>
      <x:c r="K65" s="71" t="n">
        <x:f>'第1日'!I90</x:f>
        <x:v>300</x:v>
      </x:c>
      <x:c r="L65" s="71" t="str">
        <x:v>res://resources/audio/shenmu_forest_combat.ogg</x:v>
      </x:c>
      <x:c r="M65" s="71" t="str">
        <x:v>res://resources/audio/shenmu_forest_intermission.ogg</x:v>
      </x:c>
      <x:c r="N65" s="71" t="b">
        <x:f>'第1日'!I91="待设计"</x:f>
        <x:v>1</x:v>
      </x:c>
      <x:c r="O65" s="71" t="n">
        <x:v>7</x:v>
      </x:c>
      <x:c r="P65" s="71" t="str">
        <x:f>IF('第1日'!B100="","",IFERROR(VLOOKUP('第1日'!B100,'敌人目录'!$A$6:$B$54,2,FALSE),""))</x:f>
      </x:c>
      <x:c r="Q65" s="71" t="str">
        <x:f>IF('第1日'!B100="","",'第1日'!C100)</x:f>
      </x:c>
      <x:c r="R65" s="71" t="n">
        <x:v>-1</x:v>
      </x:c>
      <x:c r="S65" s="71" t="str">
        <x:f>IF('第1日'!B100="","",'第1日'!I100)</x:f>
      </x:c>
    </x:row>
    <x:row r="66">
      <x:c r="A66" s="71" t="n">
        <x:v>3</x:v>
      </x:c>
      <x:c r="B66" s="71" t="str">
        <x:v>wave_04</x:v>
      </x:c>
      <x:c r="C66" s="71" t="n">
        <x:v>4</x:v>
      </x:c>
      <x:c r="D66" s="71" t="n">
        <x:v>1</x:v>
      </x:c>
      <x:c r="E66" s="71" t="n">
        <x:v>4</x:v>
      </x:c>
      <x:c r="F66" s="71" t="str">
        <x:v>夜晚</x:v>
      </x:c>
      <x:c r="G66" s="71" t="str">
        <x:f>'第1日'!B90</x:f>
        <x:v>第4波 林地合围</x:v>
      </x:c>
      <x:c r="H66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6" s="71" t="n">
        <x:f>'第1日'!E90</x:f>
        <x:v>0.1</x:v>
      </x:c>
      <x:c r="J66" s="71" t="n">
        <x:f>'第1日'!G90</x:f>
        <x:v>1</x:v>
      </x:c>
      <x:c r="K66" s="71" t="n">
        <x:f>'第1日'!I90</x:f>
        <x:v>300</x:v>
      </x:c>
      <x:c r="L66" s="71" t="str">
        <x:v>res://resources/audio/shenmu_forest_combat.ogg</x:v>
      </x:c>
      <x:c r="M66" s="71" t="str">
        <x:v>res://resources/audio/shenmu_forest_intermission.ogg</x:v>
      </x:c>
      <x:c r="N66" s="71" t="b">
        <x:f>'第1日'!I91="待设计"</x:f>
        <x:v>1</x:v>
      </x:c>
      <x:c r="O66" s="71" t="n">
        <x:v>8</x:v>
      </x:c>
      <x:c r="P66" s="71" t="str">
        <x:f>IF('第1日'!B101="","",IFERROR(VLOOKUP('第1日'!B101,'敌人目录'!$A$6:$B$54,2,FALSE),""))</x:f>
      </x:c>
      <x:c r="Q66" s="71" t="str">
        <x:f>IF('第1日'!B101="","",'第1日'!C101)</x:f>
      </x:c>
      <x:c r="R66" s="71" t="n">
        <x:v>-1</x:v>
      </x:c>
      <x:c r="S66" s="71" t="str">
        <x:f>IF('第1日'!B101="","",'第1日'!I101)</x:f>
      </x:c>
    </x:row>
    <x:row r="67">
      <x:c r="A67" s="71" t="n">
        <x:v>3</x:v>
      </x:c>
      <x:c r="B67" s="71" t="str">
        <x:v>wave_04</x:v>
      </x:c>
      <x:c r="C67" s="71" t="n">
        <x:v>4</x:v>
      </x:c>
      <x:c r="D67" s="71" t="n">
        <x:v>1</x:v>
      </x:c>
      <x:c r="E67" s="71" t="n">
        <x:v>4</x:v>
      </x:c>
      <x:c r="F67" s="71" t="str">
        <x:v>夜晚</x:v>
      </x:c>
      <x:c r="G67" s="71" t="str">
        <x:f>'第1日'!B90</x:f>
        <x:v>第4波 林地合围</x:v>
      </x:c>
      <x:c r="H67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7" s="71" t="n">
        <x:f>'第1日'!E90</x:f>
        <x:v>0.1</x:v>
      </x:c>
      <x:c r="J67" s="71" t="n">
        <x:f>'第1日'!G90</x:f>
        <x:v>1</x:v>
      </x:c>
      <x:c r="K67" s="71" t="n">
        <x:f>'第1日'!I90</x:f>
        <x:v>300</x:v>
      </x:c>
      <x:c r="L67" s="71" t="str">
        <x:v>res://resources/audio/shenmu_forest_combat.ogg</x:v>
      </x:c>
      <x:c r="M67" s="71" t="str">
        <x:v>res://resources/audio/shenmu_forest_intermission.ogg</x:v>
      </x:c>
      <x:c r="N67" s="71" t="b">
        <x:f>'第1日'!I91="待设计"</x:f>
        <x:v>1</x:v>
      </x:c>
      <x:c r="O67" s="71" t="n">
        <x:v>9</x:v>
      </x:c>
      <x:c r="P67" s="71" t="str">
        <x:f>IF('第1日'!B102="","",IFERROR(VLOOKUP('第1日'!B102,'敌人目录'!$A$6:$B$54,2,FALSE),""))</x:f>
      </x:c>
      <x:c r="Q67" s="71" t="str">
        <x:f>IF('第1日'!B102="","",'第1日'!C102)</x:f>
      </x:c>
      <x:c r="R67" s="71" t="n">
        <x:v>-1</x:v>
      </x:c>
      <x:c r="S67" s="71" t="str">
        <x:f>IF('第1日'!B102="","",'第1日'!I102)</x:f>
      </x:c>
    </x:row>
    <x:row r="68">
      <x:c r="A68" s="71" t="n">
        <x:v>3</x:v>
      </x:c>
      <x:c r="B68" s="71" t="str">
        <x:v>wave_04</x:v>
      </x:c>
      <x:c r="C68" s="71" t="n">
        <x:v>4</x:v>
      </x:c>
      <x:c r="D68" s="71" t="n">
        <x:v>1</x:v>
      </x:c>
      <x:c r="E68" s="71" t="n">
        <x:v>4</x:v>
      </x:c>
      <x:c r="F68" s="71" t="str">
        <x:v>夜晚</x:v>
      </x:c>
      <x:c r="G68" s="71" t="str">
        <x:f>'第1日'!B90</x:f>
        <x:v>第4波 林地合围</x:v>
      </x:c>
      <x:c r="H68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8" s="71" t="n">
        <x:f>'第1日'!E90</x:f>
        <x:v>0.1</x:v>
      </x:c>
      <x:c r="J68" s="71" t="n">
        <x:f>'第1日'!G90</x:f>
        <x:v>1</x:v>
      </x:c>
      <x:c r="K68" s="71" t="n">
        <x:f>'第1日'!I90</x:f>
        <x:v>300</x:v>
      </x:c>
      <x:c r="L68" s="71" t="str">
        <x:v>res://resources/audio/shenmu_forest_combat.ogg</x:v>
      </x:c>
      <x:c r="M68" s="71" t="str">
        <x:v>res://resources/audio/shenmu_forest_intermission.ogg</x:v>
      </x:c>
      <x:c r="N68" s="71" t="b">
        <x:f>'第1日'!I91="待设计"</x:f>
        <x:v>1</x:v>
      </x:c>
      <x:c r="O68" s="71" t="n">
        <x:v>10</x:v>
      </x:c>
      <x:c r="P68" s="71" t="str">
        <x:f>IF('第1日'!B103="","",IFERROR(VLOOKUP('第1日'!B103,'敌人目录'!$A$6:$B$54,2,FALSE),""))</x:f>
      </x:c>
      <x:c r="Q68" s="71" t="str">
        <x:f>IF('第1日'!B103="","",'第1日'!C103)</x:f>
      </x:c>
      <x:c r="R68" s="71" t="n">
        <x:v>-1</x:v>
      </x:c>
      <x:c r="S68" s="71" t="str">
        <x:f>IF('第1日'!B103="","",'第1日'!I103)</x:f>
      </x:c>
    </x:row>
    <x:row r="69">
      <x:c r="A69" s="71" t="n">
        <x:v>3</x:v>
      </x:c>
      <x:c r="B69" s="71" t="str">
        <x:v>wave_04</x:v>
      </x:c>
      <x:c r="C69" s="71" t="n">
        <x:v>4</x:v>
      </x:c>
      <x:c r="D69" s="71" t="n">
        <x:v>1</x:v>
      </x:c>
      <x:c r="E69" s="71" t="n">
        <x:v>4</x:v>
      </x:c>
      <x:c r="F69" s="71" t="str">
        <x:v>夜晚</x:v>
      </x:c>
      <x:c r="G69" s="71" t="str">
        <x:f>'第1日'!B90</x:f>
        <x:v>第4波 林地合围</x:v>
      </x:c>
      <x:c r="H69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9" s="71" t="n">
        <x:f>'第1日'!E90</x:f>
        <x:v>0.1</x:v>
      </x:c>
      <x:c r="J69" s="71" t="n">
        <x:f>'第1日'!G90</x:f>
        <x:v>1</x:v>
      </x:c>
      <x:c r="K69" s="71" t="n">
        <x:f>'第1日'!I90</x:f>
        <x:v>300</x:v>
      </x:c>
      <x:c r="L69" s="71" t="str">
        <x:v>res://resources/audio/shenmu_forest_combat.ogg</x:v>
      </x:c>
      <x:c r="M69" s="71" t="str">
        <x:v>res://resources/audio/shenmu_forest_intermission.ogg</x:v>
      </x:c>
      <x:c r="N69" s="71" t="b">
        <x:f>'第1日'!I91="待设计"</x:f>
        <x:v>1</x:v>
      </x:c>
      <x:c r="O69" s="71" t="n">
        <x:v>11</x:v>
      </x:c>
      <x:c r="P69" s="71" t="str">
        <x:f>IF('第1日'!B104="","",IFERROR(VLOOKUP('第1日'!B104,'敌人目录'!$A$6:$B$54,2,FALSE),""))</x:f>
      </x:c>
      <x:c r="Q69" s="71" t="str">
        <x:f>IF('第1日'!B104="","",'第1日'!C104)</x:f>
      </x:c>
      <x:c r="R69" s="71" t="n">
        <x:v>-1</x:v>
      </x:c>
      <x:c r="S69" s="71" t="str">
        <x:f>IF('第1日'!B104="","",'第1日'!I104)</x:f>
      </x:c>
    </x:row>
    <x:row r="70">
      <x:c r="A70" s="71" t="n">
        <x:v>3</x:v>
      </x:c>
      <x:c r="B70" s="71" t="str">
        <x:v>wave_04</x:v>
      </x:c>
      <x:c r="C70" s="71" t="n">
        <x:v>4</x:v>
      </x:c>
      <x:c r="D70" s="71" t="n">
        <x:v>1</x:v>
      </x:c>
      <x:c r="E70" s="71" t="n">
        <x:v>4</x:v>
      </x:c>
      <x:c r="F70" s="71" t="str">
        <x:v>夜晚</x:v>
      </x:c>
      <x:c r="G70" s="71" t="str">
        <x:f>'第1日'!B90</x:f>
        <x:v>第4波 林地合围</x:v>
      </x:c>
      <x:c r="H70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0" s="71" t="n">
        <x:f>'第1日'!E90</x:f>
        <x:v>0.1</x:v>
      </x:c>
      <x:c r="J70" s="71" t="n">
        <x:f>'第1日'!G90</x:f>
        <x:v>1</x:v>
      </x:c>
      <x:c r="K70" s="71" t="n">
        <x:f>'第1日'!I90</x:f>
        <x:v>300</x:v>
      </x:c>
      <x:c r="L70" s="71" t="str">
        <x:v>res://resources/audio/shenmu_forest_combat.ogg</x:v>
      </x:c>
      <x:c r="M70" s="71" t="str">
        <x:v>res://resources/audio/shenmu_forest_intermission.ogg</x:v>
      </x:c>
      <x:c r="N70" s="71" t="b">
        <x:f>'第1日'!I91="待设计"</x:f>
        <x:v>1</x:v>
      </x:c>
      <x:c r="O70" s="71" t="n">
        <x:v>12</x:v>
      </x:c>
      <x:c r="P70" s="71" t="str">
        <x:f>IF('第1日'!B105="","",IFERROR(VLOOKUP('第1日'!B105,'敌人目录'!$A$6:$B$54,2,FALSE),""))</x:f>
      </x:c>
      <x:c r="Q70" s="71" t="str">
        <x:f>IF('第1日'!B105="","",'第1日'!C105)</x:f>
      </x:c>
      <x:c r="R70" s="71" t="n">
        <x:v>-1</x:v>
      </x:c>
      <x:c r="S70" s="71" t="str">
        <x:f>IF('第1日'!B105="","",'第1日'!I105)</x:f>
      </x:c>
    </x:row>
    <x:row r="71">
      <x:c r="A71" s="71" t="n">
        <x:v>3</x:v>
      </x:c>
      <x:c r="B71" s="71" t="str">
        <x:v>wave_04</x:v>
      </x:c>
      <x:c r="C71" s="71" t="n">
        <x:v>4</x:v>
      </x:c>
      <x:c r="D71" s="71" t="n">
        <x:v>1</x:v>
      </x:c>
      <x:c r="E71" s="71" t="n">
        <x:v>4</x:v>
      </x:c>
      <x:c r="F71" s="71" t="str">
        <x:v>夜晚</x:v>
      </x:c>
      <x:c r="G71" s="71" t="str">
        <x:f>'第1日'!B90</x:f>
        <x:v>第4波 林地合围</x:v>
      </x:c>
      <x:c r="H71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1" s="71" t="n">
        <x:f>'第1日'!E90</x:f>
        <x:v>0.1</x:v>
      </x:c>
      <x:c r="J71" s="71" t="n">
        <x:f>'第1日'!G90</x:f>
        <x:v>1</x:v>
      </x:c>
      <x:c r="K71" s="71" t="n">
        <x:f>'第1日'!I90</x:f>
        <x:v>300</x:v>
      </x:c>
      <x:c r="L71" s="71" t="str">
        <x:v>res://resources/audio/shenmu_forest_combat.ogg</x:v>
      </x:c>
      <x:c r="M71" s="71" t="str">
        <x:v>res://resources/audio/shenmu_forest_intermission.ogg</x:v>
      </x:c>
      <x:c r="N71" s="71" t="b">
        <x:f>'第1日'!I91="待设计"</x:f>
        <x:v>1</x:v>
      </x:c>
      <x:c r="O71" s="71" t="n">
        <x:v>13</x:v>
      </x:c>
      <x:c r="P71" s="71" t="str">
        <x:f>IF('第1日'!B106="","",IFERROR(VLOOKUP('第1日'!B106,'敌人目录'!$A$6:$B$54,2,FALSE),""))</x:f>
      </x:c>
      <x:c r="Q71" s="71" t="str">
        <x:f>IF('第1日'!B106="","",'第1日'!C106)</x:f>
      </x:c>
      <x:c r="R71" s="71" t="n">
        <x:v>-1</x:v>
      </x:c>
      <x:c r="S71" s="71" t="str">
        <x:f>IF('第1日'!B106="","",'第1日'!I106)</x:f>
      </x:c>
    </x:row>
    <x:row r="72">
      <x:c r="A72" s="71" t="n">
        <x:v>3</x:v>
      </x:c>
      <x:c r="B72" s="71" t="str">
        <x:v>wave_04</x:v>
      </x:c>
      <x:c r="C72" s="71" t="n">
        <x:v>4</x:v>
      </x:c>
      <x:c r="D72" s="71" t="n">
        <x:v>1</x:v>
      </x:c>
      <x:c r="E72" s="71" t="n">
        <x:v>4</x:v>
      </x:c>
      <x:c r="F72" s="71" t="str">
        <x:v>夜晚</x:v>
      </x:c>
      <x:c r="G72" s="71" t="str">
        <x:f>'第1日'!B90</x:f>
        <x:v>第4波 林地合围</x:v>
      </x:c>
      <x:c r="H72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2" s="71" t="n">
        <x:f>'第1日'!E90</x:f>
        <x:v>0.1</x:v>
      </x:c>
      <x:c r="J72" s="71" t="n">
        <x:f>'第1日'!G90</x:f>
        <x:v>1</x:v>
      </x:c>
      <x:c r="K72" s="71" t="n">
        <x:f>'第1日'!I90</x:f>
        <x:v>300</x:v>
      </x:c>
      <x:c r="L72" s="71" t="str">
        <x:v>res://resources/audio/shenmu_forest_combat.ogg</x:v>
      </x:c>
      <x:c r="M72" s="71" t="str">
        <x:v>res://resources/audio/shenmu_forest_intermission.ogg</x:v>
      </x:c>
      <x:c r="N72" s="71" t="b">
        <x:f>'第1日'!I91="待设计"</x:f>
        <x:v>1</x:v>
      </x:c>
      <x:c r="O72" s="71" t="n">
        <x:v>14</x:v>
      </x:c>
      <x:c r="P72" s="71" t="str">
        <x:f>IF('第1日'!B107="","",IFERROR(VLOOKUP('第1日'!B107,'敌人目录'!$A$6:$B$54,2,FALSE),""))</x:f>
      </x:c>
      <x:c r="Q72" s="71" t="str">
        <x:f>IF('第1日'!B107="","",'第1日'!C107)</x:f>
      </x:c>
      <x:c r="R72" s="71" t="n">
        <x:v>-1</x:v>
      </x:c>
      <x:c r="S72" s="71" t="str">
        <x:f>IF('第1日'!B107="","",'第1日'!I107)</x:f>
      </x:c>
    </x:row>
    <x:row r="73">
      <x:c r="A73" s="71" t="n">
        <x:v>3</x:v>
      </x:c>
      <x:c r="B73" s="71" t="str">
        <x:v>wave_04</x:v>
      </x:c>
      <x:c r="C73" s="71" t="n">
        <x:v>4</x:v>
      </x:c>
      <x:c r="D73" s="71" t="n">
        <x:v>1</x:v>
      </x:c>
      <x:c r="E73" s="71" t="n">
        <x:v>4</x:v>
      </x:c>
      <x:c r="F73" s="71" t="str">
        <x:v>夜晚</x:v>
      </x:c>
      <x:c r="G73" s="71" t="str">
        <x:f>'第1日'!B90</x:f>
        <x:v>第4波 林地合围</x:v>
      </x:c>
      <x:c r="H73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3" s="71" t="n">
        <x:f>'第1日'!E90</x:f>
        <x:v>0.1</x:v>
      </x:c>
      <x:c r="J73" s="71" t="n">
        <x:f>'第1日'!G90</x:f>
        <x:v>1</x:v>
      </x:c>
      <x:c r="K73" s="71" t="n">
        <x:f>'第1日'!I90</x:f>
        <x:v>300</x:v>
      </x:c>
      <x:c r="L73" s="71" t="str">
        <x:v>res://resources/audio/shenmu_forest_combat.ogg</x:v>
      </x:c>
      <x:c r="M73" s="71" t="str">
        <x:v>res://resources/audio/shenmu_forest_intermission.ogg</x:v>
      </x:c>
      <x:c r="N73" s="71" t="b">
        <x:f>'第1日'!I91="待设计"</x:f>
        <x:v>1</x:v>
      </x:c>
      <x:c r="O73" s="71" t="n">
        <x:v>15</x:v>
      </x:c>
      <x:c r="P73" s="71" t="str">
        <x:f>IF('第1日'!B108="","",IFERROR(VLOOKUP('第1日'!B108,'敌人目录'!$A$6:$B$54,2,FALSE),""))</x:f>
      </x:c>
      <x:c r="Q73" s="71" t="str">
        <x:f>IF('第1日'!B108="","",'第1日'!C108)</x:f>
      </x:c>
      <x:c r="R73" s="71" t="n">
        <x:v>-1</x:v>
      </x:c>
      <x:c r="S73" s="71" t="str">
        <x:f>IF('第1日'!B108="","",'第1日'!I108)</x:f>
      </x:c>
    </x:row>
    <x:row r="74">
      <x:c r="A74" s="71" t="n">
        <x:v>3</x:v>
      </x:c>
      <x:c r="B74" s="71" t="str">
        <x:v>wave_04</x:v>
      </x:c>
      <x:c r="C74" s="71" t="n">
        <x:v>4</x:v>
      </x:c>
      <x:c r="D74" s="71" t="n">
        <x:v>1</x:v>
      </x:c>
      <x:c r="E74" s="71" t="n">
        <x:v>4</x:v>
      </x:c>
      <x:c r="F74" s="71" t="str">
        <x:v>夜晚</x:v>
      </x:c>
      <x:c r="G74" s="71" t="str">
        <x:f>'第1日'!B90</x:f>
        <x:v>第4波 林地合围</x:v>
      </x:c>
      <x:c r="H74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4" s="71" t="n">
        <x:f>'第1日'!E90</x:f>
        <x:v>0.1</x:v>
      </x:c>
      <x:c r="J74" s="71" t="n">
        <x:f>'第1日'!G90</x:f>
        <x:v>1</x:v>
      </x:c>
      <x:c r="K74" s="71" t="n">
        <x:f>'第1日'!I90</x:f>
        <x:v>300</x:v>
      </x:c>
      <x:c r="L74" s="71" t="str">
        <x:v>res://resources/audio/shenmu_forest_combat.ogg</x:v>
      </x:c>
      <x:c r="M74" s="71" t="str">
        <x:v>res://resources/audio/shenmu_forest_intermission.ogg</x:v>
      </x:c>
      <x:c r="N74" s="71" t="b">
        <x:f>'第1日'!I91="待设计"</x:f>
        <x:v>1</x:v>
      </x:c>
      <x:c r="O74" s="71" t="n">
        <x:v>16</x:v>
      </x:c>
      <x:c r="P74" s="71" t="str">
        <x:f>IF('第1日'!B109="","",IFERROR(VLOOKUP('第1日'!B109,'敌人目录'!$A$6:$B$54,2,FALSE),""))</x:f>
      </x:c>
      <x:c r="Q74" s="71" t="str">
        <x:f>IF('第1日'!B109="","",'第1日'!C109)</x:f>
      </x:c>
      <x:c r="R74" s="71" t="n">
        <x:v>-1</x:v>
      </x:c>
      <x:c r="S74" s="71" t="str">
        <x:f>IF('第1日'!B109="","",'第1日'!I109)</x:f>
      </x:c>
    </x:row>
    <x:row r="75">
      <x:c r="A75" s="71" t="n">
        <x:v>3</x:v>
      </x:c>
      <x:c r="B75" s="71" t="str">
        <x:v>wave_04</x:v>
      </x:c>
      <x:c r="C75" s="71" t="n">
        <x:v>4</x:v>
      </x:c>
      <x:c r="D75" s="71" t="n">
        <x:v>1</x:v>
      </x:c>
      <x:c r="E75" s="71" t="n">
        <x:v>4</x:v>
      </x:c>
      <x:c r="F75" s="71" t="str">
        <x:v>夜晚</x:v>
      </x:c>
      <x:c r="G75" s="71" t="str">
        <x:f>'第1日'!B90</x:f>
        <x:v>第4波 林地合围</x:v>
      </x:c>
      <x:c r="H75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5" s="71" t="n">
        <x:f>'第1日'!E90</x:f>
        <x:v>0.1</x:v>
      </x:c>
      <x:c r="J75" s="71" t="n">
        <x:f>'第1日'!G90</x:f>
        <x:v>1</x:v>
      </x:c>
      <x:c r="K75" s="71" t="n">
        <x:f>'第1日'!I90</x:f>
        <x:v>300</x:v>
      </x:c>
      <x:c r="L75" s="71" t="str">
        <x:v>res://resources/audio/shenmu_forest_combat.ogg</x:v>
      </x:c>
      <x:c r="M75" s="71" t="str">
        <x:v>res://resources/audio/shenmu_forest_intermission.ogg</x:v>
      </x:c>
      <x:c r="N75" s="71" t="b">
        <x:f>'第1日'!I91="待设计"</x:f>
        <x:v>1</x:v>
      </x:c>
      <x:c r="O75" s="71" t="n">
        <x:v>17</x:v>
      </x:c>
      <x:c r="P75" s="71" t="str">
        <x:f>IF('第1日'!B110="","",IFERROR(VLOOKUP('第1日'!B110,'敌人目录'!$A$6:$B$54,2,FALSE),""))</x:f>
      </x:c>
      <x:c r="Q75" s="71" t="str">
        <x:f>IF('第1日'!B110="","",'第1日'!C110)</x:f>
      </x:c>
      <x:c r="R75" s="71" t="n">
        <x:v>-1</x:v>
      </x:c>
      <x:c r="S75" s="71" t="str">
        <x:f>IF('第1日'!B110="","",'第1日'!I110)</x:f>
      </x:c>
    </x:row>
    <x:row r="76">
      <x:c r="A76" s="71" t="n">
        <x:v>3</x:v>
      </x:c>
      <x:c r="B76" s="71" t="str">
        <x:v>wave_04</x:v>
      </x:c>
      <x:c r="C76" s="71" t="n">
        <x:v>4</x:v>
      </x:c>
      <x:c r="D76" s="71" t="n">
        <x:v>1</x:v>
      </x:c>
      <x:c r="E76" s="71" t="n">
        <x:v>4</x:v>
      </x:c>
      <x:c r="F76" s="71" t="str">
        <x:v>夜晚</x:v>
      </x:c>
      <x:c r="G76" s="71" t="str">
        <x:f>'第1日'!B90</x:f>
        <x:v>第4波 林地合围</x:v>
      </x:c>
      <x:c r="H76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6" s="71" t="n">
        <x:f>'第1日'!E90</x:f>
        <x:v>0.1</x:v>
      </x:c>
      <x:c r="J76" s="71" t="n">
        <x:f>'第1日'!G90</x:f>
        <x:v>1</x:v>
      </x:c>
      <x:c r="K76" s="71" t="n">
        <x:f>'第1日'!I90</x:f>
        <x:v>300</x:v>
      </x:c>
      <x:c r="L76" s="71" t="str">
        <x:v>res://resources/audio/shenmu_forest_combat.ogg</x:v>
      </x:c>
      <x:c r="M76" s="71" t="str">
        <x:v>res://resources/audio/shenmu_forest_intermission.ogg</x:v>
      </x:c>
      <x:c r="N76" s="71" t="b">
        <x:f>'第1日'!I91="待设计"</x:f>
        <x:v>1</x:v>
      </x:c>
      <x:c r="O76" s="71" t="n">
        <x:v>18</x:v>
      </x:c>
      <x:c r="P76" s="71" t="str">
        <x:f>IF('第1日'!B111="","",IFERROR(VLOOKUP('第1日'!B111,'敌人目录'!$A$6:$B$54,2,FALSE),""))</x:f>
      </x:c>
      <x:c r="Q76" s="71" t="str">
        <x:f>IF('第1日'!B111="","",'第1日'!C111)</x:f>
      </x:c>
      <x:c r="R76" s="71" t="n">
        <x:v>-1</x:v>
      </x:c>
      <x:c r="S76" s="71" t="str">
        <x:f>IF('第1日'!B111="","",'第1日'!I111)</x:f>
      </x:c>
    </x:row>
    <x:row r="77">
      <x:c r="A77" s="71" t="n">
        <x:v>3</x:v>
      </x:c>
      <x:c r="B77" s="71" t="str">
        <x:v>wave_05</x:v>
      </x:c>
      <x:c r="C77" s="71" t="n">
        <x:v>5</x:v>
      </x:c>
      <x:c r="D77" s="71" t="n">
        <x:v>2</x:v>
      </x:c>
      <x:c r="E77" s="71" t="n">
        <x:v>1</x:v>
      </x:c>
      <x:c r="F77" s="71" t="str">
        <x:v>白昼</x:v>
      </x:c>
      <x:c r="G77" s="71" t="str">
        <x:f>'第2日'!B3</x:f>
        <x:v>第5波 沼泽先遣</x:v>
      </x:c>
      <x:c r="H77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77" s="71" t="n">
        <x:f>'第2日'!E3</x:f>
        <x:v>0.45</x:v>
      </x:c>
      <x:c r="J77" s="71" t="n">
        <x:f>'第2日'!G3</x:f>
        <x:v>1</x:v>
      </x:c>
      <x:c r="K77" s="71" t="n">
        <x:f>'第2日'!I3</x:f>
        <x:v>300</x:v>
      </x:c>
      <x:c r="L77" s="71" t="str">
        <x:v>res://resources/audio/shenmu_swamp_combat.ogg</x:v>
      </x:c>
      <x:c r="M77" s="71" t="str">
        <x:v>res://resources/audio/shenmu_swamp_intermission.ogg</x:v>
      </x:c>
      <x:c r="N77" s="71" t="b">
        <x:f>'第2日'!I4="待设计"</x:f>
        <x:v>0</x:v>
      </x:c>
      <x:c r="O77" s="71" t="n">
        <x:v>1</x:v>
      </x:c>
      <x:c r="P77" s="71" t="str">
        <x:f>IF('第2日'!B7="","",IFERROR(VLOOKUP('第2日'!B7,'敌人目录'!$A$6:$B$54,2,FALSE),""))</x:f>
        <x:v>yuanshi_insect_basic</x:v>
      </x:c>
      <x:c r="Q77" s="71" t="n">
        <x:f>IF('第2日'!B7="","",'第2日'!C7)</x:f>
        <x:v>28</x:v>
      </x:c>
      <x:c r="R77" s="71" t="n">
        <x:v>-1</x:v>
      </x:c>
      <x:c r="S77" s="71" t="str">
        <x:f>IF('第2日'!B7="","",'第2日'!I7)</x:f>
        <x:v>可回读</x:v>
      </x:c>
    </x:row>
    <x:row r="78">
      <x:c r="A78" s="71" t="n">
        <x:v>3</x:v>
      </x:c>
      <x:c r="B78" s="71" t="str">
        <x:v>wave_05</x:v>
      </x:c>
      <x:c r="C78" s="71" t="n">
        <x:v>5</x:v>
      </x:c>
      <x:c r="D78" s="71" t="n">
        <x:v>2</x:v>
      </x:c>
      <x:c r="E78" s="71" t="n">
        <x:v>1</x:v>
      </x:c>
      <x:c r="F78" s="71" t="str">
        <x:v>白昼</x:v>
      </x:c>
      <x:c r="G78" s="71" t="str">
        <x:f>'第2日'!B3</x:f>
        <x:v>第5波 沼泽先遣</x:v>
      </x:c>
      <x:c r="H78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78" s="71" t="n">
        <x:f>'第2日'!E3</x:f>
        <x:v>0.45</x:v>
      </x:c>
      <x:c r="J78" s="71" t="n">
        <x:f>'第2日'!G3</x:f>
        <x:v>1</x:v>
      </x:c>
      <x:c r="K78" s="71" t="n">
        <x:f>'第2日'!I3</x:f>
        <x:v>300</x:v>
      </x:c>
      <x:c r="L78" s="71" t="str">
        <x:v>res://resources/audio/shenmu_swamp_combat.ogg</x:v>
      </x:c>
      <x:c r="M78" s="71" t="str">
        <x:v>res://resources/audio/shenmu_swamp_intermission.ogg</x:v>
      </x:c>
      <x:c r="N78" s="71" t="b">
        <x:f>'第2日'!I4="待设计"</x:f>
        <x:v>0</x:v>
      </x:c>
      <x:c r="O78" s="71" t="n">
        <x:v>2</x:v>
      </x:c>
      <x:c r="P78" s="71" t="str">
        <x:f>IF('第2日'!B8="","",IFERROR(VLOOKUP('第2日'!B8,'敌人目录'!$A$6:$B$54,2,FALSE),""))</x:f>
        <x:v>yuanshi_insect_fast</x:v>
      </x:c>
      <x:c r="Q78" s="71" t="n">
        <x:f>IF('第2日'!B8="","",'第2日'!C8)</x:f>
        <x:v>20</x:v>
      </x:c>
      <x:c r="R78" s="71" t="n">
        <x:v>-1</x:v>
      </x:c>
      <x:c r="S78" s="71" t="str">
        <x:f>IF('第2日'!B8="","",'第2日'!I8)</x:f>
        <x:v>可回读</x:v>
      </x:c>
    </x:row>
    <x:row r="79">
      <x:c r="A79" s="71" t="n">
        <x:v>3</x:v>
      </x:c>
      <x:c r="B79" s="71" t="str">
        <x:v>wave_05</x:v>
      </x:c>
      <x:c r="C79" s="71" t="n">
        <x:v>5</x:v>
      </x:c>
      <x:c r="D79" s="71" t="n">
        <x:v>2</x:v>
      </x:c>
      <x:c r="E79" s="71" t="n">
        <x:v>1</x:v>
      </x:c>
      <x:c r="F79" s="71" t="str">
        <x:v>白昼</x:v>
      </x:c>
      <x:c r="G79" s="71" t="str">
        <x:f>'第2日'!B3</x:f>
        <x:v>第5波 沼泽先遣</x:v>
      </x:c>
      <x:c r="H79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79" s="71" t="n">
        <x:f>'第2日'!E3</x:f>
        <x:v>0.45</x:v>
      </x:c>
      <x:c r="J79" s="71" t="n">
        <x:f>'第2日'!G3</x:f>
        <x:v>1</x:v>
      </x:c>
      <x:c r="K79" s="71" t="n">
        <x:f>'第2日'!I3</x:f>
        <x:v>300</x:v>
      </x:c>
      <x:c r="L79" s="71" t="str">
        <x:v>res://resources/audio/shenmu_swamp_combat.ogg</x:v>
      </x:c>
      <x:c r="M79" s="71" t="str">
        <x:v>res://resources/audio/shenmu_swamp_intermission.ogg</x:v>
      </x:c>
      <x:c r="N79" s="71" t="b">
        <x:f>'第2日'!I4="待设计"</x:f>
        <x:v>0</x:v>
      </x:c>
      <x:c r="O79" s="71" t="n">
        <x:v>3</x:v>
      </x:c>
      <x:c r="P79" s="71" t="str">
        <x:f>IF('第2日'!B9="","",IFERROR(VLOOKUP('第2日'!B9,'敌人目录'!$A$6:$B$54,2,FALSE),""))</x:f>
        <x:v>yuanshi_insect_shell</x:v>
      </x:c>
      <x:c r="Q79" s="71" t="n">
        <x:f>IF('第2日'!B9="","",'第2日'!C9)</x:f>
        <x:v>12</x:v>
      </x:c>
      <x:c r="R79" s="71" t="n">
        <x:v>-1</x:v>
      </x:c>
      <x:c r="S79" s="71" t="str">
        <x:f>IF('第2日'!B9="","",'第2日'!I9)</x:f>
        <x:v>可回读</x:v>
      </x:c>
    </x:row>
    <x:row r="80">
      <x:c r="A80" s="71" t="n">
        <x:v>3</x:v>
      </x:c>
      <x:c r="B80" s="71" t="str">
        <x:v>wave_05</x:v>
      </x:c>
      <x:c r="C80" s="71" t="n">
        <x:v>5</x:v>
      </x:c>
      <x:c r="D80" s="71" t="n">
        <x:v>2</x:v>
      </x:c>
      <x:c r="E80" s="71" t="n">
        <x:v>1</x:v>
      </x:c>
      <x:c r="F80" s="71" t="str">
        <x:v>白昼</x:v>
      </x:c>
      <x:c r="G80" s="71" t="str">
        <x:f>'第2日'!B3</x:f>
        <x:v>第5波 沼泽先遣</x:v>
      </x:c>
      <x:c r="H80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0" s="71" t="n">
        <x:f>'第2日'!E3</x:f>
        <x:v>0.45</x:v>
      </x:c>
      <x:c r="J80" s="71" t="n">
        <x:f>'第2日'!G3</x:f>
        <x:v>1</x:v>
      </x:c>
      <x:c r="K80" s="71" t="n">
        <x:f>'第2日'!I3</x:f>
        <x:v>300</x:v>
      </x:c>
      <x:c r="L80" s="71" t="str">
        <x:v>res://resources/audio/shenmu_swamp_combat.ogg</x:v>
      </x:c>
      <x:c r="M80" s="71" t="str">
        <x:v>res://resources/audio/shenmu_swamp_intermission.ogg</x:v>
      </x:c>
      <x:c r="N80" s="71" t="b">
        <x:f>'第2日'!I4="待设计"</x:f>
        <x:v>0</x:v>
      </x:c>
      <x:c r="O80" s="71" t="n">
        <x:v>4</x:v>
      </x:c>
      <x:c r="P80" s="71" t="str">
        <x:f>IF('第2日'!B10="","",IFERROR(VLOOKUP('第2日'!B10,'敌人目录'!$A$6:$B$54,2,FALSE),""))</x:f>
        <x:v>yuanshi_insect_bomber</x:v>
      </x:c>
      <x:c r="Q80" s="71" t="n">
        <x:f>IF('第2日'!B10="","",'第2日'!C10)</x:f>
        <x:v>8</x:v>
      </x:c>
      <x:c r="R80" s="71" t="n">
        <x:v>-1</x:v>
      </x:c>
      <x:c r="S80" s="71" t="str">
        <x:f>IF('第2日'!B10="","",'第2日'!I10)</x:f>
        <x:v>可回读</x:v>
      </x:c>
    </x:row>
    <x:row r="81">
      <x:c r="A81" s="71" t="n">
        <x:v>3</x:v>
      </x:c>
      <x:c r="B81" s="71" t="str">
        <x:v>wave_05</x:v>
      </x:c>
      <x:c r="C81" s="71" t="n">
        <x:v>5</x:v>
      </x:c>
      <x:c r="D81" s="71" t="n">
        <x:v>2</x:v>
      </x:c>
      <x:c r="E81" s="71" t="n">
        <x:v>1</x:v>
      </x:c>
      <x:c r="F81" s="71" t="str">
        <x:v>白昼</x:v>
      </x:c>
      <x:c r="G81" s="71" t="str">
        <x:f>'第2日'!B3</x:f>
        <x:v>第5波 沼泽先遣</x:v>
      </x:c>
      <x:c r="H81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1" s="71" t="n">
        <x:f>'第2日'!E3</x:f>
        <x:v>0.45</x:v>
      </x:c>
      <x:c r="J81" s="71" t="n">
        <x:f>'第2日'!G3</x:f>
        <x:v>1</x:v>
      </x:c>
      <x:c r="K81" s="71" t="n">
        <x:f>'第2日'!I3</x:f>
        <x:v>300</x:v>
      </x:c>
      <x:c r="L81" s="71" t="str">
        <x:v>res://resources/audio/shenmu_swamp_combat.ogg</x:v>
      </x:c>
      <x:c r="M81" s="71" t="str">
        <x:v>res://resources/audio/shenmu_swamp_intermission.ogg</x:v>
      </x:c>
      <x:c r="N81" s="71" t="b">
        <x:f>'第2日'!I4="待设计"</x:f>
        <x:v>0</x:v>
      </x:c>
      <x:c r="O81" s="71" t="n">
        <x:v>5</x:v>
      </x:c>
      <x:c r="P81" s="71" t="str">
        <x:f>IF('第2日'!B11="","",IFERROR(VLOOKUP('第2日'!B11,'敌人目录'!$A$6:$B$54,2,FALSE),""))</x:f>
        <x:v>yuanshi_insect_fire_ranged</x:v>
      </x:c>
      <x:c r="Q81" s="71" t="n">
        <x:f>IF('第2日'!B11="","",'第2日'!C11)</x:f>
        <x:v>8</x:v>
      </x:c>
      <x:c r="R81" s="71" t="n">
        <x:v>-1</x:v>
      </x:c>
      <x:c r="S81" s="71" t="str">
        <x:f>IF('第2日'!B11="","",'第2日'!I11)</x:f>
        <x:v>可回读</x:v>
      </x:c>
    </x:row>
    <x:row r="82">
      <x:c r="A82" s="71" t="n">
        <x:v>3</x:v>
      </x:c>
      <x:c r="B82" s="71" t="str">
        <x:v>wave_05</x:v>
      </x:c>
      <x:c r="C82" s="71" t="n">
        <x:v>5</x:v>
      </x:c>
      <x:c r="D82" s="71" t="n">
        <x:v>2</x:v>
      </x:c>
      <x:c r="E82" s="71" t="n">
        <x:v>1</x:v>
      </x:c>
      <x:c r="F82" s="71" t="str">
        <x:v>白昼</x:v>
      </x:c>
      <x:c r="G82" s="71" t="str">
        <x:f>'第2日'!B3</x:f>
        <x:v>第5波 沼泽先遣</x:v>
      </x:c>
      <x:c r="H82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2" s="71" t="n">
        <x:f>'第2日'!E3</x:f>
        <x:v>0.45</x:v>
      </x:c>
      <x:c r="J82" s="71" t="n">
        <x:f>'第2日'!G3</x:f>
        <x:v>1</x:v>
      </x:c>
      <x:c r="K82" s="71" t="n">
        <x:f>'第2日'!I3</x:f>
        <x:v>300</x:v>
      </x:c>
      <x:c r="L82" s="71" t="str">
        <x:v>res://resources/audio/shenmu_swamp_combat.ogg</x:v>
      </x:c>
      <x:c r="M82" s="71" t="str">
        <x:v>res://resources/audio/shenmu_swamp_intermission.ogg</x:v>
      </x:c>
      <x:c r="N82" s="71" t="b">
        <x:f>'第2日'!I4="待设计"</x:f>
        <x:v>0</x:v>
      </x:c>
      <x:c r="O82" s="71" t="n">
        <x:v>6</x:v>
      </x:c>
      <x:c r="P82" s="71" t="str">
        <x:f>IF('第2日'!B12="","",IFERROR(VLOOKUP('第2日'!B12,'敌人目录'!$A$6:$B$54,2,FALSE),""))</x:f>
        <x:v>yuanshi_insect_guardian</x:v>
      </x:c>
      <x:c r="Q82" s="71" t="n">
        <x:f>IF('第2日'!B12="","",'第2日'!C12)</x:f>
        <x:v>4</x:v>
      </x:c>
      <x:c r="R82" s="71" t="n">
        <x:v>-1</x:v>
      </x:c>
      <x:c r="S82" s="71" t="str">
        <x:f>IF('第2日'!B12="","",'第2日'!I12)</x:f>
        <x:v>可回读</x:v>
      </x:c>
    </x:row>
    <x:row r="83">
      <x:c r="A83" s="71" t="n">
        <x:v>3</x:v>
      </x:c>
      <x:c r="B83" s="71" t="str">
        <x:v>wave_05</x:v>
      </x:c>
      <x:c r="C83" s="71" t="n">
        <x:v>5</x:v>
      </x:c>
      <x:c r="D83" s="71" t="n">
        <x:v>2</x:v>
      </x:c>
      <x:c r="E83" s="71" t="n">
        <x:v>1</x:v>
      </x:c>
      <x:c r="F83" s="71" t="str">
        <x:v>白昼</x:v>
      </x:c>
      <x:c r="G83" s="71" t="str">
        <x:f>'第2日'!B3</x:f>
        <x:v>第5波 沼泽先遣</x:v>
      </x:c>
      <x:c r="H83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3" s="71" t="n">
        <x:f>'第2日'!E3</x:f>
        <x:v>0.45</x:v>
      </x:c>
      <x:c r="J83" s="71" t="n">
        <x:f>'第2日'!G3</x:f>
        <x:v>1</x:v>
      </x:c>
      <x:c r="K83" s="71" t="n">
        <x:f>'第2日'!I3</x:f>
        <x:v>300</x:v>
      </x:c>
      <x:c r="L83" s="71" t="str">
        <x:v>res://resources/audio/shenmu_swamp_combat.ogg</x:v>
      </x:c>
      <x:c r="M83" s="71" t="str">
        <x:v>res://resources/audio/shenmu_swamp_intermission.ogg</x:v>
      </x:c>
      <x:c r="N83" s="71" t="b">
        <x:f>'第2日'!I4="待设计"</x:f>
        <x:v>0</x:v>
      </x:c>
      <x:c r="O83" s="71" t="n">
        <x:v>7</x:v>
      </x:c>
      <x:c r="P83" s="71" t="str">
        <x:f>IF('第2日'!B13="","",IFERROR(VLOOKUP('第2日'!B13,'敌人目录'!$A$6:$B$54,2,FALSE),""))</x:f>
      </x:c>
      <x:c r="Q83" s="71" t="str">
        <x:f>IF('第2日'!B13="","",'第2日'!C13)</x:f>
      </x:c>
      <x:c r="R83" s="71" t="n">
        <x:v>-1</x:v>
      </x:c>
      <x:c r="S83" s="71" t="str">
        <x:f>IF('第2日'!B13="","",'第2日'!I13)</x:f>
      </x:c>
    </x:row>
    <x:row r="84">
      <x:c r="A84" s="71" t="n">
        <x:v>3</x:v>
      </x:c>
      <x:c r="B84" s="71" t="str">
        <x:v>wave_05</x:v>
      </x:c>
      <x:c r="C84" s="71" t="n">
        <x:v>5</x:v>
      </x:c>
      <x:c r="D84" s="71" t="n">
        <x:v>2</x:v>
      </x:c>
      <x:c r="E84" s="71" t="n">
        <x:v>1</x:v>
      </x:c>
      <x:c r="F84" s="71" t="str">
        <x:v>白昼</x:v>
      </x:c>
      <x:c r="G84" s="71" t="str">
        <x:f>'第2日'!B3</x:f>
        <x:v>第5波 沼泽先遣</x:v>
      </x:c>
      <x:c r="H84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4" s="71" t="n">
        <x:f>'第2日'!E3</x:f>
        <x:v>0.45</x:v>
      </x:c>
      <x:c r="J84" s="71" t="n">
        <x:f>'第2日'!G3</x:f>
        <x:v>1</x:v>
      </x:c>
      <x:c r="K84" s="71" t="n">
        <x:f>'第2日'!I3</x:f>
        <x:v>300</x:v>
      </x:c>
      <x:c r="L84" s="71" t="str">
        <x:v>res://resources/audio/shenmu_swamp_combat.ogg</x:v>
      </x:c>
      <x:c r="M84" s="71" t="str">
        <x:v>res://resources/audio/shenmu_swamp_intermission.ogg</x:v>
      </x:c>
      <x:c r="N84" s="71" t="b">
        <x:f>'第2日'!I4="待设计"</x:f>
        <x:v>0</x:v>
      </x:c>
      <x:c r="O84" s="71" t="n">
        <x:v>8</x:v>
      </x:c>
      <x:c r="P84" s="71" t="str">
        <x:f>IF('第2日'!B14="","",IFERROR(VLOOKUP('第2日'!B14,'敌人目录'!$A$6:$B$54,2,FALSE),""))</x:f>
      </x:c>
      <x:c r="Q84" s="71" t="str">
        <x:f>IF('第2日'!B14="","",'第2日'!C14)</x:f>
      </x:c>
      <x:c r="R84" s="71" t="n">
        <x:v>-1</x:v>
      </x:c>
      <x:c r="S84" s="71" t="str">
        <x:f>IF('第2日'!B14="","",'第2日'!I14)</x:f>
      </x:c>
    </x:row>
    <x:row r="85">
      <x:c r="A85" s="71" t="n">
        <x:v>3</x:v>
      </x:c>
      <x:c r="B85" s="71" t="str">
        <x:v>wave_05</x:v>
      </x:c>
      <x:c r="C85" s="71" t="n">
        <x:v>5</x:v>
      </x:c>
      <x:c r="D85" s="71" t="n">
        <x:v>2</x:v>
      </x:c>
      <x:c r="E85" s="71" t="n">
        <x:v>1</x:v>
      </x:c>
      <x:c r="F85" s="71" t="str">
        <x:v>白昼</x:v>
      </x:c>
      <x:c r="G85" s="71" t="str">
        <x:f>'第2日'!B3</x:f>
        <x:v>第5波 沼泽先遣</x:v>
      </x:c>
      <x:c r="H85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5" s="71" t="n">
        <x:f>'第2日'!E3</x:f>
        <x:v>0.45</x:v>
      </x:c>
      <x:c r="J85" s="71" t="n">
        <x:f>'第2日'!G3</x:f>
        <x:v>1</x:v>
      </x:c>
      <x:c r="K85" s="71" t="n">
        <x:f>'第2日'!I3</x:f>
        <x:v>300</x:v>
      </x:c>
      <x:c r="L85" s="71" t="str">
        <x:v>res://resources/audio/shenmu_swamp_combat.ogg</x:v>
      </x:c>
      <x:c r="M85" s="71" t="str">
        <x:v>res://resources/audio/shenmu_swamp_intermission.ogg</x:v>
      </x:c>
      <x:c r="N85" s="71" t="b">
        <x:f>'第2日'!I4="待设计"</x:f>
        <x:v>0</x:v>
      </x:c>
      <x:c r="O85" s="71" t="n">
        <x:v>9</x:v>
      </x:c>
      <x:c r="P85" s="71" t="str">
        <x:f>IF('第2日'!B15="","",IFERROR(VLOOKUP('第2日'!B15,'敌人目录'!$A$6:$B$54,2,FALSE),""))</x:f>
      </x:c>
      <x:c r="Q85" s="71" t="str">
        <x:f>IF('第2日'!B15="","",'第2日'!C15)</x:f>
      </x:c>
      <x:c r="R85" s="71" t="n">
        <x:v>-1</x:v>
      </x:c>
      <x:c r="S85" s="71" t="str">
        <x:f>IF('第2日'!B15="","",'第2日'!I15)</x:f>
      </x:c>
    </x:row>
    <x:row r="86">
      <x:c r="A86" s="71" t="n">
        <x:v>3</x:v>
      </x:c>
      <x:c r="B86" s="71" t="str">
        <x:v>wave_05</x:v>
      </x:c>
      <x:c r="C86" s="71" t="n">
        <x:v>5</x:v>
      </x:c>
      <x:c r="D86" s="71" t="n">
        <x:v>2</x:v>
      </x:c>
      <x:c r="E86" s="71" t="n">
        <x:v>1</x:v>
      </x:c>
      <x:c r="F86" s="71" t="str">
        <x:v>白昼</x:v>
      </x:c>
      <x:c r="G86" s="71" t="str">
        <x:f>'第2日'!B3</x:f>
        <x:v>第5波 沼泽先遣</x:v>
      </x:c>
      <x:c r="H86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6" s="71" t="n">
        <x:f>'第2日'!E3</x:f>
        <x:v>0.45</x:v>
      </x:c>
      <x:c r="J86" s="71" t="n">
        <x:f>'第2日'!G3</x:f>
        <x:v>1</x:v>
      </x:c>
      <x:c r="K86" s="71" t="n">
        <x:f>'第2日'!I3</x:f>
        <x:v>300</x:v>
      </x:c>
      <x:c r="L86" s="71" t="str">
        <x:v>res://resources/audio/shenmu_swamp_combat.ogg</x:v>
      </x:c>
      <x:c r="M86" s="71" t="str">
        <x:v>res://resources/audio/shenmu_swamp_intermission.ogg</x:v>
      </x:c>
      <x:c r="N86" s="71" t="b">
        <x:f>'第2日'!I4="待设计"</x:f>
        <x:v>0</x:v>
      </x:c>
      <x:c r="O86" s="71" t="n">
        <x:v>10</x:v>
      </x:c>
      <x:c r="P86" s="71" t="str">
        <x:f>IF('第2日'!B16="","",IFERROR(VLOOKUP('第2日'!B16,'敌人目录'!$A$6:$B$54,2,FALSE),""))</x:f>
      </x:c>
      <x:c r="Q86" s="71" t="str">
        <x:f>IF('第2日'!B16="","",'第2日'!C16)</x:f>
      </x:c>
      <x:c r="R86" s="71" t="n">
        <x:v>-1</x:v>
      </x:c>
      <x:c r="S86" s="71" t="str">
        <x:f>IF('第2日'!B16="","",'第2日'!I16)</x:f>
      </x:c>
    </x:row>
    <x:row r="87">
      <x:c r="A87" s="71" t="n">
        <x:v>3</x:v>
      </x:c>
      <x:c r="B87" s="71" t="str">
        <x:v>wave_05</x:v>
      </x:c>
      <x:c r="C87" s="71" t="n">
        <x:v>5</x:v>
      </x:c>
      <x:c r="D87" s="71" t="n">
        <x:v>2</x:v>
      </x:c>
      <x:c r="E87" s="71" t="n">
        <x:v>1</x:v>
      </x:c>
      <x:c r="F87" s="71" t="str">
        <x:v>白昼</x:v>
      </x:c>
      <x:c r="G87" s="71" t="str">
        <x:f>'第2日'!B3</x:f>
        <x:v>第5波 沼泽先遣</x:v>
      </x:c>
      <x:c r="H87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7" s="71" t="n">
        <x:f>'第2日'!E3</x:f>
        <x:v>0.45</x:v>
      </x:c>
      <x:c r="J87" s="71" t="n">
        <x:f>'第2日'!G3</x:f>
        <x:v>1</x:v>
      </x:c>
      <x:c r="K87" s="71" t="n">
        <x:f>'第2日'!I3</x:f>
        <x:v>300</x:v>
      </x:c>
      <x:c r="L87" s="71" t="str">
        <x:v>res://resources/audio/shenmu_swamp_combat.ogg</x:v>
      </x:c>
      <x:c r="M87" s="71" t="str">
        <x:v>res://resources/audio/shenmu_swamp_intermission.ogg</x:v>
      </x:c>
      <x:c r="N87" s="71" t="b">
        <x:f>'第2日'!I4="待设计"</x:f>
        <x:v>0</x:v>
      </x:c>
      <x:c r="O87" s="71" t="n">
        <x:v>11</x:v>
      </x:c>
      <x:c r="P87" s="71" t="str">
        <x:f>IF('第2日'!B17="","",IFERROR(VLOOKUP('第2日'!B17,'敌人目录'!$A$6:$B$54,2,FALSE),""))</x:f>
      </x:c>
      <x:c r="Q87" s="71" t="str">
        <x:f>IF('第2日'!B17="","",'第2日'!C17)</x:f>
      </x:c>
      <x:c r="R87" s="71" t="n">
        <x:v>-1</x:v>
      </x:c>
      <x:c r="S87" s="71" t="str">
        <x:f>IF('第2日'!B17="","",'第2日'!I17)</x:f>
      </x:c>
    </x:row>
    <x:row r="88">
      <x:c r="A88" s="71" t="n">
        <x:v>3</x:v>
      </x:c>
      <x:c r="B88" s="71" t="str">
        <x:v>wave_05</x:v>
      </x:c>
      <x:c r="C88" s="71" t="n">
        <x:v>5</x:v>
      </x:c>
      <x:c r="D88" s="71" t="n">
        <x:v>2</x:v>
      </x:c>
      <x:c r="E88" s="71" t="n">
        <x:v>1</x:v>
      </x:c>
      <x:c r="F88" s="71" t="str">
        <x:v>白昼</x:v>
      </x:c>
      <x:c r="G88" s="71" t="str">
        <x:f>'第2日'!B3</x:f>
        <x:v>第5波 沼泽先遣</x:v>
      </x:c>
      <x:c r="H88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8" s="71" t="n">
        <x:f>'第2日'!E3</x:f>
        <x:v>0.45</x:v>
      </x:c>
      <x:c r="J88" s="71" t="n">
        <x:f>'第2日'!G3</x:f>
        <x:v>1</x:v>
      </x:c>
      <x:c r="K88" s="71" t="n">
        <x:f>'第2日'!I3</x:f>
        <x:v>300</x:v>
      </x:c>
      <x:c r="L88" s="71" t="str">
        <x:v>res://resources/audio/shenmu_swamp_combat.ogg</x:v>
      </x:c>
      <x:c r="M88" s="71" t="str">
        <x:v>res://resources/audio/shenmu_swamp_intermission.ogg</x:v>
      </x:c>
      <x:c r="N88" s="71" t="b">
        <x:f>'第2日'!I4="待设计"</x:f>
        <x:v>0</x:v>
      </x:c>
      <x:c r="O88" s="71" t="n">
        <x:v>12</x:v>
      </x:c>
      <x:c r="P88" s="71" t="str">
        <x:f>IF('第2日'!B18="","",IFERROR(VLOOKUP('第2日'!B18,'敌人目录'!$A$6:$B$54,2,FALSE),""))</x:f>
      </x:c>
      <x:c r="Q88" s="71" t="str">
        <x:f>IF('第2日'!B18="","",'第2日'!C18)</x:f>
      </x:c>
      <x:c r="R88" s="71" t="n">
        <x:v>-1</x:v>
      </x:c>
      <x:c r="S88" s="71" t="str">
        <x:f>IF('第2日'!B18="","",'第2日'!I18)</x:f>
      </x:c>
    </x:row>
    <x:row r="89">
      <x:c r="A89" s="71" t="n">
        <x:v>3</x:v>
      </x:c>
      <x:c r="B89" s="71" t="str">
        <x:v>wave_05</x:v>
      </x:c>
      <x:c r="C89" s="71" t="n">
        <x:v>5</x:v>
      </x:c>
      <x:c r="D89" s="71" t="n">
        <x:v>2</x:v>
      </x:c>
      <x:c r="E89" s="71" t="n">
        <x:v>1</x:v>
      </x:c>
      <x:c r="F89" s="71" t="str">
        <x:v>白昼</x:v>
      </x:c>
      <x:c r="G89" s="71" t="str">
        <x:f>'第2日'!B3</x:f>
        <x:v>第5波 沼泽先遣</x:v>
      </x:c>
      <x:c r="H89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9" s="71" t="n">
        <x:f>'第2日'!E3</x:f>
        <x:v>0.45</x:v>
      </x:c>
      <x:c r="J89" s="71" t="n">
        <x:f>'第2日'!G3</x:f>
        <x:v>1</x:v>
      </x:c>
      <x:c r="K89" s="71" t="n">
        <x:f>'第2日'!I3</x:f>
        <x:v>300</x:v>
      </x:c>
      <x:c r="L89" s="71" t="str">
        <x:v>res://resources/audio/shenmu_swamp_combat.ogg</x:v>
      </x:c>
      <x:c r="M89" s="71" t="str">
        <x:v>res://resources/audio/shenmu_swamp_intermission.ogg</x:v>
      </x:c>
      <x:c r="N89" s="71" t="b">
        <x:f>'第2日'!I4="待设计"</x:f>
        <x:v>0</x:v>
      </x:c>
      <x:c r="O89" s="71" t="n">
        <x:v>13</x:v>
      </x:c>
      <x:c r="P89" s="71" t="str">
        <x:f>IF('第2日'!B19="","",IFERROR(VLOOKUP('第2日'!B19,'敌人目录'!$A$6:$B$54,2,FALSE),""))</x:f>
      </x:c>
      <x:c r="Q89" s="71" t="str">
        <x:f>IF('第2日'!B19="","",'第2日'!C19)</x:f>
      </x:c>
      <x:c r="R89" s="71" t="n">
        <x:v>-1</x:v>
      </x:c>
      <x:c r="S89" s="71" t="str">
        <x:f>IF('第2日'!B19="","",'第2日'!I19)</x:f>
      </x:c>
    </x:row>
    <x:row r="90">
      <x:c r="A90" s="71" t="n">
        <x:v>3</x:v>
      </x:c>
      <x:c r="B90" s="71" t="str">
        <x:v>wave_05</x:v>
      </x:c>
      <x:c r="C90" s="71" t="n">
        <x:v>5</x:v>
      </x:c>
      <x:c r="D90" s="71" t="n">
        <x:v>2</x:v>
      </x:c>
      <x:c r="E90" s="71" t="n">
        <x:v>1</x:v>
      </x:c>
      <x:c r="F90" s="71" t="str">
        <x:v>白昼</x:v>
      </x:c>
      <x:c r="G90" s="71" t="str">
        <x:f>'第2日'!B3</x:f>
        <x:v>第5波 沼泽先遣</x:v>
      </x:c>
      <x:c r="H90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0" s="71" t="n">
        <x:f>'第2日'!E3</x:f>
        <x:v>0.45</x:v>
      </x:c>
      <x:c r="J90" s="71" t="n">
        <x:f>'第2日'!G3</x:f>
        <x:v>1</x:v>
      </x:c>
      <x:c r="K90" s="71" t="n">
        <x:f>'第2日'!I3</x:f>
        <x:v>300</x:v>
      </x:c>
      <x:c r="L90" s="71" t="str">
        <x:v>res://resources/audio/shenmu_swamp_combat.ogg</x:v>
      </x:c>
      <x:c r="M90" s="71" t="str">
        <x:v>res://resources/audio/shenmu_swamp_intermission.ogg</x:v>
      </x:c>
      <x:c r="N90" s="71" t="b">
        <x:f>'第2日'!I4="待设计"</x:f>
        <x:v>0</x:v>
      </x:c>
      <x:c r="O90" s="71" t="n">
        <x:v>14</x:v>
      </x:c>
      <x:c r="P90" s="71" t="str">
        <x:f>IF('第2日'!B20="","",IFERROR(VLOOKUP('第2日'!B20,'敌人目录'!$A$6:$B$54,2,FALSE),""))</x:f>
      </x:c>
      <x:c r="Q90" s="71" t="str">
        <x:f>IF('第2日'!B20="","",'第2日'!C20)</x:f>
      </x:c>
      <x:c r="R90" s="71" t="n">
        <x:v>-1</x:v>
      </x:c>
      <x:c r="S90" s="71" t="str">
        <x:f>IF('第2日'!B20="","",'第2日'!I20)</x:f>
      </x:c>
    </x:row>
    <x:row r="91">
      <x:c r="A91" s="71" t="n">
        <x:v>3</x:v>
      </x:c>
      <x:c r="B91" s="71" t="str">
        <x:v>wave_05</x:v>
      </x:c>
      <x:c r="C91" s="71" t="n">
        <x:v>5</x:v>
      </x:c>
      <x:c r="D91" s="71" t="n">
        <x:v>2</x:v>
      </x:c>
      <x:c r="E91" s="71" t="n">
        <x:v>1</x:v>
      </x:c>
      <x:c r="F91" s="71" t="str">
        <x:v>白昼</x:v>
      </x:c>
      <x:c r="G91" s="71" t="str">
        <x:f>'第2日'!B3</x:f>
        <x:v>第5波 沼泽先遣</x:v>
      </x:c>
      <x:c r="H91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1" s="71" t="n">
        <x:f>'第2日'!E3</x:f>
        <x:v>0.45</x:v>
      </x:c>
      <x:c r="J91" s="71" t="n">
        <x:f>'第2日'!G3</x:f>
        <x:v>1</x:v>
      </x:c>
      <x:c r="K91" s="71" t="n">
        <x:f>'第2日'!I3</x:f>
        <x:v>300</x:v>
      </x:c>
      <x:c r="L91" s="71" t="str">
        <x:v>res://resources/audio/shenmu_swamp_combat.ogg</x:v>
      </x:c>
      <x:c r="M91" s="71" t="str">
        <x:v>res://resources/audio/shenmu_swamp_intermission.ogg</x:v>
      </x:c>
      <x:c r="N91" s="71" t="b">
        <x:f>'第2日'!I4="待设计"</x:f>
        <x:v>0</x:v>
      </x:c>
      <x:c r="O91" s="71" t="n">
        <x:v>15</x:v>
      </x:c>
      <x:c r="P91" s="71" t="str">
        <x:f>IF('第2日'!B21="","",IFERROR(VLOOKUP('第2日'!B21,'敌人目录'!$A$6:$B$54,2,FALSE),""))</x:f>
      </x:c>
      <x:c r="Q91" s="71" t="str">
        <x:f>IF('第2日'!B21="","",'第2日'!C21)</x:f>
      </x:c>
      <x:c r="R91" s="71" t="n">
        <x:v>-1</x:v>
      </x:c>
      <x:c r="S91" s="71" t="str">
        <x:f>IF('第2日'!B21="","",'第2日'!I21)</x:f>
      </x:c>
    </x:row>
    <x:row r="92">
      <x:c r="A92" s="71" t="n">
        <x:v>3</x:v>
      </x:c>
      <x:c r="B92" s="71" t="str">
        <x:v>wave_05</x:v>
      </x:c>
      <x:c r="C92" s="71" t="n">
        <x:v>5</x:v>
      </x:c>
      <x:c r="D92" s="71" t="n">
        <x:v>2</x:v>
      </x:c>
      <x:c r="E92" s="71" t="n">
        <x:v>1</x:v>
      </x:c>
      <x:c r="F92" s="71" t="str">
        <x:v>白昼</x:v>
      </x:c>
      <x:c r="G92" s="71" t="str">
        <x:f>'第2日'!B3</x:f>
        <x:v>第5波 沼泽先遣</x:v>
      </x:c>
      <x:c r="H92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2" s="71" t="n">
        <x:f>'第2日'!E3</x:f>
        <x:v>0.45</x:v>
      </x:c>
      <x:c r="J92" s="71" t="n">
        <x:f>'第2日'!G3</x:f>
        <x:v>1</x:v>
      </x:c>
      <x:c r="K92" s="71" t="n">
        <x:f>'第2日'!I3</x:f>
        <x:v>300</x:v>
      </x:c>
      <x:c r="L92" s="71" t="str">
        <x:v>res://resources/audio/shenmu_swamp_combat.ogg</x:v>
      </x:c>
      <x:c r="M92" s="71" t="str">
        <x:v>res://resources/audio/shenmu_swamp_intermission.ogg</x:v>
      </x:c>
      <x:c r="N92" s="71" t="b">
        <x:f>'第2日'!I4="待设计"</x:f>
        <x:v>0</x:v>
      </x:c>
      <x:c r="O92" s="71" t="n">
        <x:v>16</x:v>
      </x:c>
      <x:c r="P92" s="71" t="str">
        <x:f>IF('第2日'!B22="","",IFERROR(VLOOKUP('第2日'!B22,'敌人目录'!$A$6:$B$54,2,FALSE),""))</x:f>
      </x:c>
      <x:c r="Q92" s="71" t="str">
        <x:f>IF('第2日'!B22="","",'第2日'!C22)</x:f>
      </x:c>
      <x:c r="R92" s="71" t="n">
        <x:v>-1</x:v>
      </x:c>
      <x:c r="S92" s="71" t="str">
        <x:f>IF('第2日'!B22="","",'第2日'!I22)</x:f>
      </x:c>
    </x:row>
    <x:row r="93">
      <x:c r="A93" s="71" t="n">
        <x:v>3</x:v>
      </x:c>
      <x:c r="B93" s="71" t="str">
        <x:v>wave_05</x:v>
      </x:c>
      <x:c r="C93" s="71" t="n">
        <x:v>5</x:v>
      </x:c>
      <x:c r="D93" s="71" t="n">
        <x:v>2</x:v>
      </x:c>
      <x:c r="E93" s="71" t="n">
        <x:v>1</x:v>
      </x:c>
      <x:c r="F93" s="71" t="str">
        <x:v>白昼</x:v>
      </x:c>
      <x:c r="G93" s="71" t="str">
        <x:f>'第2日'!B3</x:f>
        <x:v>第5波 沼泽先遣</x:v>
      </x:c>
      <x:c r="H93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3" s="71" t="n">
        <x:f>'第2日'!E3</x:f>
        <x:v>0.45</x:v>
      </x:c>
      <x:c r="J93" s="71" t="n">
        <x:f>'第2日'!G3</x:f>
        <x:v>1</x:v>
      </x:c>
      <x:c r="K93" s="71" t="n">
        <x:f>'第2日'!I3</x:f>
        <x:v>300</x:v>
      </x:c>
      <x:c r="L93" s="71" t="str">
        <x:v>res://resources/audio/shenmu_swamp_combat.ogg</x:v>
      </x:c>
      <x:c r="M93" s="71" t="str">
        <x:v>res://resources/audio/shenmu_swamp_intermission.ogg</x:v>
      </x:c>
      <x:c r="N93" s="71" t="b">
        <x:f>'第2日'!I4="待设计"</x:f>
        <x:v>0</x:v>
      </x:c>
      <x:c r="O93" s="71" t="n">
        <x:v>17</x:v>
      </x:c>
      <x:c r="P93" s="71" t="str">
        <x:f>IF('第2日'!B23="","",IFERROR(VLOOKUP('第2日'!B23,'敌人目录'!$A$6:$B$54,2,FALSE),""))</x:f>
      </x:c>
      <x:c r="Q93" s="71" t="str">
        <x:f>IF('第2日'!B23="","",'第2日'!C23)</x:f>
      </x:c>
      <x:c r="R93" s="71" t="n">
        <x:v>-1</x:v>
      </x:c>
      <x:c r="S93" s="71" t="str">
        <x:f>IF('第2日'!B23="","",'第2日'!I23)</x:f>
      </x:c>
    </x:row>
    <x:row r="94">
      <x:c r="A94" s="71" t="n">
        <x:v>3</x:v>
      </x:c>
      <x:c r="B94" s="71" t="str">
        <x:v>wave_05</x:v>
      </x:c>
      <x:c r="C94" s="71" t="n">
        <x:v>5</x:v>
      </x:c>
      <x:c r="D94" s="71" t="n">
        <x:v>2</x:v>
      </x:c>
      <x:c r="E94" s="71" t="n">
        <x:v>1</x:v>
      </x:c>
      <x:c r="F94" s="71" t="str">
        <x:v>白昼</x:v>
      </x:c>
      <x:c r="G94" s="71" t="str">
        <x:f>'第2日'!B3</x:f>
        <x:v>第5波 沼泽先遣</x:v>
      </x:c>
      <x:c r="H94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4" s="71" t="n">
        <x:f>'第2日'!E3</x:f>
        <x:v>0.45</x:v>
      </x:c>
      <x:c r="J94" s="71" t="n">
        <x:f>'第2日'!G3</x:f>
        <x:v>1</x:v>
      </x:c>
      <x:c r="K94" s="71" t="n">
        <x:f>'第2日'!I3</x:f>
        <x:v>300</x:v>
      </x:c>
      <x:c r="L94" s="71" t="str">
        <x:v>res://resources/audio/shenmu_swamp_combat.ogg</x:v>
      </x:c>
      <x:c r="M94" s="71" t="str">
        <x:v>res://resources/audio/shenmu_swamp_intermission.ogg</x:v>
      </x:c>
      <x:c r="N94" s="71" t="b">
        <x:f>'第2日'!I4="待设计"</x:f>
        <x:v>0</x:v>
      </x:c>
      <x:c r="O94" s="71" t="n">
        <x:v>18</x:v>
      </x:c>
      <x:c r="P94" s="71" t="str">
        <x:f>IF('第2日'!B24="","",IFERROR(VLOOKUP('第2日'!B24,'敌人目录'!$A$6:$B$54,2,FALSE),""))</x:f>
      </x:c>
      <x:c r="Q94" s="71" t="str">
        <x:f>IF('第2日'!B24="","",'第2日'!C24)</x:f>
      </x:c>
      <x:c r="R94" s="71" t="n">
        <x:v>-1</x:v>
      </x:c>
      <x:c r="S94" s="71" t="str">
        <x:f>IF('第2日'!B24="","",'第2日'!I24)</x:f>
      </x:c>
    </x:row>
    <x:row r="95">
      <x:c r="A95" s="71" t="n">
        <x:v>3</x:v>
      </x:c>
      <x:c r="B95" s="71" t="str">
        <x:v>wave_06</x:v>
      </x:c>
      <x:c r="C95" s="71" t="n">
        <x:v>6</x:v>
      </x:c>
      <x:c r="D95" s="71" t="n">
        <x:v>2</x:v>
      </x:c>
      <x:c r="E95" s="71" t="n">
        <x:v>2</x:v>
      </x:c>
      <x:c r="F95" s="71" t="str">
        <x:v>白昼</x:v>
      </x:c>
      <x:c r="G95" s="71" t="str">
        <x:f>'第2日'!B32</x:f>
        <x:v>第6波 守护阵列</x:v>
      </x:c>
      <x:c r="H95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5" s="71" t="n">
        <x:f>'第2日'!E32</x:f>
        <x:v>0.4</x:v>
      </x:c>
      <x:c r="J95" s="71" t="n">
        <x:f>'第2日'!G32</x:f>
        <x:v>1</x:v>
      </x:c>
      <x:c r="K95" s="71" t="n">
        <x:f>'第2日'!I32</x:f>
        <x:v>300</x:v>
      </x:c>
      <x:c r="L95" s="71" t="str">
        <x:v>res://resources/audio/shenmu_swamp_combat.ogg</x:v>
      </x:c>
      <x:c r="M95" s="71" t="str">
        <x:v>res://resources/audio/shenmu_swamp_intermission.ogg</x:v>
      </x:c>
      <x:c r="N95" s="71" t="b">
        <x:f>'第2日'!I33="待设计"</x:f>
        <x:v>0</x:v>
      </x:c>
      <x:c r="O95" s="71" t="n">
        <x:v>1</x:v>
      </x:c>
      <x:c r="P95" s="71" t="str">
        <x:f>IF('第2日'!B36="","",IFERROR(VLOOKUP('第2日'!B36,'敌人目录'!$A$6:$B$54,2,FALSE),""))</x:f>
        <x:v>yuanshi_insect_basic</x:v>
      </x:c>
      <x:c r="Q95" s="71" t="n">
        <x:f>IF('第2日'!B36="","",'第2日'!C36)</x:f>
        <x:v>28</x:v>
      </x:c>
      <x:c r="R95" s="71" t="n">
        <x:v>-1</x:v>
      </x:c>
      <x:c r="S95" s="71" t="str">
        <x:f>IF('第2日'!B36="","",'第2日'!I36)</x:f>
        <x:v>可回读</x:v>
      </x:c>
    </x:row>
    <x:row r="96">
      <x:c r="A96" s="71" t="n">
        <x:v>3</x:v>
      </x:c>
      <x:c r="B96" s="71" t="str">
        <x:v>wave_06</x:v>
      </x:c>
      <x:c r="C96" s="71" t="n">
        <x:v>6</x:v>
      </x:c>
      <x:c r="D96" s="71" t="n">
        <x:v>2</x:v>
      </x:c>
      <x:c r="E96" s="71" t="n">
        <x:v>2</x:v>
      </x:c>
      <x:c r="F96" s="71" t="str">
        <x:v>白昼</x:v>
      </x:c>
      <x:c r="G96" s="71" t="str">
        <x:f>'第2日'!B32</x:f>
        <x:v>第6波 守护阵列</x:v>
      </x:c>
      <x:c r="H96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6" s="71" t="n">
        <x:f>'第2日'!E32</x:f>
        <x:v>0.4</x:v>
      </x:c>
      <x:c r="J96" s="71" t="n">
        <x:f>'第2日'!G32</x:f>
        <x:v>1</x:v>
      </x:c>
      <x:c r="K96" s="71" t="n">
        <x:f>'第2日'!I32</x:f>
        <x:v>300</x:v>
      </x:c>
      <x:c r="L96" s="71" t="str">
        <x:v>res://resources/audio/shenmu_swamp_combat.ogg</x:v>
      </x:c>
      <x:c r="M96" s="71" t="str">
        <x:v>res://resources/audio/shenmu_swamp_intermission.ogg</x:v>
      </x:c>
      <x:c r="N96" s="71" t="b">
        <x:f>'第2日'!I33="待设计"</x:f>
        <x:v>0</x:v>
      </x:c>
      <x:c r="O96" s="71" t="n">
        <x:v>2</x:v>
      </x:c>
      <x:c r="P96" s="71" t="str">
        <x:f>IF('第2日'!B37="","",IFERROR(VLOOKUP('第2日'!B37,'敌人目录'!$A$6:$B$54,2,FALSE),""))</x:f>
        <x:v>yuanshi_insect_fast</x:v>
      </x:c>
      <x:c r="Q96" s="71" t="n">
        <x:f>IF('第2日'!B37="","",'第2日'!C37)</x:f>
        <x:v>24</x:v>
      </x:c>
      <x:c r="R96" s="71" t="n">
        <x:v>-1</x:v>
      </x:c>
      <x:c r="S96" s="71" t="str">
        <x:f>IF('第2日'!B37="","",'第2日'!I37)</x:f>
        <x:v>可回读</x:v>
      </x:c>
    </x:row>
    <x:row r="97">
      <x:c r="A97" s="71" t="n">
        <x:v>3</x:v>
      </x:c>
      <x:c r="B97" s="71" t="str">
        <x:v>wave_06</x:v>
      </x:c>
      <x:c r="C97" s="71" t="n">
        <x:v>6</x:v>
      </x:c>
      <x:c r="D97" s="71" t="n">
        <x:v>2</x:v>
      </x:c>
      <x:c r="E97" s="71" t="n">
        <x:v>2</x:v>
      </x:c>
      <x:c r="F97" s="71" t="str">
        <x:v>白昼</x:v>
      </x:c>
      <x:c r="G97" s="71" t="str">
        <x:f>'第2日'!B32</x:f>
        <x:v>第6波 守护阵列</x:v>
      </x:c>
      <x:c r="H97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7" s="71" t="n">
        <x:f>'第2日'!E32</x:f>
        <x:v>0.4</x:v>
      </x:c>
      <x:c r="J97" s="71" t="n">
        <x:f>'第2日'!G32</x:f>
        <x:v>1</x:v>
      </x:c>
      <x:c r="K97" s="71" t="n">
        <x:f>'第2日'!I32</x:f>
        <x:v>300</x:v>
      </x:c>
      <x:c r="L97" s="71" t="str">
        <x:v>res://resources/audio/shenmu_swamp_combat.ogg</x:v>
      </x:c>
      <x:c r="M97" s="71" t="str">
        <x:v>res://resources/audio/shenmu_swamp_intermission.ogg</x:v>
      </x:c>
      <x:c r="N97" s="71" t="b">
        <x:f>'第2日'!I33="待设计"</x:f>
        <x:v>0</x:v>
      </x:c>
      <x:c r="O97" s="71" t="n">
        <x:v>3</x:v>
      </x:c>
      <x:c r="P97" s="71" t="str">
        <x:f>IF('第2日'!B38="","",IFERROR(VLOOKUP('第2日'!B38,'敌人目录'!$A$6:$B$54,2,FALSE),""))</x:f>
        <x:v>yuanshi_insect_shell</x:v>
      </x:c>
      <x:c r="Q97" s="71" t="n">
        <x:f>IF('第2日'!B38="","",'第2日'!C38)</x:f>
        <x:v>12</x:v>
      </x:c>
      <x:c r="R97" s="71" t="n">
        <x:v>-1</x:v>
      </x:c>
      <x:c r="S97" s="71" t="str">
        <x:f>IF('第2日'!B38="","",'第2日'!I38)</x:f>
        <x:v>可回读</x:v>
      </x:c>
    </x:row>
    <x:row r="98">
      <x:c r="A98" s="71" t="n">
        <x:v>3</x:v>
      </x:c>
      <x:c r="B98" s="71" t="str">
        <x:v>wave_06</x:v>
      </x:c>
      <x:c r="C98" s="71" t="n">
        <x:v>6</x:v>
      </x:c>
      <x:c r="D98" s="71" t="n">
        <x:v>2</x:v>
      </x:c>
      <x:c r="E98" s="71" t="n">
        <x:v>2</x:v>
      </x:c>
      <x:c r="F98" s="71" t="str">
        <x:v>白昼</x:v>
      </x:c>
      <x:c r="G98" s="71" t="str">
        <x:f>'第2日'!B32</x:f>
        <x:v>第6波 守护阵列</x:v>
      </x:c>
      <x:c r="H98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8" s="71" t="n">
        <x:f>'第2日'!E32</x:f>
        <x:v>0.4</x:v>
      </x:c>
      <x:c r="J98" s="71" t="n">
        <x:f>'第2日'!G32</x:f>
        <x:v>1</x:v>
      </x:c>
      <x:c r="K98" s="71" t="n">
        <x:f>'第2日'!I32</x:f>
        <x:v>300</x:v>
      </x:c>
      <x:c r="L98" s="71" t="str">
        <x:v>res://resources/audio/shenmu_swamp_combat.ogg</x:v>
      </x:c>
      <x:c r="M98" s="71" t="str">
        <x:v>res://resources/audio/shenmu_swamp_intermission.ogg</x:v>
      </x:c>
      <x:c r="N98" s="71" t="b">
        <x:f>'第2日'!I33="待设计"</x:f>
        <x:v>0</x:v>
      </x:c>
      <x:c r="O98" s="71" t="n">
        <x:v>4</x:v>
      </x:c>
      <x:c r="P98" s="71" t="str">
        <x:f>IF('第2日'!B39="","",IFERROR(VLOOKUP('第2日'!B39,'敌人目录'!$A$6:$B$54,2,FALSE),""))</x:f>
        <x:v>yuanshi_insect_bomber</x:v>
      </x:c>
      <x:c r="Q98" s="71" t="n">
        <x:f>IF('第2日'!B39="","",'第2日'!C39)</x:f>
        <x:v>12</x:v>
      </x:c>
      <x:c r="R98" s="71" t="n">
        <x:v>-1</x:v>
      </x:c>
      <x:c r="S98" s="71" t="str">
        <x:f>IF('第2日'!B39="","",'第2日'!I39)</x:f>
        <x:v>可回读</x:v>
      </x:c>
    </x:row>
    <x:row r="99">
      <x:c r="A99" s="71" t="n">
        <x:v>3</x:v>
      </x:c>
      <x:c r="B99" s="71" t="str">
        <x:v>wave_06</x:v>
      </x:c>
      <x:c r="C99" s="71" t="n">
        <x:v>6</x:v>
      </x:c>
      <x:c r="D99" s="71" t="n">
        <x:v>2</x:v>
      </x:c>
      <x:c r="E99" s="71" t="n">
        <x:v>2</x:v>
      </x:c>
      <x:c r="F99" s="71" t="str">
        <x:v>白昼</x:v>
      </x:c>
      <x:c r="G99" s="71" t="str">
        <x:f>'第2日'!B32</x:f>
        <x:v>第6波 守护阵列</x:v>
      </x:c>
      <x:c r="H99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9" s="71" t="n">
        <x:f>'第2日'!E32</x:f>
        <x:v>0.4</x:v>
      </x:c>
      <x:c r="J99" s="71" t="n">
        <x:f>'第2日'!G32</x:f>
        <x:v>1</x:v>
      </x:c>
      <x:c r="K99" s="71" t="n">
        <x:f>'第2日'!I32</x:f>
        <x:v>300</x:v>
      </x:c>
      <x:c r="L99" s="71" t="str">
        <x:v>res://resources/audio/shenmu_swamp_combat.ogg</x:v>
      </x:c>
      <x:c r="M99" s="71" t="str">
        <x:v>res://resources/audio/shenmu_swamp_intermission.ogg</x:v>
      </x:c>
      <x:c r="N99" s="71" t="b">
        <x:f>'第2日'!I33="待设计"</x:f>
        <x:v>0</x:v>
      </x:c>
      <x:c r="O99" s="71" t="n">
        <x:v>5</x:v>
      </x:c>
      <x:c r="P99" s="71" t="str">
        <x:f>IF('第2日'!B40="","",IFERROR(VLOOKUP('第2日'!B40,'敌人目录'!$A$6:$B$54,2,FALSE),""))</x:f>
        <x:v>yuanshi_insect_fire_ranged</x:v>
      </x:c>
      <x:c r="Q99" s="71" t="n">
        <x:f>IF('第2日'!B40="","",'第2日'!C40)</x:f>
        <x:v>12</x:v>
      </x:c>
      <x:c r="R99" s="71" t="n">
        <x:v>-1</x:v>
      </x:c>
      <x:c r="S99" s="71" t="str">
        <x:f>IF('第2日'!B40="","",'第2日'!I40)</x:f>
        <x:v>可回读</x:v>
      </x:c>
    </x:row>
    <x:row r="100">
      <x:c r="A100" s="71" t="n">
        <x:v>3</x:v>
      </x:c>
      <x:c r="B100" s="71" t="str">
        <x:v>wave_06</x:v>
      </x:c>
      <x:c r="C100" s="71" t="n">
        <x:v>6</x:v>
      </x:c>
      <x:c r="D100" s="71" t="n">
        <x:v>2</x:v>
      </x:c>
      <x:c r="E100" s="71" t="n">
        <x:v>2</x:v>
      </x:c>
      <x:c r="F100" s="71" t="str">
        <x:v>白昼</x:v>
      </x:c>
      <x:c r="G100" s="71" t="str">
        <x:f>'第2日'!B32</x:f>
        <x:v>第6波 守护阵列</x:v>
      </x:c>
      <x:c r="H100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0" s="71" t="n">
        <x:f>'第2日'!E32</x:f>
        <x:v>0.4</x:v>
      </x:c>
      <x:c r="J100" s="71" t="n">
        <x:f>'第2日'!G32</x:f>
        <x:v>1</x:v>
      </x:c>
      <x:c r="K100" s="71" t="n">
        <x:f>'第2日'!I32</x:f>
        <x:v>300</x:v>
      </x:c>
      <x:c r="L100" s="71" t="str">
        <x:v>res://resources/audio/shenmu_swamp_combat.ogg</x:v>
      </x:c>
      <x:c r="M100" s="71" t="str">
        <x:v>res://resources/audio/shenmu_swamp_intermission.ogg</x:v>
      </x:c>
      <x:c r="N100" s="71" t="b">
        <x:f>'第2日'!I33="待设计"</x:f>
        <x:v>0</x:v>
      </x:c>
      <x:c r="O100" s="71" t="n">
        <x:v>6</x:v>
      </x:c>
      <x:c r="P100" s="71" t="str">
        <x:f>IF('第2日'!B41="","",IFERROR(VLOOKUP('第2日'!B41,'敌人目录'!$A$6:$B$54,2,FALSE),""))</x:f>
        <x:v>yuanshi_insect_guardian</x:v>
      </x:c>
      <x:c r="Q100" s="71" t="n">
        <x:f>IF('第2日'!B41="","",'第2日'!C41)</x:f>
        <x:v>8</x:v>
      </x:c>
      <x:c r="R100" s="71" t="n">
        <x:v>-1</x:v>
      </x:c>
      <x:c r="S100" s="71" t="str">
        <x:f>IF('第2日'!B41="","",'第2日'!I41)</x:f>
        <x:v>可回读</x:v>
      </x:c>
    </x:row>
    <x:row r="101">
      <x:c r="A101" s="71" t="n">
        <x:v>3</x:v>
      </x:c>
      <x:c r="B101" s="71" t="str">
        <x:v>wave_06</x:v>
      </x:c>
      <x:c r="C101" s="71" t="n">
        <x:v>6</x:v>
      </x:c>
      <x:c r="D101" s="71" t="n">
        <x:v>2</x:v>
      </x:c>
      <x:c r="E101" s="71" t="n">
        <x:v>2</x:v>
      </x:c>
      <x:c r="F101" s="71" t="str">
        <x:v>白昼</x:v>
      </x:c>
      <x:c r="G101" s="71" t="str">
        <x:f>'第2日'!B32</x:f>
        <x:v>第6波 守护阵列</x:v>
      </x:c>
      <x:c r="H101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1" s="71" t="n">
        <x:f>'第2日'!E32</x:f>
        <x:v>0.4</x:v>
      </x:c>
      <x:c r="J101" s="71" t="n">
        <x:f>'第2日'!G32</x:f>
        <x:v>1</x:v>
      </x:c>
      <x:c r="K101" s="71" t="n">
        <x:f>'第2日'!I32</x:f>
        <x:v>300</x:v>
      </x:c>
      <x:c r="L101" s="71" t="str">
        <x:v>res://resources/audio/shenmu_swamp_combat.ogg</x:v>
      </x:c>
      <x:c r="M101" s="71" t="str">
        <x:v>res://resources/audio/shenmu_swamp_intermission.ogg</x:v>
      </x:c>
      <x:c r="N101" s="71" t="b">
        <x:f>'第2日'!I33="待设计"</x:f>
        <x:v>0</x:v>
      </x:c>
      <x:c r="O101" s="71" t="n">
        <x:v>7</x:v>
      </x:c>
      <x:c r="P101" s="71" t="str">
        <x:f>IF('第2日'!B42="","",IFERROR(VLOOKUP('第2日'!B42,'敌人目录'!$A$6:$B$54,2,FALSE),""))</x:f>
      </x:c>
      <x:c r="Q101" s="71" t="str">
        <x:f>IF('第2日'!B42="","",'第2日'!C42)</x:f>
      </x:c>
      <x:c r="R101" s="71" t="n">
        <x:v>-1</x:v>
      </x:c>
      <x:c r="S101" s="71" t="str">
        <x:f>IF('第2日'!B42="","",'第2日'!I42)</x:f>
      </x:c>
    </x:row>
    <x:row r="102">
      <x:c r="A102" s="71" t="n">
        <x:v>3</x:v>
      </x:c>
      <x:c r="B102" s="71" t="str">
        <x:v>wave_06</x:v>
      </x:c>
      <x:c r="C102" s="71" t="n">
        <x:v>6</x:v>
      </x:c>
      <x:c r="D102" s="71" t="n">
        <x:v>2</x:v>
      </x:c>
      <x:c r="E102" s="71" t="n">
        <x:v>2</x:v>
      </x:c>
      <x:c r="F102" s="71" t="str">
        <x:v>白昼</x:v>
      </x:c>
      <x:c r="G102" s="71" t="str">
        <x:f>'第2日'!B32</x:f>
        <x:v>第6波 守护阵列</x:v>
      </x:c>
      <x:c r="H102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2" s="71" t="n">
        <x:f>'第2日'!E32</x:f>
        <x:v>0.4</x:v>
      </x:c>
      <x:c r="J102" s="71" t="n">
        <x:f>'第2日'!G32</x:f>
        <x:v>1</x:v>
      </x:c>
      <x:c r="K102" s="71" t="n">
        <x:f>'第2日'!I32</x:f>
        <x:v>300</x:v>
      </x:c>
      <x:c r="L102" s="71" t="str">
        <x:v>res://resources/audio/shenmu_swamp_combat.ogg</x:v>
      </x:c>
      <x:c r="M102" s="71" t="str">
        <x:v>res://resources/audio/shenmu_swamp_intermission.ogg</x:v>
      </x:c>
      <x:c r="N102" s="71" t="b">
        <x:f>'第2日'!I33="待设计"</x:f>
        <x:v>0</x:v>
      </x:c>
      <x:c r="O102" s="71" t="n">
        <x:v>8</x:v>
      </x:c>
      <x:c r="P102" s="71" t="str">
        <x:f>IF('第2日'!B43="","",IFERROR(VLOOKUP('第2日'!B43,'敌人目录'!$A$6:$B$54,2,FALSE),""))</x:f>
      </x:c>
      <x:c r="Q102" s="71" t="str">
        <x:f>IF('第2日'!B43="","",'第2日'!C43)</x:f>
      </x:c>
      <x:c r="R102" s="71" t="n">
        <x:v>-1</x:v>
      </x:c>
      <x:c r="S102" s="71" t="str">
        <x:f>IF('第2日'!B43="","",'第2日'!I43)</x:f>
      </x:c>
    </x:row>
    <x:row r="103">
      <x:c r="A103" s="71" t="n">
        <x:v>3</x:v>
      </x:c>
      <x:c r="B103" s="71" t="str">
        <x:v>wave_06</x:v>
      </x:c>
      <x:c r="C103" s="71" t="n">
        <x:v>6</x:v>
      </x:c>
      <x:c r="D103" s="71" t="n">
        <x:v>2</x:v>
      </x:c>
      <x:c r="E103" s="71" t="n">
        <x:v>2</x:v>
      </x:c>
      <x:c r="F103" s="71" t="str">
        <x:v>白昼</x:v>
      </x:c>
      <x:c r="G103" s="71" t="str">
        <x:f>'第2日'!B32</x:f>
        <x:v>第6波 守护阵列</x:v>
      </x:c>
      <x:c r="H103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3" s="71" t="n">
        <x:f>'第2日'!E32</x:f>
        <x:v>0.4</x:v>
      </x:c>
      <x:c r="J103" s="71" t="n">
        <x:f>'第2日'!G32</x:f>
        <x:v>1</x:v>
      </x:c>
      <x:c r="K103" s="71" t="n">
        <x:f>'第2日'!I32</x:f>
        <x:v>300</x:v>
      </x:c>
      <x:c r="L103" s="71" t="str">
        <x:v>res://resources/audio/shenmu_swamp_combat.ogg</x:v>
      </x:c>
      <x:c r="M103" s="71" t="str">
        <x:v>res://resources/audio/shenmu_swamp_intermission.ogg</x:v>
      </x:c>
      <x:c r="N103" s="71" t="b">
        <x:f>'第2日'!I33="待设计"</x:f>
        <x:v>0</x:v>
      </x:c>
      <x:c r="O103" s="71" t="n">
        <x:v>9</x:v>
      </x:c>
      <x:c r="P103" s="71" t="str">
        <x:f>IF('第2日'!B44="","",IFERROR(VLOOKUP('第2日'!B44,'敌人目录'!$A$6:$B$54,2,FALSE),""))</x:f>
      </x:c>
      <x:c r="Q103" s="71" t="str">
        <x:f>IF('第2日'!B44="","",'第2日'!C44)</x:f>
      </x:c>
      <x:c r="R103" s="71" t="n">
        <x:v>-1</x:v>
      </x:c>
      <x:c r="S103" s="71" t="str">
        <x:f>IF('第2日'!B44="","",'第2日'!I44)</x:f>
      </x:c>
    </x:row>
    <x:row r="104">
      <x:c r="A104" s="71" t="n">
        <x:v>3</x:v>
      </x:c>
      <x:c r="B104" s="71" t="str">
        <x:v>wave_06</x:v>
      </x:c>
      <x:c r="C104" s="71" t="n">
        <x:v>6</x:v>
      </x:c>
      <x:c r="D104" s="71" t="n">
        <x:v>2</x:v>
      </x:c>
      <x:c r="E104" s="71" t="n">
        <x:v>2</x:v>
      </x:c>
      <x:c r="F104" s="71" t="str">
        <x:v>白昼</x:v>
      </x:c>
      <x:c r="G104" s="71" t="str">
        <x:f>'第2日'!B32</x:f>
        <x:v>第6波 守护阵列</x:v>
      </x:c>
      <x:c r="H104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4" s="71" t="n">
        <x:f>'第2日'!E32</x:f>
        <x:v>0.4</x:v>
      </x:c>
      <x:c r="J104" s="71" t="n">
        <x:f>'第2日'!G32</x:f>
        <x:v>1</x:v>
      </x:c>
      <x:c r="K104" s="71" t="n">
        <x:f>'第2日'!I32</x:f>
        <x:v>300</x:v>
      </x:c>
      <x:c r="L104" s="71" t="str">
        <x:v>res://resources/audio/shenmu_swamp_combat.ogg</x:v>
      </x:c>
      <x:c r="M104" s="71" t="str">
        <x:v>res://resources/audio/shenmu_swamp_intermission.ogg</x:v>
      </x:c>
      <x:c r="N104" s="71" t="b">
        <x:f>'第2日'!I33="待设计"</x:f>
        <x:v>0</x:v>
      </x:c>
      <x:c r="O104" s="71" t="n">
        <x:v>10</x:v>
      </x:c>
      <x:c r="P104" s="71" t="str">
        <x:f>IF('第2日'!B45="","",IFERROR(VLOOKUP('第2日'!B45,'敌人目录'!$A$6:$B$54,2,FALSE),""))</x:f>
      </x:c>
      <x:c r="Q104" s="71" t="str">
        <x:f>IF('第2日'!B45="","",'第2日'!C45)</x:f>
      </x:c>
      <x:c r="R104" s="71" t="n">
        <x:v>-1</x:v>
      </x:c>
      <x:c r="S104" s="71" t="str">
        <x:f>IF('第2日'!B45="","",'第2日'!I45)</x:f>
      </x:c>
    </x:row>
    <x:row r="105">
      <x:c r="A105" s="71" t="n">
        <x:v>3</x:v>
      </x:c>
      <x:c r="B105" s="71" t="str">
        <x:v>wave_06</x:v>
      </x:c>
      <x:c r="C105" s="71" t="n">
        <x:v>6</x:v>
      </x:c>
      <x:c r="D105" s="71" t="n">
        <x:v>2</x:v>
      </x:c>
      <x:c r="E105" s="71" t="n">
        <x:v>2</x:v>
      </x:c>
      <x:c r="F105" s="71" t="str">
        <x:v>白昼</x:v>
      </x:c>
      <x:c r="G105" s="71" t="str">
        <x:f>'第2日'!B32</x:f>
        <x:v>第6波 守护阵列</x:v>
      </x:c>
      <x:c r="H105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5" s="71" t="n">
        <x:f>'第2日'!E32</x:f>
        <x:v>0.4</x:v>
      </x:c>
      <x:c r="J105" s="71" t="n">
        <x:f>'第2日'!G32</x:f>
        <x:v>1</x:v>
      </x:c>
      <x:c r="K105" s="71" t="n">
        <x:f>'第2日'!I32</x:f>
        <x:v>300</x:v>
      </x:c>
      <x:c r="L105" s="71" t="str">
        <x:v>res://resources/audio/shenmu_swamp_combat.ogg</x:v>
      </x:c>
      <x:c r="M105" s="71" t="str">
        <x:v>res://resources/audio/shenmu_swamp_intermission.ogg</x:v>
      </x:c>
      <x:c r="N105" s="71" t="b">
        <x:f>'第2日'!I33="待设计"</x:f>
        <x:v>0</x:v>
      </x:c>
      <x:c r="O105" s="71" t="n">
        <x:v>11</x:v>
      </x:c>
      <x:c r="P105" s="71" t="str">
        <x:f>IF('第2日'!B46="","",IFERROR(VLOOKUP('第2日'!B46,'敌人目录'!$A$6:$B$54,2,FALSE),""))</x:f>
      </x:c>
      <x:c r="Q105" s="71" t="str">
        <x:f>IF('第2日'!B46="","",'第2日'!C46)</x:f>
      </x:c>
      <x:c r="R105" s="71" t="n">
        <x:v>-1</x:v>
      </x:c>
      <x:c r="S105" s="71" t="str">
        <x:f>IF('第2日'!B46="","",'第2日'!I46)</x:f>
      </x:c>
    </x:row>
    <x:row r="106">
      <x:c r="A106" s="71" t="n">
        <x:v>3</x:v>
      </x:c>
      <x:c r="B106" s="71" t="str">
        <x:v>wave_06</x:v>
      </x:c>
      <x:c r="C106" s="71" t="n">
        <x:v>6</x:v>
      </x:c>
      <x:c r="D106" s="71" t="n">
        <x:v>2</x:v>
      </x:c>
      <x:c r="E106" s="71" t="n">
        <x:v>2</x:v>
      </x:c>
      <x:c r="F106" s="71" t="str">
        <x:v>白昼</x:v>
      </x:c>
      <x:c r="G106" s="71" t="str">
        <x:f>'第2日'!B32</x:f>
        <x:v>第6波 守护阵列</x:v>
      </x:c>
      <x:c r="H106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6" s="71" t="n">
        <x:f>'第2日'!E32</x:f>
        <x:v>0.4</x:v>
      </x:c>
      <x:c r="J106" s="71" t="n">
        <x:f>'第2日'!G32</x:f>
        <x:v>1</x:v>
      </x:c>
      <x:c r="K106" s="71" t="n">
        <x:f>'第2日'!I32</x:f>
        <x:v>300</x:v>
      </x:c>
      <x:c r="L106" s="71" t="str">
        <x:v>res://resources/audio/shenmu_swamp_combat.ogg</x:v>
      </x:c>
      <x:c r="M106" s="71" t="str">
        <x:v>res://resources/audio/shenmu_swamp_intermission.ogg</x:v>
      </x:c>
      <x:c r="N106" s="71" t="b">
        <x:f>'第2日'!I33="待设计"</x:f>
        <x:v>0</x:v>
      </x:c>
      <x:c r="O106" s="71" t="n">
        <x:v>12</x:v>
      </x:c>
      <x:c r="P106" s="71" t="str">
        <x:f>IF('第2日'!B47="","",IFERROR(VLOOKUP('第2日'!B47,'敌人目录'!$A$6:$B$54,2,FALSE),""))</x:f>
      </x:c>
      <x:c r="Q106" s="71" t="str">
        <x:f>IF('第2日'!B47="","",'第2日'!C47)</x:f>
      </x:c>
      <x:c r="R106" s="71" t="n">
        <x:v>-1</x:v>
      </x:c>
      <x:c r="S106" s="71" t="str">
        <x:f>IF('第2日'!B47="","",'第2日'!I47)</x:f>
      </x:c>
    </x:row>
    <x:row r="107">
      <x:c r="A107" s="71" t="n">
        <x:v>3</x:v>
      </x:c>
      <x:c r="B107" s="71" t="str">
        <x:v>wave_06</x:v>
      </x:c>
      <x:c r="C107" s="71" t="n">
        <x:v>6</x:v>
      </x:c>
      <x:c r="D107" s="71" t="n">
        <x:v>2</x:v>
      </x:c>
      <x:c r="E107" s="71" t="n">
        <x:v>2</x:v>
      </x:c>
      <x:c r="F107" s="71" t="str">
        <x:v>白昼</x:v>
      </x:c>
      <x:c r="G107" s="71" t="str">
        <x:f>'第2日'!B32</x:f>
        <x:v>第6波 守护阵列</x:v>
      </x:c>
      <x:c r="H107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7" s="71" t="n">
        <x:f>'第2日'!E32</x:f>
        <x:v>0.4</x:v>
      </x:c>
      <x:c r="J107" s="71" t="n">
        <x:f>'第2日'!G32</x:f>
        <x:v>1</x:v>
      </x:c>
      <x:c r="K107" s="71" t="n">
        <x:f>'第2日'!I32</x:f>
        <x:v>300</x:v>
      </x:c>
      <x:c r="L107" s="71" t="str">
        <x:v>res://resources/audio/shenmu_swamp_combat.ogg</x:v>
      </x:c>
      <x:c r="M107" s="71" t="str">
        <x:v>res://resources/audio/shenmu_swamp_intermission.ogg</x:v>
      </x:c>
      <x:c r="N107" s="71" t="b">
        <x:f>'第2日'!I33="待设计"</x:f>
        <x:v>0</x:v>
      </x:c>
      <x:c r="O107" s="71" t="n">
        <x:v>13</x:v>
      </x:c>
      <x:c r="P107" s="71" t="str">
        <x:f>IF('第2日'!B48="","",IFERROR(VLOOKUP('第2日'!B48,'敌人目录'!$A$6:$B$54,2,FALSE),""))</x:f>
      </x:c>
      <x:c r="Q107" s="71" t="str">
        <x:f>IF('第2日'!B48="","",'第2日'!C48)</x:f>
      </x:c>
      <x:c r="R107" s="71" t="n">
        <x:v>-1</x:v>
      </x:c>
      <x:c r="S107" s="71" t="str">
        <x:f>IF('第2日'!B48="","",'第2日'!I48)</x:f>
      </x:c>
    </x:row>
    <x:row r="108">
      <x:c r="A108" s="71" t="n">
        <x:v>3</x:v>
      </x:c>
      <x:c r="B108" s="71" t="str">
        <x:v>wave_06</x:v>
      </x:c>
      <x:c r="C108" s="71" t="n">
        <x:v>6</x:v>
      </x:c>
      <x:c r="D108" s="71" t="n">
        <x:v>2</x:v>
      </x:c>
      <x:c r="E108" s="71" t="n">
        <x:v>2</x:v>
      </x:c>
      <x:c r="F108" s="71" t="str">
        <x:v>白昼</x:v>
      </x:c>
      <x:c r="G108" s="71" t="str">
        <x:f>'第2日'!B32</x:f>
        <x:v>第6波 守护阵列</x:v>
      </x:c>
      <x:c r="H108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8" s="71" t="n">
        <x:f>'第2日'!E32</x:f>
        <x:v>0.4</x:v>
      </x:c>
      <x:c r="J108" s="71" t="n">
        <x:f>'第2日'!G32</x:f>
        <x:v>1</x:v>
      </x:c>
      <x:c r="K108" s="71" t="n">
        <x:f>'第2日'!I32</x:f>
        <x:v>300</x:v>
      </x:c>
      <x:c r="L108" s="71" t="str">
        <x:v>res://resources/audio/shenmu_swamp_combat.ogg</x:v>
      </x:c>
      <x:c r="M108" s="71" t="str">
        <x:v>res://resources/audio/shenmu_swamp_intermission.ogg</x:v>
      </x:c>
      <x:c r="N108" s="71" t="b">
        <x:f>'第2日'!I33="待设计"</x:f>
        <x:v>0</x:v>
      </x:c>
      <x:c r="O108" s="71" t="n">
        <x:v>14</x:v>
      </x:c>
      <x:c r="P108" s="71" t="str">
        <x:f>IF('第2日'!B49="","",IFERROR(VLOOKUP('第2日'!B49,'敌人目录'!$A$6:$B$54,2,FALSE),""))</x:f>
      </x:c>
      <x:c r="Q108" s="71" t="str">
        <x:f>IF('第2日'!B49="","",'第2日'!C49)</x:f>
      </x:c>
      <x:c r="R108" s="71" t="n">
        <x:v>-1</x:v>
      </x:c>
      <x:c r="S108" s="71" t="str">
        <x:f>IF('第2日'!B49="","",'第2日'!I49)</x:f>
      </x:c>
    </x:row>
    <x:row r="109">
      <x:c r="A109" s="71" t="n">
        <x:v>3</x:v>
      </x:c>
      <x:c r="B109" s="71" t="str">
        <x:v>wave_06</x:v>
      </x:c>
      <x:c r="C109" s="71" t="n">
        <x:v>6</x:v>
      </x:c>
      <x:c r="D109" s="71" t="n">
        <x:v>2</x:v>
      </x:c>
      <x:c r="E109" s="71" t="n">
        <x:v>2</x:v>
      </x:c>
      <x:c r="F109" s="71" t="str">
        <x:v>白昼</x:v>
      </x:c>
      <x:c r="G109" s="71" t="str">
        <x:f>'第2日'!B32</x:f>
        <x:v>第6波 守护阵列</x:v>
      </x:c>
      <x:c r="H109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9" s="71" t="n">
        <x:f>'第2日'!E32</x:f>
        <x:v>0.4</x:v>
      </x:c>
      <x:c r="J109" s="71" t="n">
        <x:f>'第2日'!G32</x:f>
        <x:v>1</x:v>
      </x:c>
      <x:c r="K109" s="71" t="n">
        <x:f>'第2日'!I32</x:f>
        <x:v>300</x:v>
      </x:c>
      <x:c r="L109" s="71" t="str">
        <x:v>res://resources/audio/shenmu_swamp_combat.ogg</x:v>
      </x:c>
      <x:c r="M109" s="71" t="str">
        <x:v>res://resources/audio/shenmu_swamp_intermission.ogg</x:v>
      </x:c>
      <x:c r="N109" s="71" t="b">
        <x:f>'第2日'!I33="待设计"</x:f>
        <x:v>0</x:v>
      </x:c>
      <x:c r="O109" s="71" t="n">
        <x:v>15</x:v>
      </x:c>
      <x:c r="P109" s="71" t="str">
        <x:f>IF('第2日'!B50="","",IFERROR(VLOOKUP('第2日'!B50,'敌人目录'!$A$6:$B$54,2,FALSE),""))</x:f>
      </x:c>
      <x:c r="Q109" s="71" t="str">
        <x:f>IF('第2日'!B50="","",'第2日'!C50)</x:f>
      </x:c>
      <x:c r="R109" s="71" t="n">
        <x:v>-1</x:v>
      </x:c>
      <x:c r="S109" s="71" t="str">
        <x:f>IF('第2日'!B50="","",'第2日'!I50)</x:f>
      </x:c>
    </x:row>
    <x:row r="110">
      <x:c r="A110" s="71" t="n">
        <x:v>3</x:v>
      </x:c>
      <x:c r="B110" s="71" t="str">
        <x:v>wave_06</x:v>
      </x:c>
      <x:c r="C110" s="71" t="n">
        <x:v>6</x:v>
      </x:c>
      <x:c r="D110" s="71" t="n">
        <x:v>2</x:v>
      </x:c>
      <x:c r="E110" s="71" t="n">
        <x:v>2</x:v>
      </x:c>
      <x:c r="F110" s="71" t="str">
        <x:v>白昼</x:v>
      </x:c>
      <x:c r="G110" s="71" t="str">
        <x:f>'第2日'!B32</x:f>
        <x:v>第6波 守护阵列</x:v>
      </x:c>
      <x:c r="H110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10" s="71" t="n">
        <x:f>'第2日'!E32</x:f>
        <x:v>0.4</x:v>
      </x:c>
      <x:c r="J110" s="71" t="n">
        <x:f>'第2日'!G32</x:f>
        <x:v>1</x:v>
      </x:c>
      <x:c r="K110" s="71" t="n">
        <x:f>'第2日'!I32</x:f>
        <x:v>300</x:v>
      </x:c>
      <x:c r="L110" s="71" t="str">
        <x:v>res://resources/audio/shenmu_swamp_combat.ogg</x:v>
      </x:c>
      <x:c r="M110" s="71" t="str">
        <x:v>res://resources/audio/shenmu_swamp_intermission.ogg</x:v>
      </x:c>
      <x:c r="N110" s="71" t="b">
        <x:f>'第2日'!I33="待设计"</x:f>
        <x:v>0</x:v>
      </x:c>
      <x:c r="O110" s="71" t="n">
        <x:v>16</x:v>
      </x:c>
      <x:c r="P110" s="71" t="str">
        <x:f>IF('第2日'!B51="","",IFERROR(VLOOKUP('第2日'!B51,'敌人目录'!$A$6:$B$54,2,FALSE),""))</x:f>
      </x:c>
      <x:c r="Q110" s="71" t="str">
        <x:f>IF('第2日'!B51="","",'第2日'!C51)</x:f>
      </x:c>
      <x:c r="R110" s="71" t="n">
        <x:v>-1</x:v>
      </x:c>
      <x:c r="S110" s="71" t="str">
        <x:f>IF('第2日'!B51="","",'第2日'!I51)</x:f>
      </x:c>
    </x:row>
    <x:row r="111">
      <x:c r="A111" s="71" t="n">
        <x:v>3</x:v>
      </x:c>
      <x:c r="B111" s="71" t="str">
        <x:v>wave_06</x:v>
      </x:c>
      <x:c r="C111" s="71" t="n">
        <x:v>6</x:v>
      </x:c>
      <x:c r="D111" s="71" t="n">
        <x:v>2</x:v>
      </x:c>
      <x:c r="E111" s="71" t="n">
        <x:v>2</x:v>
      </x:c>
      <x:c r="F111" s="71" t="str">
        <x:v>白昼</x:v>
      </x:c>
      <x:c r="G111" s="71" t="str">
        <x:f>'第2日'!B32</x:f>
        <x:v>第6波 守护阵列</x:v>
      </x:c>
      <x:c r="H111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11" s="71" t="n">
        <x:f>'第2日'!E32</x:f>
        <x:v>0.4</x:v>
      </x:c>
      <x:c r="J111" s="71" t="n">
        <x:f>'第2日'!G32</x:f>
        <x:v>1</x:v>
      </x:c>
      <x:c r="K111" s="71" t="n">
        <x:f>'第2日'!I32</x:f>
        <x:v>300</x:v>
      </x:c>
      <x:c r="L111" s="71" t="str">
        <x:v>res://resources/audio/shenmu_swamp_combat.ogg</x:v>
      </x:c>
      <x:c r="M111" s="71" t="str">
        <x:v>res://resources/audio/shenmu_swamp_intermission.ogg</x:v>
      </x:c>
      <x:c r="N111" s="71" t="b">
        <x:f>'第2日'!I33="待设计"</x:f>
        <x:v>0</x:v>
      </x:c>
      <x:c r="O111" s="71" t="n">
        <x:v>17</x:v>
      </x:c>
      <x:c r="P111" s="71" t="str">
        <x:f>IF('第2日'!B52="","",IFERROR(VLOOKUP('第2日'!B52,'敌人目录'!$A$6:$B$54,2,FALSE),""))</x:f>
      </x:c>
      <x:c r="Q111" s="71" t="str">
        <x:f>IF('第2日'!B52="","",'第2日'!C52)</x:f>
      </x:c>
      <x:c r="R111" s="71" t="n">
        <x:v>-1</x:v>
      </x:c>
      <x:c r="S111" s="71" t="str">
        <x:f>IF('第2日'!B52="","",'第2日'!I52)</x:f>
      </x:c>
    </x:row>
    <x:row r="112">
      <x:c r="A112" s="71" t="n">
        <x:v>3</x:v>
      </x:c>
      <x:c r="B112" s="71" t="str">
        <x:v>wave_06</x:v>
      </x:c>
      <x:c r="C112" s="71" t="n">
        <x:v>6</x:v>
      </x:c>
      <x:c r="D112" s="71" t="n">
        <x:v>2</x:v>
      </x:c>
      <x:c r="E112" s="71" t="n">
        <x:v>2</x:v>
      </x:c>
      <x:c r="F112" s="71" t="str">
        <x:v>白昼</x:v>
      </x:c>
      <x:c r="G112" s="71" t="str">
        <x:f>'第2日'!B32</x:f>
        <x:v>第6波 守护阵列</x:v>
      </x:c>
      <x:c r="H112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12" s="71" t="n">
        <x:f>'第2日'!E32</x:f>
        <x:v>0.4</x:v>
      </x:c>
      <x:c r="J112" s="71" t="n">
        <x:f>'第2日'!G32</x:f>
        <x:v>1</x:v>
      </x:c>
      <x:c r="K112" s="71" t="n">
        <x:f>'第2日'!I32</x:f>
        <x:v>300</x:v>
      </x:c>
      <x:c r="L112" s="71" t="str">
        <x:v>res://resources/audio/shenmu_swamp_combat.ogg</x:v>
      </x:c>
      <x:c r="M112" s="71" t="str">
        <x:v>res://resources/audio/shenmu_swamp_intermission.ogg</x:v>
      </x:c>
      <x:c r="N112" s="71" t="b">
        <x:f>'第2日'!I33="待设计"</x:f>
        <x:v>0</x:v>
      </x:c>
      <x:c r="O112" s="71" t="n">
        <x:v>18</x:v>
      </x:c>
      <x:c r="P112" s="71" t="str">
        <x:f>IF('第2日'!B53="","",IFERROR(VLOOKUP('第2日'!B53,'敌人目录'!$A$6:$B$54,2,FALSE),""))</x:f>
      </x:c>
      <x:c r="Q112" s="71" t="str">
        <x:f>IF('第2日'!B53="","",'第2日'!C53)</x:f>
      </x:c>
      <x:c r="R112" s="71" t="n">
        <x:v>-1</x:v>
      </x:c>
      <x:c r="S112" s="71" t="str">
        <x:f>IF('第2日'!B53="","",'第2日'!I53)</x:f>
      </x:c>
    </x:row>
    <x:row r="113">
      <x:c r="A113" s="71" t="n">
        <x:v>3</x:v>
      </x:c>
      <x:c r="B113" s="71" t="str">
        <x:v>wave_07</x:v>
      </x:c>
      <x:c r="C113" s="71" t="n">
        <x:v>7</x:v>
      </x:c>
      <x:c r="D113" s="71" t="n">
        <x:v>2</x:v>
      </x:c>
      <x:c r="E113" s="71" t="n">
        <x:v>3</x:v>
      </x:c>
      <x:c r="F113" s="71" t="str">
        <x:v>夜晚</x:v>
      </x:c>
      <x:c r="G113" s="71" t="str">
        <x:f>'第2日'!B61</x:f>
        <x:v>第7波 紫晶突袭</x:v>
      </x:c>
      <x:c r="H113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3" s="71" t="n">
        <x:f>'第2日'!E61</x:f>
        <x:v>0.35</x:v>
      </x:c>
      <x:c r="J113" s="71" t="n">
        <x:f>'第2日'!G61</x:f>
        <x:v>1</x:v>
      </x:c>
      <x:c r="K113" s="71" t="n">
        <x:f>'第2日'!I61</x:f>
        <x:v>300</x:v>
      </x:c>
      <x:c r="L113" s="71" t="str">
        <x:v>res://resources/audio/shenmu_swamp_combat.ogg</x:v>
      </x:c>
      <x:c r="M113" s="71" t="str">
        <x:v>res://resources/audio/shenmu_swamp_intermission.ogg</x:v>
      </x:c>
      <x:c r="N113" s="71" t="b">
        <x:f>'第2日'!I62="待设计"</x:f>
        <x:v>0</x:v>
      </x:c>
      <x:c r="O113" s="71" t="n">
        <x:v>1</x:v>
      </x:c>
      <x:c r="P113" s="71" t="str">
        <x:f>IF('第2日'!B65="","",IFERROR(VLOOKUP('第2日'!B65,'敌人目录'!$A$6:$B$54,2,FALSE),""))</x:f>
        <x:v>yuanshi_insect_basic</x:v>
      </x:c>
      <x:c r="Q113" s="71" t="n">
        <x:f>IF('第2日'!B65="","",'第2日'!C65)</x:f>
        <x:v>24</x:v>
      </x:c>
      <x:c r="R113" s="71" t="n">
        <x:v>-1</x:v>
      </x:c>
      <x:c r="S113" s="71" t="str">
        <x:f>IF('第2日'!B65="","",'第2日'!I65)</x:f>
        <x:v>可回读</x:v>
      </x:c>
    </x:row>
    <x:row r="114">
      <x:c r="A114" s="71" t="n">
        <x:v>3</x:v>
      </x:c>
      <x:c r="B114" s="71" t="str">
        <x:v>wave_07</x:v>
      </x:c>
      <x:c r="C114" s="71" t="n">
        <x:v>7</x:v>
      </x:c>
      <x:c r="D114" s="71" t="n">
        <x:v>2</x:v>
      </x:c>
      <x:c r="E114" s="71" t="n">
        <x:v>3</x:v>
      </x:c>
      <x:c r="F114" s="71" t="str">
        <x:v>夜晚</x:v>
      </x:c>
      <x:c r="G114" s="71" t="str">
        <x:f>'第2日'!B61</x:f>
        <x:v>第7波 紫晶突袭</x:v>
      </x:c>
      <x:c r="H114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4" s="71" t="n">
        <x:f>'第2日'!E61</x:f>
        <x:v>0.35</x:v>
      </x:c>
      <x:c r="J114" s="71" t="n">
        <x:f>'第2日'!G61</x:f>
        <x:v>1</x:v>
      </x:c>
      <x:c r="K114" s="71" t="n">
        <x:f>'第2日'!I61</x:f>
        <x:v>300</x:v>
      </x:c>
      <x:c r="L114" s="71" t="str">
        <x:v>res://resources/audio/shenmu_swamp_combat.ogg</x:v>
      </x:c>
      <x:c r="M114" s="71" t="str">
        <x:v>res://resources/audio/shenmu_swamp_intermission.ogg</x:v>
      </x:c>
      <x:c r="N114" s="71" t="b">
        <x:f>'第2日'!I62="待设计"</x:f>
        <x:v>0</x:v>
      </x:c>
      <x:c r="O114" s="71" t="n">
        <x:v>2</x:v>
      </x:c>
      <x:c r="P114" s="71" t="str">
        <x:f>IF('第2日'!B66="","",IFERROR(VLOOKUP('第2日'!B66,'敌人目录'!$A$6:$B$54,2,FALSE),""))</x:f>
        <x:v>yuanshi_insect_fast</x:v>
      </x:c>
      <x:c r="Q114" s="71" t="n">
        <x:f>IF('第2日'!B66="","",'第2日'!C66)</x:f>
        <x:v>24</x:v>
      </x:c>
      <x:c r="R114" s="71" t="n">
        <x:v>-1</x:v>
      </x:c>
      <x:c r="S114" s="71" t="str">
        <x:f>IF('第2日'!B66="","",'第2日'!I66)</x:f>
        <x:v>可回读</x:v>
      </x:c>
    </x:row>
    <x:row r="115">
      <x:c r="A115" s="71" t="n">
        <x:v>3</x:v>
      </x:c>
      <x:c r="B115" s="71" t="str">
        <x:v>wave_07</x:v>
      </x:c>
      <x:c r="C115" s="71" t="n">
        <x:v>7</x:v>
      </x:c>
      <x:c r="D115" s="71" t="n">
        <x:v>2</x:v>
      </x:c>
      <x:c r="E115" s="71" t="n">
        <x:v>3</x:v>
      </x:c>
      <x:c r="F115" s="71" t="str">
        <x:v>夜晚</x:v>
      </x:c>
      <x:c r="G115" s="71" t="str">
        <x:f>'第2日'!B61</x:f>
        <x:v>第7波 紫晶突袭</x:v>
      </x:c>
      <x:c r="H115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5" s="71" t="n">
        <x:f>'第2日'!E61</x:f>
        <x:v>0.35</x:v>
      </x:c>
      <x:c r="J115" s="71" t="n">
        <x:f>'第2日'!G61</x:f>
        <x:v>1</x:v>
      </x:c>
      <x:c r="K115" s="71" t="n">
        <x:f>'第2日'!I61</x:f>
        <x:v>300</x:v>
      </x:c>
      <x:c r="L115" s="71" t="str">
        <x:v>res://resources/audio/shenmu_swamp_combat.ogg</x:v>
      </x:c>
      <x:c r="M115" s="71" t="str">
        <x:v>res://resources/audio/shenmu_swamp_intermission.ogg</x:v>
      </x:c>
      <x:c r="N115" s="71" t="b">
        <x:f>'第2日'!I62="待设计"</x:f>
        <x:v>0</x:v>
      </x:c>
      <x:c r="O115" s="71" t="n">
        <x:v>3</x:v>
      </x:c>
      <x:c r="P115" s="71" t="str">
        <x:f>IF('第2日'!B67="","",IFERROR(VLOOKUP('第2日'!B67,'敌人目录'!$A$6:$B$54,2,FALSE),""))</x:f>
        <x:v>yuanshi_insect_shell</x:v>
      </x:c>
      <x:c r="Q115" s="71" t="n">
        <x:f>IF('第2日'!B67="","",'第2日'!C67)</x:f>
        <x:v>16</x:v>
      </x:c>
      <x:c r="R115" s="71" t="n">
        <x:v>-1</x:v>
      </x:c>
      <x:c r="S115" s="71" t="str">
        <x:f>IF('第2日'!B67="","",'第2日'!I67)</x:f>
        <x:v>可回读</x:v>
      </x:c>
    </x:row>
    <x:row r="116">
      <x:c r="A116" s="71" t="n">
        <x:v>3</x:v>
      </x:c>
      <x:c r="B116" s="71" t="str">
        <x:v>wave_07</x:v>
      </x:c>
      <x:c r="C116" s="71" t="n">
        <x:v>7</x:v>
      </x:c>
      <x:c r="D116" s="71" t="n">
        <x:v>2</x:v>
      </x:c>
      <x:c r="E116" s="71" t="n">
        <x:v>3</x:v>
      </x:c>
      <x:c r="F116" s="71" t="str">
        <x:v>夜晚</x:v>
      </x:c>
      <x:c r="G116" s="71" t="str">
        <x:f>'第2日'!B61</x:f>
        <x:v>第7波 紫晶突袭</x:v>
      </x:c>
      <x:c r="H116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6" s="71" t="n">
        <x:f>'第2日'!E61</x:f>
        <x:v>0.35</x:v>
      </x:c>
      <x:c r="J116" s="71" t="n">
        <x:f>'第2日'!G61</x:f>
        <x:v>1</x:v>
      </x:c>
      <x:c r="K116" s="71" t="n">
        <x:f>'第2日'!I61</x:f>
        <x:v>300</x:v>
      </x:c>
      <x:c r="L116" s="71" t="str">
        <x:v>res://resources/audio/shenmu_swamp_combat.ogg</x:v>
      </x:c>
      <x:c r="M116" s="71" t="str">
        <x:v>res://resources/audio/shenmu_swamp_intermission.ogg</x:v>
      </x:c>
      <x:c r="N116" s="71" t="b">
        <x:f>'第2日'!I62="待设计"</x:f>
        <x:v>0</x:v>
      </x:c>
      <x:c r="O116" s="71" t="n">
        <x:v>4</x:v>
      </x:c>
      <x:c r="P116" s="71" t="str">
        <x:f>IF('第2日'!B68="","",IFERROR(VLOOKUP('第2日'!B68,'敌人目录'!$A$6:$B$54,2,FALSE),""))</x:f>
        <x:v>yuanshi_insect_bomber</x:v>
      </x:c>
      <x:c r="Q116" s="71" t="n">
        <x:f>IF('第2日'!B68="","",'第2日'!C68)</x:f>
        <x:v>16</x:v>
      </x:c>
      <x:c r="R116" s="71" t="n">
        <x:v>-1</x:v>
      </x:c>
      <x:c r="S116" s="71" t="str">
        <x:f>IF('第2日'!B68="","",'第2日'!I68)</x:f>
        <x:v>可回读</x:v>
      </x:c>
    </x:row>
    <x:row r="117">
      <x:c r="A117" s="71" t="n">
        <x:v>3</x:v>
      </x:c>
      <x:c r="B117" s="71" t="str">
        <x:v>wave_07</x:v>
      </x:c>
      <x:c r="C117" s="71" t="n">
        <x:v>7</x:v>
      </x:c>
      <x:c r="D117" s="71" t="n">
        <x:v>2</x:v>
      </x:c>
      <x:c r="E117" s="71" t="n">
        <x:v>3</x:v>
      </x:c>
      <x:c r="F117" s="71" t="str">
        <x:v>夜晚</x:v>
      </x:c>
      <x:c r="G117" s="71" t="str">
        <x:f>'第2日'!B61</x:f>
        <x:v>第7波 紫晶突袭</x:v>
      </x:c>
      <x:c r="H117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7" s="71" t="n">
        <x:f>'第2日'!E61</x:f>
        <x:v>0.35</x:v>
      </x:c>
      <x:c r="J117" s="71" t="n">
        <x:f>'第2日'!G61</x:f>
        <x:v>1</x:v>
      </x:c>
      <x:c r="K117" s="71" t="n">
        <x:f>'第2日'!I61</x:f>
        <x:v>300</x:v>
      </x:c>
      <x:c r="L117" s="71" t="str">
        <x:v>res://resources/audio/shenmu_swamp_combat.ogg</x:v>
      </x:c>
      <x:c r="M117" s="71" t="str">
        <x:v>res://resources/audio/shenmu_swamp_intermission.ogg</x:v>
      </x:c>
      <x:c r="N117" s="71" t="b">
        <x:f>'第2日'!I62="待设计"</x:f>
        <x:v>0</x:v>
      </x:c>
      <x:c r="O117" s="71" t="n">
        <x:v>5</x:v>
      </x:c>
      <x:c r="P117" s="71" t="str">
        <x:f>IF('第2日'!B69="","",IFERROR(VLOOKUP('第2日'!B69,'敌人目录'!$A$6:$B$54,2,FALSE),""))</x:f>
        <x:v>yuanshi_insect_purple_bomber</x:v>
      </x:c>
      <x:c r="Q117" s="71" t="n">
        <x:f>IF('第2日'!B69="","",'第2日'!C69)</x:f>
        <x:v>8</x:v>
      </x:c>
      <x:c r="R117" s="71" t="n">
        <x:v>-1</x:v>
      </x:c>
      <x:c r="S117" s="71" t="str">
        <x:f>IF('第2日'!B69="","",'第2日'!I69)</x:f>
        <x:v>可回读</x:v>
      </x:c>
    </x:row>
    <x:row r="118">
      <x:c r="A118" s="71" t="n">
        <x:v>3</x:v>
      </x:c>
      <x:c r="B118" s="71" t="str">
        <x:v>wave_07</x:v>
      </x:c>
      <x:c r="C118" s="71" t="n">
        <x:v>7</x:v>
      </x:c>
      <x:c r="D118" s="71" t="n">
        <x:v>2</x:v>
      </x:c>
      <x:c r="E118" s="71" t="n">
        <x:v>3</x:v>
      </x:c>
      <x:c r="F118" s="71" t="str">
        <x:v>夜晚</x:v>
      </x:c>
      <x:c r="G118" s="71" t="str">
        <x:f>'第2日'!B61</x:f>
        <x:v>第7波 紫晶突袭</x:v>
      </x:c>
      <x:c r="H118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8" s="71" t="n">
        <x:f>'第2日'!E61</x:f>
        <x:v>0.35</x:v>
      </x:c>
      <x:c r="J118" s="71" t="n">
        <x:f>'第2日'!G61</x:f>
        <x:v>1</x:v>
      </x:c>
      <x:c r="K118" s="71" t="n">
        <x:f>'第2日'!I61</x:f>
        <x:v>300</x:v>
      </x:c>
      <x:c r="L118" s="71" t="str">
        <x:v>res://resources/audio/shenmu_swamp_combat.ogg</x:v>
      </x:c>
      <x:c r="M118" s="71" t="str">
        <x:v>res://resources/audio/shenmu_swamp_intermission.ogg</x:v>
      </x:c>
      <x:c r="N118" s="71" t="b">
        <x:f>'第2日'!I62="待设计"</x:f>
        <x:v>0</x:v>
      </x:c>
      <x:c r="O118" s="71" t="n">
        <x:v>6</x:v>
      </x:c>
      <x:c r="P118" s="71" t="str">
        <x:f>IF('第2日'!B70="","",IFERROR(VLOOKUP('第2日'!B70,'敌人目录'!$A$6:$B$54,2,FALSE),""))</x:f>
        <x:v>yuanshi_insect_fire_ranged</x:v>
      </x:c>
      <x:c r="Q118" s="71" t="n">
        <x:f>IF('第2日'!B70="","",'第2日'!C70)</x:f>
        <x:v>16</x:v>
      </x:c>
      <x:c r="R118" s="71" t="n">
        <x:v>-1</x:v>
      </x:c>
      <x:c r="S118" s="71" t="str">
        <x:f>IF('第2日'!B70="","",'第2日'!I70)</x:f>
        <x:v>可回读</x:v>
      </x:c>
    </x:row>
    <x:row r="119">
      <x:c r="A119" s="71" t="n">
        <x:v>3</x:v>
      </x:c>
      <x:c r="B119" s="71" t="str">
        <x:v>wave_07</x:v>
      </x:c>
      <x:c r="C119" s="71" t="n">
        <x:v>7</x:v>
      </x:c>
      <x:c r="D119" s="71" t="n">
        <x:v>2</x:v>
      </x:c>
      <x:c r="E119" s="71" t="n">
        <x:v>3</x:v>
      </x:c>
      <x:c r="F119" s="71" t="str">
        <x:v>夜晚</x:v>
      </x:c>
      <x:c r="G119" s="71" t="str">
        <x:f>'第2日'!B61</x:f>
        <x:v>第7波 紫晶突袭</x:v>
      </x:c>
      <x:c r="H119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9" s="71" t="n">
        <x:f>'第2日'!E61</x:f>
        <x:v>0.35</x:v>
      </x:c>
      <x:c r="J119" s="71" t="n">
        <x:f>'第2日'!G61</x:f>
        <x:v>1</x:v>
      </x:c>
      <x:c r="K119" s="71" t="n">
        <x:f>'第2日'!I61</x:f>
        <x:v>300</x:v>
      </x:c>
      <x:c r="L119" s="71" t="str">
        <x:v>res://resources/audio/shenmu_swamp_combat.ogg</x:v>
      </x:c>
      <x:c r="M119" s="71" t="str">
        <x:v>res://resources/audio/shenmu_swamp_intermission.ogg</x:v>
      </x:c>
      <x:c r="N119" s="71" t="b">
        <x:f>'第2日'!I62="待设计"</x:f>
        <x:v>0</x:v>
      </x:c>
      <x:c r="O119" s="71" t="n">
        <x:v>7</x:v>
      </x:c>
      <x:c r="P119" s="71" t="str">
        <x:f>IF('第2日'!B71="","",IFERROR(VLOOKUP('第2日'!B71,'敌人目录'!$A$6:$B$54,2,FALSE),""))</x:f>
        <x:v>yuanshi_insect_guardian</x:v>
      </x:c>
      <x:c r="Q119" s="71" t="n">
        <x:f>IF('第2日'!B71="","",'第2日'!C71)</x:f>
        <x:v>8</x:v>
      </x:c>
      <x:c r="R119" s="71" t="n">
        <x:v>-1</x:v>
      </x:c>
      <x:c r="S119" s="71" t="str">
        <x:f>IF('第2日'!B71="","",'第2日'!I71)</x:f>
        <x:v>可回读</x:v>
      </x:c>
    </x:row>
    <x:row r="120">
      <x:c r="A120" s="71" t="n">
        <x:v>3</x:v>
      </x:c>
      <x:c r="B120" s="71" t="str">
        <x:v>wave_07</x:v>
      </x:c>
      <x:c r="C120" s="71" t="n">
        <x:v>7</x:v>
      </x:c>
      <x:c r="D120" s="71" t="n">
        <x:v>2</x:v>
      </x:c>
      <x:c r="E120" s="71" t="n">
        <x:v>3</x:v>
      </x:c>
      <x:c r="F120" s="71" t="str">
        <x:v>夜晚</x:v>
      </x:c>
      <x:c r="G120" s="71" t="str">
        <x:f>'第2日'!B61</x:f>
        <x:v>第7波 紫晶突袭</x:v>
      </x:c>
      <x:c r="H120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0" s="71" t="n">
        <x:f>'第2日'!E61</x:f>
        <x:v>0.35</x:v>
      </x:c>
      <x:c r="J120" s="71" t="n">
        <x:f>'第2日'!G61</x:f>
        <x:v>1</x:v>
      </x:c>
      <x:c r="K120" s="71" t="n">
        <x:f>'第2日'!I61</x:f>
        <x:v>300</x:v>
      </x:c>
      <x:c r="L120" s="71" t="str">
        <x:v>res://resources/audio/shenmu_swamp_combat.ogg</x:v>
      </x:c>
      <x:c r="M120" s="71" t="str">
        <x:v>res://resources/audio/shenmu_swamp_intermission.ogg</x:v>
      </x:c>
      <x:c r="N120" s="71" t="b">
        <x:f>'第2日'!I62="待设计"</x:f>
        <x:v>0</x:v>
      </x:c>
      <x:c r="O120" s="71" t="n">
        <x:v>8</x:v>
      </x:c>
      <x:c r="P120" s="71" t="str">
        <x:f>IF('第2日'!B72="","",IFERROR(VLOOKUP('第2日'!B72,'敌人目录'!$A$6:$B$54,2,FALSE),""))</x:f>
      </x:c>
      <x:c r="Q120" s="71" t="str">
        <x:f>IF('第2日'!B72="","",'第2日'!C72)</x:f>
      </x:c>
      <x:c r="R120" s="71" t="n">
        <x:v>-1</x:v>
      </x:c>
      <x:c r="S120" s="71" t="str">
        <x:f>IF('第2日'!B72="","",'第2日'!I72)</x:f>
      </x:c>
    </x:row>
    <x:row r="121">
      <x:c r="A121" s="71" t="n">
        <x:v>3</x:v>
      </x:c>
      <x:c r="B121" s="71" t="str">
        <x:v>wave_07</x:v>
      </x:c>
      <x:c r="C121" s="71" t="n">
        <x:v>7</x:v>
      </x:c>
      <x:c r="D121" s="71" t="n">
        <x:v>2</x:v>
      </x:c>
      <x:c r="E121" s="71" t="n">
        <x:v>3</x:v>
      </x:c>
      <x:c r="F121" s="71" t="str">
        <x:v>夜晚</x:v>
      </x:c>
      <x:c r="G121" s="71" t="str">
        <x:f>'第2日'!B61</x:f>
        <x:v>第7波 紫晶突袭</x:v>
      </x:c>
      <x:c r="H121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1" s="71" t="n">
        <x:f>'第2日'!E61</x:f>
        <x:v>0.35</x:v>
      </x:c>
      <x:c r="J121" s="71" t="n">
        <x:f>'第2日'!G61</x:f>
        <x:v>1</x:v>
      </x:c>
      <x:c r="K121" s="71" t="n">
        <x:f>'第2日'!I61</x:f>
        <x:v>300</x:v>
      </x:c>
      <x:c r="L121" s="71" t="str">
        <x:v>res://resources/audio/shenmu_swamp_combat.ogg</x:v>
      </x:c>
      <x:c r="M121" s="71" t="str">
        <x:v>res://resources/audio/shenmu_swamp_intermission.ogg</x:v>
      </x:c>
      <x:c r="N121" s="71" t="b">
        <x:f>'第2日'!I62="待设计"</x:f>
        <x:v>0</x:v>
      </x:c>
      <x:c r="O121" s="71" t="n">
        <x:v>9</x:v>
      </x:c>
      <x:c r="P121" s="71" t="str">
        <x:f>IF('第2日'!B73="","",IFERROR(VLOOKUP('第2日'!B73,'敌人目录'!$A$6:$B$54,2,FALSE),""))</x:f>
      </x:c>
      <x:c r="Q121" s="71" t="str">
        <x:f>IF('第2日'!B73="","",'第2日'!C73)</x:f>
      </x:c>
      <x:c r="R121" s="71" t="n">
        <x:v>-1</x:v>
      </x:c>
      <x:c r="S121" s="71" t="str">
        <x:f>IF('第2日'!B73="","",'第2日'!I73)</x:f>
      </x:c>
    </x:row>
    <x:row r="122">
      <x:c r="A122" s="71" t="n">
        <x:v>3</x:v>
      </x:c>
      <x:c r="B122" s="71" t="str">
        <x:v>wave_07</x:v>
      </x:c>
      <x:c r="C122" s="71" t="n">
        <x:v>7</x:v>
      </x:c>
      <x:c r="D122" s="71" t="n">
        <x:v>2</x:v>
      </x:c>
      <x:c r="E122" s="71" t="n">
        <x:v>3</x:v>
      </x:c>
      <x:c r="F122" s="71" t="str">
        <x:v>夜晚</x:v>
      </x:c>
      <x:c r="G122" s="71" t="str">
        <x:f>'第2日'!B61</x:f>
        <x:v>第7波 紫晶突袭</x:v>
      </x:c>
      <x:c r="H122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2" s="71" t="n">
        <x:f>'第2日'!E61</x:f>
        <x:v>0.35</x:v>
      </x:c>
      <x:c r="J122" s="71" t="n">
        <x:f>'第2日'!G61</x:f>
        <x:v>1</x:v>
      </x:c>
      <x:c r="K122" s="71" t="n">
        <x:f>'第2日'!I61</x:f>
        <x:v>300</x:v>
      </x:c>
      <x:c r="L122" s="71" t="str">
        <x:v>res://resources/audio/shenmu_swamp_combat.ogg</x:v>
      </x:c>
      <x:c r="M122" s="71" t="str">
        <x:v>res://resources/audio/shenmu_swamp_intermission.ogg</x:v>
      </x:c>
      <x:c r="N122" s="71" t="b">
        <x:f>'第2日'!I62="待设计"</x:f>
        <x:v>0</x:v>
      </x:c>
      <x:c r="O122" s="71" t="n">
        <x:v>10</x:v>
      </x:c>
      <x:c r="P122" s="71" t="str">
        <x:f>IF('第2日'!B74="","",IFERROR(VLOOKUP('第2日'!B74,'敌人目录'!$A$6:$B$54,2,FALSE),""))</x:f>
      </x:c>
      <x:c r="Q122" s="71" t="str">
        <x:f>IF('第2日'!B74="","",'第2日'!C74)</x:f>
      </x:c>
      <x:c r="R122" s="71" t="n">
        <x:v>-1</x:v>
      </x:c>
      <x:c r="S122" s="71" t="str">
        <x:f>IF('第2日'!B74="","",'第2日'!I74)</x:f>
      </x:c>
    </x:row>
    <x:row r="123">
      <x:c r="A123" s="71" t="n">
        <x:v>3</x:v>
      </x:c>
      <x:c r="B123" s="71" t="str">
        <x:v>wave_07</x:v>
      </x:c>
      <x:c r="C123" s="71" t="n">
        <x:v>7</x:v>
      </x:c>
      <x:c r="D123" s="71" t="n">
        <x:v>2</x:v>
      </x:c>
      <x:c r="E123" s="71" t="n">
        <x:v>3</x:v>
      </x:c>
      <x:c r="F123" s="71" t="str">
        <x:v>夜晚</x:v>
      </x:c>
      <x:c r="G123" s="71" t="str">
        <x:f>'第2日'!B61</x:f>
        <x:v>第7波 紫晶突袭</x:v>
      </x:c>
      <x:c r="H123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3" s="71" t="n">
        <x:f>'第2日'!E61</x:f>
        <x:v>0.35</x:v>
      </x:c>
      <x:c r="J123" s="71" t="n">
        <x:f>'第2日'!G61</x:f>
        <x:v>1</x:v>
      </x:c>
      <x:c r="K123" s="71" t="n">
        <x:f>'第2日'!I61</x:f>
        <x:v>300</x:v>
      </x:c>
      <x:c r="L123" s="71" t="str">
        <x:v>res://resources/audio/shenmu_swamp_combat.ogg</x:v>
      </x:c>
      <x:c r="M123" s="71" t="str">
        <x:v>res://resources/audio/shenmu_swamp_intermission.ogg</x:v>
      </x:c>
      <x:c r="N123" s="71" t="b">
        <x:f>'第2日'!I62="待设计"</x:f>
        <x:v>0</x:v>
      </x:c>
      <x:c r="O123" s="71" t="n">
        <x:v>11</x:v>
      </x:c>
      <x:c r="P123" s="71" t="str">
        <x:f>IF('第2日'!B75="","",IFERROR(VLOOKUP('第2日'!B75,'敌人目录'!$A$6:$B$54,2,FALSE),""))</x:f>
      </x:c>
      <x:c r="Q123" s="71" t="str">
        <x:f>IF('第2日'!B75="","",'第2日'!C75)</x:f>
      </x:c>
      <x:c r="R123" s="71" t="n">
        <x:v>-1</x:v>
      </x:c>
      <x:c r="S123" s="71" t="str">
        <x:f>IF('第2日'!B75="","",'第2日'!I75)</x:f>
      </x:c>
    </x:row>
    <x:row r="124">
      <x:c r="A124" s="71" t="n">
        <x:v>3</x:v>
      </x:c>
      <x:c r="B124" s="71" t="str">
        <x:v>wave_07</x:v>
      </x:c>
      <x:c r="C124" s="71" t="n">
        <x:v>7</x:v>
      </x:c>
      <x:c r="D124" s="71" t="n">
        <x:v>2</x:v>
      </x:c>
      <x:c r="E124" s="71" t="n">
        <x:v>3</x:v>
      </x:c>
      <x:c r="F124" s="71" t="str">
        <x:v>夜晚</x:v>
      </x:c>
      <x:c r="G124" s="71" t="str">
        <x:f>'第2日'!B61</x:f>
        <x:v>第7波 紫晶突袭</x:v>
      </x:c>
      <x:c r="H124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4" s="71" t="n">
        <x:f>'第2日'!E61</x:f>
        <x:v>0.35</x:v>
      </x:c>
      <x:c r="J124" s="71" t="n">
        <x:f>'第2日'!G61</x:f>
        <x:v>1</x:v>
      </x:c>
      <x:c r="K124" s="71" t="n">
        <x:f>'第2日'!I61</x:f>
        <x:v>300</x:v>
      </x:c>
      <x:c r="L124" s="71" t="str">
        <x:v>res://resources/audio/shenmu_swamp_combat.ogg</x:v>
      </x:c>
      <x:c r="M124" s="71" t="str">
        <x:v>res://resources/audio/shenmu_swamp_intermission.ogg</x:v>
      </x:c>
      <x:c r="N124" s="71" t="b">
        <x:f>'第2日'!I62="待设计"</x:f>
        <x:v>0</x:v>
      </x:c>
      <x:c r="O124" s="71" t="n">
        <x:v>12</x:v>
      </x:c>
      <x:c r="P124" s="71" t="str">
        <x:f>IF('第2日'!B76="","",IFERROR(VLOOKUP('第2日'!B76,'敌人目录'!$A$6:$B$54,2,FALSE),""))</x:f>
      </x:c>
      <x:c r="Q124" s="71" t="str">
        <x:f>IF('第2日'!B76="","",'第2日'!C76)</x:f>
      </x:c>
      <x:c r="R124" s="71" t="n">
        <x:v>-1</x:v>
      </x:c>
      <x:c r="S124" s="71" t="str">
        <x:f>IF('第2日'!B76="","",'第2日'!I76)</x:f>
      </x:c>
    </x:row>
    <x:row r="125">
      <x:c r="A125" s="71" t="n">
        <x:v>3</x:v>
      </x:c>
      <x:c r="B125" s="71" t="str">
        <x:v>wave_07</x:v>
      </x:c>
      <x:c r="C125" s="71" t="n">
        <x:v>7</x:v>
      </x:c>
      <x:c r="D125" s="71" t="n">
        <x:v>2</x:v>
      </x:c>
      <x:c r="E125" s="71" t="n">
        <x:v>3</x:v>
      </x:c>
      <x:c r="F125" s="71" t="str">
        <x:v>夜晚</x:v>
      </x:c>
      <x:c r="G125" s="71" t="str">
        <x:f>'第2日'!B61</x:f>
        <x:v>第7波 紫晶突袭</x:v>
      </x:c>
      <x:c r="H125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5" s="71" t="n">
        <x:f>'第2日'!E61</x:f>
        <x:v>0.35</x:v>
      </x:c>
      <x:c r="J125" s="71" t="n">
        <x:f>'第2日'!G61</x:f>
        <x:v>1</x:v>
      </x:c>
      <x:c r="K125" s="71" t="n">
        <x:f>'第2日'!I61</x:f>
        <x:v>300</x:v>
      </x:c>
      <x:c r="L125" s="71" t="str">
        <x:v>res://resources/audio/shenmu_swamp_combat.ogg</x:v>
      </x:c>
      <x:c r="M125" s="71" t="str">
        <x:v>res://resources/audio/shenmu_swamp_intermission.ogg</x:v>
      </x:c>
      <x:c r="N125" s="71" t="b">
        <x:f>'第2日'!I62="待设计"</x:f>
        <x:v>0</x:v>
      </x:c>
      <x:c r="O125" s="71" t="n">
        <x:v>13</x:v>
      </x:c>
      <x:c r="P125" s="71" t="str">
        <x:f>IF('第2日'!B77="","",IFERROR(VLOOKUP('第2日'!B77,'敌人目录'!$A$6:$B$54,2,FALSE),""))</x:f>
      </x:c>
      <x:c r="Q125" s="71" t="str">
        <x:f>IF('第2日'!B77="","",'第2日'!C77)</x:f>
      </x:c>
      <x:c r="R125" s="71" t="n">
        <x:v>-1</x:v>
      </x:c>
      <x:c r="S125" s="71" t="str">
        <x:f>IF('第2日'!B77="","",'第2日'!I77)</x:f>
      </x:c>
    </x:row>
    <x:row r="126">
      <x:c r="A126" s="71" t="n">
        <x:v>3</x:v>
      </x:c>
      <x:c r="B126" s="71" t="str">
        <x:v>wave_07</x:v>
      </x:c>
      <x:c r="C126" s="71" t="n">
        <x:v>7</x:v>
      </x:c>
      <x:c r="D126" s="71" t="n">
        <x:v>2</x:v>
      </x:c>
      <x:c r="E126" s="71" t="n">
        <x:v>3</x:v>
      </x:c>
      <x:c r="F126" s="71" t="str">
        <x:v>夜晚</x:v>
      </x:c>
      <x:c r="G126" s="71" t="str">
        <x:f>'第2日'!B61</x:f>
        <x:v>第7波 紫晶突袭</x:v>
      </x:c>
      <x:c r="H126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6" s="71" t="n">
        <x:f>'第2日'!E61</x:f>
        <x:v>0.35</x:v>
      </x:c>
      <x:c r="J126" s="71" t="n">
        <x:f>'第2日'!G61</x:f>
        <x:v>1</x:v>
      </x:c>
      <x:c r="K126" s="71" t="n">
        <x:f>'第2日'!I61</x:f>
        <x:v>300</x:v>
      </x:c>
      <x:c r="L126" s="71" t="str">
        <x:v>res://resources/audio/shenmu_swamp_combat.ogg</x:v>
      </x:c>
      <x:c r="M126" s="71" t="str">
        <x:v>res://resources/audio/shenmu_swamp_intermission.ogg</x:v>
      </x:c>
      <x:c r="N126" s="71" t="b">
        <x:f>'第2日'!I62="待设计"</x:f>
        <x:v>0</x:v>
      </x:c>
      <x:c r="O126" s="71" t="n">
        <x:v>14</x:v>
      </x:c>
      <x:c r="P126" s="71" t="str">
        <x:f>IF('第2日'!B78="","",IFERROR(VLOOKUP('第2日'!B78,'敌人目录'!$A$6:$B$54,2,FALSE),""))</x:f>
      </x:c>
      <x:c r="Q126" s="71" t="str">
        <x:f>IF('第2日'!B78="","",'第2日'!C78)</x:f>
      </x:c>
      <x:c r="R126" s="71" t="n">
        <x:v>-1</x:v>
      </x:c>
      <x:c r="S126" s="71" t="str">
        <x:f>IF('第2日'!B78="","",'第2日'!I78)</x:f>
      </x:c>
    </x:row>
    <x:row r="127">
      <x:c r="A127" s="71" t="n">
        <x:v>3</x:v>
      </x:c>
      <x:c r="B127" s="71" t="str">
        <x:v>wave_07</x:v>
      </x:c>
      <x:c r="C127" s="71" t="n">
        <x:v>7</x:v>
      </x:c>
      <x:c r="D127" s="71" t="n">
        <x:v>2</x:v>
      </x:c>
      <x:c r="E127" s="71" t="n">
        <x:v>3</x:v>
      </x:c>
      <x:c r="F127" s="71" t="str">
        <x:v>夜晚</x:v>
      </x:c>
      <x:c r="G127" s="71" t="str">
        <x:f>'第2日'!B61</x:f>
        <x:v>第7波 紫晶突袭</x:v>
      </x:c>
      <x:c r="H127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7" s="71" t="n">
        <x:f>'第2日'!E61</x:f>
        <x:v>0.35</x:v>
      </x:c>
      <x:c r="J127" s="71" t="n">
        <x:f>'第2日'!G61</x:f>
        <x:v>1</x:v>
      </x:c>
      <x:c r="K127" s="71" t="n">
        <x:f>'第2日'!I61</x:f>
        <x:v>300</x:v>
      </x:c>
      <x:c r="L127" s="71" t="str">
        <x:v>res://resources/audio/shenmu_swamp_combat.ogg</x:v>
      </x:c>
      <x:c r="M127" s="71" t="str">
        <x:v>res://resources/audio/shenmu_swamp_intermission.ogg</x:v>
      </x:c>
      <x:c r="N127" s="71" t="b">
        <x:f>'第2日'!I62="待设计"</x:f>
        <x:v>0</x:v>
      </x:c>
      <x:c r="O127" s="71" t="n">
        <x:v>15</x:v>
      </x:c>
      <x:c r="P127" s="71" t="str">
        <x:f>IF('第2日'!B79="","",IFERROR(VLOOKUP('第2日'!B79,'敌人目录'!$A$6:$B$54,2,FALSE),""))</x:f>
      </x:c>
      <x:c r="Q127" s="71" t="str">
        <x:f>IF('第2日'!B79="","",'第2日'!C79)</x:f>
      </x:c>
      <x:c r="R127" s="71" t="n">
        <x:v>-1</x:v>
      </x:c>
      <x:c r="S127" s="71" t="str">
        <x:f>IF('第2日'!B79="","",'第2日'!I79)</x:f>
      </x:c>
    </x:row>
    <x:row r="128">
      <x:c r="A128" s="71" t="n">
        <x:v>3</x:v>
      </x:c>
      <x:c r="B128" s="71" t="str">
        <x:v>wave_07</x:v>
      </x:c>
      <x:c r="C128" s="71" t="n">
        <x:v>7</x:v>
      </x:c>
      <x:c r="D128" s="71" t="n">
        <x:v>2</x:v>
      </x:c>
      <x:c r="E128" s="71" t="n">
        <x:v>3</x:v>
      </x:c>
      <x:c r="F128" s="71" t="str">
        <x:v>夜晚</x:v>
      </x:c>
      <x:c r="G128" s="71" t="str">
        <x:f>'第2日'!B61</x:f>
        <x:v>第7波 紫晶突袭</x:v>
      </x:c>
      <x:c r="H128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8" s="71" t="n">
        <x:f>'第2日'!E61</x:f>
        <x:v>0.35</x:v>
      </x:c>
      <x:c r="J128" s="71" t="n">
        <x:f>'第2日'!G61</x:f>
        <x:v>1</x:v>
      </x:c>
      <x:c r="K128" s="71" t="n">
        <x:f>'第2日'!I61</x:f>
        <x:v>300</x:v>
      </x:c>
      <x:c r="L128" s="71" t="str">
        <x:v>res://resources/audio/shenmu_swamp_combat.ogg</x:v>
      </x:c>
      <x:c r="M128" s="71" t="str">
        <x:v>res://resources/audio/shenmu_swamp_intermission.ogg</x:v>
      </x:c>
      <x:c r="N128" s="71" t="b">
        <x:f>'第2日'!I62="待设计"</x:f>
        <x:v>0</x:v>
      </x:c>
      <x:c r="O128" s="71" t="n">
        <x:v>16</x:v>
      </x:c>
      <x:c r="P128" s="71" t="str">
        <x:f>IF('第2日'!B80="","",IFERROR(VLOOKUP('第2日'!B80,'敌人目录'!$A$6:$B$54,2,FALSE),""))</x:f>
      </x:c>
      <x:c r="Q128" s="71" t="str">
        <x:f>IF('第2日'!B80="","",'第2日'!C80)</x:f>
      </x:c>
      <x:c r="R128" s="71" t="n">
        <x:v>-1</x:v>
      </x:c>
      <x:c r="S128" s="71" t="str">
        <x:f>IF('第2日'!B80="","",'第2日'!I80)</x:f>
      </x:c>
    </x:row>
    <x:row r="129">
      <x:c r="A129" s="71" t="n">
        <x:v>3</x:v>
      </x:c>
      <x:c r="B129" s="71" t="str">
        <x:v>wave_07</x:v>
      </x:c>
      <x:c r="C129" s="71" t="n">
        <x:v>7</x:v>
      </x:c>
      <x:c r="D129" s="71" t="n">
        <x:v>2</x:v>
      </x:c>
      <x:c r="E129" s="71" t="n">
        <x:v>3</x:v>
      </x:c>
      <x:c r="F129" s="71" t="str">
        <x:v>夜晚</x:v>
      </x:c>
      <x:c r="G129" s="71" t="str">
        <x:f>'第2日'!B61</x:f>
        <x:v>第7波 紫晶突袭</x:v>
      </x:c>
      <x:c r="H129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9" s="71" t="n">
        <x:f>'第2日'!E61</x:f>
        <x:v>0.35</x:v>
      </x:c>
      <x:c r="J129" s="71" t="n">
        <x:f>'第2日'!G61</x:f>
        <x:v>1</x:v>
      </x:c>
      <x:c r="K129" s="71" t="n">
        <x:f>'第2日'!I61</x:f>
        <x:v>300</x:v>
      </x:c>
      <x:c r="L129" s="71" t="str">
        <x:v>res://resources/audio/shenmu_swamp_combat.ogg</x:v>
      </x:c>
      <x:c r="M129" s="71" t="str">
        <x:v>res://resources/audio/shenmu_swamp_intermission.ogg</x:v>
      </x:c>
      <x:c r="N129" s="71" t="b">
        <x:f>'第2日'!I62="待设计"</x:f>
        <x:v>0</x:v>
      </x:c>
      <x:c r="O129" s="71" t="n">
        <x:v>17</x:v>
      </x:c>
      <x:c r="P129" s="71" t="str">
        <x:f>IF('第2日'!B81="","",IFERROR(VLOOKUP('第2日'!B81,'敌人目录'!$A$6:$B$54,2,FALSE),""))</x:f>
      </x:c>
      <x:c r="Q129" s="71" t="str">
        <x:f>IF('第2日'!B81="","",'第2日'!C81)</x:f>
      </x:c>
      <x:c r="R129" s="71" t="n">
        <x:v>-1</x:v>
      </x:c>
      <x:c r="S129" s="71" t="str">
        <x:f>IF('第2日'!B81="","",'第2日'!I81)</x:f>
      </x:c>
    </x:row>
    <x:row r="130">
      <x:c r="A130" s="71" t="n">
        <x:v>3</x:v>
      </x:c>
      <x:c r="B130" s="71" t="str">
        <x:v>wave_07</x:v>
      </x:c>
      <x:c r="C130" s="71" t="n">
        <x:v>7</x:v>
      </x:c>
      <x:c r="D130" s="71" t="n">
        <x:v>2</x:v>
      </x:c>
      <x:c r="E130" s="71" t="n">
        <x:v>3</x:v>
      </x:c>
      <x:c r="F130" s="71" t="str">
        <x:v>夜晚</x:v>
      </x:c>
      <x:c r="G130" s="71" t="str">
        <x:f>'第2日'!B61</x:f>
        <x:v>第7波 紫晶突袭</x:v>
      </x:c>
      <x:c r="H130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30" s="71" t="n">
        <x:f>'第2日'!E61</x:f>
        <x:v>0.35</x:v>
      </x:c>
      <x:c r="J130" s="71" t="n">
        <x:f>'第2日'!G61</x:f>
        <x:v>1</x:v>
      </x:c>
      <x:c r="K130" s="71" t="n">
        <x:f>'第2日'!I61</x:f>
        <x:v>300</x:v>
      </x:c>
      <x:c r="L130" s="71" t="str">
        <x:v>res://resources/audio/shenmu_swamp_combat.ogg</x:v>
      </x:c>
      <x:c r="M130" s="71" t="str">
        <x:v>res://resources/audio/shenmu_swamp_intermission.ogg</x:v>
      </x:c>
      <x:c r="N130" s="71" t="b">
        <x:f>'第2日'!I62="待设计"</x:f>
        <x:v>0</x:v>
      </x:c>
      <x:c r="O130" s="71" t="n">
        <x:v>18</x:v>
      </x:c>
      <x:c r="P130" s="71" t="str">
        <x:f>IF('第2日'!B82="","",IFERROR(VLOOKUP('第2日'!B82,'敌人目录'!$A$6:$B$54,2,FALSE),""))</x:f>
      </x:c>
      <x:c r="Q130" s="71" t="str">
        <x:f>IF('第2日'!B82="","",'第2日'!C82)</x:f>
      </x:c>
      <x:c r="R130" s="71" t="n">
        <x:v>-1</x:v>
      </x:c>
      <x:c r="S130" s="71" t="str">
        <x:f>IF('第2日'!B82="","",'第2日'!I82)</x:f>
      </x:c>
    </x:row>
    <x:row r="131">
      <x:c r="A131" s="71" t="n">
        <x:v>3</x:v>
      </x:c>
      <x:c r="B131" s="71" t="str">
        <x:v>wave_08</x:v>
      </x:c>
      <x:c r="C131" s="71" t="n">
        <x:v>8</x:v>
      </x:c>
      <x:c r="D131" s="71" t="n">
        <x:v>2</x:v>
      </x:c>
      <x:c r="E131" s="71" t="n">
        <x:v>4</x:v>
      </x:c>
      <x:c r="F131" s="71" t="str">
        <x:v>夜晚</x:v>
      </x:c>
      <x:c r="G131" s="71" t="str">
        <x:f>'第2日'!B90</x:f>
        <x:v>第8波 沼泽合围</x:v>
      </x:c>
      <x:c r="H131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1" s="71" t="n">
        <x:f>'第2日'!E90</x:f>
        <x:v>0.3</x:v>
      </x:c>
      <x:c r="J131" s="71" t="n">
        <x:f>'第2日'!G90</x:f>
        <x:v>1</x:v>
      </x:c>
      <x:c r="K131" s="71" t="n">
        <x:f>'第2日'!I90</x:f>
        <x:v>300</x:v>
      </x:c>
      <x:c r="L131" s="71" t="str">
        <x:v>res://resources/audio/shenmu_swamp_combat.ogg</x:v>
      </x:c>
      <x:c r="M131" s="71" t="str">
        <x:v>res://resources/audio/shenmu_swamp_intermission.ogg</x:v>
      </x:c>
      <x:c r="N131" s="71" t="b">
        <x:f>'第2日'!I91="待设计"</x:f>
        <x:v>0</x:v>
      </x:c>
      <x:c r="O131" s="71" t="n">
        <x:v>1</x:v>
      </x:c>
      <x:c r="P131" s="71" t="str">
        <x:f>IF('第2日'!B94="","",IFERROR(VLOOKUP('第2日'!B94,'敌人目录'!$A$6:$B$54,2,FALSE),""))</x:f>
        <x:v>yuanshi_insect_basic</x:v>
      </x:c>
      <x:c r="Q131" s="71" t="n">
        <x:f>IF('第2日'!B94="","",'第2日'!C94)</x:f>
        <x:v>24</x:v>
      </x:c>
      <x:c r="R131" s="71" t="n">
        <x:v>-1</x:v>
      </x:c>
      <x:c r="S131" s="71" t="str">
        <x:f>IF('第2日'!B94="","",'第2日'!I94)</x:f>
        <x:v>可回读</x:v>
      </x:c>
    </x:row>
    <x:row r="132">
      <x:c r="A132" s="71" t="n">
        <x:v>3</x:v>
      </x:c>
      <x:c r="B132" s="71" t="str">
        <x:v>wave_08</x:v>
      </x:c>
      <x:c r="C132" s="71" t="n">
        <x:v>8</x:v>
      </x:c>
      <x:c r="D132" s="71" t="n">
        <x:v>2</x:v>
      </x:c>
      <x:c r="E132" s="71" t="n">
        <x:v>4</x:v>
      </x:c>
      <x:c r="F132" s="71" t="str">
        <x:v>夜晚</x:v>
      </x:c>
      <x:c r="G132" s="71" t="str">
        <x:f>'第2日'!B90</x:f>
        <x:v>第8波 沼泽合围</x:v>
      </x:c>
      <x:c r="H132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2" s="71" t="n">
        <x:f>'第2日'!E90</x:f>
        <x:v>0.3</x:v>
      </x:c>
      <x:c r="J132" s="71" t="n">
        <x:f>'第2日'!G90</x:f>
        <x:v>1</x:v>
      </x:c>
      <x:c r="K132" s="71" t="n">
        <x:f>'第2日'!I90</x:f>
        <x:v>300</x:v>
      </x:c>
      <x:c r="L132" s="71" t="str">
        <x:v>res://resources/audio/shenmu_swamp_combat.ogg</x:v>
      </x:c>
      <x:c r="M132" s="71" t="str">
        <x:v>res://resources/audio/shenmu_swamp_intermission.ogg</x:v>
      </x:c>
      <x:c r="N132" s="71" t="b">
        <x:f>'第2日'!I91="待设计"</x:f>
        <x:v>0</x:v>
      </x:c>
      <x:c r="O132" s="71" t="n">
        <x:v>2</x:v>
      </x:c>
      <x:c r="P132" s="71" t="str">
        <x:f>IF('第2日'!B95="","",IFERROR(VLOOKUP('第2日'!B95,'敌人目录'!$A$6:$B$54,2,FALSE),""))</x:f>
        <x:v>yuanshi_insect_fast</x:v>
      </x:c>
      <x:c r="Q132" s="71" t="n">
        <x:f>IF('第2日'!B95="","",'第2日'!C95)</x:f>
        <x:v>24</x:v>
      </x:c>
      <x:c r="R132" s="71" t="n">
        <x:v>-1</x:v>
      </x:c>
      <x:c r="S132" s="71" t="str">
        <x:f>IF('第2日'!B95="","",'第2日'!I95)</x:f>
        <x:v>可回读</x:v>
      </x:c>
    </x:row>
    <x:row r="133">
      <x:c r="A133" s="71" t="n">
        <x:v>3</x:v>
      </x:c>
      <x:c r="B133" s="71" t="str">
        <x:v>wave_08</x:v>
      </x:c>
      <x:c r="C133" s="71" t="n">
        <x:v>8</x:v>
      </x:c>
      <x:c r="D133" s="71" t="n">
        <x:v>2</x:v>
      </x:c>
      <x:c r="E133" s="71" t="n">
        <x:v>4</x:v>
      </x:c>
      <x:c r="F133" s="71" t="str">
        <x:v>夜晚</x:v>
      </x:c>
      <x:c r="G133" s="71" t="str">
        <x:f>'第2日'!B90</x:f>
        <x:v>第8波 沼泽合围</x:v>
      </x:c>
      <x:c r="H133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3" s="71" t="n">
        <x:f>'第2日'!E90</x:f>
        <x:v>0.3</x:v>
      </x:c>
      <x:c r="J133" s="71" t="n">
        <x:f>'第2日'!G90</x:f>
        <x:v>1</x:v>
      </x:c>
      <x:c r="K133" s="71" t="n">
        <x:f>'第2日'!I90</x:f>
        <x:v>300</x:v>
      </x:c>
      <x:c r="L133" s="71" t="str">
        <x:v>res://resources/audio/shenmu_swamp_combat.ogg</x:v>
      </x:c>
      <x:c r="M133" s="71" t="str">
        <x:v>res://resources/audio/shenmu_swamp_intermission.ogg</x:v>
      </x:c>
      <x:c r="N133" s="71" t="b">
        <x:f>'第2日'!I91="待设计"</x:f>
        <x:v>0</x:v>
      </x:c>
      <x:c r="O133" s="71" t="n">
        <x:v>3</x:v>
      </x:c>
      <x:c r="P133" s="71" t="str">
        <x:f>IF('第2日'!B96="","",IFERROR(VLOOKUP('第2日'!B96,'敌人目录'!$A$6:$B$54,2,FALSE),""))</x:f>
        <x:v>yuanshi_insect_shell</x:v>
      </x:c>
      <x:c r="Q133" s="71" t="n">
        <x:f>IF('第2日'!B96="","",'第2日'!C96)</x:f>
        <x:v>20</x:v>
      </x:c>
      <x:c r="R133" s="71" t="n">
        <x:v>-1</x:v>
      </x:c>
      <x:c r="S133" s="71" t="str">
        <x:f>IF('第2日'!B96="","",'第2日'!I96)</x:f>
        <x:v>可回读</x:v>
      </x:c>
    </x:row>
    <x:row r="134">
      <x:c r="A134" s="71" t="n">
        <x:v>3</x:v>
      </x:c>
      <x:c r="B134" s="71" t="str">
        <x:v>wave_08</x:v>
      </x:c>
      <x:c r="C134" s="71" t="n">
        <x:v>8</x:v>
      </x:c>
      <x:c r="D134" s="71" t="n">
        <x:v>2</x:v>
      </x:c>
      <x:c r="E134" s="71" t="n">
        <x:v>4</x:v>
      </x:c>
      <x:c r="F134" s="71" t="str">
        <x:v>夜晚</x:v>
      </x:c>
      <x:c r="G134" s="71" t="str">
        <x:f>'第2日'!B90</x:f>
        <x:v>第8波 沼泽合围</x:v>
      </x:c>
      <x:c r="H134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4" s="71" t="n">
        <x:f>'第2日'!E90</x:f>
        <x:v>0.3</x:v>
      </x:c>
      <x:c r="J134" s="71" t="n">
        <x:f>'第2日'!G90</x:f>
        <x:v>1</x:v>
      </x:c>
      <x:c r="K134" s="71" t="n">
        <x:f>'第2日'!I90</x:f>
        <x:v>300</x:v>
      </x:c>
      <x:c r="L134" s="71" t="str">
        <x:v>res://resources/audio/shenmu_swamp_combat.ogg</x:v>
      </x:c>
      <x:c r="M134" s="71" t="str">
        <x:v>res://resources/audio/shenmu_swamp_intermission.ogg</x:v>
      </x:c>
      <x:c r="N134" s="71" t="b">
        <x:f>'第2日'!I91="待设计"</x:f>
        <x:v>0</x:v>
      </x:c>
      <x:c r="O134" s="71" t="n">
        <x:v>4</x:v>
      </x:c>
      <x:c r="P134" s="71" t="str">
        <x:f>IF('第2日'!B97="","",IFERROR(VLOOKUP('第2日'!B97,'敌人目录'!$A$6:$B$54,2,FALSE),""))</x:f>
        <x:v>yuanshi_insect_bomber</x:v>
      </x:c>
      <x:c r="Q134" s="71" t="n">
        <x:f>IF('第2日'!B97="","",'第2日'!C97)</x:f>
        <x:v>20</x:v>
      </x:c>
      <x:c r="R134" s="71" t="n">
        <x:v>-1</x:v>
      </x:c>
      <x:c r="S134" s="71" t="str">
        <x:f>IF('第2日'!B97="","",'第2日'!I97)</x:f>
        <x:v>可回读</x:v>
      </x:c>
    </x:row>
    <x:row r="135">
      <x:c r="A135" s="71" t="n">
        <x:v>3</x:v>
      </x:c>
      <x:c r="B135" s="71" t="str">
        <x:v>wave_08</x:v>
      </x:c>
      <x:c r="C135" s="71" t="n">
        <x:v>8</x:v>
      </x:c>
      <x:c r="D135" s="71" t="n">
        <x:v>2</x:v>
      </x:c>
      <x:c r="E135" s="71" t="n">
        <x:v>4</x:v>
      </x:c>
      <x:c r="F135" s="71" t="str">
        <x:v>夜晚</x:v>
      </x:c>
      <x:c r="G135" s="71" t="str">
        <x:f>'第2日'!B90</x:f>
        <x:v>第8波 沼泽合围</x:v>
      </x:c>
      <x:c r="H135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5" s="71" t="n">
        <x:f>'第2日'!E90</x:f>
        <x:v>0.3</x:v>
      </x:c>
      <x:c r="J135" s="71" t="n">
        <x:f>'第2日'!G90</x:f>
        <x:v>1</x:v>
      </x:c>
      <x:c r="K135" s="71" t="n">
        <x:f>'第2日'!I90</x:f>
        <x:v>300</x:v>
      </x:c>
      <x:c r="L135" s="71" t="str">
        <x:v>res://resources/audio/shenmu_swamp_combat.ogg</x:v>
      </x:c>
      <x:c r="M135" s="71" t="str">
        <x:v>res://resources/audio/shenmu_swamp_intermission.ogg</x:v>
      </x:c>
      <x:c r="N135" s="71" t="b">
        <x:f>'第2日'!I91="待设计"</x:f>
        <x:v>0</x:v>
      </x:c>
      <x:c r="O135" s="71" t="n">
        <x:v>5</x:v>
      </x:c>
      <x:c r="P135" s="71" t="str">
        <x:f>IF('第2日'!B98="","",IFERROR(VLOOKUP('第2日'!B98,'敌人目录'!$A$6:$B$54,2,FALSE),""))</x:f>
        <x:v>yuanshi_insect_purple_bomber</x:v>
      </x:c>
      <x:c r="Q135" s="71" t="n">
        <x:f>IF('第2日'!B98="","",'第2日'!C98)</x:f>
        <x:v>12</x:v>
      </x:c>
      <x:c r="R135" s="71" t="n">
        <x:v>-1</x:v>
      </x:c>
      <x:c r="S135" s="71" t="str">
        <x:f>IF('第2日'!B98="","",'第2日'!I98)</x:f>
        <x:v>可回读</x:v>
      </x:c>
    </x:row>
    <x:row r="136">
      <x:c r="A136" s="71" t="n">
        <x:v>3</x:v>
      </x:c>
      <x:c r="B136" s="71" t="str">
        <x:v>wave_08</x:v>
      </x:c>
      <x:c r="C136" s="71" t="n">
        <x:v>8</x:v>
      </x:c>
      <x:c r="D136" s="71" t="n">
        <x:v>2</x:v>
      </x:c>
      <x:c r="E136" s="71" t="n">
        <x:v>4</x:v>
      </x:c>
      <x:c r="F136" s="71" t="str">
        <x:v>夜晚</x:v>
      </x:c>
      <x:c r="G136" s="71" t="str">
        <x:f>'第2日'!B90</x:f>
        <x:v>第8波 沼泽合围</x:v>
      </x:c>
      <x:c r="H136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6" s="71" t="n">
        <x:f>'第2日'!E90</x:f>
        <x:v>0.3</x:v>
      </x:c>
      <x:c r="J136" s="71" t="n">
        <x:f>'第2日'!G90</x:f>
        <x:v>1</x:v>
      </x:c>
      <x:c r="K136" s="71" t="n">
        <x:f>'第2日'!I90</x:f>
        <x:v>300</x:v>
      </x:c>
      <x:c r="L136" s="71" t="str">
        <x:v>res://resources/audio/shenmu_swamp_combat.ogg</x:v>
      </x:c>
      <x:c r="M136" s="71" t="str">
        <x:v>res://resources/audio/shenmu_swamp_intermission.ogg</x:v>
      </x:c>
      <x:c r="N136" s="71" t="b">
        <x:f>'第2日'!I91="待设计"</x:f>
        <x:v>0</x:v>
      </x:c>
      <x:c r="O136" s="71" t="n">
        <x:v>6</x:v>
      </x:c>
      <x:c r="P136" s="71" t="str">
        <x:f>IF('第2日'!B99="","",IFERROR(VLOOKUP('第2日'!B99,'敌人目录'!$A$6:$B$54,2,FALSE),""))</x:f>
        <x:v>yuanshi_insect_fire_ranged</x:v>
      </x:c>
      <x:c r="Q136" s="71" t="n">
        <x:f>IF('第2日'!B99="","",'第2日'!C99)</x:f>
        <x:v>16</x:v>
      </x:c>
      <x:c r="R136" s="71" t="n">
        <x:v>-1</x:v>
      </x:c>
      <x:c r="S136" s="71" t="str">
        <x:f>IF('第2日'!B99="","",'第2日'!I99)</x:f>
        <x:v>可回读</x:v>
      </x:c>
    </x:row>
    <x:row r="137">
      <x:c r="A137" s="71" t="n">
        <x:v>3</x:v>
      </x:c>
      <x:c r="B137" s="71" t="str">
        <x:v>wave_08</x:v>
      </x:c>
      <x:c r="C137" s="71" t="n">
        <x:v>8</x:v>
      </x:c>
      <x:c r="D137" s="71" t="n">
        <x:v>2</x:v>
      </x:c>
      <x:c r="E137" s="71" t="n">
        <x:v>4</x:v>
      </x:c>
      <x:c r="F137" s="71" t="str">
        <x:v>夜晚</x:v>
      </x:c>
      <x:c r="G137" s="71" t="str">
        <x:f>'第2日'!B90</x:f>
        <x:v>第8波 沼泽合围</x:v>
      </x:c>
      <x:c r="H137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7" s="71" t="n">
        <x:f>'第2日'!E90</x:f>
        <x:v>0.3</x:v>
      </x:c>
      <x:c r="J137" s="71" t="n">
        <x:f>'第2日'!G90</x:f>
        <x:v>1</x:v>
      </x:c>
      <x:c r="K137" s="71" t="n">
        <x:f>'第2日'!I90</x:f>
        <x:v>300</x:v>
      </x:c>
      <x:c r="L137" s="71" t="str">
        <x:v>res://resources/audio/shenmu_swamp_combat.ogg</x:v>
      </x:c>
      <x:c r="M137" s="71" t="str">
        <x:v>res://resources/audio/shenmu_swamp_intermission.ogg</x:v>
      </x:c>
      <x:c r="N137" s="71" t="b">
        <x:f>'第2日'!I91="待设计"</x:f>
        <x:v>0</x:v>
      </x:c>
      <x:c r="O137" s="71" t="n">
        <x:v>7</x:v>
      </x:c>
      <x:c r="P137" s="71" t="str">
        <x:f>IF('第2日'!B100="","",IFERROR(VLOOKUP('第2日'!B100,'敌人目录'!$A$6:$B$54,2,FALSE),""))</x:f>
        <x:v>yuanshi_insect_guardian</x:v>
      </x:c>
      <x:c r="Q137" s="71" t="n">
        <x:f>IF('第2日'!B100="","",'第2日'!C100)</x:f>
        <x:v>12</x:v>
      </x:c>
      <x:c r="R137" s="71" t="n">
        <x:v>-1</x:v>
      </x:c>
      <x:c r="S137" s="71" t="str">
        <x:f>IF('第2日'!B100="","",'第2日'!I100)</x:f>
        <x:v>可回读</x:v>
      </x:c>
    </x:row>
    <x:row r="138">
      <x:c r="A138" s="71" t="n">
        <x:v>3</x:v>
      </x:c>
      <x:c r="B138" s="71" t="str">
        <x:v>wave_08</x:v>
      </x:c>
      <x:c r="C138" s="71" t="n">
        <x:v>8</x:v>
      </x:c>
      <x:c r="D138" s="71" t="n">
        <x:v>2</x:v>
      </x:c>
      <x:c r="E138" s="71" t="n">
        <x:v>4</x:v>
      </x:c>
      <x:c r="F138" s="71" t="str">
        <x:v>夜晚</x:v>
      </x:c>
      <x:c r="G138" s="71" t="str">
        <x:f>'第2日'!B90</x:f>
        <x:v>第8波 沼泽合围</x:v>
      </x:c>
      <x:c r="H138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8" s="71" t="n">
        <x:f>'第2日'!E90</x:f>
        <x:v>0.3</x:v>
      </x:c>
      <x:c r="J138" s="71" t="n">
        <x:f>'第2日'!G90</x:f>
        <x:v>1</x:v>
      </x:c>
      <x:c r="K138" s="71" t="n">
        <x:f>'第2日'!I90</x:f>
        <x:v>300</x:v>
      </x:c>
      <x:c r="L138" s="71" t="str">
        <x:v>res://resources/audio/shenmu_swamp_combat.ogg</x:v>
      </x:c>
      <x:c r="M138" s="71" t="str">
        <x:v>res://resources/audio/shenmu_swamp_intermission.ogg</x:v>
      </x:c>
      <x:c r="N138" s="71" t="b">
        <x:f>'第2日'!I91="待设计"</x:f>
        <x:v>0</x:v>
      </x:c>
      <x:c r="O138" s="71" t="n">
        <x:v>8</x:v>
      </x:c>
      <x:c r="P138" s="71" t="str">
        <x:f>IF('第2日'!B101="","",IFERROR(VLOOKUP('第2日'!B101,'敌人目录'!$A$6:$B$54,2,FALSE),""))</x:f>
      </x:c>
      <x:c r="Q138" s="71" t="str">
        <x:f>IF('第2日'!B101="","",'第2日'!C101)</x:f>
      </x:c>
      <x:c r="R138" s="71" t="n">
        <x:v>-1</x:v>
      </x:c>
      <x:c r="S138" s="71" t="str">
        <x:f>IF('第2日'!B101="","",'第2日'!I101)</x:f>
      </x:c>
    </x:row>
    <x:row r="139">
      <x:c r="A139" s="71" t="n">
        <x:v>3</x:v>
      </x:c>
      <x:c r="B139" s="71" t="str">
        <x:v>wave_08</x:v>
      </x:c>
      <x:c r="C139" s="71" t="n">
        <x:v>8</x:v>
      </x:c>
      <x:c r="D139" s="71" t="n">
        <x:v>2</x:v>
      </x:c>
      <x:c r="E139" s="71" t="n">
        <x:v>4</x:v>
      </x:c>
      <x:c r="F139" s="71" t="str">
        <x:v>夜晚</x:v>
      </x:c>
      <x:c r="G139" s="71" t="str">
        <x:f>'第2日'!B90</x:f>
        <x:v>第8波 沼泽合围</x:v>
      </x:c>
      <x:c r="H139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9" s="71" t="n">
        <x:f>'第2日'!E90</x:f>
        <x:v>0.3</x:v>
      </x:c>
      <x:c r="J139" s="71" t="n">
        <x:f>'第2日'!G90</x:f>
        <x:v>1</x:v>
      </x:c>
      <x:c r="K139" s="71" t="n">
        <x:f>'第2日'!I90</x:f>
        <x:v>300</x:v>
      </x:c>
      <x:c r="L139" s="71" t="str">
        <x:v>res://resources/audio/shenmu_swamp_combat.ogg</x:v>
      </x:c>
      <x:c r="M139" s="71" t="str">
        <x:v>res://resources/audio/shenmu_swamp_intermission.ogg</x:v>
      </x:c>
      <x:c r="N139" s="71" t="b">
        <x:f>'第2日'!I91="待设计"</x:f>
        <x:v>0</x:v>
      </x:c>
      <x:c r="O139" s="71" t="n">
        <x:v>9</x:v>
      </x:c>
      <x:c r="P139" s="71" t="str">
        <x:f>IF('第2日'!B102="","",IFERROR(VLOOKUP('第2日'!B102,'敌人目录'!$A$6:$B$54,2,FALSE),""))</x:f>
      </x:c>
      <x:c r="Q139" s="71" t="str">
        <x:f>IF('第2日'!B102="","",'第2日'!C102)</x:f>
      </x:c>
      <x:c r="R139" s="71" t="n">
        <x:v>-1</x:v>
      </x:c>
      <x:c r="S139" s="71" t="str">
        <x:f>IF('第2日'!B102="","",'第2日'!I102)</x:f>
      </x:c>
    </x:row>
    <x:row r="140">
      <x:c r="A140" s="71" t="n">
        <x:v>3</x:v>
      </x:c>
      <x:c r="B140" s="71" t="str">
        <x:v>wave_08</x:v>
      </x:c>
      <x:c r="C140" s="71" t="n">
        <x:v>8</x:v>
      </x:c>
      <x:c r="D140" s="71" t="n">
        <x:v>2</x:v>
      </x:c>
      <x:c r="E140" s="71" t="n">
        <x:v>4</x:v>
      </x:c>
      <x:c r="F140" s="71" t="str">
        <x:v>夜晚</x:v>
      </x:c>
      <x:c r="G140" s="71" t="str">
        <x:f>'第2日'!B90</x:f>
        <x:v>第8波 沼泽合围</x:v>
      </x:c>
      <x:c r="H140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0" s="71" t="n">
        <x:f>'第2日'!E90</x:f>
        <x:v>0.3</x:v>
      </x:c>
      <x:c r="J140" s="71" t="n">
        <x:f>'第2日'!G90</x:f>
        <x:v>1</x:v>
      </x:c>
      <x:c r="K140" s="71" t="n">
        <x:f>'第2日'!I90</x:f>
        <x:v>300</x:v>
      </x:c>
      <x:c r="L140" s="71" t="str">
        <x:v>res://resources/audio/shenmu_swamp_combat.ogg</x:v>
      </x:c>
      <x:c r="M140" s="71" t="str">
        <x:v>res://resources/audio/shenmu_swamp_intermission.ogg</x:v>
      </x:c>
      <x:c r="N140" s="71" t="b">
        <x:f>'第2日'!I91="待设计"</x:f>
        <x:v>0</x:v>
      </x:c>
      <x:c r="O140" s="71" t="n">
        <x:v>10</x:v>
      </x:c>
      <x:c r="P140" s="71" t="str">
        <x:f>IF('第2日'!B103="","",IFERROR(VLOOKUP('第2日'!B103,'敌人目录'!$A$6:$B$54,2,FALSE),""))</x:f>
      </x:c>
      <x:c r="Q140" s="71" t="str">
        <x:f>IF('第2日'!B103="","",'第2日'!C103)</x:f>
      </x:c>
      <x:c r="R140" s="71" t="n">
        <x:v>-1</x:v>
      </x:c>
      <x:c r="S140" s="71" t="str">
        <x:f>IF('第2日'!B103="","",'第2日'!I103)</x:f>
      </x:c>
    </x:row>
    <x:row r="141">
      <x:c r="A141" s="71" t="n">
        <x:v>3</x:v>
      </x:c>
      <x:c r="B141" s="71" t="str">
        <x:v>wave_08</x:v>
      </x:c>
      <x:c r="C141" s="71" t="n">
        <x:v>8</x:v>
      </x:c>
      <x:c r="D141" s="71" t="n">
        <x:v>2</x:v>
      </x:c>
      <x:c r="E141" s="71" t="n">
        <x:v>4</x:v>
      </x:c>
      <x:c r="F141" s="71" t="str">
        <x:v>夜晚</x:v>
      </x:c>
      <x:c r="G141" s="71" t="str">
        <x:f>'第2日'!B90</x:f>
        <x:v>第8波 沼泽合围</x:v>
      </x:c>
      <x:c r="H141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1" s="71" t="n">
        <x:f>'第2日'!E90</x:f>
        <x:v>0.3</x:v>
      </x:c>
      <x:c r="J141" s="71" t="n">
        <x:f>'第2日'!G90</x:f>
        <x:v>1</x:v>
      </x:c>
      <x:c r="K141" s="71" t="n">
        <x:f>'第2日'!I90</x:f>
        <x:v>300</x:v>
      </x:c>
      <x:c r="L141" s="71" t="str">
        <x:v>res://resources/audio/shenmu_swamp_combat.ogg</x:v>
      </x:c>
      <x:c r="M141" s="71" t="str">
        <x:v>res://resources/audio/shenmu_swamp_intermission.ogg</x:v>
      </x:c>
      <x:c r="N141" s="71" t="b">
        <x:f>'第2日'!I91="待设计"</x:f>
        <x:v>0</x:v>
      </x:c>
      <x:c r="O141" s="71" t="n">
        <x:v>11</x:v>
      </x:c>
      <x:c r="P141" s="71" t="str">
        <x:f>IF('第2日'!B104="","",IFERROR(VLOOKUP('第2日'!B104,'敌人目录'!$A$6:$B$54,2,FALSE),""))</x:f>
      </x:c>
      <x:c r="Q141" s="71" t="str">
        <x:f>IF('第2日'!B104="","",'第2日'!C104)</x:f>
      </x:c>
      <x:c r="R141" s="71" t="n">
        <x:v>-1</x:v>
      </x:c>
      <x:c r="S141" s="71" t="str">
        <x:f>IF('第2日'!B104="","",'第2日'!I104)</x:f>
      </x:c>
    </x:row>
    <x:row r="142">
      <x:c r="A142" s="71" t="n">
        <x:v>3</x:v>
      </x:c>
      <x:c r="B142" s="71" t="str">
        <x:v>wave_08</x:v>
      </x:c>
      <x:c r="C142" s="71" t="n">
        <x:v>8</x:v>
      </x:c>
      <x:c r="D142" s="71" t="n">
        <x:v>2</x:v>
      </x:c>
      <x:c r="E142" s="71" t="n">
        <x:v>4</x:v>
      </x:c>
      <x:c r="F142" s="71" t="str">
        <x:v>夜晚</x:v>
      </x:c>
      <x:c r="G142" s="71" t="str">
        <x:f>'第2日'!B90</x:f>
        <x:v>第8波 沼泽合围</x:v>
      </x:c>
      <x:c r="H142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2" s="71" t="n">
        <x:f>'第2日'!E90</x:f>
        <x:v>0.3</x:v>
      </x:c>
      <x:c r="J142" s="71" t="n">
        <x:f>'第2日'!G90</x:f>
        <x:v>1</x:v>
      </x:c>
      <x:c r="K142" s="71" t="n">
        <x:f>'第2日'!I90</x:f>
        <x:v>300</x:v>
      </x:c>
      <x:c r="L142" s="71" t="str">
        <x:v>res://resources/audio/shenmu_swamp_combat.ogg</x:v>
      </x:c>
      <x:c r="M142" s="71" t="str">
        <x:v>res://resources/audio/shenmu_swamp_intermission.ogg</x:v>
      </x:c>
      <x:c r="N142" s="71" t="b">
        <x:f>'第2日'!I91="待设计"</x:f>
        <x:v>0</x:v>
      </x:c>
      <x:c r="O142" s="71" t="n">
        <x:v>12</x:v>
      </x:c>
      <x:c r="P142" s="71" t="str">
        <x:f>IF('第2日'!B105="","",IFERROR(VLOOKUP('第2日'!B105,'敌人目录'!$A$6:$B$54,2,FALSE),""))</x:f>
      </x:c>
      <x:c r="Q142" s="71" t="str">
        <x:f>IF('第2日'!B105="","",'第2日'!C105)</x:f>
      </x:c>
      <x:c r="R142" s="71" t="n">
        <x:v>-1</x:v>
      </x:c>
      <x:c r="S142" s="71" t="str">
        <x:f>IF('第2日'!B105="","",'第2日'!I105)</x:f>
      </x:c>
    </x:row>
    <x:row r="143">
      <x:c r="A143" s="71" t="n">
        <x:v>3</x:v>
      </x:c>
      <x:c r="B143" s="71" t="str">
        <x:v>wave_08</x:v>
      </x:c>
      <x:c r="C143" s="71" t="n">
        <x:v>8</x:v>
      </x:c>
      <x:c r="D143" s="71" t="n">
        <x:v>2</x:v>
      </x:c>
      <x:c r="E143" s="71" t="n">
        <x:v>4</x:v>
      </x:c>
      <x:c r="F143" s="71" t="str">
        <x:v>夜晚</x:v>
      </x:c>
      <x:c r="G143" s="71" t="str">
        <x:f>'第2日'!B90</x:f>
        <x:v>第8波 沼泽合围</x:v>
      </x:c>
      <x:c r="H143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3" s="71" t="n">
        <x:f>'第2日'!E90</x:f>
        <x:v>0.3</x:v>
      </x:c>
      <x:c r="J143" s="71" t="n">
        <x:f>'第2日'!G90</x:f>
        <x:v>1</x:v>
      </x:c>
      <x:c r="K143" s="71" t="n">
        <x:f>'第2日'!I90</x:f>
        <x:v>300</x:v>
      </x:c>
      <x:c r="L143" s="71" t="str">
        <x:v>res://resources/audio/shenmu_swamp_combat.ogg</x:v>
      </x:c>
      <x:c r="M143" s="71" t="str">
        <x:v>res://resources/audio/shenmu_swamp_intermission.ogg</x:v>
      </x:c>
      <x:c r="N143" s="71" t="b">
        <x:f>'第2日'!I91="待设计"</x:f>
        <x:v>0</x:v>
      </x:c>
      <x:c r="O143" s="71" t="n">
        <x:v>13</x:v>
      </x:c>
      <x:c r="P143" s="71" t="str">
        <x:f>IF('第2日'!B106="","",IFERROR(VLOOKUP('第2日'!B106,'敌人目录'!$A$6:$B$54,2,FALSE),""))</x:f>
      </x:c>
      <x:c r="Q143" s="71" t="str">
        <x:f>IF('第2日'!B106="","",'第2日'!C106)</x:f>
      </x:c>
      <x:c r="R143" s="71" t="n">
        <x:v>-1</x:v>
      </x:c>
      <x:c r="S143" s="71" t="str">
        <x:f>IF('第2日'!B106="","",'第2日'!I106)</x:f>
      </x:c>
    </x:row>
    <x:row r="144">
      <x:c r="A144" s="71" t="n">
        <x:v>3</x:v>
      </x:c>
      <x:c r="B144" s="71" t="str">
        <x:v>wave_08</x:v>
      </x:c>
      <x:c r="C144" s="71" t="n">
        <x:v>8</x:v>
      </x:c>
      <x:c r="D144" s="71" t="n">
        <x:v>2</x:v>
      </x:c>
      <x:c r="E144" s="71" t="n">
        <x:v>4</x:v>
      </x:c>
      <x:c r="F144" s="71" t="str">
        <x:v>夜晚</x:v>
      </x:c>
      <x:c r="G144" s="71" t="str">
        <x:f>'第2日'!B90</x:f>
        <x:v>第8波 沼泽合围</x:v>
      </x:c>
      <x:c r="H144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4" s="71" t="n">
        <x:f>'第2日'!E90</x:f>
        <x:v>0.3</x:v>
      </x:c>
      <x:c r="J144" s="71" t="n">
        <x:f>'第2日'!G90</x:f>
        <x:v>1</x:v>
      </x:c>
      <x:c r="K144" s="71" t="n">
        <x:f>'第2日'!I90</x:f>
        <x:v>300</x:v>
      </x:c>
      <x:c r="L144" s="71" t="str">
        <x:v>res://resources/audio/shenmu_swamp_combat.ogg</x:v>
      </x:c>
      <x:c r="M144" s="71" t="str">
        <x:v>res://resources/audio/shenmu_swamp_intermission.ogg</x:v>
      </x:c>
      <x:c r="N144" s="71" t="b">
        <x:f>'第2日'!I91="待设计"</x:f>
        <x:v>0</x:v>
      </x:c>
      <x:c r="O144" s="71" t="n">
        <x:v>14</x:v>
      </x:c>
      <x:c r="P144" s="71" t="str">
        <x:f>IF('第2日'!B107="","",IFERROR(VLOOKUP('第2日'!B107,'敌人目录'!$A$6:$B$54,2,FALSE),""))</x:f>
      </x:c>
      <x:c r="Q144" s="71" t="str">
        <x:f>IF('第2日'!B107="","",'第2日'!C107)</x:f>
      </x:c>
      <x:c r="R144" s="71" t="n">
        <x:v>-1</x:v>
      </x:c>
      <x:c r="S144" s="71" t="str">
        <x:f>IF('第2日'!B107="","",'第2日'!I107)</x:f>
      </x:c>
    </x:row>
    <x:row r="145">
      <x:c r="A145" s="71" t="n">
        <x:v>3</x:v>
      </x:c>
      <x:c r="B145" s="71" t="str">
        <x:v>wave_08</x:v>
      </x:c>
      <x:c r="C145" s="71" t="n">
        <x:v>8</x:v>
      </x:c>
      <x:c r="D145" s="71" t="n">
        <x:v>2</x:v>
      </x:c>
      <x:c r="E145" s="71" t="n">
        <x:v>4</x:v>
      </x:c>
      <x:c r="F145" s="71" t="str">
        <x:v>夜晚</x:v>
      </x:c>
      <x:c r="G145" s="71" t="str">
        <x:f>'第2日'!B90</x:f>
        <x:v>第8波 沼泽合围</x:v>
      </x:c>
      <x:c r="H145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5" s="71" t="n">
        <x:f>'第2日'!E90</x:f>
        <x:v>0.3</x:v>
      </x:c>
      <x:c r="J145" s="71" t="n">
        <x:f>'第2日'!G90</x:f>
        <x:v>1</x:v>
      </x:c>
      <x:c r="K145" s="71" t="n">
        <x:f>'第2日'!I90</x:f>
        <x:v>300</x:v>
      </x:c>
      <x:c r="L145" s="71" t="str">
        <x:v>res://resources/audio/shenmu_swamp_combat.ogg</x:v>
      </x:c>
      <x:c r="M145" s="71" t="str">
        <x:v>res://resources/audio/shenmu_swamp_intermission.ogg</x:v>
      </x:c>
      <x:c r="N145" s="71" t="b">
        <x:f>'第2日'!I91="待设计"</x:f>
        <x:v>0</x:v>
      </x:c>
      <x:c r="O145" s="71" t="n">
        <x:v>15</x:v>
      </x:c>
      <x:c r="P145" s="71" t="str">
        <x:f>IF('第2日'!B108="","",IFERROR(VLOOKUP('第2日'!B108,'敌人目录'!$A$6:$B$54,2,FALSE),""))</x:f>
      </x:c>
      <x:c r="Q145" s="71" t="str">
        <x:f>IF('第2日'!B108="","",'第2日'!C108)</x:f>
      </x:c>
      <x:c r="R145" s="71" t="n">
        <x:v>-1</x:v>
      </x:c>
      <x:c r="S145" s="71" t="str">
        <x:f>IF('第2日'!B108="","",'第2日'!I108)</x:f>
      </x:c>
    </x:row>
    <x:row r="146">
      <x:c r="A146" s="71" t="n">
        <x:v>3</x:v>
      </x:c>
      <x:c r="B146" s="71" t="str">
        <x:v>wave_08</x:v>
      </x:c>
      <x:c r="C146" s="71" t="n">
        <x:v>8</x:v>
      </x:c>
      <x:c r="D146" s="71" t="n">
        <x:v>2</x:v>
      </x:c>
      <x:c r="E146" s="71" t="n">
        <x:v>4</x:v>
      </x:c>
      <x:c r="F146" s="71" t="str">
        <x:v>夜晚</x:v>
      </x:c>
      <x:c r="G146" s="71" t="str">
        <x:f>'第2日'!B90</x:f>
        <x:v>第8波 沼泽合围</x:v>
      </x:c>
      <x:c r="H146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6" s="71" t="n">
        <x:f>'第2日'!E90</x:f>
        <x:v>0.3</x:v>
      </x:c>
      <x:c r="J146" s="71" t="n">
        <x:f>'第2日'!G90</x:f>
        <x:v>1</x:v>
      </x:c>
      <x:c r="K146" s="71" t="n">
        <x:f>'第2日'!I90</x:f>
        <x:v>300</x:v>
      </x:c>
      <x:c r="L146" s="71" t="str">
        <x:v>res://resources/audio/shenmu_swamp_combat.ogg</x:v>
      </x:c>
      <x:c r="M146" s="71" t="str">
        <x:v>res://resources/audio/shenmu_swamp_intermission.ogg</x:v>
      </x:c>
      <x:c r="N146" s="71" t="b">
        <x:f>'第2日'!I91="待设计"</x:f>
        <x:v>0</x:v>
      </x:c>
      <x:c r="O146" s="71" t="n">
        <x:v>16</x:v>
      </x:c>
      <x:c r="P146" s="71" t="str">
        <x:f>IF('第2日'!B109="","",IFERROR(VLOOKUP('第2日'!B109,'敌人目录'!$A$6:$B$54,2,FALSE),""))</x:f>
      </x:c>
      <x:c r="Q146" s="71" t="str">
        <x:f>IF('第2日'!B109="","",'第2日'!C109)</x:f>
      </x:c>
      <x:c r="R146" s="71" t="n">
        <x:v>-1</x:v>
      </x:c>
      <x:c r="S146" s="71" t="str">
        <x:f>IF('第2日'!B109="","",'第2日'!I109)</x:f>
      </x:c>
    </x:row>
    <x:row r="147">
      <x:c r="A147" s="71" t="n">
        <x:v>3</x:v>
      </x:c>
      <x:c r="B147" s="71" t="str">
        <x:v>wave_08</x:v>
      </x:c>
      <x:c r="C147" s="71" t="n">
        <x:v>8</x:v>
      </x:c>
      <x:c r="D147" s="71" t="n">
        <x:v>2</x:v>
      </x:c>
      <x:c r="E147" s="71" t="n">
        <x:v>4</x:v>
      </x:c>
      <x:c r="F147" s="71" t="str">
        <x:v>夜晚</x:v>
      </x:c>
      <x:c r="G147" s="71" t="str">
        <x:f>'第2日'!B90</x:f>
        <x:v>第8波 沼泽合围</x:v>
      </x:c>
      <x:c r="H147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7" s="71" t="n">
        <x:f>'第2日'!E90</x:f>
        <x:v>0.3</x:v>
      </x:c>
      <x:c r="J147" s="71" t="n">
        <x:f>'第2日'!G90</x:f>
        <x:v>1</x:v>
      </x:c>
      <x:c r="K147" s="71" t="n">
        <x:f>'第2日'!I90</x:f>
        <x:v>300</x:v>
      </x:c>
      <x:c r="L147" s="71" t="str">
        <x:v>res://resources/audio/shenmu_swamp_combat.ogg</x:v>
      </x:c>
      <x:c r="M147" s="71" t="str">
        <x:v>res://resources/audio/shenmu_swamp_intermission.ogg</x:v>
      </x:c>
      <x:c r="N147" s="71" t="b">
        <x:f>'第2日'!I91="待设计"</x:f>
        <x:v>0</x:v>
      </x:c>
      <x:c r="O147" s="71" t="n">
        <x:v>17</x:v>
      </x:c>
      <x:c r="P147" s="71" t="str">
        <x:f>IF('第2日'!B110="","",IFERROR(VLOOKUP('第2日'!B110,'敌人目录'!$A$6:$B$54,2,FALSE),""))</x:f>
      </x:c>
      <x:c r="Q147" s="71" t="str">
        <x:f>IF('第2日'!B110="","",'第2日'!C110)</x:f>
      </x:c>
      <x:c r="R147" s="71" t="n">
        <x:v>-1</x:v>
      </x:c>
      <x:c r="S147" s="71" t="str">
        <x:f>IF('第2日'!B110="","",'第2日'!I110)</x:f>
      </x:c>
    </x:row>
    <x:row r="148">
      <x:c r="A148" s="71" t="n">
        <x:v>3</x:v>
      </x:c>
      <x:c r="B148" s="71" t="str">
        <x:v>wave_08</x:v>
      </x:c>
      <x:c r="C148" s="71" t="n">
        <x:v>8</x:v>
      </x:c>
      <x:c r="D148" s="71" t="n">
        <x:v>2</x:v>
      </x:c>
      <x:c r="E148" s="71" t="n">
        <x:v>4</x:v>
      </x:c>
      <x:c r="F148" s="71" t="str">
        <x:v>夜晚</x:v>
      </x:c>
      <x:c r="G148" s="71" t="str">
        <x:f>'第2日'!B90</x:f>
        <x:v>第8波 沼泽合围</x:v>
      </x:c>
      <x:c r="H148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8" s="71" t="n">
        <x:f>'第2日'!E90</x:f>
        <x:v>0.3</x:v>
      </x:c>
      <x:c r="J148" s="71" t="n">
        <x:f>'第2日'!G90</x:f>
        <x:v>1</x:v>
      </x:c>
      <x:c r="K148" s="71" t="n">
        <x:f>'第2日'!I90</x:f>
        <x:v>300</x:v>
      </x:c>
      <x:c r="L148" s="71" t="str">
        <x:v>res://resources/audio/shenmu_swamp_combat.ogg</x:v>
      </x:c>
      <x:c r="M148" s="71" t="str">
        <x:v>res://resources/audio/shenmu_swamp_intermission.ogg</x:v>
      </x:c>
      <x:c r="N148" s="71" t="b">
        <x:f>'第2日'!I91="待设计"</x:f>
        <x:v>0</x:v>
      </x:c>
      <x:c r="O148" s="71" t="n">
        <x:v>18</x:v>
      </x:c>
      <x:c r="P148" s="71" t="str">
        <x:f>IF('第2日'!B111="","",IFERROR(VLOOKUP('第2日'!B111,'敌人目录'!$A$6:$B$54,2,FALSE),""))</x:f>
      </x:c>
      <x:c r="Q148" s="71" t="str">
        <x:f>IF('第2日'!B111="","",'第2日'!C111)</x:f>
      </x:c>
      <x:c r="R148" s="71" t="n">
        <x:v>-1</x:v>
      </x:c>
      <x:c r="S148" s="71" t="str">
        <x:f>IF('第2日'!B111="","",'第2日'!I111)</x:f>
      </x:c>
    </x:row>
    <x:row r="149">
      <x:c r="A149" s="71" t="n">
        <x:v>3</x:v>
      </x:c>
      <x:c r="B149" s="71" t="str">
        <x:v>wave_09</x:v>
      </x:c>
      <x:c r="C149" s="71" t="n">
        <x:v>9</x:v>
      </x:c>
      <x:c r="D149" s="71" t="n">
        <x:v>3</x:v>
      </x:c>
      <x:c r="E149" s="71" t="n">
        <x:v>1</x:v>
      </x:c>
      <x:c r="F149" s="71" t="str">
        <x:v>白昼</x:v>
      </x:c>
      <x:c r="G149" s="71" t="str">
        <x:f>'第3日'!B3</x:f>
        <x:v>第9波 城镇前锋</x:v>
      </x:c>
      <x:c r="H149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49" s="71" t="n">
        <x:f>'第3日'!E3</x:f>
        <x:v>0.28</x:v>
      </x:c>
      <x:c r="J149" s="71" t="n">
        <x:f>'第3日'!G3</x:f>
        <x:v>1</x:v>
      </x:c>
      <x:c r="K149" s="71" t="n">
        <x:f>'第3日'!I3</x:f>
        <x:v>300</x:v>
      </x:c>
      <x:c r="L149" s="71" t="str">
        <x:v>res://resources/audio/shenmu_town_combat.ogg</x:v>
      </x:c>
      <x:c r="M149" s="71" t="str">
        <x:v>res://resources/audio/shenmu_town_intermission.ogg</x:v>
      </x:c>
      <x:c r="N149" s="71" t="b">
        <x:f>'第3日'!I4="待设计"</x:f>
        <x:v>0</x:v>
      </x:c>
      <x:c r="O149" s="71" t="n">
        <x:v>1</x:v>
      </x:c>
      <x:c r="P149" s="71" t="str">
        <x:f>IF('第3日'!B7="","",IFERROR(VLOOKUP('第3日'!B7,'敌人目录'!$A$6:$B$54,2,FALSE),""))</x:f>
        <x:v>yuanshi_insect_basic</x:v>
      </x:c>
      <x:c r="Q149" s="71" t="n">
        <x:f>IF('第3日'!B7="","",'第3日'!C7)</x:f>
        <x:v>26</x:v>
      </x:c>
      <x:c r="R149" s="71" t="n">
        <x:v>-1</x:v>
      </x:c>
      <x:c r="S149" s="71" t="str">
        <x:f>IF('第3日'!B7="","",'第3日'!I7)</x:f>
        <x:v>可回读</x:v>
      </x:c>
    </x:row>
    <x:row r="150">
      <x:c r="A150" s="71" t="n">
        <x:v>3</x:v>
      </x:c>
      <x:c r="B150" s="71" t="str">
        <x:v>wave_09</x:v>
      </x:c>
      <x:c r="C150" s="71" t="n">
        <x:v>9</x:v>
      </x:c>
      <x:c r="D150" s="71" t="n">
        <x:v>3</x:v>
      </x:c>
      <x:c r="E150" s="71" t="n">
        <x:v>1</x:v>
      </x:c>
      <x:c r="F150" s="71" t="str">
        <x:v>白昼</x:v>
      </x:c>
      <x:c r="G150" s="71" t="str">
        <x:f>'第3日'!B3</x:f>
        <x:v>第9波 城镇前锋</x:v>
      </x:c>
      <x:c r="H150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0" s="71" t="n">
        <x:f>'第3日'!E3</x:f>
        <x:v>0.28</x:v>
      </x:c>
      <x:c r="J150" s="71" t="n">
        <x:f>'第3日'!G3</x:f>
        <x:v>1</x:v>
      </x:c>
      <x:c r="K150" s="71" t="n">
        <x:f>'第3日'!I3</x:f>
        <x:v>300</x:v>
      </x:c>
      <x:c r="L150" s="71" t="str">
        <x:v>res://resources/audio/shenmu_town_combat.ogg</x:v>
      </x:c>
      <x:c r="M150" s="71" t="str">
        <x:v>res://resources/audio/shenmu_town_intermission.ogg</x:v>
      </x:c>
      <x:c r="N150" s="71" t="b">
        <x:f>'第3日'!I4="待设计"</x:f>
        <x:v>0</x:v>
      </x:c>
      <x:c r="O150" s="71" t="n">
        <x:v>2</x:v>
      </x:c>
      <x:c r="P150" s="71" t="str">
        <x:f>IF('第3日'!B8="","",IFERROR(VLOOKUP('第3日'!B8,'敌人目录'!$A$6:$B$54,2,FALSE),""))</x:f>
        <x:v>yuanshi_insect_fast</x:v>
      </x:c>
      <x:c r="Q150" s="71" t="n">
        <x:f>IF('第3日'!B8="","",'第3日'!C8)</x:f>
        <x:v>20</x:v>
      </x:c>
      <x:c r="R150" s="71" t="n">
        <x:v>-1</x:v>
      </x:c>
      <x:c r="S150" s="71" t="str">
        <x:f>IF('第3日'!B8="","",'第3日'!I8)</x:f>
        <x:v>可回读</x:v>
      </x:c>
    </x:row>
    <x:row r="151">
      <x:c r="A151" s="71" t="n">
        <x:v>3</x:v>
      </x:c>
      <x:c r="B151" s="71" t="str">
        <x:v>wave_09</x:v>
      </x:c>
      <x:c r="C151" s="71" t="n">
        <x:v>9</x:v>
      </x:c>
      <x:c r="D151" s="71" t="n">
        <x:v>3</x:v>
      </x:c>
      <x:c r="E151" s="71" t="n">
        <x:v>1</x:v>
      </x:c>
      <x:c r="F151" s="71" t="str">
        <x:v>白昼</x:v>
      </x:c>
      <x:c r="G151" s="71" t="str">
        <x:f>'第3日'!B3</x:f>
        <x:v>第9波 城镇前锋</x:v>
      </x:c>
      <x:c r="H151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1" s="71" t="n">
        <x:f>'第3日'!E3</x:f>
        <x:v>0.28</x:v>
      </x:c>
      <x:c r="J151" s="71" t="n">
        <x:f>'第3日'!G3</x:f>
        <x:v>1</x:v>
      </x:c>
      <x:c r="K151" s="71" t="n">
        <x:f>'第3日'!I3</x:f>
        <x:v>300</x:v>
      </x:c>
      <x:c r="L151" s="71" t="str">
        <x:v>res://resources/audio/shenmu_town_combat.ogg</x:v>
      </x:c>
      <x:c r="M151" s="71" t="str">
        <x:v>res://resources/audio/shenmu_town_intermission.ogg</x:v>
      </x:c>
      <x:c r="N151" s="71" t="b">
        <x:f>'第3日'!I4="待设计"</x:f>
        <x:v>0</x:v>
      </x:c>
      <x:c r="O151" s="71" t="n">
        <x:v>3</x:v>
      </x:c>
      <x:c r="P151" s="71" t="str">
        <x:f>IF('第3日'!B9="","",IFERROR(VLOOKUP('第3日'!B9,'敌人目录'!$A$6:$B$54,2,FALSE),""))</x:f>
        <x:v>yuanshi_insect_shell</x:v>
      </x:c>
      <x:c r="Q151" s="71" t="n">
        <x:f>IF('第3日'!B9="","",'第3日'!C9)</x:f>
        <x:v>20</x:v>
      </x:c>
      <x:c r="R151" s="71" t="n">
        <x:v>-1</x:v>
      </x:c>
      <x:c r="S151" s="71" t="str">
        <x:f>IF('第3日'!B9="","",'第3日'!I9)</x:f>
        <x:v>可回读</x:v>
      </x:c>
    </x:row>
    <x:row r="152">
      <x:c r="A152" s="71" t="n">
        <x:v>3</x:v>
      </x:c>
      <x:c r="B152" s="71" t="str">
        <x:v>wave_09</x:v>
      </x:c>
      <x:c r="C152" s="71" t="n">
        <x:v>9</x:v>
      </x:c>
      <x:c r="D152" s="71" t="n">
        <x:v>3</x:v>
      </x:c>
      <x:c r="E152" s="71" t="n">
        <x:v>1</x:v>
      </x:c>
      <x:c r="F152" s="71" t="str">
        <x:v>白昼</x:v>
      </x:c>
      <x:c r="G152" s="71" t="str">
        <x:f>'第3日'!B3</x:f>
        <x:v>第9波 城镇前锋</x:v>
      </x:c>
      <x:c r="H152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2" s="71" t="n">
        <x:f>'第3日'!E3</x:f>
        <x:v>0.28</x:v>
      </x:c>
      <x:c r="J152" s="71" t="n">
        <x:f>'第3日'!G3</x:f>
        <x:v>1</x:v>
      </x:c>
      <x:c r="K152" s="71" t="n">
        <x:f>'第3日'!I3</x:f>
        <x:v>300</x:v>
      </x:c>
      <x:c r="L152" s="71" t="str">
        <x:v>res://resources/audio/shenmu_town_combat.ogg</x:v>
      </x:c>
      <x:c r="M152" s="71" t="str">
        <x:v>res://resources/audio/shenmu_town_intermission.ogg</x:v>
      </x:c>
      <x:c r="N152" s="71" t="b">
        <x:f>'第3日'!I4="待设计"</x:f>
        <x:v>0</x:v>
      </x:c>
      <x:c r="O152" s="71" t="n">
        <x:v>4</x:v>
      </x:c>
      <x:c r="P152" s="71" t="str">
        <x:f>IF('第3日'!B10="","",IFERROR(VLOOKUP('第3日'!B10,'敌人目录'!$A$6:$B$54,2,FALSE),""))</x:f>
        <x:v>yuanshi_insect_bomber</x:v>
      </x:c>
      <x:c r="Q152" s="71" t="n">
        <x:f>IF('第3日'!B10="","",'第3日'!C10)</x:f>
        <x:v>16</x:v>
      </x:c>
      <x:c r="R152" s="71" t="n">
        <x:v>-1</x:v>
      </x:c>
      <x:c r="S152" s="71" t="str">
        <x:f>IF('第3日'!B10="","",'第3日'!I10)</x:f>
        <x:v>可回读</x:v>
      </x:c>
    </x:row>
    <x:row r="153">
      <x:c r="A153" s="71" t="n">
        <x:v>3</x:v>
      </x:c>
      <x:c r="B153" s="71" t="str">
        <x:v>wave_09</x:v>
      </x:c>
      <x:c r="C153" s="71" t="n">
        <x:v>9</x:v>
      </x:c>
      <x:c r="D153" s="71" t="n">
        <x:v>3</x:v>
      </x:c>
      <x:c r="E153" s="71" t="n">
        <x:v>1</x:v>
      </x:c>
      <x:c r="F153" s="71" t="str">
        <x:v>白昼</x:v>
      </x:c>
      <x:c r="G153" s="71" t="str">
        <x:f>'第3日'!B3</x:f>
        <x:v>第9波 城镇前锋</x:v>
      </x:c>
      <x:c r="H153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3" s="71" t="n">
        <x:f>'第3日'!E3</x:f>
        <x:v>0.28</x:v>
      </x:c>
      <x:c r="J153" s="71" t="n">
        <x:f>'第3日'!G3</x:f>
        <x:v>1</x:v>
      </x:c>
      <x:c r="K153" s="71" t="n">
        <x:f>'第3日'!I3</x:f>
        <x:v>300</x:v>
      </x:c>
      <x:c r="L153" s="71" t="str">
        <x:v>res://resources/audio/shenmu_town_combat.ogg</x:v>
      </x:c>
      <x:c r="M153" s="71" t="str">
        <x:v>res://resources/audio/shenmu_town_intermission.ogg</x:v>
      </x:c>
      <x:c r="N153" s="71" t="b">
        <x:f>'第3日'!I4="待设计"</x:f>
        <x:v>0</x:v>
      </x:c>
      <x:c r="O153" s="71" t="n">
        <x:v>5</x:v>
      </x:c>
      <x:c r="P153" s="71" t="str">
        <x:f>IF('第3日'!B11="","",IFERROR(VLOOKUP('第3日'!B11,'敌人目录'!$A$6:$B$54,2,FALSE),""))</x:f>
        <x:v>yuanshi_insect_purple_bomber</x:v>
      </x:c>
      <x:c r="Q153" s="71" t="n">
        <x:f>IF('第3日'!B11="","",'第3日'!C11)</x:f>
        <x:v>12</x:v>
      </x:c>
      <x:c r="R153" s="71" t="n">
        <x:v>-1</x:v>
      </x:c>
      <x:c r="S153" s="71" t="str">
        <x:f>IF('第3日'!B11="","",'第3日'!I11)</x:f>
        <x:v>可回读</x:v>
      </x:c>
    </x:row>
    <x:row r="154">
      <x:c r="A154" s="71" t="n">
        <x:v>3</x:v>
      </x:c>
      <x:c r="B154" s="71" t="str">
        <x:v>wave_09</x:v>
      </x:c>
      <x:c r="C154" s="71" t="n">
        <x:v>9</x:v>
      </x:c>
      <x:c r="D154" s="71" t="n">
        <x:v>3</x:v>
      </x:c>
      <x:c r="E154" s="71" t="n">
        <x:v>1</x:v>
      </x:c>
      <x:c r="F154" s="71" t="str">
        <x:v>白昼</x:v>
      </x:c>
      <x:c r="G154" s="71" t="str">
        <x:f>'第3日'!B3</x:f>
        <x:v>第9波 城镇前锋</x:v>
      </x:c>
      <x:c r="H154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4" s="71" t="n">
        <x:f>'第3日'!E3</x:f>
        <x:v>0.28</x:v>
      </x:c>
      <x:c r="J154" s="71" t="n">
        <x:f>'第3日'!G3</x:f>
        <x:v>1</x:v>
      </x:c>
      <x:c r="K154" s="71" t="n">
        <x:f>'第3日'!I3</x:f>
        <x:v>300</x:v>
      </x:c>
      <x:c r="L154" s="71" t="str">
        <x:v>res://resources/audio/shenmu_town_combat.ogg</x:v>
      </x:c>
      <x:c r="M154" s="71" t="str">
        <x:v>res://resources/audio/shenmu_town_intermission.ogg</x:v>
      </x:c>
      <x:c r="N154" s="71" t="b">
        <x:f>'第3日'!I4="待设计"</x:f>
        <x:v>0</x:v>
      </x:c>
      <x:c r="O154" s="71" t="n">
        <x:v>6</x:v>
      </x:c>
      <x:c r="P154" s="71" t="str">
        <x:f>IF('第3日'!B12="","",IFERROR(VLOOKUP('第3日'!B12,'敌人目录'!$A$6:$B$54,2,FALSE),""))</x:f>
        <x:v>yuanshi_insect_fire_ranged</x:v>
      </x:c>
      <x:c r="Q154" s="71" t="n">
        <x:f>IF('第3日'!B12="","",'第3日'!C12)</x:f>
        <x:v>20</x:v>
      </x:c>
      <x:c r="R154" s="71" t="n">
        <x:v>-1</x:v>
      </x:c>
      <x:c r="S154" s="71" t="str">
        <x:f>IF('第3日'!B12="","",'第3日'!I12)</x:f>
        <x:v>可回读</x:v>
      </x:c>
    </x:row>
    <x:row r="155">
      <x:c r="A155" s="71" t="n">
        <x:v>3</x:v>
      </x:c>
      <x:c r="B155" s="71" t="str">
        <x:v>wave_09</x:v>
      </x:c>
      <x:c r="C155" s="71" t="n">
        <x:v>9</x:v>
      </x:c>
      <x:c r="D155" s="71" t="n">
        <x:v>3</x:v>
      </x:c>
      <x:c r="E155" s="71" t="n">
        <x:v>1</x:v>
      </x:c>
      <x:c r="F155" s="71" t="str">
        <x:v>白昼</x:v>
      </x:c>
      <x:c r="G155" s="71" t="str">
        <x:f>'第3日'!B3</x:f>
        <x:v>第9波 城镇前锋</x:v>
      </x:c>
      <x:c r="H155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5" s="71" t="n">
        <x:f>'第3日'!E3</x:f>
        <x:v>0.28</x:v>
      </x:c>
      <x:c r="J155" s="71" t="n">
        <x:f>'第3日'!G3</x:f>
        <x:v>1</x:v>
      </x:c>
      <x:c r="K155" s="71" t="n">
        <x:f>'第3日'!I3</x:f>
        <x:v>300</x:v>
      </x:c>
      <x:c r="L155" s="71" t="str">
        <x:v>res://resources/audio/shenmu_town_combat.ogg</x:v>
      </x:c>
      <x:c r="M155" s="71" t="str">
        <x:v>res://resources/audio/shenmu_town_intermission.ogg</x:v>
      </x:c>
      <x:c r="N155" s="71" t="b">
        <x:f>'第3日'!I4="待设计"</x:f>
        <x:v>0</x:v>
      </x:c>
      <x:c r="O155" s="71" t="n">
        <x:v>7</x:v>
      </x:c>
      <x:c r="P155" s="71" t="str">
        <x:f>IF('第3日'!B13="","",IFERROR(VLOOKUP('第3日'!B13,'敌人目录'!$A$6:$B$54,2,FALSE),""))</x:f>
        <x:v>yuanshi_insect_green_shell</x:v>
      </x:c>
      <x:c r="Q155" s="71" t="n">
        <x:f>IF('第3日'!B13="","",'第3日'!C13)</x:f>
        <x:v>16</x:v>
      </x:c>
      <x:c r="R155" s="71" t="n">
        <x:v>-1</x:v>
      </x:c>
      <x:c r="S155" s="71" t="str">
        <x:f>IF('第3日'!B13="","",'第3日'!I13)</x:f>
        <x:v>可回读</x:v>
      </x:c>
    </x:row>
    <x:row r="156">
      <x:c r="A156" s="71" t="n">
        <x:v>3</x:v>
      </x:c>
      <x:c r="B156" s="71" t="str">
        <x:v>wave_09</x:v>
      </x:c>
      <x:c r="C156" s="71" t="n">
        <x:v>9</x:v>
      </x:c>
      <x:c r="D156" s="71" t="n">
        <x:v>3</x:v>
      </x:c>
      <x:c r="E156" s="71" t="n">
        <x:v>1</x:v>
      </x:c>
      <x:c r="F156" s="71" t="str">
        <x:v>白昼</x:v>
      </x:c>
      <x:c r="G156" s="71" t="str">
        <x:f>'第3日'!B3</x:f>
        <x:v>第9波 城镇前锋</x:v>
      </x:c>
      <x:c r="H156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6" s="71" t="n">
        <x:f>'第3日'!E3</x:f>
        <x:v>0.28</x:v>
      </x:c>
      <x:c r="J156" s="71" t="n">
        <x:f>'第3日'!G3</x:f>
        <x:v>1</x:v>
      </x:c>
      <x:c r="K156" s="71" t="n">
        <x:f>'第3日'!I3</x:f>
        <x:v>300</x:v>
      </x:c>
      <x:c r="L156" s="71" t="str">
        <x:v>res://resources/audio/shenmu_town_combat.ogg</x:v>
      </x:c>
      <x:c r="M156" s="71" t="str">
        <x:v>res://resources/audio/shenmu_town_intermission.ogg</x:v>
      </x:c>
      <x:c r="N156" s="71" t="b">
        <x:f>'第3日'!I4="待设计"</x:f>
        <x:v>0</x:v>
      </x:c>
      <x:c r="O156" s="71" t="n">
        <x:v>8</x:v>
      </x:c>
      <x:c r="P156" s="71" t="str">
        <x:f>IF('第3日'!B14="","",IFERROR(VLOOKUP('第3日'!B14,'敌人目录'!$A$6:$B$54,2,FALSE),""))</x:f>
        <x:v>yuanshi_insect_guardian</x:v>
      </x:c>
      <x:c r="Q156" s="71" t="n">
        <x:f>IF('第3日'!B14="","",'第3日'!C14)</x:f>
        <x:v>12</x:v>
      </x:c>
      <x:c r="R156" s="71" t="n">
        <x:v>-1</x:v>
      </x:c>
      <x:c r="S156" s="71" t="str">
        <x:f>IF('第3日'!B14="","",'第3日'!I14)</x:f>
        <x:v>可回读</x:v>
      </x:c>
    </x:row>
    <x:row r="157">
      <x:c r="A157" s="71" t="n">
        <x:v>3</x:v>
      </x:c>
      <x:c r="B157" s="71" t="str">
        <x:v>wave_09</x:v>
      </x:c>
      <x:c r="C157" s="71" t="n">
        <x:v>9</x:v>
      </x:c>
      <x:c r="D157" s="71" t="n">
        <x:v>3</x:v>
      </x:c>
      <x:c r="E157" s="71" t="n">
        <x:v>1</x:v>
      </x:c>
      <x:c r="F157" s="71" t="str">
        <x:v>白昼</x:v>
      </x:c>
      <x:c r="G157" s="71" t="str">
        <x:f>'第3日'!B3</x:f>
        <x:v>第9波 城镇前锋</x:v>
      </x:c>
      <x:c r="H157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7" s="71" t="n">
        <x:f>'第3日'!E3</x:f>
        <x:v>0.28</x:v>
      </x:c>
      <x:c r="J157" s="71" t="n">
        <x:f>'第3日'!G3</x:f>
        <x:v>1</x:v>
      </x:c>
      <x:c r="K157" s="71" t="n">
        <x:f>'第3日'!I3</x:f>
        <x:v>300</x:v>
      </x:c>
      <x:c r="L157" s="71" t="str">
        <x:v>res://resources/audio/shenmu_town_combat.ogg</x:v>
      </x:c>
      <x:c r="M157" s="71" t="str">
        <x:v>res://resources/audio/shenmu_town_intermission.ogg</x:v>
      </x:c>
      <x:c r="N157" s="71" t="b">
        <x:f>'第3日'!I4="待设计"</x:f>
        <x:v>0</x:v>
      </x:c>
      <x:c r="O157" s="71" t="n">
        <x:v>9</x:v>
      </x:c>
      <x:c r="P157" s="71" t="str">
        <x:f>IF('第3日'!B15="","",IFERROR(VLOOKUP('第3日'!B15,'敌人目录'!$A$6:$B$54,2,FALSE),""))</x:f>
        <x:v>capoo_knight</x:v>
      </x:c>
      <x:c r="Q157" s="71" t="n">
        <x:f>IF('第3日'!B15="","",'第3日'!C15)</x:f>
        <x:v>2</x:v>
      </x:c>
      <x:c r="R157" s="71" t="n">
        <x:v>-1</x:v>
      </x:c>
      <x:c r="S157" s="71" t="str">
        <x:f>IF('第3日'!B15="","",'第3日'!I15)</x:f>
        <x:v>可回读</x:v>
      </x:c>
    </x:row>
    <x:row r="158">
      <x:c r="A158" s="71" t="n">
        <x:v>3</x:v>
      </x:c>
      <x:c r="B158" s="71" t="str">
        <x:v>wave_09</x:v>
      </x:c>
      <x:c r="C158" s="71" t="n">
        <x:v>9</x:v>
      </x:c>
      <x:c r="D158" s="71" t="n">
        <x:v>3</x:v>
      </x:c>
      <x:c r="E158" s="71" t="n">
        <x:v>1</x:v>
      </x:c>
      <x:c r="F158" s="71" t="str">
        <x:v>白昼</x:v>
      </x:c>
      <x:c r="G158" s="71" t="str">
        <x:f>'第3日'!B3</x:f>
        <x:v>第9波 城镇前锋</x:v>
      </x:c>
      <x:c r="H158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8" s="71" t="n">
        <x:f>'第3日'!E3</x:f>
        <x:v>0.28</x:v>
      </x:c>
      <x:c r="J158" s="71" t="n">
        <x:f>'第3日'!G3</x:f>
        <x:v>1</x:v>
      </x:c>
      <x:c r="K158" s="71" t="n">
        <x:f>'第3日'!I3</x:f>
        <x:v>300</x:v>
      </x:c>
      <x:c r="L158" s="71" t="str">
        <x:v>res://resources/audio/shenmu_town_combat.ogg</x:v>
      </x:c>
      <x:c r="M158" s="71" t="str">
        <x:v>res://resources/audio/shenmu_town_intermission.ogg</x:v>
      </x:c>
      <x:c r="N158" s="71" t="b">
        <x:f>'第3日'!I4="待设计"</x:f>
        <x:v>0</x:v>
      </x:c>
      <x:c r="O158" s="71" t="n">
        <x:v>10</x:v>
      </x:c>
      <x:c r="P158" s="71" t="str">
        <x:f>IF('第3日'!B16="","",IFERROR(VLOOKUP('第3日'!B16,'敌人目录'!$A$6:$B$54,2,FALSE),""))</x:f>
      </x:c>
      <x:c r="Q158" s="71" t="str">
        <x:f>IF('第3日'!B16="","",'第3日'!C16)</x:f>
      </x:c>
      <x:c r="R158" s="71" t="n">
        <x:v>-1</x:v>
      </x:c>
      <x:c r="S158" s="71" t="str">
        <x:f>IF('第3日'!B16="","",'第3日'!I16)</x:f>
      </x:c>
    </x:row>
    <x:row r="159">
      <x:c r="A159" s="71" t="n">
        <x:v>3</x:v>
      </x:c>
      <x:c r="B159" s="71" t="str">
        <x:v>wave_09</x:v>
      </x:c>
      <x:c r="C159" s="71" t="n">
        <x:v>9</x:v>
      </x:c>
      <x:c r="D159" s="71" t="n">
        <x:v>3</x:v>
      </x:c>
      <x:c r="E159" s="71" t="n">
        <x:v>1</x:v>
      </x:c>
      <x:c r="F159" s="71" t="str">
        <x:v>白昼</x:v>
      </x:c>
      <x:c r="G159" s="71" t="str">
        <x:f>'第3日'!B3</x:f>
        <x:v>第9波 城镇前锋</x:v>
      </x:c>
      <x:c r="H159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9" s="71" t="n">
        <x:f>'第3日'!E3</x:f>
        <x:v>0.28</x:v>
      </x:c>
      <x:c r="J159" s="71" t="n">
        <x:f>'第3日'!G3</x:f>
        <x:v>1</x:v>
      </x:c>
      <x:c r="K159" s="71" t="n">
        <x:f>'第3日'!I3</x:f>
        <x:v>300</x:v>
      </x:c>
      <x:c r="L159" s="71" t="str">
        <x:v>res://resources/audio/shenmu_town_combat.ogg</x:v>
      </x:c>
      <x:c r="M159" s="71" t="str">
        <x:v>res://resources/audio/shenmu_town_intermission.ogg</x:v>
      </x:c>
      <x:c r="N159" s="71" t="b">
        <x:f>'第3日'!I4="待设计"</x:f>
        <x:v>0</x:v>
      </x:c>
      <x:c r="O159" s="71" t="n">
        <x:v>11</x:v>
      </x:c>
      <x:c r="P159" s="71" t="str">
        <x:f>IF('第3日'!B17="","",IFERROR(VLOOKUP('第3日'!B17,'敌人目录'!$A$6:$B$54,2,FALSE),""))</x:f>
      </x:c>
      <x:c r="Q159" s="71" t="str">
        <x:f>IF('第3日'!B17="","",'第3日'!C17)</x:f>
      </x:c>
      <x:c r="R159" s="71" t="n">
        <x:v>-1</x:v>
      </x:c>
      <x:c r="S159" s="71" t="str">
        <x:f>IF('第3日'!B17="","",'第3日'!I17)</x:f>
      </x:c>
    </x:row>
    <x:row r="160">
      <x:c r="A160" s="71" t="n">
        <x:v>3</x:v>
      </x:c>
      <x:c r="B160" s="71" t="str">
        <x:v>wave_09</x:v>
      </x:c>
      <x:c r="C160" s="71" t="n">
        <x:v>9</x:v>
      </x:c>
      <x:c r="D160" s="71" t="n">
        <x:v>3</x:v>
      </x:c>
      <x:c r="E160" s="71" t="n">
        <x:v>1</x:v>
      </x:c>
      <x:c r="F160" s="71" t="str">
        <x:v>白昼</x:v>
      </x:c>
      <x:c r="G160" s="71" t="str">
        <x:f>'第3日'!B3</x:f>
        <x:v>第9波 城镇前锋</x:v>
      </x:c>
      <x:c r="H160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0" s="71" t="n">
        <x:f>'第3日'!E3</x:f>
        <x:v>0.28</x:v>
      </x:c>
      <x:c r="J160" s="71" t="n">
        <x:f>'第3日'!G3</x:f>
        <x:v>1</x:v>
      </x:c>
      <x:c r="K160" s="71" t="n">
        <x:f>'第3日'!I3</x:f>
        <x:v>300</x:v>
      </x:c>
      <x:c r="L160" s="71" t="str">
        <x:v>res://resources/audio/shenmu_town_combat.ogg</x:v>
      </x:c>
      <x:c r="M160" s="71" t="str">
        <x:v>res://resources/audio/shenmu_town_intermission.ogg</x:v>
      </x:c>
      <x:c r="N160" s="71" t="b">
        <x:f>'第3日'!I4="待设计"</x:f>
        <x:v>0</x:v>
      </x:c>
      <x:c r="O160" s="71" t="n">
        <x:v>12</x:v>
      </x:c>
      <x:c r="P160" s="71" t="str">
        <x:f>IF('第3日'!B18="","",IFERROR(VLOOKUP('第3日'!B18,'敌人目录'!$A$6:$B$54,2,FALSE),""))</x:f>
      </x:c>
      <x:c r="Q160" s="71" t="str">
        <x:f>IF('第3日'!B18="","",'第3日'!C18)</x:f>
      </x:c>
      <x:c r="R160" s="71" t="n">
        <x:v>-1</x:v>
      </x:c>
      <x:c r="S160" s="71" t="str">
        <x:f>IF('第3日'!B18="","",'第3日'!I18)</x:f>
      </x:c>
    </x:row>
    <x:row r="161">
      <x:c r="A161" s="71" t="n">
        <x:v>3</x:v>
      </x:c>
      <x:c r="B161" s="71" t="str">
        <x:v>wave_09</x:v>
      </x:c>
      <x:c r="C161" s="71" t="n">
        <x:v>9</x:v>
      </x:c>
      <x:c r="D161" s="71" t="n">
        <x:v>3</x:v>
      </x:c>
      <x:c r="E161" s="71" t="n">
        <x:v>1</x:v>
      </x:c>
      <x:c r="F161" s="71" t="str">
        <x:v>白昼</x:v>
      </x:c>
      <x:c r="G161" s="71" t="str">
        <x:f>'第3日'!B3</x:f>
        <x:v>第9波 城镇前锋</x:v>
      </x:c>
      <x:c r="H161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1" s="71" t="n">
        <x:f>'第3日'!E3</x:f>
        <x:v>0.28</x:v>
      </x:c>
      <x:c r="J161" s="71" t="n">
        <x:f>'第3日'!G3</x:f>
        <x:v>1</x:v>
      </x:c>
      <x:c r="K161" s="71" t="n">
        <x:f>'第3日'!I3</x:f>
        <x:v>300</x:v>
      </x:c>
      <x:c r="L161" s="71" t="str">
        <x:v>res://resources/audio/shenmu_town_combat.ogg</x:v>
      </x:c>
      <x:c r="M161" s="71" t="str">
        <x:v>res://resources/audio/shenmu_town_intermission.ogg</x:v>
      </x:c>
      <x:c r="N161" s="71" t="b">
        <x:f>'第3日'!I4="待设计"</x:f>
        <x:v>0</x:v>
      </x:c>
      <x:c r="O161" s="71" t="n">
        <x:v>13</x:v>
      </x:c>
      <x:c r="P161" s="71" t="str">
        <x:f>IF('第3日'!B19="","",IFERROR(VLOOKUP('第3日'!B19,'敌人目录'!$A$6:$B$54,2,FALSE),""))</x:f>
      </x:c>
      <x:c r="Q161" s="71" t="str">
        <x:f>IF('第3日'!B19="","",'第3日'!C19)</x:f>
      </x:c>
      <x:c r="R161" s="71" t="n">
        <x:v>-1</x:v>
      </x:c>
      <x:c r="S161" s="71" t="str">
        <x:f>IF('第3日'!B19="","",'第3日'!I19)</x:f>
      </x:c>
    </x:row>
    <x:row r="162">
      <x:c r="A162" s="71" t="n">
        <x:v>3</x:v>
      </x:c>
      <x:c r="B162" s="71" t="str">
        <x:v>wave_09</x:v>
      </x:c>
      <x:c r="C162" s="71" t="n">
        <x:v>9</x:v>
      </x:c>
      <x:c r="D162" s="71" t="n">
        <x:v>3</x:v>
      </x:c>
      <x:c r="E162" s="71" t="n">
        <x:v>1</x:v>
      </x:c>
      <x:c r="F162" s="71" t="str">
        <x:v>白昼</x:v>
      </x:c>
      <x:c r="G162" s="71" t="str">
        <x:f>'第3日'!B3</x:f>
        <x:v>第9波 城镇前锋</x:v>
      </x:c>
      <x:c r="H162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2" s="71" t="n">
        <x:f>'第3日'!E3</x:f>
        <x:v>0.28</x:v>
      </x:c>
      <x:c r="J162" s="71" t="n">
        <x:f>'第3日'!G3</x:f>
        <x:v>1</x:v>
      </x:c>
      <x:c r="K162" s="71" t="n">
        <x:f>'第3日'!I3</x:f>
        <x:v>300</x:v>
      </x:c>
      <x:c r="L162" s="71" t="str">
        <x:v>res://resources/audio/shenmu_town_combat.ogg</x:v>
      </x:c>
      <x:c r="M162" s="71" t="str">
        <x:v>res://resources/audio/shenmu_town_intermission.ogg</x:v>
      </x:c>
      <x:c r="N162" s="71" t="b">
        <x:f>'第3日'!I4="待设计"</x:f>
        <x:v>0</x:v>
      </x:c>
      <x:c r="O162" s="71" t="n">
        <x:v>14</x:v>
      </x:c>
      <x:c r="P162" s="71" t="str">
        <x:f>IF('第3日'!B20="","",IFERROR(VLOOKUP('第3日'!B20,'敌人目录'!$A$6:$B$54,2,FALSE),""))</x:f>
      </x:c>
      <x:c r="Q162" s="71" t="str">
        <x:f>IF('第3日'!B20="","",'第3日'!C20)</x:f>
      </x:c>
      <x:c r="R162" s="71" t="n">
        <x:v>-1</x:v>
      </x:c>
      <x:c r="S162" s="71" t="str">
        <x:f>IF('第3日'!B20="","",'第3日'!I20)</x:f>
      </x:c>
    </x:row>
    <x:row r="163">
      <x:c r="A163" s="71" t="n">
        <x:v>3</x:v>
      </x:c>
      <x:c r="B163" s="71" t="str">
        <x:v>wave_09</x:v>
      </x:c>
      <x:c r="C163" s="71" t="n">
        <x:v>9</x:v>
      </x:c>
      <x:c r="D163" s="71" t="n">
        <x:v>3</x:v>
      </x:c>
      <x:c r="E163" s="71" t="n">
        <x:v>1</x:v>
      </x:c>
      <x:c r="F163" s="71" t="str">
        <x:v>白昼</x:v>
      </x:c>
      <x:c r="G163" s="71" t="str">
        <x:f>'第3日'!B3</x:f>
        <x:v>第9波 城镇前锋</x:v>
      </x:c>
      <x:c r="H163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3" s="71" t="n">
        <x:f>'第3日'!E3</x:f>
        <x:v>0.28</x:v>
      </x:c>
      <x:c r="J163" s="71" t="n">
        <x:f>'第3日'!G3</x:f>
        <x:v>1</x:v>
      </x:c>
      <x:c r="K163" s="71" t="n">
        <x:f>'第3日'!I3</x:f>
        <x:v>300</x:v>
      </x:c>
      <x:c r="L163" s="71" t="str">
        <x:v>res://resources/audio/shenmu_town_combat.ogg</x:v>
      </x:c>
      <x:c r="M163" s="71" t="str">
        <x:v>res://resources/audio/shenmu_town_intermission.ogg</x:v>
      </x:c>
      <x:c r="N163" s="71" t="b">
        <x:f>'第3日'!I4="待设计"</x:f>
        <x:v>0</x:v>
      </x:c>
      <x:c r="O163" s="71" t="n">
        <x:v>15</x:v>
      </x:c>
      <x:c r="P163" s="71" t="str">
        <x:f>IF('第3日'!B21="","",IFERROR(VLOOKUP('第3日'!B21,'敌人目录'!$A$6:$B$54,2,FALSE),""))</x:f>
      </x:c>
      <x:c r="Q163" s="71" t="str">
        <x:f>IF('第3日'!B21="","",'第3日'!C21)</x:f>
      </x:c>
      <x:c r="R163" s="71" t="n">
        <x:v>-1</x:v>
      </x:c>
      <x:c r="S163" s="71" t="str">
        <x:f>IF('第3日'!B21="","",'第3日'!I21)</x:f>
      </x:c>
    </x:row>
    <x:row r="164">
      <x:c r="A164" s="71" t="n">
        <x:v>3</x:v>
      </x:c>
      <x:c r="B164" s="71" t="str">
        <x:v>wave_09</x:v>
      </x:c>
      <x:c r="C164" s="71" t="n">
        <x:v>9</x:v>
      </x:c>
      <x:c r="D164" s="71" t="n">
        <x:v>3</x:v>
      </x:c>
      <x:c r="E164" s="71" t="n">
        <x:v>1</x:v>
      </x:c>
      <x:c r="F164" s="71" t="str">
        <x:v>白昼</x:v>
      </x:c>
      <x:c r="G164" s="71" t="str">
        <x:f>'第3日'!B3</x:f>
        <x:v>第9波 城镇前锋</x:v>
      </x:c>
      <x:c r="H164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4" s="71" t="n">
        <x:f>'第3日'!E3</x:f>
        <x:v>0.28</x:v>
      </x:c>
      <x:c r="J164" s="71" t="n">
        <x:f>'第3日'!G3</x:f>
        <x:v>1</x:v>
      </x:c>
      <x:c r="K164" s="71" t="n">
        <x:f>'第3日'!I3</x:f>
        <x:v>300</x:v>
      </x:c>
      <x:c r="L164" s="71" t="str">
        <x:v>res://resources/audio/shenmu_town_combat.ogg</x:v>
      </x:c>
      <x:c r="M164" s="71" t="str">
        <x:v>res://resources/audio/shenmu_town_intermission.ogg</x:v>
      </x:c>
      <x:c r="N164" s="71" t="b">
        <x:f>'第3日'!I4="待设计"</x:f>
        <x:v>0</x:v>
      </x:c>
      <x:c r="O164" s="71" t="n">
        <x:v>16</x:v>
      </x:c>
      <x:c r="P164" s="71" t="str">
        <x:f>IF('第3日'!B22="","",IFERROR(VLOOKUP('第3日'!B22,'敌人目录'!$A$6:$B$54,2,FALSE),""))</x:f>
      </x:c>
      <x:c r="Q164" s="71" t="str">
        <x:f>IF('第3日'!B22="","",'第3日'!C22)</x:f>
      </x:c>
      <x:c r="R164" s="71" t="n">
        <x:v>-1</x:v>
      </x:c>
      <x:c r="S164" s="71" t="str">
        <x:f>IF('第3日'!B22="","",'第3日'!I22)</x:f>
      </x:c>
    </x:row>
    <x:row r="165">
      <x:c r="A165" s="71" t="n">
        <x:v>3</x:v>
      </x:c>
      <x:c r="B165" s="71" t="str">
        <x:v>wave_09</x:v>
      </x:c>
      <x:c r="C165" s="71" t="n">
        <x:v>9</x:v>
      </x:c>
      <x:c r="D165" s="71" t="n">
        <x:v>3</x:v>
      </x:c>
      <x:c r="E165" s="71" t="n">
        <x:v>1</x:v>
      </x:c>
      <x:c r="F165" s="71" t="str">
        <x:v>白昼</x:v>
      </x:c>
      <x:c r="G165" s="71" t="str">
        <x:f>'第3日'!B3</x:f>
        <x:v>第9波 城镇前锋</x:v>
      </x:c>
      <x:c r="H165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5" s="71" t="n">
        <x:f>'第3日'!E3</x:f>
        <x:v>0.28</x:v>
      </x:c>
      <x:c r="J165" s="71" t="n">
        <x:f>'第3日'!G3</x:f>
        <x:v>1</x:v>
      </x:c>
      <x:c r="K165" s="71" t="n">
        <x:f>'第3日'!I3</x:f>
        <x:v>300</x:v>
      </x:c>
      <x:c r="L165" s="71" t="str">
        <x:v>res://resources/audio/shenmu_town_combat.ogg</x:v>
      </x:c>
      <x:c r="M165" s="71" t="str">
        <x:v>res://resources/audio/shenmu_town_intermission.ogg</x:v>
      </x:c>
      <x:c r="N165" s="71" t="b">
        <x:f>'第3日'!I4="待设计"</x:f>
        <x:v>0</x:v>
      </x:c>
      <x:c r="O165" s="71" t="n">
        <x:v>17</x:v>
      </x:c>
      <x:c r="P165" s="71" t="str">
        <x:f>IF('第3日'!B23="","",IFERROR(VLOOKUP('第3日'!B23,'敌人目录'!$A$6:$B$54,2,FALSE),""))</x:f>
      </x:c>
      <x:c r="Q165" s="71" t="str">
        <x:f>IF('第3日'!B23="","",'第3日'!C23)</x:f>
      </x:c>
      <x:c r="R165" s="71" t="n">
        <x:v>-1</x:v>
      </x:c>
      <x:c r="S165" s="71" t="str">
        <x:f>IF('第3日'!B23="","",'第3日'!I23)</x:f>
      </x:c>
    </x:row>
    <x:row r="166">
      <x:c r="A166" s="71" t="n">
        <x:v>3</x:v>
      </x:c>
      <x:c r="B166" s="71" t="str">
        <x:v>wave_09</x:v>
      </x:c>
      <x:c r="C166" s="71" t="n">
        <x:v>9</x:v>
      </x:c>
      <x:c r="D166" s="71" t="n">
        <x:v>3</x:v>
      </x:c>
      <x:c r="E166" s="71" t="n">
        <x:v>1</x:v>
      </x:c>
      <x:c r="F166" s="71" t="str">
        <x:v>白昼</x:v>
      </x:c>
      <x:c r="G166" s="71" t="str">
        <x:f>'第3日'!B3</x:f>
        <x:v>第9波 城镇前锋</x:v>
      </x:c>
      <x:c r="H166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6" s="71" t="n">
        <x:f>'第3日'!E3</x:f>
        <x:v>0.28</x:v>
      </x:c>
      <x:c r="J166" s="71" t="n">
        <x:f>'第3日'!G3</x:f>
        <x:v>1</x:v>
      </x:c>
      <x:c r="K166" s="71" t="n">
        <x:f>'第3日'!I3</x:f>
        <x:v>300</x:v>
      </x:c>
      <x:c r="L166" s="71" t="str">
        <x:v>res://resources/audio/shenmu_town_combat.ogg</x:v>
      </x:c>
      <x:c r="M166" s="71" t="str">
        <x:v>res://resources/audio/shenmu_town_intermission.ogg</x:v>
      </x:c>
      <x:c r="N166" s="71" t="b">
        <x:f>'第3日'!I4="待设计"</x:f>
        <x:v>0</x:v>
      </x:c>
      <x:c r="O166" s="71" t="n">
        <x:v>18</x:v>
      </x:c>
      <x:c r="P166" s="71" t="str">
        <x:f>IF('第3日'!B24="","",IFERROR(VLOOKUP('第3日'!B24,'敌人目录'!$A$6:$B$54,2,FALSE),""))</x:f>
      </x:c>
      <x:c r="Q166" s="71" t="str">
        <x:f>IF('第3日'!B24="","",'第3日'!C24)</x:f>
      </x:c>
      <x:c r="R166" s="71" t="n">
        <x:v>-1</x:v>
      </x:c>
      <x:c r="S166" s="71" t="str">
        <x:f>IF('第3日'!B24="","",'第3日'!I24)</x:f>
      </x:c>
    </x:row>
    <x:row r="167">
      <x:c r="A167" s="71" t="n">
        <x:v>3</x:v>
      </x:c>
      <x:c r="B167" s="71" t="str">
        <x:v>wave_10</x:v>
      </x:c>
      <x:c r="C167" s="71" t="n">
        <x:v>10</x:v>
      </x:c>
      <x:c r="D167" s="71" t="n">
        <x:v>3</x:v>
      </x:c>
      <x:c r="E167" s="71" t="n">
        <x:v>2</x:v>
      </x:c>
      <x:c r="F167" s="71" t="str">
        <x:v>白昼</x:v>
      </x:c>
      <x:c r="G167" s="71" t="str">
        <x:f>'第3日'!B32</x:f>
        <x:v>第10波 火力交叉</x:v>
      </x:c>
      <x:c r="H167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67" s="71" t="n">
        <x:f>'第3日'!E32</x:f>
        <x:v>0.26</x:v>
      </x:c>
      <x:c r="J167" s="71" t="n">
        <x:f>'第3日'!G32</x:f>
        <x:v>1</x:v>
      </x:c>
      <x:c r="K167" s="71" t="n">
        <x:f>'第3日'!I32</x:f>
        <x:v>300</x:v>
      </x:c>
      <x:c r="L167" s="71" t="str">
        <x:v>res://resources/audio/shenmu_town_combat.ogg</x:v>
      </x:c>
      <x:c r="M167" s="71" t="str">
        <x:v>res://resources/audio/shenmu_town_intermission.ogg</x:v>
      </x:c>
      <x:c r="N167" s="71" t="b">
        <x:f>'第3日'!I33="待设计"</x:f>
        <x:v>0</x:v>
      </x:c>
      <x:c r="O167" s="71" t="n">
        <x:v>1</x:v>
      </x:c>
      <x:c r="P167" s="71" t="str">
        <x:f>IF('第3日'!B36="","",IFERROR(VLOOKUP('第3日'!B36,'敌人目录'!$A$6:$B$54,2,FALSE),""))</x:f>
        <x:v>yuanshi_insect_basic</x:v>
      </x:c>
      <x:c r="Q167" s="71" t="n">
        <x:f>IF('第3日'!B36="","",'第3日'!C36)</x:f>
        <x:v>20</x:v>
      </x:c>
      <x:c r="R167" s="71" t="n">
        <x:v>-1</x:v>
      </x:c>
      <x:c r="S167" s="71" t="str">
        <x:f>IF('第3日'!B36="","",'第3日'!I36)</x:f>
        <x:v>可回读</x:v>
      </x:c>
    </x:row>
    <x:row r="168">
      <x:c r="A168" s="71" t="n">
        <x:v>3</x:v>
      </x:c>
      <x:c r="B168" s="71" t="str">
        <x:v>wave_10</x:v>
      </x:c>
      <x:c r="C168" s="71" t="n">
        <x:v>10</x:v>
      </x:c>
      <x:c r="D168" s="71" t="n">
        <x:v>3</x:v>
      </x:c>
      <x:c r="E168" s="71" t="n">
        <x:v>2</x:v>
      </x:c>
      <x:c r="F168" s="71" t="str">
        <x:v>白昼</x:v>
      </x:c>
      <x:c r="G168" s="71" t="str">
        <x:f>'第3日'!B32</x:f>
        <x:v>第10波 火力交叉</x:v>
      </x:c>
      <x:c r="H168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68" s="71" t="n">
        <x:f>'第3日'!E32</x:f>
        <x:v>0.26</x:v>
      </x:c>
      <x:c r="J168" s="71" t="n">
        <x:f>'第3日'!G32</x:f>
        <x:v>1</x:v>
      </x:c>
      <x:c r="K168" s="71" t="n">
        <x:f>'第3日'!I32</x:f>
        <x:v>300</x:v>
      </x:c>
      <x:c r="L168" s="71" t="str">
        <x:v>res://resources/audio/shenmu_town_combat.ogg</x:v>
      </x:c>
      <x:c r="M168" s="71" t="str">
        <x:v>res://resources/audio/shenmu_town_intermission.ogg</x:v>
      </x:c>
      <x:c r="N168" s="71" t="b">
        <x:f>'第3日'!I33="待设计"</x:f>
        <x:v>0</x:v>
      </x:c>
      <x:c r="O168" s="71" t="n">
        <x:v>2</x:v>
      </x:c>
      <x:c r="P168" s="71" t="str">
        <x:f>IF('第3日'!B37="","",IFERROR(VLOOKUP('第3日'!B37,'敌人目录'!$A$6:$B$54,2,FALSE),""))</x:f>
        <x:v>yuanshi_insect_fast</x:v>
      </x:c>
      <x:c r="Q168" s="71" t="n">
        <x:f>IF('第3日'!B37="","",'第3日'!C37)</x:f>
        <x:v>24</x:v>
      </x:c>
      <x:c r="R168" s="71" t="n">
        <x:v>-1</x:v>
      </x:c>
      <x:c r="S168" s="71" t="str">
        <x:f>IF('第3日'!B37="","",'第3日'!I37)</x:f>
        <x:v>可回读</x:v>
      </x:c>
    </x:row>
    <x:row r="169">
      <x:c r="A169" s="71" t="n">
        <x:v>3</x:v>
      </x:c>
      <x:c r="B169" s="71" t="str">
        <x:v>wave_10</x:v>
      </x:c>
      <x:c r="C169" s="71" t="n">
        <x:v>10</x:v>
      </x:c>
      <x:c r="D169" s="71" t="n">
        <x:v>3</x:v>
      </x:c>
      <x:c r="E169" s="71" t="n">
        <x:v>2</x:v>
      </x:c>
      <x:c r="F169" s="71" t="str">
        <x:v>白昼</x:v>
      </x:c>
      <x:c r="G169" s="71" t="str">
        <x:f>'第3日'!B32</x:f>
        <x:v>第10波 火力交叉</x:v>
      </x:c>
      <x:c r="H169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69" s="71" t="n">
        <x:f>'第3日'!E32</x:f>
        <x:v>0.26</x:v>
      </x:c>
      <x:c r="J169" s="71" t="n">
        <x:f>'第3日'!G32</x:f>
        <x:v>1</x:v>
      </x:c>
      <x:c r="K169" s="71" t="n">
        <x:f>'第3日'!I32</x:f>
        <x:v>300</x:v>
      </x:c>
      <x:c r="L169" s="71" t="str">
        <x:v>res://resources/audio/shenmu_town_combat.ogg</x:v>
      </x:c>
      <x:c r="M169" s="71" t="str">
        <x:v>res://resources/audio/shenmu_town_intermission.ogg</x:v>
      </x:c>
      <x:c r="N169" s="71" t="b">
        <x:f>'第3日'!I33="待设计"</x:f>
        <x:v>0</x:v>
      </x:c>
      <x:c r="O169" s="71" t="n">
        <x:v>3</x:v>
      </x:c>
      <x:c r="P169" s="71" t="str">
        <x:f>IF('第3日'!B38="","",IFERROR(VLOOKUP('第3日'!B38,'敌人目录'!$A$6:$B$54,2,FALSE),""))</x:f>
        <x:v>yuanshi_insect_shell</x:v>
      </x:c>
      <x:c r="Q169" s="71" t="n">
        <x:f>IF('第3日'!B38="","",'第3日'!C38)</x:f>
        <x:v>24</x:v>
      </x:c>
      <x:c r="R169" s="71" t="n">
        <x:v>-1</x:v>
      </x:c>
      <x:c r="S169" s="71" t="str">
        <x:f>IF('第3日'!B38="","",'第3日'!I38)</x:f>
        <x:v>可回读</x:v>
      </x:c>
    </x:row>
    <x:row r="170">
      <x:c r="A170" s="71" t="n">
        <x:v>3</x:v>
      </x:c>
      <x:c r="B170" s="71" t="str">
        <x:v>wave_10</x:v>
      </x:c>
      <x:c r="C170" s="71" t="n">
        <x:v>10</x:v>
      </x:c>
      <x:c r="D170" s="71" t="n">
        <x:v>3</x:v>
      </x:c>
      <x:c r="E170" s="71" t="n">
        <x:v>2</x:v>
      </x:c>
      <x:c r="F170" s="71" t="str">
        <x:v>白昼</x:v>
      </x:c>
      <x:c r="G170" s="71" t="str">
        <x:f>'第3日'!B32</x:f>
        <x:v>第10波 火力交叉</x:v>
      </x:c>
      <x:c r="H170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0" s="71" t="n">
        <x:f>'第3日'!E32</x:f>
        <x:v>0.26</x:v>
      </x:c>
      <x:c r="J170" s="71" t="n">
        <x:f>'第3日'!G32</x:f>
        <x:v>1</x:v>
      </x:c>
      <x:c r="K170" s="71" t="n">
        <x:f>'第3日'!I32</x:f>
        <x:v>300</x:v>
      </x:c>
      <x:c r="L170" s="71" t="str">
        <x:v>res://resources/audio/shenmu_town_combat.ogg</x:v>
      </x:c>
      <x:c r="M170" s="71" t="str">
        <x:v>res://resources/audio/shenmu_town_intermission.ogg</x:v>
      </x:c>
      <x:c r="N170" s="71" t="b">
        <x:f>'第3日'!I33="待设计"</x:f>
        <x:v>0</x:v>
      </x:c>
      <x:c r="O170" s="71" t="n">
        <x:v>4</x:v>
      </x:c>
      <x:c r="P170" s="71" t="str">
        <x:f>IF('第3日'!B39="","",IFERROR(VLOOKUP('第3日'!B39,'敌人目录'!$A$6:$B$54,2,FALSE),""))</x:f>
        <x:v>yuanshi_insect_bomber</x:v>
      </x:c>
      <x:c r="Q170" s="71" t="n">
        <x:f>IF('第3日'!B39="","",'第3日'!C39)</x:f>
        <x:v>20</x:v>
      </x:c>
      <x:c r="R170" s="71" t="n">
        <x:v>-1</x:v>
      </x:c>
      <x:c r="S170" s="71" t="str">
        <x:f>IF('第3日'!B39="","",'第3日'!I39)</x:f>
        <x:v>可回读</x:v>
      </x:c>
    </x:row>
    <x:row r="171">
      <x:c r="A171" s="71" t="n">
        <x:v>3</x:v>
      </x:c>
      <x:c r="B171" s="71" t="str">
        <x:v>wave_10</x:v>
      </x:c>
      <x:c r="C171" s="71" t="n">
        <x:v>10</x:v>
      </x:c>
      <x:c r="D171" s="71" t="n">
        <x:v>3</x:v>
      </x:c>
      <x:c r="E171" s="71" t="n">
        <x:v>2</x:v>
      </x:c>
      <x:c r="F171" s="71" t="str">
        <x:v>白昼</x:v>
      </x:c>
      <x:c r="G171" s="71" t="str">
        <x:f>'第3日'!B32</x:f>
        <x:v>第10波 火力交叉</x:v>
      </x:c>
      <x:c r="H171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1" s="71" t="n">
        <x:f>'第3日'!E32</x:f>
        <x:v>0.26</x:v>
      </x:c>
      <x:c r="J171" s="71" t="n">
        <x:f>'第3日'!G32</x:f>
        <x:v>1</x:v>
      </x:c>
      <x:c r="K171" s="71" t="n">
        <x:f>'第3日'!I32</x:f>
        <x:v>300</x:v>
      </x:c>
      <x:c r="L171" s="71" t="str">
        <x:v>res://resources/audio/shenmu_town_combat.ogg</x:v>
      </x:c>
      <x:c r="M171" s="71" t="str">
        <x:v>res://resources/audio/shenmu_town_intermission.ogg</x:v>
      </x:c>
      <x:c r="N171" s="71" t="b">
        <x:f>'第3日'!I33="待设计"</x:f>
        <x:v>0</x:v>
      </x:c>
      <x:c r="O171" s="71" t="n">
        <x:v>5</x:v>
      </x:c>
      <x:c r="P171" s="71" t="str">
        <x:f>IF('第3日'!B40="","",IFERROR(VLOOKUP('第3日'!B40,'敌人目录'!$A$6:$B$54,2,FALSE),""))</x:f>
        <x:v>yuanshi_insect_purple_bomber</x:v>
      </x:c>
      <x:c r="Q171" s="71" t="n">
        <x:f>IF('第3日'!B40="","",'第3日'!C40)</x:f>
        <x:v>16</x:v>
      </x:c>
      <x:c r="R171" s="71" t="n">
        <x:v>-1</x:v>
      </x:c>
      <x:c r="S171" s="71" t="str">
        <x:f>IF('第3日'!B40="","",'第3日'!I40)</x:f>
        <x:v>可回读</x:v>
      </x:c>
    </x:row>
    <x:row r="172">
      <x:c r="A172" s="71" t="n">
        <x:v>3</x:v>
      </x:c>
      <x:c r="B172" s="71" t="str">
        <x:v>wave_10</x:v>
      </x:c>
      <x:c r="C172" s="71" t="n">
        <x:v>10</x:v>
      </x:c>
      <x:c r="D172" s="71" t="n">
        <x:v>3</x:v>
      </x:c>
      <x:c r="E172" s="71" t="n">
        <x:v>2</x:v>
      </x:c>
      <x:c r="F172" s="71" t="str">
        <x:v>白昼</x:v>
      </x:c>
      <x:c r="G172" s="71" t="str">
        <x:f>'第3日'!B32</x:f>
        <x:v>第10波 火力交叉</x:v>
      </x:c>
      <x:c r="H172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2" s="71" t="n">
        <x:f>'第3日'!E32</x:f>
        <x:v>0.26</x:v>
      </x:c>
      <x:c r="J172" s="71" t="n">
        <x:f>'第3日'!G32</x:f>
        <x:v>1</x:v>
      </x:c>
      <x:c r="K172" s="71" t="n">
        <x:f>'第3日'!I32</x:f>
        <x:v>300</x:v>
      </x:c>
      <x:c r="L172" s="71" t="str">
        <x:v>res://resources/audio/shenmu_town_combat.ogg</x:v>
      </x:c>
      <x:c r="M172" s="71" t="str">
        <x:v>res://resources/audio/shenmu_town_intermission.ogg</x:v>
      </x:c>
      <x:c r="N172" s="71" t="b">
        <x:f>'第3日'!I33="待设计"</x:f>
        <x:v>0</x:v>
      </x:c>
      <x:c r="O172" s="71" t="n">
        <x:v>6</x:v>
      </x:c>
      <x:c r="P172" s="71" t="str">
        <x:f>IF('第3日'!B41="","",IFERROR(VLOOKUP('第3日'!B41,'敌人目录'!$A$6:$B$54,2,FALSE),""))</x:f>
        <x:v>yuanshi_insect_fire_ranged</x:v>
      </x:c>
      <x:c r="Q172" s="71" t="n">
        <x:f>IF('第3日'!B41="","",'第3日'!C41)</x:f>
        <x:v>20</x:v>
      </x:c>
      <x:c r="R172" s="71" t="n">
        <x:v>-1</x:v>
      </x:c>
      <x:c r="S172" s="71" t="str">
        <x:f>IF('第3日'!B41="","",'第3日'!I41)</x:f>
        <x:v>可回读</x:v>
      </x:c>
    </x:row>
    <x:row r="173">
      <x:c r="A173" s="71" t="n">
        <x:v>3</x:v>
      </x:c>
      <x:c r="B173" s="71" t="str">
        <x:v>wave_10</x:v>
      </x:c>
      <x:c r="C173" s="71" t="n">
        <x:v>10</x:v>
      </x:c>
      <x:c r="D173" s="71" t="n">
        <x:v>3</x:v>
      </x:c>
      <x:c r="E173" s="71" t="n">
        <x:v>2</x:v>
      </x:c>
      <x:c r="F173" s="71" t="str">
        <x:v>白昼</x:v>
      </x:c>
      <x:c r="G173" s="71" t="str">
        <x:f>'第3日'!B32</x:f>
        <x:v>第10波 火力交叉</x:v>
      </x:c>
      <x:c r="H173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3" s="71" t="n">
        <x:f>'第3日'!E32</x:f>
        <x:v>0.26</x:v>
      </x:c>
      <x:c r="J173" s="71" t="n">
        <x:f>'第3日'!G32</x:f>
        <x:v>1</x:v>
      </x:c>
      <x:c r="K173" s="71" t="n">
        <x:f>'第3日'!I32</x:f>
        <x:v>300</x:v>
      </x:c>
      <x:c r="L173" s="71" t="str">
        <x:v>res://resources/audio/shenmu_town_combat.ogg</x:v>
      </x:c>
      <x:c r="M173" s="71" t="str">
        <x:v>res://resources/audio/shenmu_town_intermission.ogg</x:v>
      </x:c>
      <x:c r="N173" s="71" t="b">
        <x:f>'第3日'!I33="待设计"</x:f>
        <x:v>0</x:v>
      </x:c>
      <x:c r="O173" s="71" t="n">
        <x:v>7</x:v>
      </x:c>
      <x:c r="P173" s="71" t="str">
        <x:f>IF('第3日'!B42="","",IFERROR(VLOOKUP('第3日'!B42,'敌人目录'!$A$6:$B$54,2,FALSE),""))</x:f>
        <x:v>yuanshi_insect_green_shell</x:v>
      </x:c>
      <x:c r="Q173" s="71" t="n">
        <x:f>IF('第3日'!B42="","",'第3日'!C42)</x:f>
        <x:v>16</x:v>
      </x:c>
      <x:c r="R173" s="71" t="n">
        <x:v>-1</x:v>
      </x:c>
      <x:c r="S173" s="71" t="str">
        <x:f>IF('第3日'!B42="","",'第3日'!I42)</x:f>
        <x:v>可回读</x:v>
      </x:c>
    </x:row>
    <x:row r="174">
      <x:c r="A174" s="71" t="n">
        <x:v>3</x:v>
      </x:c>
      <x:c r="B174" s="71" t="str">
        <x:v>wave_10</x:v>
      </x:c>
      <x:c r="C174" s="71" t="n">
        <x:v>10</x:v>
      </x:c>
      <x:c r="D174" s="71" t="n">
        <x:v>3</x:v>
      </x:c>
      <x:c r="E174" s="71" t="n">
        <x:v>2</x:v>
      </x:c>
      <x:c r="F174" s="71" t="str">
        <x:v>白昼</x:v>
      </x:c>
      <x:c r="G174" s="71" t="str">
        <x:f>'第3日'!B32</x:f>
        <x:v>第10波 火力交叉</x:v>
      </x:c>
      <x:c r="H174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4" s="71" t="n">
        <x:f>'第3日'!E32</x:f>
        <x:v>0.26</x:v>
      </x:c>
      <x:c r="J174" s="71" t="n">
        <x:f>'第3日'!G32</x:f>
        <x:v>1</x:v>
      </x:c>
      <x:c r="K174" s="71" t="n">
        <x:f>'第3日'!I32</x:f>
        <x:v>300</x:v>
      </x:c>
      <x:c r="L174" s="71" t="str">
        <x:v>res://resources/audio/shenmu_town_combat.ogg</x:v>
      </x:c>
      <x:c r="M174" s="71" t="str">
        <x:v>res://resources/audio/shenmu_town_intermission.ogg</x:v>
      </x:c>
      <x:c r="N174" s="71" t="b">
        <x:f>'第3日'!I33="待设计"</x:f>
        <x:v>0</x:v>
      </x:c>
      <x:c r="O174" s="71" t="n">
        <x:v>8</x:v>
      </x:c>
      <x:c r="P174" s="71" t="str">
        <x:f>IF('第3日'!B43="","",IFERROR(VLOOKUP('第3日'!B43,'敌人目录'!$A$6:$B$54,2,FALSE),""))</x:f>
        <x:v>yuanshi_insect_guardian</x:v>
      </x:c>
      <x:c r="Q174" s="71" t="n">
        <x:f>IF('第3日'!B43="","",'第3日'!C43)</x:f>
        <x:v>16</x:v>
      </x:c>
      <x:c r="R174" s="71" t="n">
        <x:v>-1</x:v>
      </x:c>
      <x:c r="S174" s="71" t="str">
        <x:f>IF('第3日'!B43="","",'第3日'!I43)</x:f>
        <x:v>可回读</x:v>
      </x:c>
    </x:row>
    <x:row r="175">
      <x:c r="A175" s="71" t="n">
        <x:v>3</x:v>
      </x:c>
      <x:c r="B175" s="71" t="str">
        <x:v>wave_10</x:v>
      </x:c>
      <x:c r="C175" s="71" t="n">
        <x:v>10</x:v>
      </x:c>
      <x:c r="D175" s="71" t="n">
        <x:v>3</x:v>
      </x:c>
      <x:c r="E175" s="71" t="n">
        <x:v>2</x:v>
      </x:c>
      <x:c r="F175" s="71" t="str">
        <x:v>白昼</x:v>
      </x:c>
      <x:c r="G175" s="71" t="str">
        <x:f>'第3日'!B32</x:f>
        <x:v>第10波 火力交叉</x:v>
      </x:c>
      <x:c r="H175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5" s="71" t="n">
        <x:f>'第3日'!E32</x:f>
        <x:v>0.26</x:v>
      </x:c>
      <x:c r="J175" s="71" t="n">
        <x:f>'第3日'!G32</x:f>
        <x:v>1</x:v>
      </x:c>
      <x:c r="K175" s="71" t="n">
        <x:f>'第3日'!I32</x:f>
        <x:v>300</x:v>
      </x:c>
      <x:c r="L175" s="71" t="str">
        <x:v>res://resources/audio/shenmu_town_combat.ogg</x:v>
      </x:c>
      <x:c r="M175" s="71" t="str">
        <x:v>res://resources/audio/shenmu_town_intermission.ogg</x:v>
      </x:c>
      <x:c r="N175" s="71" t="b">
        <x:f>'第3日'!I33="待设计"</x:f>
        <x:v>0</x:v>
      </x:c>
      <x:c r="O175" s="71" t="n">
        <x:v>9</x:v>
      </x:c>
      <x:c r="P175" s="71" t="str">
        <x:f>IF('第3日'!B44="","",IFERROR(VLOOKUP('第3日'!B44,'敌人目录'!$A$6:$B$54,2,FALSE),""))</x:f>
        <x:v>capoo_ak47</x:v>
      </x:c>
      <x:c r="Q175" s="71" t="n">
        <x:f>IF('第3日'!B44="","",'第3日'!C44)</x:f>
        <x:v>2</x:v>
      </x:c>
      <x:c r="R175" s="71" t="n">
        <x:v>-1</x:v>
      </x:c>
      <x:c r="S175" s="71" t="str">
        <x:f>IF('第3日'!B44="","",'第3日'!I44)</x:f>
        <x:v>可回读</x:v>
      </x:c>
    </x:row>
    <x:row r="176">
      <x:c r="A176" s="71" t="n">
        <x:v>3</x:v>
      </x:c>
      <x:c r="B176" s="71" t="str">
        <x:v>wave_10</x:v>
      </x:c>
      <x:c r="C176" s="71" t="n">
        <x:v>10</x:v>
      </x:c>
      <x:c r="D176" s="71" t="n">
        <x:v>3</x:v>
      </x:c>
      <x:c r="E176" s="71" t="n">
        <x:v>2</x:v>
      </x:c>
      <x:c r="F176" s="71" t="str">
        <x:v>白昼</x:v>
      </x:c>
      <x:c r="G176" s="71" t="str">
        <x:f>'第3日'!B32</x:f>
        <x:v>第10波 火力交叉</x:v>
      </x:c>
      <x:c r="H176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6" s="71" t="n">
        <x:f>'第3日'!E32</x:f>
        <x:v>0.26</x:v>
      </x:c>
      <x:c r="J176" s="71" t="n">
        <x:f>'第3日'!G32</x:f>
        <x:v>1</x:v>
      </x:c>
      <x:c r="K176" s="71" t="n">
        <x:f>'第3日'!I32</x:f>
        <x:v>300</x:v>
      </x:c>
      <x:c r="L176" s="71" t="str">
        <x:v>res://resources/audio/shenmu_town_combat.ogg</x:v>
      </x:c>
      <x:c r="M176" s="71" t="str">
        <x:v>res://resources/audio/shenmu_town_intermission.ogg</x:v>
      </x:c>
      <x:c r="N176" s="71" t="b">
        <x:f>'第3日'!I33="待设计"</x:f>
        <x:v>0</x:v>
      </x:c>
      <x:c r="O176" s="71" t="n">
        <x:v>10</x:v>
      </x:c>
      <x:c r="P176" s="71" t="str">
        <x:f>IF('第3日'!B45="","",IFERROR(VLOOKUP('第3日'!B45,'敌人目录'!$A$6:$B$54,2,FALSE),""))</x:f>
        <x:v>capoo_knight</x:v>
      </x:c>
      <x:c r="Q176" s="71" t="n">
        <x:f>IF('第3日'!B45="","",'第3日'!C45)</x:f>
        <x:v>2</x:v>
      </x:c>
      <x:c r="R176" s="71" t="n">
        <x:v>-1</x:v>
      </x:c>
      <x:c r="S176" s="71" t="str">
        <x:f>IF('第3日'!B45="","",'第3日'!I45)</x:f>
        <x:v>可回读</x:v>
      </x:c>
    </x:row>
    <x:row r="177">
      <x:c r="A177" s="71" t="n">
        <x:v>3</x:v>
      </x:c>
      <x:c r="B177" s="71" t="str">
        <x:v>wave_10</x:v>
      </x:c>
      <x:c r="C177" s="71" t="n">
        <x:v>10</x:v>
      </x:c>
      <x:c r="D177" s="71" t="n">
        <x:v>3</x:v>
      </x:c>
      <x:c r="E177" s="71" t="n">
        <x:v>2</x:v>
      </x:c>
      <x:c r="F177" s="71" t="str">
        <x:v>白昼</x:v>
      </x:c>
      <x:c r="G177" s="71" t="str">
        <x:f>'第3日'!B32</x:f>
        <x:v>第10波 火力交叉</x:v>
      </x:c>
      <x:c r="H177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7" s="71" t="n">
        <x:f>'第3日'!E32</x:f>
        <x:v>0.26</x:v>
      </x:c>
      <x:c r="J177" s="71" t="n">
        <x:f>'第3日'!G32</x:f>
        <x:v>1</x:v>
      </x:c>
      <x:c r="K177" s="71" t="n">
        <x:f>'第3日'!I32</x:f>
        <x:v>300</x:v>
      </x:c>
      <x:c r="L177" s="71" t="str">
        <x:v>res://resources/audio/shenmu_town_combat.ogg</x:v>
      </x:c>
      <x:c r="M177" s="71" t="str">
        <x:v>res://resources/audio/shenmu_town_intermission.ogg</x:v>
      </x:c>
      <x:c r="N177" s="71" t="b">
        <x:f>'第3日'!I33="待设计"</x:f>
        <x:v>0</x:v>
      </x:c>
      <x:c r="O177" s="71" t="n">
        <x:v>11</x:v>
      </x:c>
      <x:c r="P177" s="71" t="str">
        <x:f>IF('第3日'!B46="","",IFERROR(VLOOKUP('第3日'!B46,'敌人目录'!$A$6:$B$54,2,FALSE),""))</x:f>
      </x:c>
      <x:c r="Q177" s="71" t="str">
        <x:f>IF('第3日'!B46="","",'第3日'!C46)</x:f>
      </x:c>
      <x:c r="R177" s="71" t="n">
        <x:v>-1</x:v>
      </x:c>
      <x:c r="S177" s="71" t="str">
        <x:f>IF('第3日'!B46="","",'第3日'!I46)</x:f>
      </x:c>
    </x:row>
    <x:row r="178">
      <x:c r="A178" s="71" t="n">
        <x:v>3</x:v>
      </x:c>
      <x:c r="B178" s="71" t="str">
        <x:v>wave_10</x:v>
      </x:c>
      <x:c r="C178" s="71" t="n">
        <x:v>10</x:v>
      </x:c>
      <x:c r="D178" s="71" t="n">
        <x:v>3</x:v>
      </x:c>
      <x:c r="E178" s="71" t="n">
        <x:v>2</x:v>
      </x:c>
      <x:c r="F178" s="71" t="str">
        <x:v>白昼</x:v>
      </x:c>
      <x:c r="G178" s="71" t="str">
        <x:f>'第3日'!B32</x:f>
        <x:v>第10波 火力交叉</x:v>
      </x:c>
      <x:c r="H178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8" s="71" t="n">
        <x:f>'第3日'!E32</x:f>
        <x:v>0.26</x:v>
      </x:c>
      <x:c r="J178" s="71" t="n">
        <x:f>'第3日'!G32</x:f>
        <x:v>1</x:v>
      </x:c>
      <x:c r="K178" s="71" t="n">
        <x:f>'第3日'!I32</x:f>
        <x:v>300</x:v>
      </x:c>
      <x:c r="L178" s="71" t="str">
        <x:v>res://resources/audio/shenmu_town_combat.ogg</x:v>
      </x:c>
      <x:c r="M178" s="71" t="str">
        <x:v>res://resources/audio/shenmu_town_intermission.ogg</x:v>
      </x:c>
      <x:c r="N178" s="71" t="b">
        <x:f>'第3日'!I33="待设计"</x:f>
        <x:v>0</x:v>
      </x:c>
      <x:c r="O178" s="71" t="n">
        <x:v>12</x:v>
      </x:c>
      <x:c r="P178" s="71" t="str">
        <x:f>IF('第3日'!B47="","",IFERROR(VLOOKUP('第3日'!B47,'敌人目录'!$A$6:$B$54,2,FALSE),""))</x:f>
      </x:c>
      <x:c r="Q178" s="71" t="str">
        <x:f>IF('第3日'!B47="","",'第3日'!C47)</x:f>
      </x:c>
      <x:c r="R178" s="71" t="n">
        <x:v>-1</x:v>
      </x:c>
      <x:c r="S178" s="71" t="str">
        <x:f>IF('第3日'!B47="","",'第3日'!I47)</x:f>
      </x:c>
    </x:row>
    <x:row r="179">
      <x:c r="A179" s="71" t="n">
        <x:v>3</x:v>
      </x:c>
      <x:c r="B179" s="71" t="str">
        <x:v>wave_10</x:v>
      </x:c>
      <x:c r="C179" s="71" t="n">
        <x:v>10</x:v>
      </x:c>
      <x:c r="D179" s="71" t="n">
        <x:v>3</x:v>
      </x:c>
      <x:c r="E179" s="71" t="n">
        <x:v>2</x:v>
      </x:c>
      <x:c r="F179" s="71" t="str">
        <x:v>白昼</x:v>
      </x:c>
      <x:c r="G179" s="71" t="str">
        <x:f>'第3日'!B32</x:f>
        <x:v>第10波 火力交叉</x:v>
      </x:c>
      <x:c r="H179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9" s="71" t="n">
        <x:f>'第3日'!E32</x:f>
        <x:v>0.26</x:v>
      </x:c>
      <x:c r="J179" s="71" t="n">
        <x:f>'第3日'!G32</x:f>
        <x:v>1</x:v>
      </x:c>
      <x:c r="K179" s="71" t="n">
        <x:f>'第3日'!I32</x:f>
        <x:v>300</x:v>
      </x:c>
      <x:c r="L179" s="71" t="str">
        <x:v>res://resources/audio/shenmu_town_combat.ogg</x:v>
      </x:c>
      <x:c r="M179" s="71" t="str">
        <x:v>res://resources/audio/shenmu_town_intermission.ogg</x:v>
      </x:c>
      <x:c r="N179" s="71" t="b">
        <x:f>'第3日'!I33="待设计"</x:f>
        <x:v>0</x:v>
      </x:c>
      <x:c r="O179" s="71" t="n">
        <x:v>13</x:v>
      </x:c>
      <x:c r="P179" s="71" t="str">
        <x:f>IF('第3日'!B48="","",IFERROR(VLOOKUP('第3日'!B48,'敌人目录'!$A$6:$B$54,2,FALSE),""))</x:f>
      </x:c>
      <x:c r="Q179" s="71" t="str">
        <x:f>IF('第3日'!B48="","",'第3日'!C48)</x:f>
      </x:c>
      <x:c r="R179" s="71" t="n">
        <x:v>-1</x:v>
      </x:c>
      <x:c r="S179" s="71" t="str">
        <x:f>IF('第3日'!B48="","",'第3日'!I48)</x:f>
      </x:c>
    </x:row>
    <x:row r="180">
      <x:c r="A180" s="71" t="n">
        <x:v>3</x:v>
      </x:c>
      <x:c r="B180" s="71" t="str">
        <x:v>wave_10</x:v>
      </x:c>
      <x:c r="C180" s="71" t="n">
        <x:v>10</x:v>
      </x:c>
      <x:c r="D180" s="71" t="n">
        <x:v>3</x:v>
      </x:c>
      <x:c r="E180" s="71" t="n">
        <x:v>2</x:v>
      </x:c>
      <x:c r="F180" s="71" t="str">
        <x:v>白昼</x:v>
      </x:c>
      <x:c r="G180" s="71" t="str">
        <x:f>'第3日'!B32</x:f>
        <x:v>第10波 火力交叉</x:v>
      </x:c>
      <x:c r="H180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0" s="71" t="n">
        <x:f>'第3日'!E32</x:f>
        <x:v>0.26</x:v>
      </x:c>
      <x:c r="J180" s="71" t="n">
        <x:f>'第3日'!G32</x:f>
        <x:v>1</x:v>
      </x:c>
      <x:c r="K180" s="71" t="n">
        <x:f>'第3日'!I32</x:f>
        <x:v>300</x:v>
      </x:c>
      <x:c r="L180" s="71" t="str">
        <x:v>res://resources/audio/shenmu_town_combat.ogg</x:v>
      </x:c>
      <x:c r="M180" s="71" t="str">
        <x:v>res://resources/audio/shenmu_town_intermission.ogg</x:v>
      </x:c>
      <x:c r="N180" s="71" t="b">
        <x:f>'第3日'!I33="待设计"</x:f>
        <x:v>0</x:v>
      </x:c>
      <x:c r="O180" s="71" t="n">
        <x:v>14</x:v>
      </x:c>
      <x:c r="P180" s="71" t="str">
        <x:f>IF('第3日'!B49="","",IFERROR(VLOOKUP('第3日'!B49,'敌人目录'!$A$6:$B$54,2,FALSE),""))</x:f>
      </x:c>
      <x:c r="Q180" s="71" t="str">
        <x:f>IF('第3日'!B49="","",'第3日'!C49)</x:f>
      </x:c>
      <x:c r="R180" s="71" t="n">
        <x:v>-1</x:v>
      </x:c>
      <x:c r="S180" s="71" t="str">
        <x:f>IF('第3日'!B49="","",'第3日'!I49)</x:f>
      </x:c>
    </x:row>
    <x:row r="181">
      <x:c r="A181" s="71" t="n">
        <x:v>3</x:v>
      </x:c>
      <x:c r="B181" s="71" t="str">
        <x:v>wave_10</x:v>
      </x:c>
      <x:c r="C181" s="71" t="n">
        <x:v>10</x:v>
      </x:c>
      <x:c r="D181" s="71" t="n">
        <x:v>3</x:v>
      </x:c>
      <x:c r="E181" s="71" t="n">
        <x:v>2</x:v>
      </x:c>
      <x:c r="F181" s="71" t="str">
        <x:v>白昼</x:v>
      </x:c>
      <x:c r="G181" s="71" t="str">
        <x:f>'第3日'!B32</x:f>
        <x:v>第10波 火力交叉</x:v>
      </x:c>
      <x:c r="H181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1" s="71" t="n">
        <x:f>'第3日'!E32</x:f>
        <x:v>0.26</x:v>
      </x:c>
      <x:c r="J181" s="71" t="n">
        <x:f>'第3日'!G32</x:f>
        <x:v>1</x:v>
      </x:c>
      <x:c r="K181" s="71" t="n">
        <x:f>'第3日'!I32</x:f>
        <x:v>300</x:v>
      </x:c>
      <x:c r="L181" s="71" t="str">
        <x:v>res://resources/audio/shenmu_town_combat.ogg</x:v>
      </x:c>
      <x:c r="M181" s="71" t="str">
        <x:v>res://resources/audio/shenmu_town_intermission.ogg</x:v>
      </x:c>
      <x:c r="N181" s="71" t="b">
        <x:f>'第3日'!I33="待设计"</x:f>
        <x:v>0</x:v>
      </x:c>
      <x:c r="O181" s="71" t="n">
        <x:v>15</x:v>
      </x:c>
      <x:c r="P181" s="71" t="str">
        <x:f>IF('第3日'!B50="","",IFERROR(VLOOKUP('第3日'!B50,'敌人目录'!$A$6:$B$54,2,FALSE),""))</x:f>
      </x:c>
      <x:c r="Q181" s="71" t="str">
        <x:f>IF('第3日'!B50="","",'第3日'!C50)</x:f>
      </x:c>
      <x:c r="R181" s="71" t="n">
        <x:v>-1</x:v>
      </x:c>
      <x:c r="S181" s="71" t="str">
        <x:f>IF('第3日'!B50="","",'第3日'!I50)</x:f>
      </x:c>
    </x:row>
    <x:row r="182">
      <x:c r="A182" s="71" t="n">
        <x:v>3</x:v>
      </x:c>
      <x:c r="B182" s="71" t="str">
        <x:v>wave_10</x:v>
      </x:c>
      <x:c r="C182" s="71" t="n">
        <x:v>10</x:v>
      </x:c>
      <x:c r="D182" s="71" t="n">
        <x:v>3</x:v>
      </x:c>
      <x:c r="E182" s="71" t="n">
        <x:v>2</x:v>
      </x:c>
      <x:c r="F182" s="71" t="str">
        <x:v>白昼</x:v>
      </x:c>
      <x:c r="G182" s="71" t="str">
        <x:f>'第3日'!B32</x:f>
        <x:v>第10波 火力交叉</x:v>
      </x:c>
      <x:c r="H182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2" s="71" t="n">
        <x:f>'第3日'!E32</x:f>
        <x:v>0.26</x:v>
      </x:c>
      <x:c r="J182" s="71" t="n">
        <x:f>'第3日'!G32</x:f>
        <x:v>1</x:v>
      </x:c>
      <x:c r="K182" s="71" t="n">
        <x:f>'第3日'!I32</x:f>
        <x:v>300</x:v>
      </x:c>
      <x:c r="L182" s="71" t="str">
        <x:v>res://resources/audio/shenmu_town_combat.ogg</x:v>
      </x:c>
      <x:c r="M182" s="71" t="str">
        <x:v>res://resources/audio/shenmu_town_intermission.ogg</x:v>
      </x:c>
      <x:c r="N182" s="71" t="b">
        <x:f>'第3日'!I33="待设计"</x:f>
        <x:v>0</x:v>
      </x:c>
      <x:c r="O182" s="71" t="n">
        <x:v>16</x:v>
      </x:c>
      <x:c r="P182" s="71" t="str">
        <x:f>IF('第3日'!B51="","",IFERROR(VLOOKUP('第3日'!B51,'敌人目录'!$A$6:$B$54,2,FALSE),""))</x:f>
      </x:c>
      <x:c r="Q182" s="71" t="str">
        <x:f>IF('第3日'!B51="","",'第3日'!C51)</x:f>
      </x:c>
      <x:c r="R182" s="71" t="n">
        <x:v>-1</x:v>
      </x:c>
      <x:c r="S182" s="71" t="str">
        <x:f>IF('第3日'!B51="","",'第3日'!I51)</x:f>
      </x:c>
    </x:row>
    <x:row r="183">
      <x:c r="A183" s="71" t="n">
        <x:v>3</x:v>
      </x:c>
      <x:c r="B183" s="71" t="str">
        <x:v>wave_10</x:v>
      </x:c>
      <x:c r="C183" s="71" t="n">
        <x:v>10</x:v>
      </x:c>
      <x:c r="D183" s="71" t="n">
        <x:v>3</x:v>
      </x:c>
      <x:c r="E183" s="71" t="n">
        <x:v>2</x:v>
      </x:c>
      <x:c r="F183" s="71" t="str">
        <x:v>白昼</x:v>
      </x:c>
      <x:c r="G183" s="71" t="str">
        <x:f>'第3日'!B32</x:f>
        <x:v>第10波 火力交叉</x:v>
      </x:c>
      <x:c r="H183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3" s="71" t="n">
        <x:f>'第3日'!E32</x:f>
        <x:v>0.26</x:v>
      </x:c>
      <x:c r="J183" s="71" t="n">
        <x:f>'第3日'!G32</x:f>
        <x:v>1</x:v>
      </x:c>
      <x:c r="K183" s="71" t="n">
        <x:f>'第3日'!I32</x:f>
        <x:v>300</x:v>
      </x:c>
      <x:c r="L183" s="71" t="str">
        <x:v>res://resources/audio/shenmu_town_combat.ogg</x:v>
      </x:c>
      <x:c r="M183" s="71" t="str">
        <x:v>res://resources/audio/shenmu_town_intermission.ogg</x:v>
      </x:c>
      <x:c r="N183" s="71" t="b">
        <x:f>'第3日'!I33="待设计"</x:f>
        <x:v>0</x:v>
      </x:c>
      <x:c r="O183" s="71" t="n">
        <x:v>17</x:v>
      </x:c>
      <x:c r="P183" s="71" t="str">
        <x:f>IF('第3日'!B52="","",IFERROR(VLOOKUP('第3日'!B52,'敌人目录'!$A$6:$B$54,2,FALSE),""))</x:f>
      </x:c>
      <x:c r="Q183" s="71" t="str">
        <x:f>IF('第3日'!B52="","",'第3日'!C52)</x:f>
      </x:c>
      <x:c r="R183" s="71" t="n">
        <x:v>-1</x:v>
      </x:c>
      <x:c r="S183" s="71" t="str">
        <x:f>IF('第3日'!B52="","",'第3日'!I52)</x:f>
      </x:c>
    </x:row>
    <x:row r="184">
      <x:c r="A184" s="71" t="n">
        <x:v>3</x:v>
      </x:c>
      <x:c r="B184" s="71" t="str">
        <x:v>wave_10</x:v>
      </x:c>
      <x:c r="C184" s="71" t="n">
        <x:v>10</x:v>
      </x:c>
      <x:c r="D184" s="71" t="n">
        <x:v>3</x:v>
      </x:c>
      <x:c r="E184" s="71" t="n">
        <x:v>2</x:v>
      </x:c>
      <x:c r="F184" s="71" t="str">
        <x:v>白昼</x:v>
      </x:c>
      <x:c r="G184" s="71" t="str">
        <x:f>'第3日'!B32</x:f>
        <x:v>第10波 火力交叉</x:v>
      </x:c>
      <x:c r="H184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4" s="71" t="n">
        <x:f>'第3日'!E32</x:f>
        <x:v>0.26</x:v>
      </x:c>
      <x:c r="J184" s="71" t="n">
        <x:f>'第3日'!G32</x:f>
        <x:v>1</x:v>
      </x:c>
      <x:c r="K184" s="71" t="n">
        <x:f>'第3日'!I32</x:f>
        <x:v>300</x:v>
      </x:c>
      <x:c r="L184" s="71" t="str">
        <x:v>res://resources/audio/shenmu_town_combat.ogg</x:v>
      </x:c>
      <x:c r="M184" s="71" t="str">
        <x:v>res://resources/audio/shenmu_town_intermission.ogg</x:v>
      </x:c>
      <x:c r="N184" s="71" t="b">
        <x:f>'第3日'!I33="待设计"</x:f>
        <x:v>0</x:v>
      </x:c>
      <x:c r="O184" s="71" t="n">
        <x:v>18</x:v>
      </x:c>
      <x:c r="P184" s="71" t="str">
        <x:f>IF('第3日'!B53="","",IFERROR(VLOOKUP('第3日'!B53,'敌人目录'!$A$6:$B$54,2,FALSE),""))</x:f>
      </x:c>
      <x:c r="Q184" s="71" t="str">
        <x:f>IF('第3日'!B53="","",'第3日'!C53)</x:f>
      </x:c>
      <x:c r="R184" s="71" t="n">
        <x:v>-1</x:v>
      </x:c>
      <x:c r="S184" s="71" t="str">
        <x:f>IF('第3日'!B53="","",'第3日'!I53)</x:f>
      </x:c>
    </x:row>
    <x:row r="185">
      <x:c r="A185" s="71" t="n">
        <x:v>3</x:v>
      </x:c>
      <x:c r="B185" s="71" t="str">
        <x:v>wave_11</x:v>
      </x:c>
      <x:c r="C185" s="71" t="n">
        <x:v>11</x:v>
      </x:c>
      <x:c r="D185" s="71" t="n">
        <x:v>3</x:v>
      </x:c>
      <x:c r="E185" s="71" t="n">
        <x:v>3</x:v>
      </x:c>
      <x:c r="F185" s="71" t="str">
        <x:v>夜晚</x:v>
      </x:c>
      <x:c r="G185" s="71" t="str">
        <x:f>'第3日'!B61</x:f>
        <x:v>第11波 奥术重装</x:v>
      </x:c>
      <x:c r="H185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5" s="71" t="n">
        <x:f>'第3日'!E61</x:f>
        <x:v>0.24</x:v>
      </x:c>
      <x:c r="J185" s="71" t="n">
        <x:f>'第3日'!G61</x:f>
        <x:v>1</x:v>
      </x:c>
      <x:c r="K185" s="71" t="n">
        <x:f>'第3日'!I61</x:f>
        <x:v>300</x:v>
      </x:c>
      <x:c r="L185" s="71" t="str">
        <x:v>res://resources/audio/shenmu_town_combat.ogg</x:v>
      </x:c>
      <x:c r="M185" s="71" t="str">
        <x:v>res://resources/audio/shenmu_town_intermission.ogg</x:v>
      </x:c>
      <x:c r="N185" s="71" t="b">
        <x:f>'第3日'!I62="待设计"</x:f>
        <x:v>0</x:v>
      </x:c>
      <x:c r="O185" s="71" t="n">
        <x:v>1</x:v>
      </x:c>
      <x:c r="P185" s="71" t="str">
        <x:f>IF('第3日'!B65="","",IFERROR(VLOOKUP('第3日'!B65,'敌人目录'!$A$6:$B$54,2,FALSE),""))</x:f>
        <x:v>yuanshi_insect_basic</x:v>
      </x:c>
      <x:c r="Q185" s="71" t="n">
        <x:f>IF('第3日'!B65="","",'第3日'!C65)</x:f>
        <x:v>46</x:v>
      </x:c>
      <x:c r="R185" s="71" t="n">
        <x:v>-1</x:v>
      </x:c>
      <x:c r="S185" s="71" t="str">
        <x:f>IF('第3日'!B65="","",'第3日'!I65)</x:f>
        <x:v>可回读</x:v>
      </x:c>
    </x:row>
    <x:row r="186">
      <x:c r="A186" s="71" t="n">
        <x:v>3</x:v>
      </x:c>
      <x:c r="B186" s="71" t="str">
        <x:v>wave_11</x:v>
      </x:c>
      <x:c r="C186" s="71" t="n">
        <x:v>11</x:v>
      </x:c>
      <x:c r="D186" s="71" t="n">
        <x:v>3</x:v>
      </x:c>
      <x:c r="E186" s="71" t="n">
        <x:v>3</x:v>
      </x:c>
      <x:c r="F186" s="71" t="str">
        <x:v>夜晚</x:v>
      </x:c>
      <x:c r="G186" s="71" t="str">
        <x:f>'第3日'!B61</x:f>
        <x:v>第11波 奥术重装</x:v>
      </x:c>
      <x:c r="H186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6" s="71" t="n">
        <x:f>'第3日'!E61</x:f>
        <x:v>0.24</x:v>
      </x:c>
      <x:c r="J186" s="71" t="n">
        <x:f>'第3日'!G61</x:f>
        <x:v>1</x:v>
      </x:c>
      <x:c r="K186" s="71" t="n">
        <x:f>'第3日'!I61</x:f>
        <x:v>300</x:v>
      </x:c>
      <x:c r="L186" s="71" t="str">
        <x:v>res://resources/audio/shenmu_town_combat.ogg</x:v>
      </x:c>
      <x:c r="M186" s="71" t="str">
        <x:v>res://resources/audio/shenmu_town_intermission.ogg</x:v>
      </x:c>
      <x:c r="N186" s="71" t="b">
        <x:f>'第3日'!I62="待设计"</x:f>
        <x:v>0</x:v>
      </x:c>
      <x:c r="O186" s="71" t="n">
        <x:v>2</x:v>
      </x:c>
      <x:c r="P186" s="71" t="str">
        <x:f>IF('第3日'!B66="","",IFERROR(VLOOKUP('第3日'!B66,'敌人目录'!$A$6:$B$54,2,FALSE),""))</x:f>
        <x:v>yuanshi_insect_fast</x:v>
      </x:c>
      <x:c r="Q186" s="71" t="n">
        <x:f>IF('第3日'!B66="","",'第3日'!C66)</x:f>
        <x:v>20</x:v>
      </x:c>
      <x:c r="R186" s="71" t="n">
        <x:v>-1</x:v>
      </x:c>
      <x:c r="S186" s="71" t="str">
        <x:f>IF('第3日'!B66="","",'第3日'!I66)</x:f>
        <x:v>可回读</x:v>
      </x:c>
    </x:row>
    <x:row r="187">
      <x:c r="A187" s="71" t="n">
        <x:v>3</x:v>
      </x:c>
      <x:c r="B187" s="71" t="str">
        <x:v>wave_11</x:v>
      </x:c>
      <x:c r="C187" s="71" t="n">
        <x:v>11</x:v>
      </x:c>
      <x:c r="D187" s="71" t="n">
        <x:v>3</x:v>
      </x:c>
      <x:c r="E187" s="71" t="n">
        <x:v>3</x:v>
      </x:c>
      <x:c r="F187" s="71" t="str">
        <x:v>夜晚</x:v>
      </x:c>
      <x:c r="G187" s="71" t="str">
        <x:f>'第3日'!B61</x:f>
        <x:v>第11波 奥术重装</x:v>
      </x:c>
      <x:c r="H187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7" s="71" t="n">
        <x:f>'第3日'!E61</x:f>
        <x:v>0.24</x:v>
      </x:c>
      <x:c r="J187" s="71" t="n">
        <x:f>'第3日'!G61</x:f>
        <x:v>1</x:v>
      </x:c>
      <x:c r="K187" s="71" t="n">
        <x:f>'第3日'!I61</x:f>
        <x:v>300</x:v>
      </x:c>
      <x:c r="L187" s="71" t="str">
        <x:v>res://resources/audio/shenmu_town_combat.ogg</x:v>
      </x:c>
      <x:c r="M187" s="71" t="str">
        <x:v>res://resources/audio/shenmu_town_intermission.ogg</x:v>
      </x:c>
      <x:c r="N187" s="71" t="b">
        <x:f>'第3日'!I62="待设计"</x:f>
        <x:v>0</x:v>
      </x:c>
      <x:c r="O187" s="71" t="n">
        <x:v>3</x:v>
      </x:c>
      <x:c r="P187" s="71" t="str">
        <x:f>IF('第3日'!B67="","",IFERROR(VLOOKUP('第3日'!B67,'敌人目录'!$A$6:$B$54,2,FALSE),""))</x:f>
        <x:v>yuanshi_insect_shell</x:v>
      </x:c>
      <x:c r="Q187" s="71" t="n">
        <x:f>IF('第3日'!B67="","",'第3日'!C67)</x:f>
        <x:v>20</x:v>
      </x:c>
      <x:c r="R187" s="71" t="n">
        <x:v>-1</x:v>
      </x:c>
      <x:c r="S187" s="71" t="str">
        <x:f>IF('第3日'!B67="","",'第3日'!I67)</x:f>
        <x:v>可回读</x:v>
      </x:c>
    </x:row>
    <x:row r="188">
      <x:c r="A188" s="71" t="n">
        <x:v>3</x:v>
      </x:c>
      <x:c r="B188" s="71" t="str">
        <x:v>wave_11</x:v>
      </x:c>
      <x:c r="C188" s="71" t="n">
        <x:v>11</x:v>
      </x:c>
      <x:c r="D188" s="71" t="n">
        <x:v>3</x:v>
      </x:c>
      <x:c r="E188" s="71" t="n">
        <x:v>3</x:v>
      </x:c>
      <x:c r="F188" s="71" t="str">
        <x:v>夜晚</x:v>
      </x:c>
      <x:c r="G188" s="71" t="str">
        <x:f>'第3日'!B61</x:f>
        <x:v>第11波 奥术重装</x:v>
      </x:c>
      <x:c r="H188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8" s="71" t="n">
        <x:f>'第3日'!E61</x:f>
        <x:v>0.24</x:v>
      </x:c>
      <x:c r="J188" s="71" t="n">
        <x:f>'第3日'!G61</x:f>
        <x:v>1</x:v>
      </x:c>
      <x:c r="K188" s="71" t="n">
        <x:f>'第3日'!I61</x:f>
        <x:v>300</x:v>
      </x:c>
      <x:c r="L188" s="71" t="str">
        <x:v>res://resources/audio/shenmu_town_combat.ogg</x:v>
      </x:c>
      <x:c r="M188" s="71" t="str">
        <x:v>res://resources/audio/shenmu_town_intermission.ogg</x:v>
      </x:c>
      <x:c r="N188" s="71" t="b">
        <x:f>'第3日'!I62="待设计"</x:f>
        <x:v>0</x:v>
      </x:c>
      <x:c r="O188" s="71" t="n">
        <x:v>4</x:v>
      </x:c>
      <x:c r="P188" s="71" t="str">
        <x:f>IF('第3日'!B68="","",IFERROR(VLOOKUP('第3日'!B68,'敌人目录'!$A$6:$B$54,2,FALSE),""))</x:f>
        <x:v>yuanshi_insect_bomber</x:v>
      </x:c>
      <x:c r="Q188" s="71" t="n">
        <x:f>IF('第3日'!B68="","",'第3日'!C68)</x:f>
        <x:v>16</x:v>
      </x:c>
      <x:c r="R188" s="71" t="n">
        <x:v>-1</x:v>
      </x:c>
      <x:c r="S188" s="71" t="str">
        <x:f>IF('第3日'!B68="","",'第3日'!I68)</x:f>
        <x:v>可回读</x:v>
      </x:c>
    </x:row>
    <x:row r="189">
      <x:c r="A189" s="71" t="n">
        <x:v>3</x:v>
      </x:c>
      <x:c r="B189" s="71" t="str">
        <x:v>wave_11</x:v>
      </x:c>
      <x:c r="C189" s="71" t="n">
        <x:v>11</x:v>
      </x:c>
      <x:c r="D189" s="71" t="n">
        <x:v>3</x:v>
      </x:c>
      <x:c r="E189" s="71" t="n">
        <x:v>3</x:v>
      </x:c>
      <x:c r="F189" s="71" t="str">
        <x:v>夜晚</x:v>
      </x:c>
      <x:c r="G189" s="71" t="str">
        <x:f>'第3日'!B61</x:f>
        <x:v>第11波 奥术重装</x:v>
      </x:c>
      <x:c r="H189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9" s="71" t="n">
        <x:f>'第3日'!E61</x:f>
        <x:v>0.24</x:v>
      </x:c>
      <x:c r="J189" s="71" t="n">
        <x:f>'第3日'!G61</x:f>
        <x:v>1</x:v>
      </x:c>
      <x:c r="K189" s="71" t="n">
        <x:f>'第3日'!I61</x:f>
        <x:v>300</x:v>
      </x:c>
      <x:c r="L189" s="71" t="str">
        <x:v>res://resources/audio/shenmu_town_combat.ogg</x:v>
      </x:c>
      <x:c r="M189" s="71" t="str">
        <x:v>res://resources/audio/shenmu_town_intermission.ogg</x:v>
      </x:c>
      <x:c r="N189" s="71" t="b">
        <x:f>'第3日'!I62="待设计"</x:f>
        <x:v>0</x:v>
      </x:c>
      <x:c r="O189" s="71" t="n">
        <x:v>5</x:v>
      </x:c>
      <x:c r="P189" s="71" t="str">
        <x:f>IF('第3日'!B69="","",IFERROR(VLOOKUP('第3日'!B69,'敌人目录'!$A$6:$B$54,2,FALSE),""))</x:f>
        <x:v>yuanshi_insect_purple_bomber</x:v>
      </x:c>
      <x:c r="Q189" s="71" t="n">
        <x:f>IF('第3日'!B69="","",'第3日'!C69)</x:f>
        <x:v>16</x:v>
      </x:c>
      <x:c r="R189" s="71" t="n">
        <x:v>-1</x:v>
      </x:c>
      <x:c r="S189" s="71" t="str">
        <x:f>IF('第3日'!B69="","",'第3日'!I69)</x:f>
        <x:v>可回读</x:v>
      </x:c>
    </x:row>
    <x:row r="190">
      <x:c r="A190" s="71" t="n">
        <x:v>3</x:v>
      </x:c>
      <x:c r="B190" s="71" t="str">
        <x:v>wave_11</x:v>
      </x:c>
      <x:c r="C190" s="71" t="n">
        <x:v>11</x:v>
      </x:c>
      <x:c r="D190" s="71" t="n">
        <x:v>3</x:v>
      </x:c>
      <x:c r="E190" s="71" t="n">
        <x:v>3</x:v>
      </x:c>
      <x:c r="F190" s="71" t="str">
        <x:v>夜晚</x:v>
      </x:c>
      <x:c r="G190" s="71" t="str">
        <x:f>'第3日'!B61</x:f>
        <x:v>第11波 奥术重装</x:v>
      </x:c>
      <x:c r="H190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0" s="71" t="n">
        <x:f>'第3日'!E61</x:f>
        <x:v>0.24</x:v>
      </x:c>
      <x:c r="J190" s="71" t="n">
        <x:f>'第3日'!G61</x:f>
        <x:v>1</x:v>
      </x:c>
      <x:c r="K190" s="71" t="n">
        <x:f>'第3日'!I61</x:f>
        <x:v>300</x:v>
      </x:c>
      <x:c r="L190" s="71" t="str">
        <x:v>res://resources/audio/shenmu_town_combat.ogg</x:v>
      </x:c>
      <x:c r="M190" s="71" t="str">
        <x:v>res://resources/audio/shenmu_town_intermission.ogg</x:v>
      </x:c>
      <x:c r="N190" s="71" t="b">
        <x:f>'第3日'!I62="待设计"</x:f>
        <x:v>0</x:v>
      </x:c>
      <x:c r="O190" s="71" t="n">
        <x:v>6</x:v>
      </x:c>
      <x:c r="P190" s="71" t="str">
        <x:f>IF('第3日'!B70="","",IFERROR(VLOOKUP('第3日'!B70,'敌人目录'!$A$6:$B$54,2,FALSE),""))</x:f>
        <x:v>yuanshi_insect_fire_ranged</x:v>
      </x:c>
      <x:c r="Q190" s="71" t="n">
        <x:f>IF('第3日'!B70="","",'第3日'!C70)</x:f>
        <x:v>20</x:v>
      </x:c>
      <x:c r="R190" s="71" t="n">
        <x:v>-1</x:v>
      </x:c>
      <x:c r="S190" s="71" t="str">
        <x:f>IF('第3日'!B70="","",'第3日'!I70)</x:f>
        <x:v>可回读</x:v>
      </x:c>
    </x:row>
    <x:row r="191">
      <x:c r="A191" s="71" t="n">
        <x:v>3</x:v>
      </x:c>
      <x:c r="B191" s="71" t="str">
        <x:v>wave_11</x:v>
      </x:c>
      <x:c r="C191" s="71" t="n">
        <x:v>11</x:v>
      </x:c>
      <x:c r="D191" s="71" t="n">
        <x:v>3</x:v>
      </x:c>
      <x:c r="E191" s="71" t="n">
        <x:v>3</x:v>
      </x:c>
      <x:c r="F191" s="71" t="str">
        <x:v>夜晚</x:v>
      </x:c>
      <x:c r="G191" s="71" t="str">
        <x:f>'第3日'!B61</x:f>
        <x:v>第11波 奥术重装</x:v>
      </x:c>
      <x:c r="H191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1" s="71" t="n">
        <x:f>'第3日'!E61</x:f>
        <x:v>0.24</x:v>
      </x:c>
      <x:c r="J191" s="71" t="n">
        <x:f>'第3日'!G61</x:f>
        <x:v>1</x:v>
      </x:c>
      <x:c r="K191" s="71" t="n">
        <x:f>'第3日'!I61</x:f>
        <x:v>300</x:v>
      </x:c>
      <x:c r="L191" s="71" t="str">
        <x:v>res://resources/audio/shenmu_town_combat.ogg</x:v>
      </x:c>
      <x:c r="M191" s="71" t="str">
        <x:v>res://resources/audio/shenmu_town_intermission.ogg</x:v>
      </x:c>
      <x:c r="N191" s="71" t="b">
        <x:f>'第3日'!I62="待设计"</x:f>
        <x:v>0</x:v>
      </x:c>
      <x:c r="O191" s="71" t="n">
        <x:v>7</x:v>
      </x:c>
      <x:c r="P191" s="71" t="str">
        <x:f>IF('第3日'!B71="","",IFERROR(VLOOKUP('第3日'!B71,'敌人目录'!$A$6:$B$54,2,FALSE),""))</x:f>
        <x:v>yuanshi_insect_green_shell</x:v>
      </x:c>
      <x:c r="Q191" s="71" t="n">
        <x:f>IF('第3日'!B71="","",'第3日'!C71)</x:f>
        <x:v>16</x:v>
      </x:c>
      <x:c r="R191" s="71" t="n">
        <x:v>-1</x:v>
      </x:c>
      <x:c r="S191" s="71" t="str">
        <x:f>IF('第3日'!B71="","",'第3日'!I71)</x:f>
        <x:v>可回读</x:v>
      </x:c>
    </x:row>
    <x:row r="192">
      <x:c r="A192" s="71" t="n">
        <x:v>3</x:v>
      </x:c>
      <x:c r="B192" s="71" t="str">
        <x:v>wave_11</x:v>
      </x:c>
      <x:c r="C192" s="71" t="n">
        <x:v>11</x:v>
      </x:c>
      <x:c r="D192" s="71" t="n">
        <x:v>3</x:v>
      </x:c>
      <x:c r="E192" s="71" t="n">
        <x:v>3</x:v>
      </x:c>
      <x:c r="F192" s="71" t="str">
        <x:v>夜晚</x:v>
      </x:c>
      <x:c r="G192" s="71" t="str">
        <x:f>'第3日'!B61</x:f>
        <x:v>第11波 奥术重装</x:v>
      </x:c>
      <x:c r="H192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2" s="71" t="n">
        <x:f>'第3日'!E61</x:f>
        <x:v>0.24</x:v>
      </x:c>
      <x:c r="J192" s="71" t="n">
        <x:f>'第3日'!G61</x:f>
        <x:v>1</x:v>
      </x:c>
      <x:c r="K192" s="71" t="n">
        <x:f>'第3日'!I61</x:f>
        <x:v>300</x:v>
      </x:c>
      <x:c r="L192" s="71" t="str">
        <x:v>res://resources/audio/shenmu_town_combat.ogg</x:v>
      </x:c>
      <x:c r="M192" s="71" t="str">
        <x:v>res://resources/audio/shenmu_town_intermission.ogg</x:v>
      </x:c>
      <x:c r="N192" s="71" t="b">
        <x:f>'第3日'!I62="待设计"</x:f>
        <x:v>0</x:v>
      </x:c>
      <x:c r="O192" s="71" t="n">
        <x:v>8</x:v>
      </x:c>
      <x:c r="P192" s="71" t="str">
        <x:f>IF('第3日'!B72="","",IFERROR(VLOOKUP('第3日'!B72,'敌人目录'!$A$6:$B$54,2,FALSE),""))</x:f>
        <x:v>yuanshi_insect_guardian</x:v>
      </x:c>
      <x:c r="Q192" s="71" t="n">
        <x:f>IF('第3日'!B72="","",'第3日'!C72)</x:f>
        <x:v>16</x:v>
      </x:c>
      <x:c r="R192" s="71" t="n">
        <x:v>-1</x:v>
      </x:c>
      <x:c r="S192" s="71" t="str">
        <x:f>IF('第3日'!B72="","",'第3日'!I72)</x:f>
        <x:v>可回读</x:v>
      </x:c>
    </x:row>
    <x:row r="193">
      <x:c r="A193" s="71" t="n">
        <x:v>3</x:v>
      </x:c>
      <x:c r="B193" s="71" t="str">
        <x:v>wave_11</x:v>
      </x:c>
      <x:c r="C193" s="71" t="n">
        <x:v>11</x:v>
      </x:c>
      <x:c r="D193" s="71" t="n">
        <x:v>3</x:v>
      </x:c>
      <x:c r="E193" s="71" t="n">
        <x:v>3</x:v>
      </x:c>
      <x:c r="F193" s="71" t="str">
        <x:v>夜晚</x:v>
      </x:c>
      <x:c r="G193" s="71" t="str">
        <x:f>'第3日'!B61</x:f>
        <x:v>第11波 奥术重装</x:v>
      </x:c>
      <x:c r="H193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3" s="71" t="n">
        <x:f>'第3日'!E61</x:f>
        <x:v>0.24</x:v>
      </x:c>
      <x:c r="J193" s="71" t="n">
        <x:f>'第3日'!G61</x:f>
        <x:v>1</x:v>
      </x:c>
      <x:c r="K193" s="71" t="n">
        <x:f>'第3日'!I61</x:f>
        <x:v>300</x:v>
      </x:c>
      <x:c r="L193" s="71" t="str">
        <x:v>res://resources/audio/shenmu_town_combat.ogg</x:v>
      </x:c>
      <x:c r="M193" s="71" t="str">
        <x:v>res://resources/audio/shenmu_town_intermission.ogg</x:v>
      </x:c>
      <x:c r="N193" s="71" t="b">
        <x:f>'第3日'!I62="待设计"</x:f>
        <x:v>0</x:v>
      </x:c>
      <x:c r="O193" s="71" t="n">
        <x:v>9</x:v>
      </x:c>
      <x:c r="P193" s="71" t="str">
        <x:f>IF('第3日'!B73="","",IFERROR(VLOOKUP('第3日'!B73,'敌人目录'!$A$6:$B$54,2,FALSE),""))</x:f>
        <x:v>capoo_ak47</x:v>
      </x:c>
      <x:c r="Q193" s="71" t="n">
        <x:f>IF('第3日'!B73="","",'第3日'!C73)</x:f>
        <x:v>2</x:v>
      </x:c>
      <x:c r="R193" s="71" t="n">
        <x:v>-1</x:v>
      </x:c>
      <x:c r="S193" s="71" t="str">
        <x:f>IF('第3日'!B73="","",'第3日'!I73)</x:f>
        <x:v>可回读</x:v>
      </x:c>
    </x:row>
    <x:row r="194">
      <x:c r="A194" s="71" t="n">
        <x:v>3</x:v>
      </x:c>
      <x:c r="B194" s="71" t="str">
        <x:v>wave_11</x:v>
      </x:c>
      <x:c r="C194" s="71" t="n">
        <x:v>11</x:v>
      </x:c>
      <x:c r="D194" s="71" t="n">
        <x:v>3</x:v>
      </x:c>
      <x:c r="E194" s="71" t="n">
        <x:v>3</x:v>
      </x:c>
      <x:c r="F194" s="71" t="str">
        <x:v>夜晚</x:v>
      </x:c>
      <x:c r="G194" s="71" t="str">
        <x:f>'第3日'!B61</x:f>
        <x:v>第11波 奥术重装</x:v>
      </x:c>
      <x:c r="H194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4" s="71" t="n">
        <x:f>'第3日'!E61</x:f>
        <x:v>0.24</x:v>
      </x:c>
      <x:c r="J194" s="71" t="n">
        <x:f>'第3日'!G61</x:f>
        <x:v>1</x:v>
      </x:c>
      <x:c r="K194" s="71" t="n">
        <x:f>'第3日'!I61</x:f>
        <x:v>300</x:v>
      </x:c>
      <x:c r="L194" s="71" t="str">
        <x:v>res://resources/audio/shenmu_town_combat.ogg</x:v>
      </x:c>
      <x:c r="M194" s="71" t="str">
        <x:v>res://resources/audio/shenmu_town_intermission.ogg</x:v>
      </x:c>
      <x:c r="N194" s="71" t="b">
        <x:f>'第3日'!I62="待设计"</x:f>
        <x:v>0</x:v>
      </x:c>
      <x:c r="O194" s="71" t="n">
        <x:v>10</x:v>
      </x:c>
      <x:c r="P194" s="71" t="str">
        <x:f>IF('第3日'!B74="","",IFERROR(VLOOKUP('第3日'!B74,'敌人目录'!$A$6:$B$54,2,FALSE),""))</x:f>
        <x:v>capoo_knight</x:v>
      </x:c>
      <x:c r="Q194" s="71" t="n">
        <x:f>IF('第3日'!B74="","",'第3日'!C74)</x:f>
        <x:v>2</x:v>
      </x:c>
      <x:c r="R194" s="71" t="n">
        <x:v>-1</x:v>
      </x:c>
      <x:c r="S194" s="71" t="str">
        <x:f>IF('第3日'!B74="","",'第3日'!I74)</x:f>
        <x:v>可回读</x:v>
      </x:c>
    </x:row>
    <x:row r="195">
      <x:c r="A195" s="71" t="n">
        <x:v>3</x:v>
      </x:c>
      <x:c r="B195" s="71" t="str">
        <x:v>wave_11</x:v>
      </x:c>
      <x:c r="C195" s="71" t="n">
        <x:v>11</x:v>
      </x:c>
      <x:c r="D195" s="71" t="n">
        <x:v>3</x:v>
      </x:c>
      <x:c r="E195" s="71" t="n">
        <x:v>3</x:v>
      </x:c>
      <x:c r="F195" s="71" t="str">
        <x:v>夜晚</x:v>
      </x:c>
      <x:c r="G195" s="71" t="str">
        <x:f>'第3日'!B61</x:f>
        <x:v>第11波 奥术重装</x:v>
      </x:c>
      <x:c r="H195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5" s="71" t="n">
        <x:f>'第3日'!E61</x:f>
        <x:v>0.24</x:v>
      </x:c>
      <x:c r="J195" s="71" t="n">
        <x:f>'第3日'!G61</x:f>
        <x:v>1</x:v>
      </x:c>
      <x:c r="K195" s="71" t="n">
        <x:f>'第3日'!I61</x:f>
        <x:v>300</x:v>
      </x:c>
      <x:c r="L195" s="71" t="str">
        <x:v>res://resources/audio/shenmu_town_combat.ogg</x:v>
      </x:c>
      <x:c r="M195" s="71" t="str">
        <x:v>res://resources/audio/shenmu_town_intermission.ogg</x:v>
      </x:c>
      <x:c r="N195" s="71" t="b">
        <x:f>'第3日'!I62="待设计"</x:f>
        <x:v>0</x:v>
      </x:c>
      <x:c r="O195" s="71" t="n">
        <x:v>11</x:v>
      </x:c>
      <x:c r="P195" s="71" t="str">
        <x:f>IF('第3日'!B75="","",IFERROR(VLOOKUP('第3日'!B75,'敌人目录'!$A$6:$B$54,2,FALSE),""))</x:f>
        <x:v>capoo_mage</x:v>
      </x:c>
      <x:c r="Q195" s="71" t="n">
        <x:f>IF('第3日'!B75="","",'第3日'!C75)</x:f>
        <x:v>1</x:v>
      </x:c>
      <x:c r="R195" s="71" t="n">
        <x:v>-1</x:v>
      </x:c>
      <x:c r="S195" s="71" t="str">
        <x:f>IF('第3日'!B75="","",'第3日'!I75)</x:f>
        <x:v>可回读</x:v>
      </x:c>
    </x:row>
    <x:row r="196">
      <x:c r="A196" s="71" t="n">
        <x:v>3</x:v>
      </x:c>
      <x:c r="B196" s="71" t="str">
        <x:v>wave_11</x:v>
      </x:c>
      <x:c r="C196" s="71" t="n">
        <x:v>11</x:v>
      </x:c>
      <x:c r="D196" s="71" t="n">
        <x:v>3</x:v>
      </x:c>
      <x:c r="E196" s="71" t="n">
        <x:v>3</x:v>
      </x:c>
      <x:c r="F196" s="71" t="str">
        <x:v>夜晚</x:v>
      </x:c>
      <x:c r="G196" s="71" t="str">
        <x:f>'第3日'!B61</x:f>
        <x:v>第11波 奥术重装</x:v>
      </x:c>
      <x:c r="H196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6" s="71" t="n">
        <x:f>'第3日'!E61</x:f>
        <x:v>0.24</x:v>
      </x:c>
      <x:c r="J196" s="71" t="n">
        <x:f>'第3日'!G61</x:f>
        <x:v>1</x:v>
      </x:c>
      <x:c r="K196" s="71" t="n">
        <x:f>'第3日'!I61</x:f>
        <x:v>300</x:v>
      </x:c>
      <x:c r="L196" s="71" t="str">
        <x:v>res://resources/audio/shenmu_town_combat.ogg</x:v>
      </x:c>
      <x:c r="M196" s="71" t="str">
        <x:v>res://resources/audio/shenmu_town_intermission.ogg</x:v>
      </x:c>
      <x:c r="N196" s="71" t="b">
        <x:f>'第3日'!I62="待设计"</x:f>
        <x:v>0</x:v>
      </x:c>
      <x:c r="O196" s="71" t="n">
        <x:v>12</x:v>
      </x:c>
      <x:c r="P196" s="71" t="str">
        <x:f>IF('第3日'!B76="","",IFERROR(VLOOKUP('第3日'!B76,'敌人目录'!$A$6:$B$54,2,FALSE),""))</x:f>
        <x:v>stone_golem</x:v>
      </x:c>
      <x:c r="Q196" s="71" t="n">
        <x:f>IF('第3日'!B76="","",'第3日'!C76)</x:f>
        <x:v>1</x:v>
      </x:c>
      <x:c r="R196" s="71" t="n">
        <x:v>-1</x:v>
      </x:c>
      <x:c r="S196" s="71" t="str">
        <x:f>IF('第3日'!B76="","",'第3日'!I76)</x:f>
        <x:v>可回读</x:v>
      </x:c>
    </x:row>
    <x:row r="197">
      <x:c r="A197" s="71" t="n">
        <x:v>3</x:v>
      </x:c>
      <x:c r="B197" s="71" t="str">
        <x:v>wave_11</x:v>
      </x:c>
      <x:c r="C197" s="71" t="n">
        <x:v>11</x:v>
      </x:c>
      <x:c r="D197" s="71" t="n">
        <x:v>3</x:v>
      </x:c>
      <x:c r="E197" s="71" t="n">
        <x:v>3</x:v>
      </x:c>
      <x:c r="F197" s="71" t="str">
        <x:v>夜晚</x:v>
      </x:c>
      <x:c r="G197" s="71" t="str">
        <x:f>'第3日'!B61</x:f>
        <x:v>第11波 奥术重装</x:v>
      </x:c>
      <x:c r="H197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7" s="71" t="n">
        <x:f>'第3日'!E61</x:f>
        <x:v>0.24</x:v>
      </x:c>
      <x:c r="J197" s="71" t="n">
        <x:f>'第3日'!G61</x:f>
        <x:v>1</x:v>
      </x:c>
      <x:c r="K197" s="71" t="n">
        <x:f>'第3日'!I61</x:f>
        <x:v>300</x:v>
      </x:c>
      <x:c r="L197" s="71" t="str">
        <x:v>res://resources/audio/shenmu_town_combat.ogg</x:v>
      </x:c>
      <x:c r="M197" s="71" t="str">
        <x:v>res://resources/audio/shenmu_town_intermission.ogg</x:v>
      </x:c>
      <x:c r="N197" s="71" t="b">
        <x:f>'第3日'!I62="待设计"</x:f>
        <x:v>0</x:v>
      </x:c>
      <x:c r="O197" s="71" t="n">
        <x:v>13</x:v>
      </x:c>
      <x:c r="P197" s="71" t="str">
        <x:f>IF('第3日'!B77="","",IFERROR(VLOOKUP('第3日'!B77,'敌人目录'!$A$6:$B$54,2,FALSE),""))</x:f>
      </x:c>
      <x:c r="Q197" s="71" t="str">
        <x:f>IF('第3日'!B77="","",'第3日'!C77)</x:f>
      </x:c>
      <x:c r="R197" s="71" t="n">
        <x:v>-1</x:v>
      </x:c>
      <x:c r="S197" s="71" t="str">
        <x:f>IF('第3日'!B77="","",'第3日'!I77)</x:f>
      </x:c>
    </x:row>
    <x:row r="198">
      <x:c r="A198" s="71" t="n">
        <x:v>3</x:v>
      </x:c>
      <x:c r="B198" s="71" t="str">
        <x:v>wave_11</x:v>
      </x:c>
      <x:c r="C198" s="71" t="n">
        <x:v>11</x:v>
      </x:c>
      <x:c r="D198" s="71" t="n">
        <x:v>3</x:v>
      </x:c>
      <x:c r="E198" s="71" t="n">
        <x:v>3</x:v>
      </x:c>
      <x:c r="F198" s="71" t="str">
        <x:v>夜晚</x:v>
      </x:c>
      <x:c r="G198" s="71" t="str">
        <x:f>'第3日'!B61</x:f>
        <x:v>第11波 奥术重装</x:v>
      </x:c>
      <x:c r="H198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8" s="71" t="n">
        <x:f>'第3日'!E61</x:f>
        <x:v>0.24</x:v>
      </x:c>
      <x:c r="J198" s="71" t="n">
        <x:f>'第3日'!G61</x:f>
        <x:v>1</x:v>
      </x:c>
      <x:c r="K198" s="71" t="n">
        <x:f>'第3日'!I61</x:f>
        <x:v>300</x:v>
      </x:c>
      <x:c r="L198" s="71" t="str">
        <x:v>res://resources/audio/shenmu_town_combat.ogg</x:v>
      </x:c>
      <x:c r="M198" s="71" t="str">
        <x:v>res://resources/audio/shenmu_town_intermission.ogg</x:v>
      </x:c>
      <x:c r="N198" s="71" t="b">
        <x:f>'第3日'!I62="待设计"</x:f>
        <x:v>0</x:v>
      </x:c>
      <x:c r="O198" s="71" t="n">
        <x:v>14</x:v>
      </x:c>
      <x:c r="P198" s="71" t="str">
        <x:f>IF('第3日'!B78="","",IFERROR(VLOOKUP('第3日'!B78,'敌人目录'!$A$6:$B$54,2,FALSE),""))</x:f>
      </x:c>
      <x:c r="Q198" s="71" t="str">
        <x:f>IF('第3日'!B78="","",'第3日'!C78)</x:f>
      </x:c>
      <x:c r="R198" s="71" t="n">
        <x:v>-1</x:v>
      </x:c>
      <x:c r="S198" s="71" t="str">
        <x:f>IF('第3日'!B78="","",'第3日'!I78)</x:f>
      </x:c>
    </x:row>
    <x:row r="199">
      <x:c r="A199" s="71" t="n">
        <x:v>3</x:v>
      </x:c>
      <x:c r="B199" s="71" t="str">
        <x:v>wave_11</x:v>
      </x:c>
      <x:c r="C199" s="71" t="n">
        <x:v>11</x:v>
      </x:c>
      <x:c r="D199" s="71" t="n">
        <x:v>3</x:v>
      </x:c>
      <x:c r="E199" s="71" t="n">
        <x:v>3</x:v>
      </x:c>
      <x:c r="F199" s="71" t="str">
        <x:v>夜晚</x:v>
      </x:c>
      <x:c r="G199" s="71" t="str">
        <x:f>'第3日'!B61</x:f>
        <x:v>第11波 奥术重装</x:v>
      </x:c>
      <x:c r="H199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9" s="71" t="n">
        <x:f>'第3日'!E61</x:f>
        <x:v>0.24</x:v>
      </x:c>
      <x:c r="J199" s="71" t="n">
        <x:f>'第3日'!G61</x:f>
        <x:v>1</x:v>
      </x:c>
      <x:c r="K199" s="71" t="n">
        <x:f>'第3日'!I61</x:f>
        <x:v>300</x:v>
      </x:c>
      <x:c r="L199" s="71" t="str">
        <x:v>res://resources/audio/shenmu_town_combat.ogg</x:v>
      </x:c>
      <x:c r="M199" s="71" t="str">
        <x:v>res://resources/audio/shenmu_town_intermission.ogg</x:v>
      </x:c>
      <x:c r="N199" s="71" t="b">
        <x:f>'第3日'!I62="待设计"</x:f>
        <x:v>0</x:v>
      </x:c>
      <x:c r="O199" s="71" t="n">
        <x:v>15</x:v>
      </x:c>
      <x:c r="P199" s="71" t="str">
        <x:f>IF('第3日'!B79="","",IFERROR(VLOOKUP('第3日'!B79,'敌人目录'!$A$6:$B$54,2,FALSE),""))</x:f>
      </x:c>
      <x:c r="Q199" s="71" t="str">
        <x:f>IF('第3日'!B79="","",'第3日'!C79)</x:f>
      </x:c>
      <x:c r="R199" s="71" t="n">
        <x:v>-1</x:v>
      </x:c>
      <x:c r="S199" s="71" t="str">
        <x:f>IF('第3日'!B79="","",'第3日'!I79)</x:f>
      </x:c>
    </x:row>
    <x:row r="200">
      <x:c r="A200" s="71" t="n">
        <x:v>3</x:v>
      </x:c>
      <x:c r="B200" s="71" t="str">
        <x:v>wave_11</x:v>
      </x:c>
      <x:c r="C200" s="71" t="n">
        <x:v>11</x:v>
      </x:c>
      <x:c r="D200" s="71" t="n">
        <x:v>3</x:v>
      </x:c>
      <x:c r="E200" s="71" t="n">
        <x:v>3</x:v>
      </x:c>
      <x:c r="F200" s="71" t="str">
        <x:v>夜晚</x:v>
      </x:c>
      <x:c r="G200" s="71" t="str">
        <x:f>'第3日'!B61</x:f>
        <x:v>第11波 奥术重装</x:v>
      </x:c>
      <x:c r="H200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200" s="71" t="n">
        <x:f>'第3日'!E61</x:f>
        <x:v>0.24</x:v>
      </x:c>
      <x:c r="J200" s="71" t="n">
        <x:f>'第3日'!G61</x:f>
        <x:v>1</x:v>
      </x:c>
      <x:c r="K200" s="71" t="n">
        <x:f>'第3日'!I61</x:f>
        <x:v>300</x:v>
      </x:c>
      <x:c r="L200" s="71" t="str">
        <x:v>res://resources/audio/shenmu_town_combat.ogg</x:v>
      </x:c>
      <x:c r="M200" s="71" t="str">
        <x:v>res://resources/audio/shenmu_town_intermission.ogg</x:v>
      </x:c>
      <x:c r="N200" s="71" t="b">
        <x:f>'第3日'!I62="待设计"</x:f>
        <x:v>0</x:v>
      </x:c>
      <x:c r="O200" s="71" t="n">
        <x:v>16</x:v>
      </x:c>
      <x:c r="P200" s="71" t="str">
        <x:f>IF('第3日'!B80="","",IFERROR(VLOOKUP('第3日'!B80,'敌人目录'!$A$6:$B$54,2,FALSE),""))</x:f>
      </x:c>
      <x:c r="Q200" s="71" t="str">
        <x:f>IF('第3日'!B80="","",'第3日'!C80)</x:f>
      </x:c>
      <x:c r="R200" s="71" t="n">
        <x:v>-1</x:v>
      </x:c>
      <x:c r="S200" s="71" t="str">
        <x:f>IF('第3日'!B80="","",'第3日'!I80)</x:f>
      </x:c>
    </x:row>
    <x:row r="201">
      <x:c r="A201" s="71" t="n">
        <x:v>3</x:v>
      </x:c>
      <x:c r="B201" s="71" t="str">
        <x:v>wave_11</x:v>
      </x:c>
      <x:c r="C201" s="71" t="n">
        <x:v>11</x:v>
      </x:c>
      <x:c r="D201" s="71" t="n">
        <x:v>3</x:v>
      </x:c>
      <x:c r="E201" s="71" t="n">
        <x:v>3</x:v>
      </x:c>
      <x:c r="F201" s="71" t="str">
        <x:v>夜晚</x:v>
      </x:c>
      <x:c r="G201" s="71" t="str">
        <x:f>'第3日'!B61</x:f>
        <x:v>第11波 奥术重装</x:v>
      </x:c>
      <x:c r="H201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201" s="71" t="n">
        <x:f>'第3日'!E61</x:f>
        <x:v>0.24</x:v>
      </x:c>
      <x:c r="J201" s="71" t="n">
        <x:f>'第3日'!G61</x:f>
        <x:v>1</x:v>
      </x:c>
      <x:c r="K201" s="71" t="n">
        <x:f>'第3日'!I61</x:f>
        <x:v>300</x:v>
      </x:c>
      <x:c r="L201" s="71" t="str">
        <x:v>res://resources/audio/shenmu_town_combat.ogg</x:v>
      </x:c>
      <x:c r="M201" s="71" t="str">
        <x:v>res://resources/audio/shenmu_town_intermission.ogg</x:v>
      </x:c>
      <x:c r="N201" s="71" t="b">
        <x:f>'第3日'!I62="待设计"</x:f>
        <x:v>0</x:v>
      </x:c>
      <x:c r="O201" s="71" t="n">
        <x:v>17</x:v>
      </x:c>
      <x:c r="P201" s="71" t="str">
        <x:f>IF('第3日'!B81="","",IFERROR(VLOOKUP('第3日'!B81,'敌人目录'!$A$6:$B$54,2,FALSE),""))</x:f>
      </x:c>
      <x:c r="Q201" s="71" t="str">
        <x:f>IF('第3日'!B81="","",'第3日'!C81)</x:f>
      </x:c>
      <x:c r="R201" s="71" t="n">
        <x:v>-1</x:v>
      </x:c>
      <x:c r="S201" s="71" t="str">
        <x:f>IF('第3日'!B81="","",'第3日'!I81)</x:f>
      </x:c>
    </x:row>
    <x:row r="202">
      <x:c r="A202" s="71" t="n">
        <x:v>3</x:v>
      </x:c>
      <x:c r="B202" s="71" t="str">
        <x:v>wave_11</x:v>
      </x:c>
      <x:c r="C202" s="71" t="n">
        <x:v>11</x:v>
      </x:c>
      <x:c r="D202" s="71" t="n">
        <x:v>3</x:v>
      </x:c>
      <x:c r="E202" s="71" t="n">
        <x:v>3</x:v>
      </x:c>
      <x:c r="F202" s="71" t="str">
        <x:v>夜晚</x:v>
      </x:c>
      <x:c r="G202" s="71" t="str">
        <x:f>'第3日'!B61</x:f>
        <x:v>第11波 奥术重装</x:v>
      </x:c>
      <x:c r="H202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202" s="71" t="n">
        <x:f>'第3日'!E61</x:f>
        <x:v>0.24</x:v>
      </x:c>
      <x:c r="J202" s="71" t="n">
        <x:f>'第3日'!G61</x:f>
        <x:v>1</x:v>
      </x:c>
      <x:c r="K202" s="71" t="n">
        <x:f>'第3日'!I61</x:f>
        <x:v>300</x:v>
      </x:c>
      <x:c r="L202" s="71" t="str">
        <x:v>res://resources/audio/shenmu_town_combat.ogg</x:v>
      </x:c>
      <x:c r="M202" s="71" t="str">
        <x:v>res://resources/audio/shenmu_town_intermission.ogg</x:v>
      </x:c>
      <x:c r="N202" s="71" t="b">
        <x:f>'第3日'!I62="待设计"</x:f>
        <x:v>0</x:v>
      </x:c>
      <x:c r="O202" s="71" t="n">
        <x:v>18</x:v>
      </x:c>
      <x:c r="P202" s="71" t="str">
        <x:f>IF('第3日'!B82="","",IFERROR(VLOOKUP('第3日'!B82,'敌人目录'!$A$6:$B$54,2,FALSE),""))</x:f>
      </x:c>
      <x:c r="Q202" s="71" t="str">
        <x:f>IF('第3日'!B82="","",'第3日'!C82)</x:f>
      </x:c>
      <x:c r="R202" s="71" t="n">
        <x:v>-1</x:v>
      </x:c>
      <x:c r="S202" s="71" t="str">
        <x:f>IF('第3日'!B82="","",'第3日'!I82)</x:f>
      </x:c>
    </x:row>
    <x:row r="203">
      <x:c r="A203" s="71" t="n">
        <x:v>3</x:v>
      </x:c>
      <x:c r="B203" s="71" t="str">
        <x:v>wave_12</x:v>
      </x:c>
      <x:c r="C203" s="71" t="n">
        <x:v>12</x:v>
      </x:c>
      <x:c r="D203" s="71" t="n">
        <x:v>3</x:v>
      </x:c>
      <x:c r="E203" s="71" t="n">
        <x:v>4</x:v>
      </x:c>
      <x:c r="F203" s="71" t="str">
        <x:v>夜晚</x:v>
      </x:c>
      <x:c r="G203" s="71" t="str">
        <x:f>'第3日'!B90</x:f>
        <x:v>第12波 城镇决战</x:v>
      </x:c>
      <x:c r="H203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3" s="71" t="n">
        <x:f>'第3日'!E90</x:f>
        <x:v>0.22</x:v>
      </x:c>
      <x:c r="J203" s="71" t="n">
        <x:f>'第3日'!G90</x:f>
        <x:v>1</x:v>
      </x:c>
      <x:c r="K203" s="71" t="n">
        <x:f>'第3日'!I90</x:f>
        <x:v>300</x:v>
      </x:c>
      <x:c r="L203" s="71" t="str">
        <x:v>res://resources/audio/shenmu_town_combat.ogg</x:v>
      </x:c>
      <x:c r="M203" s="71" t="str">
        <x:v>res://resources/audio/shenmu_town_intermission.ogg</x:v>
      </x:c>
      <x:c r="N203" s="71" t="b">
        <x:f>'第3日'!I91="待设计"</x:f>
        <x:v>0</x:v>
      </x:c>
      <x:c r="O203" s="71" t="n">
        <x:v>1</x:v>
      </x:c>
      <x:c r="P203" s="71" t="str">
        <x:f>IF('第3日'!B94="","",IFERROR(VLOOKUP('第3日'!B94,'敌人目录'!$A$6:$B$54,2,FALSE),""))</x:f>
        <x:v>yuanshi_insect_basic</x:v>
      </x:c>
      <x:c r="Q203" s="71" t="n">
        <x:f>IF('第3日'!B94="","",'第3日'!C94)</x:f>
        <x:v>53</x:v>
      </x:c>
      <x:c r="R203" s="71" t="n">
        <x:v>-1</x:v>
      </x:c>
      <x:c r="S203" s="71" t="str">
        <x:f>IF('第3日'!B94="","",'第3日'!I94)</x:f>
        <x:v>可回读</x:v>
      </x:c>
    </x:row>
    <x:row r="204">
      <x:c r="A204" s="71" t="n">
        <x:v>3</x:v>
      </x:c>
      <x:c r="B204" s="71" t="str">
        <x:v>wave_12</x:v>
      </x:c>
      <x:c r="C204" s="71" t="n">
        <x:v>12</x:v>
      </x:c>
      <x:c r="D204" s="71" t="n">
        <x:v>3</x:v>
      </x:c>
      <x:c r="E204" s="71" t="n">
        <x:v>4</x:v>
      </x:c>
      <x:c r="F204" s="71" t="str">
        <x:v>夜晚</x:v>
      </x:c>
      <x:c r="G204" s="71" t="str">
        <x:f>'第3日'!B90</x:f>
        <x:v>第12波 城镇决战</x:v>
      </x:c>
      <x:c r="H204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4" s="71" t="n">
        <x:f>'第3日'!E90</x:f>
        <x:v>0.22</x:v>
      </x:c>
      <x:c r="J204" s="71" t="n">
        <x:f>'第3日'!G90</x:f>
        <x:v>1</x:v>
      </x:c>
      <x:c r="K204" s="71" t="n">
        <x:f>'第3日'!I90</x:f>
        <x:v>300</x:v>
      </x:c>
      <x:c r="L204" s="71" t="str">
        <x:v>res://resources/audio/shenmu_town_combat.ogg</x:v>
      </x:c>
      <x:c r="M204" s="71" t="str">
        <x:v>res://resources/audio/shenmu_town_intermission.ogg</x:v>
      </x:c>
      <x:c r="N204" s="71" t="b">
        <x:f>'第3日'!I91="待设计"</x:f>
        <x:v>0</x:v>
      </x:c>
      <x:c r="O204" s="71" t="n">
        <x:v>2</x:v>
      </x:c>
      <x:c r="P204" s="71" t="str">
        <x:f>IF('第3日'!B95="","",IFERROR(VLOOKUP('第3日'!B95,'敌人目录'!$A$6:$B$54,2,FALSE),""))</x:f>
        <x:v>yuanshi_insect_fast</x:v>
      </x:c>
      <x:c r="Q204" s="71" t="n">
        <x:f>IF('第3日'!B95="","",'第3日'!C95)</x:f>
        <x:v>24</x:v>
      </x:c>
      <x:c r="R204" s="71" t="n">
        <x:v>-1</x:v>
      </x:c>
      <x:c r="S204" s="71" t="str">
        <x:f>IF('第3日'!B95="","",'第3日'!I95)</x:f>
        <x:v>可回读</x:v>
      </x:c>
    </x:row>
    <x:row r="205">
      <x:c r="A205" s="71" t="n">
        <x:v>3</x:v>
      </x:c>
      <x:c r="B205" s="71" t="str">
        <x:v>wave_12</x:v>
      </x:c>
      <x:c r="C205" s="71" t="n">
        <x:v>12</x:v>
      </x:c>
      <x:c r="D205" s="71" t="n">
        <x:v>3</x:v>
      </x:c>
      <x:c r="E205" s="71" t="n">
        <x:v>4</x:v>
      </x:c>
      <x:c r="F205" s="71" t="str">
        <x:v>夜晚</x:v>
      </x:c>
      <x:c r="G205" s="71" t="str">
        <x:f>'第3日'!B90</x:f>
        <x:v>第12波 城镇决战</x:v>
      </x:c>
      <x:c r="H205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5" s="71" t="n">
        <x:f>'第3日'!E90</x:f>
        <x:v>0.22</x:v>
      </x:c>
      <x:c r="J205" s="71" t="n">
        <x:f>'第3日'!G90</x:f>
        <x:v>1</x:v>
      </x:c>
      <x:c r="K205" s="71" t="n">
        <x:f>'第3日'!I90</x:f>
        <x:v>300</x:v>
      </x:c>
      <x:c r="L205" s="71" t="str">
        <x:v>res://resources/audio/shenmu_town_combat.ogg</x:v>
      </x:c>
      <x:c r="M205" s="71" t="str">
        <x:v>res://resources/audio/shenmu_town_intermission.ogg</x:v>
      </x:c>
      <x:c r="N205" s="71" t="b">
        <x:f>'第3日'!I91="待设计"</x:f>
        <x:v>0</x:v>
      </x:c>
      <x:c r="O205" s="71" t="n">
        <x:v>3</x:v>
      </x:c>
      <x:c r="P205" s="71" t="str">
        <x:f>IF('第3日'!B96="","",IFERROR(VLOOKUP('第3日'!B96,'敌人目录'!$A$6:$B$54,2,FALSE),""))</x:f>
        <x:v>yuanshi_insect_shell</x:v>
      </x:c>
      <x:c r="Q205" s="71" t="n">
        <x:f>IF('第3日'!B96="","",'第3日'!C96)</x:f>
        <x:v>24</x:v>
      </x:c>
      <x:c r="R205" s="71" t="n">
        <x:v>-1</x:v>
      </x:c>
      <x:c r="S205" s="71" t="str">
        <x:f>IF('第3日'!B96="","",'第3日'!I96)</x:f>
        <x:v>可回读</x:v>
      </x:c>
    </x:row>
    <x:row r="206">
      <x:c r="A206" s="71" t="n">
        <x:v>3</x:v>
      </x:c>
      <x:c r="B206" s="71" t="str">
        <x:v>wave_12</x:v>
      </x:c>
      <x:c r="C206" s="71" t="n">
        <x:v>12</x:v>
      </x:c>
      <x:c r="D206" s="71" t="n">
        <x:v>3</x:v>
      </x:c>
      <x:c r="E206" s="71" t="n">
        <x:v>4</x:v>
      </x:c>
      <x:c r="F206" s="71" t="str">
        <x:v>夜晚</x:v>
      </x:c>
      <x:c r="G206" s="71" t="str">
        <x:f>'第3日'!B90</x:f>
        <x:v>第12波 城镇决战</x:v>
      </x:c>
      <x:c r="H206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6" s="71" t="n">
        <x:f>'第3日'!E90</x:f>
        <x:v>0.22</x:v>
      </x:c>
      <x:c r="J206" s="71" t="n">
        <x:f>'第3日'!G90</x:f>
        <x:v>1</x:v>
      </x:c>
      <x:c r="K206" s="71" t="n">
        <x:f>'第3日'!I90</x:f>
        <x:v>300</x:v>
      </x:c>
      <x:c r="L206" s="71" t="str">
        <x:v>res://resources/audio/shenmu_town_combat.ogg</x:v>
      </x:c>
      <x:c r="M206" s="71" t="str">
        <x:v>res://resources/audio/shenmu_town_intermission.ogg</x:v>
      </x:c>
      <x:c r="N206" s="71" t="b">
        <x:f>'第3日'!I91="待设计"</x:f>
        <x:v>0</x:v>
      </x:c>
      <x:c r="O206" s="71" t="n">
        <x:v>4</x:v>
      </x:c>
      <x:c r="P206" s="71" t="str">
        <x:f>IF('第3日'!B97="","",IFERROR(VLOOKUP('第3日'!B97,'敌人目录'!$A$6:$B$54,2,FALSE),""))</x:f>
        <x:v>yuanshi_insect_bomber</x:v>
      </x:c>
      <x:c r="Q206" s="71" t="n">
        <x:f>IF('第3日'!B97="","",'第3日'!C97)</x:f>
        <x:v>20</x:v>
      </x:c>
      <x:c r="R206" s="71" t="n">
        <x:v>-1</x:v>
      </x:c>
      <x:c r="S206" s="71" t="str">
        <x:f>IF('第3日'!B97="","",'第3日'!I97)</x:f>
        <x:v>可回读</x:v>
      </x:c>
    </x:row>
    <x:row r="207">
      <x:c r="A207" s="71" t="n">
        <x:v>3</x:v>
      </x:c>
      <x:c r="B207" s="71" t="str">
        <x:v>wave_12</x:v>
      </x:c>
      <x:c r="C207" s="71" t="n">
        <x:v>12</x:v>
      </x:c>
      <x:c r="D207" s="71" t="n">
        <x:v>3</x:v>
      </x:c>
      <x:c r="E207" s="71" t="n">
        <x:v>4</x:v>
      </x:c>
      <x:c r="F207" s="71" t="str">
        <x:v>夜晚</x:v>
      </x:c>
      <x:c r="G207" s="71" t="str">
        <x:f>'第3日'!B90</x:f>
        <x:v>第12波 城镇决战</x:v>
      </x:c>
      <x:c r="H207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7" s="71" t="n">
        <x:f>'第3日'!E90</x:f>
        <x:v>0.22</x:v>
      </x:c>
      <x:c r="J207" s="71" t="n">
        <x:f>'第3日'!G90</x:f>
        <x:v>1</x:v>
      </x:c>
      <x:c r="K207" s="71" t="n">
        <x:f>'第3日'!I90</x:f>
        <x:v>300</x:v>
      </x:c>
      <x:c r="L207" s="71" t="str">
        <x:v>res://resources/audio/shenmu_town_combat.ogg</x:v>
      </x:c>
      <x:c r="M207" s="71" t="str">
        <x:v>res://resources/audio/shenmu_town_intermission.ogg</x:v>
      </x:c>
      <x:c r="N207" s="71" t="b">
        <x:f>'第3日'!I91="待设计"</x:f>
        <x:v>0</x:v>
      </x:c>
      <x:c r="O207" s="71" t="n">
        <x:v>5</x:v>
      </x:c>
      <x:c r="P207" s="71" t="str">
        <x:f>IF('第3日'!B98="","",IFERROR(VLOOKUP('第3日'!B98,'敌人目录'!$A$6:$B$54,2,FALSE),""))</x:f>
        <x:v>yuanshi_insect_purple_bomber</x:v>
      </x:c>
      <x:c r="Q207" s="71" t="n">
        <x:f>IF('第3日'!B98="","",'第3日'!C98)</x:f>
        <x:v>16</x:v>
      </x:c>
      <x:c r="R207" s="71" t="n">
        <x:v>-1</x:v>
      </x:c>
      <x:c r="S207" s="71" t="str">
        <x:f>IF('第3日'!B98="","",'第3日'!I98)</x:f>
        <x:v>可回读</x:v>
      </x:c>
    </x:row>
    <x:row r="208">
      <x:c r="A208" s="71" t="n">
        <x:v>3</x:v>
      </x:c>
      <x:c r="B208" s="71" t="str">
        <x:v>wave_12</x:v>
      </x:c>
      <x:c r="C208" s="71" t="n">
        <x:v>12</x:v>
      </x:c>
      <x:c r="D208" s="71" t="n">
        <x:v>3</x:v>
      </x:c>
      <x:c r="E208" s="71" t="n">
        <x:v>4</x:v>
      </x:c>
      <x:c r="F208" s="71" t="str">
        <x:v>夜晚</x:v>
      </x:c>
      <x:c r="G208" s="71" t="str">
        <x:f>'第3日'!B90</x:f>
        <x:v>第12波 城镇决战</x:v>
      </x:c>
      <x:c r="H208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8" s="71" t="n">
        <x:f>'第3日'!E90</x:f>
        <x:v>0.22</x:v>
      </x:c>
      <x:c r="J208" s="71" t="n">
        <x:f>'第3日'!G90</x:f>
        <x:v>1</x:v>
      </x:c>
      <x:c r="K208" s="71" t="n">
        <x:f>'第3日'!I90</x:f>
        <x:v>300</x:v>
      </x:c>
      <x:c r="L208" s="71" t="str">
        <x:v>res://resources/audio/shenmu_town_combat.ogg</x:v>
      </x:c>
      <x:c r="M208" s="71" t="str">
        <x:v>res://resources/audio/shenmu_town_intermission.ogg</x:v>
      </x:c>
      <x:c r="N208" s="71" t="b">
        <x:f>'第3日'!I91="待设计"</x:f>
        <x:v>0</x:v>
      </x:c>
      <x:c r="O208" s="71" t="n">
        <x:v>6</x:v>
      </x:c>
      <x:c r="P208" s="71" t="str">
        <x:f>IF('第3日'!B99="","",IFERROR(VLOOKUP('第3日'!B99,'敌人目录'!$A$6:$B$54,2,FALSE),""))</x:f>
        <x:v>yuanshi_insect_fire_ranged</x:v>
      </x:c>
      <x:c r="Q208" s="71" t="n">
        <x:f>IF('第3日'!B99="","",'第3日'!C99)</x:f>
        <x:v>20</x:v>
      </x:c>
      <x:c r="R208" s="71" t="n">
        <x:v>-1</x:v>
      </x:c>
      <x:c r="S208" s="71" t="str">
        <x:f>IF('第3日'!B99="","",'第3日'!I99)</x:f>
        <x:v>可回读</x:v>
      </x:c>
    </x:row>
    <x:row r="209">
      <x:c r="A209" s="71" t="n">
        <x:v>3</x:v>
      </x:c>
      <x:c r="B209" s="71" t="str">
        <x:v>wave_12</x:v>
      </x:c>
      <x:c r="C209" s="71" t="n">
        <x:v>12</x:v>
      </x:c>
      <x:c r="D209" s="71" t="n">
        <x:v>3</x:v>
      </x:c>
      <x:c r="E209" s="71" t="n">
        <x:v>4</x:v>
      </x:c>
      <x:c r="F209" s="71" t="str">
        <x:v>夜晚</x:v>
      </x:c>
      <x:c r="G209" s="71" t="str">
        <x:f>'第3日'!B90</x:f>
        <x:v>第12波 城镇决战</x:v>
      </x:c>
      <x:c r="H209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9" s="71" t="n">
        <x:f>'第3日'!E90</x:f>
        <x:v>0.22</x:v>
      </x:c>
      <x:c r="J209" s="71" t="n">
        <x:f>'第3日'!G90</x:f>
        <x:v>1</x:v>
      </x:c>
      <x:c r="K209" s="71" t="n">
        <x:f>'第3日'!I90</x:f>
        <x:v>300</x:v>
      </x:c>
      <x:c r="L209" s="71" t="str">
        <x:v>res://resources/audio/shenmu_town_combat.ogg</x:v>
      </x:c>
      <x:c r="M209" s="71" t="str">
        <x:v>res://resources/audio/shenmu_town_intermission.ogg</x:v>
      </x:c>
      <x:c r="N209" s="71" t="b">
        <x:f>'第3日'!I91="待设计"</x:f>
        <x:v>0</x:v>
      </x:c>
      <x:c r="O209" s="71" t="n">
        <x:v>7</x:v>
      </x:c>
      <x:c r="P209" s="71" t="str">
        <x:f>IF('第3日'!B100="","",IFERROR(VLOOKUP('第3日'!B100,'敌人目录'!$A$6:$B$54,2,FALSE),""))</x:f>
        <x:v>yuanshi_insect_green_shell</x:v>
      </x:c>
      <x:c r="Q209" s="71" t="n">
        <x:f>IF('第3日'!B100="","",'第3日'!C100)</x:f>
        <x:v>20</x:v>
      </x:c>
      <x:c r="R209" s="71" t="n">
        <x:v>-1</x:v>
      </x:c>
      <x:c r="S209" s="71" t="str">
        <x:f>IF('第3日'!B100="","",'第3日'!I100)</x:f>
        <x:v>可回读</x:v>
      </x:c>
    </x:row>
    <x:row r="210">
      <x:c r="A210" s="71" t="n">
        <x:v>3</x:v>
      </x:c>
      <x:c r="B210" s="71" t="str">
        <x:v>wave_12</x:v>
      </x:c>
      <x:c r="C210" s="71" t="n">
        <x:v>12</x:v>
      </x:c>
      <x:c r="D210" s="71" t="n">
        <x:v>3</x:v>
      </x:c>
      <x:c r="E210" s="71" t="n">
        <x:v>4</x:v>
      </x:c>
      <x:c r="F210" s="71" t="str">
        <x:v>夜晚</x:v>
      </x:c>
      <x:c r="G210" s="71" t="str">
        <x:f>'第3日'!B90</x:f>
        <x:v>第12波 城镇决战</x:v>
      </x:c>
      <x:c r="H210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0" s="71" t="n">
        <x:f>'第3日'!E90</x:f>
        <x:v>0.22</x:v>
      </x:c>
      <x:c r="J210" s="71" t="n">
        <x:f>'第3日'!G90</x:f>
        <x:v>1</x:v>
      </x:c>
      <x:c r="K210" s="71" t="n">
        <x:f>'第3日'!I90</x:f>
        <x:v>300</x:v>
      </x:c>
      <x:c r="L210" s="71" t="str">
        <x:v>res://resources/audio/shenmu_town_combat.ogg</x:v>
      </x:c>
      <x:c r="M210" s="71" t="str">
        <x:v>res://resources/audio/shenmu_town_intermission.ogg</x:v>
      </x:c>
      <x:c r="N210" s="71" t="b">
        <x:f>'第3日'!I91="待设计"</x:f>
        <x:v>0</x:v>
      </x:c>
      <x:c r="O210" s="71" t="n">
        <x:v>8</x:v>
      </x:c>
      <x:c r="P210" s="71" t="str">
        <x:f>IF('第3日'!B101="","",IFERROR(VLOOKUP('第3日'!B101,'敌人目录'!$A$6:$B$54,2,FALSE),""))</x:f>
        <x:v>yuanshi_insect_guardian</x:v>
      </x:c>
      <x:c r="Q210" s="71" t="n">
        <x:f>IF('第3日'!B101="","",'第3日'!C101)</x:f>
        <x:v>16</x:v>
      </x:c>
      <x:c r="R210" s="71" t="n">
        <x:v>-1</x:v>
      </x:c>
      <x:c r="S210" s="71" t="str">
        <x:f>IF('第3日'!B101="","",'第3日'!I101)</x:f>
        <x:v>可回读</x:v>
      </x:c>
    </x:row>
    <x:row r="211">
      <x:c r="A211" s="71" t="n">
        <x:v>3</x:v>
      </x:c>
      <x:c r="B211" s="71" t="str">
        <x:v>wave_12</x:v>
      </x:c>
      <x:c r="C211" s="71" t="n">
        <x:v>12</x:v>
      </x:c>
      <x:c r="D211" s="71" t="n">
        <x:v>3</x:v>
      </x:c>
      <x:c r="E211" s="71" t="n">
        <x:v>4</x:v>
      </x:c>
      <x:c r="F211" s="71" t="str">
        <x:v>夜晚</x:v>
      </x:c>
      <x:c r="G211" s="71" t="str">
        <x:f>'第3日'!B90</x:f>
        <x:v>第12波 城镇决战</x:v>
      </x:c>
      <x:c r="H211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1" s="71" t="n">
        <x:f>'第3日'!E90</x:f>
        <x:v>0.22</x:v>
      </x:c>
      <x:c r="J211" s="71" t="n">
        <x:f>'第3日'!G90</x:f>
        <x:v>1</x:v>
      </x:c>
      <x:c r="K211" s="71" t="n">
        <x:f>'第3日'!I90</x:f>
        <x:v>300</x:v>
      </x:c>
      <x:c r="L211" s="71" t="str">
        <x:v>res://resources/audio/shenmu_town_combat.ogg</x:v>
      </x:c>
      <x:c r="M211" s="71" t="str">
        <x:v>res://resources/audio/shenmu_town_intermission.ogg</x:v>
      </x:c>
      <x:c r="N211" s="71" t="b">
        <x:f>'第3日'!I91="待设计"</x:f>
        <x:v>0</x:v>
      </x:c>
      <x:c r="O211" s="71" t="n">
        <x:v>9</x:v>
      </x:c>
      <x:c r="P211" s="71" t="str">
        <x:f>IF('第3日'!B102="","",IFERROR(VLOOKUP('第3日'!B102,'敌人目录'!$A$6:$B$54,2,FALSE),""))</x:f>
        <x:v>capoo_ak47</x:v>
      </x:c>
      <x:c r="Q211" s="71" t="n">
        <x:f>IF('第3日'!B102="","",'第3日'!C102)</x:f>
        <x:v>2</x:v>
      </x:c>
      <x:c r="R211" s="71" t="n">
        <x:v>-1</x:v>
      </x:c>
      <x:c r="S211" s="71" t="str">
        <x:f>IF('第3日'!B102="","",'第3日'!I102)</x:f>
        <x:v>可回读</x:v>
      </x:c>
    </x:row>
    <x:row r="212">
      <x:c r="A212" s="71" t="n">
        <x:v>3</x:v>
      </x:c>
      <x:c r="B212" s="71" t="str">
        <x:v>wave_12</x:v>
      </x:c>
      <x:c r="C212" s="71" t="n">
        <x:v>12</x:v>
      </x:c>
      <x:c r="D212" s="71" t="n">
        <x:v>3</x:v>
      </x:c>
      <x:c r="E212" s="71" t="n">
        <x:v>4</x:v>
      </x:c>
      <x:c r="F212" s="71" t="str">
        <x:v>夜晚</x:v>
      </x:c>
      <x:c r="G212" s="71" t="str">
        <x:f>'第3日'!B90</x:f>
        <x:v>第12波 城镇决战</x:v>
      </x:c>
      <x:c r="H212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2" s="71" t="n">
        <x:f>'第3日'!E90</x:f>
        <x:v>0.22</x:v>
      </x:c>
      <x:c r="J212" s="71" t="n">
        <x:f>'第3日'!G90</x:f>
        <x:v>1</x:v>
      </x:c>
      <x:c r="K212" s="71" t="n">
        <x:f>'第3日'!I90</x:f>
        <x:v>300</x:v>
      </x:c>
      <x:c r="L212" s="71" t="str">
        <x:v>res://resources/audio/shenmu_town_combat.ogg</x:v>
      </x:c>
      <x:c r="M212" s="71" t="str">
        <x:v>res://resources/audio/shenmu_town_intermission.ogg</x:v>
      </x:c>
      <x:c r="N212" s="71" t="b">
        <x:f>'第3日'!I91="待设计"</x:f>
        <x:v>0</x:v>
      </x:c>
      <x:c r="O212" s="71" t="n">
        <x:v>10</x:v>
      </x:c>
      <x:c r="P212" s="71" t="str">
        <x:f>IF('第3日'!B103="","",IFERROR(VLOOKUP('第3日'!B103,'敌人目录'!$A$6:$B$54,2,FALSE),""))</x:f>
        <x:v>capoo_knight</x:v>
      </x:c>
      <x:c r="Q212" s="71" t="n">
        <x:f>IF('第3日'!B103="","",'第3日'!C103)</x:f>
        <x:v>2</x:v>
      </x:c>
      <x:c r="R212" s="71" t="n">
        <x:v>-1</x:v>
      </x:c>
      <x:c r="S212" s="71" t="str">
        <x:f>IF('第3日'!B103="","",'第3日'!I103)</x:f>
        <x:v>可回读</x:v>
      </x:c>
    </x:row>
    <x:row r="213">
      <x:c r="A213" s="71" t="n">
        <x:v>3</x:v>
      </x:c>
      <x:c r="B213" s="71" t="str">
        <x:v>wave_12</x:v>
      </x:c>
      <x:c r="C213" s="71" t="n">
        <x:v>12</x:v>
      </x:c>
      <x:c r="D213" s="71" t="n">
        <x:v>3</x:v>
      </x:c>
      <x:c r="E213" s="71" t="n">
        <x:v>4</x:v>
      </x:c>
      <x:c r="F213" s="71" t="str">
        <x:v>夜晚</x:v>
      </x:c>
      <x:c r="G213" s="71" t="str">
        <x:f>'第3日'!B90</x:f>
        <x:v>第12波 城镇决战</x:v>
      </x:c>
      <x:c r="H213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3" s="71" t="n">
        <x:f>'第3日'!E90</x:f>
        <x:v>0.22</x:v>
      </x:c>
      <x:c r="J213" s="71" t="n">
        <x:f>'第3日'!G90</x:f>
        <x:v>1</x:v>
      </x:c>
      <x:c r="K213" s="71" t="n">
        <x:f>'第3日'!I90</x:f>
        <x:v>300</x:v>
      </x:c>
      <x:c r="L213" s="71" t="str">
        <x:v>res://resources/audio/shenmu_town_combat.ogg</x:v>
      </x:c>
      <x:c r="M213" s="71" t="str">
        <x:v>res://resources/audio/shenmu_town_intermission.ogg</x:v>
      </x:c>
      <x:c r="N213" s="71" t="b">
        <x:f>'第3日'!I91="待设计"</x:f>
        <x:v>0</x:v>
      </x:c>
      <x:c r="O213" s="71" t="n">
        <x:v>11</x:v>
      </x:c>
      <x:c r="P213" s="71" t="str">
        <x:f>IF('第3日'!B104="","",IFERROR(VLOOKUP('第3日'!B104,'敌人目录'!$A$6:$B$54,2,FALSE),""))</x:f>
        <x:v>capoo_mage</x:v>
      </x:c>
      <x:c r="Q213" s="71" t="n">
        <x:f>IF('第3日'!B104="","",'第3日'!C104)</x:f>
        <x:v>1</x:v>
      </x:c>
      <x:c r="R213" s="71" t="n">
        <x:v>-1</x:v>
      </x:c>
      <x:c r="S213" s="71" t="str">
        <x:f>IF('第3日'!B104="","",'第3日'!I104)</x:f>
        <x:v>可回读</x:v>
      </x:c>
    </x:row>
    <x:row r="214">
      <x:c r="A214" s="71" t="n">
        <x:v>3</x:v>
      </x:c>
      <x:c r="B214" s="71" t="str">
        <x:v>wave_12</x:v>
      </x:c>
      <x:c r="C214" s="71" t="n">
        <x:v>12</x:v>
      </x:c>
      <x:c r="D214" s="71" t="n">
        <x:v>3</x:v>
      </x:c>
      <x:c r="E214" s="71" t="n">
        <x:v>4</x:v>
      </x:c>
      <x:c r="F214" s="71" t="str">
        <x:v>夜晚</x:v>
      </x:c>
      <x:c r="G214" s="71" t="str">
        <x:f>'第3日'!B90</x:f>
        <x:v>第12波 城镇决战</x:v>
      </x:c>
      <x:c r="H214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4" s="71" t="n">
        <x:f>'第3日'!E90</x:f>
        <x:v>0.22</x:v>
      </x:c>
      <x:c r="J214" s="71" t="n">
        <x:f>'第3日'!G90</x:f>
        <x:v>1</x:v>
      </x:c>
      <x:c r="K214" s="71" t="n">
        <x:f>'第3日'!I90</x:f>
        <x:v>300</x:v>
      </x:c>
      <x:c r="L214" s="71" t="str">
        <x:v>res://resources/audio/shenmu_town_combat.ogg</x:v>
      </x:c>
      <x:c r="M214" s="71" t="str">
        <x:v>res://resources/audio/shenmu_town_intermission.ogg</x:v>
      </x:c>
      <x:c r="N214" s="71" t="b">
        <x:f>'第3日'!I91="待设计"</x:f>
        <x:v>0</x:v>
      </x:c>
      <x:c r="O214" s="71" t="n">
        <x:v>12</x:v>
      </x:c>
      <x:c r="P214" s="71" t="str">
        <x:f>IF('第3日'!B105="","",IFERROR(VLOOKUP('第3日'!B105,'敌人目录'!$A$6:$B$54,2,FALSE),""))</x:f>
        <x:v>capoo_rpg</x:v>
      </x:c>
      <x:c r="Q214" s="71" t="n">
        <x:f>IF('第3日'!B105="","",'第3日'!C105)</x:f>
        <x:v>1</x:v>
      </x:c>
      <x:c r="R214" s="71" t="n">
        <x:v>-1</x:v>
      </x:c>
      <x:c r="S214" s="71" t="str">
        <x:f>IF('第3日'!B105="","",'第3日'!I105)</x:f>
        <x:v>可回读</x:v>
      </x:c>
    </x:row>
    <x:row r="215">
      <x:c r="A215" s="71" t="n">
        <x:v>3</x:v>
      </x:c>
      <x:c r="B215" s="71" t="str">
        <x:v>wave_12</x:v>
      </x:c>
      <x:c r="C215" s="71" t="n">
        <x:v>12</x:v>
      </x:c>
      <x:c r="D215" s="71" t="n">
        <x:v>3</x:v>
      </x:c>
      <x:c r="E215" s="71" t="n">
        <x:v>4</x:v>
      </x:c>
      <x:c r="F215" s="71" t="str">
        <x:v>夜晚</x:v>
      </x:c>
      <x:c r="G215" s="71" t="str">
        <x:f>'第3日'!B90</x:f>
        <x:v>第12波 城镇决战</x:v>
      </x:c>
      <x:c r="H215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5" s="71" t="n">
        <x:f>'第3日'!E90</x:f>
        <x:v>0.22</x:v>
      </x:c>
      <x:c r="J215" s="71" t="n">
        <x:f>'第3日'!G90</x:f>
        <x:v>1</x:v>
      </x:c>
      <x:c r="K215" s="71" t="n">
        <x:f>'第3日'!I90</x:f>
        <x:v>300</x:v>
      </x:c>
      <x:c r="L215" s="71" t="str">
        <x:v>res://resources/audio/shenmu_town_combat.ogg</x:v>
      </x:c>
      <x:c r="M215" s="71" t="str">
        <x:v>res://resources/audio/shenmu_town_intermission.ogg</x:v>
      </x:c>
      <x:c r="N215" s="71" t="b">
        <x:f>'第3日'!I91="待设计"</x:f>
        <x:v>0</x:v>
      </x:c>
      <x:c r="O215" s="71" t="n">
        <x:v>13</x:v>
      </x:c>
      <x:c r="P215" s="71" t="str">
        <x:f>IF('第3日'!B106="","",IFERROR(VLOOKUP('第3日'!B106,'敌人目录'!$A$6:$B$54,2,FALSE),""))</x:f>
        <x:v>stone_golem</x:v>
      </x:c>
      <x:c r="Q215" s="71" t="n">
        <x:f>IF('第3日'!B106="","",'第3日'!C106)</x:f>
        <x:v>1</x:v>
      </x:c>
      <x:c r="R215" s="71" t="n">
        <x:v>-1</x:v>
      </x:c>
      <x:c r="S215" s="71" t="str">
        <x:f>IF('第3日'!B106="","",'第3日'!I106)</x:f>
        <x:v>可回读</x:v>
      </x:c>
    </x:row>
    <x:row r="216">
      <x:c r="A216" s="71" t="n">
        <x:v>3</x:v>
      </x:c>
      <x:c r="B216" s="71" t="str">
        <x:v>wave_12</x:v>
      </x:c>
      <x:c r="C216" s="71" t="n">
        <x:v>12</x:v>
      </x:c>
      <x:c r="D216" s="71" t="n">
        <x:v>3</x:v>
      </x:c>
      <x:c r="E216" s="71" t="n">
        <x:v>4</x:v>
      </x:c>
      <x:c r="F216" s="71" t="str">
        <x:v>夜晚</x:v>
      </x:c>
      <x:c r="G216" s="71" t="str">
        <x:f>'第3日'!B90</x:f>
        <x:v>第12波 城镇决战</x:v>
      </x:c>
      <x:c r="H216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6" s="71" t="n">
        <x:f>'第3日'!E90</x:f>
        <x:v>0.22</x:v>
      </x:c>
      <x:c r="J216" s="71" t="n">
        <x:f>'第3日'!G90</x:f>
        <x:v>1</x:v>
      </x:c>
      <x:c r="K216" s="71" t="n">
        <x:f>'第3日'!I90</x:f>
        <x:v>300</x:v>
      </x:c>
      <x:c r="L216" s="71" t="str">
        <x:v>res://resources/audio/shenmu_town_combat.ogg</x:v>
      </x:c>
      <x:c r="M216" s="71" t="str">
        <x:v>res://resources/audio/shenmu_town_intermission.ogg</x:v>
      </x:c>
      <x:c r="N216" s="71" t="b">
        <x:f>'第3日'!I91="待设计"</x:f>
        <x:v>0</x:v>
      </x:c>
      <x:c r="O216" s="71" t="n">
        <x:v>14</x:v>
      </x:c>
      <x:c r="P216" s="71" t="str">
        <x:f>IF('第3日'!B107="","",IFERROR(VLOOKUP('第3日'!B107,'敌人目录'!$A$6:$B$54,2,FALSE),""))</x:f>
      </x:c>
      <x:c r="Q216" s="71" t="str">
        <x:f>IF('第3日'!B107="","",'第3日'!C107)</x:f>
      </x:c>
      <x:c r="R216" s="71" t="n">
        <x:v>-1</x:v>
      </x:c>
      <x:c r="S216" s="71" t="str">
        <x:f>IF('第3日'!B107="","",'第3日'!I107)</x:f>
      </x:c>
    </x:row>
    <x:row r="217">
      <x:c r="A217" s="71" t="n">
        <x:v>3</x:v>
      </x:c>
      <x:c r="B217" s="71" t="str">
        <x:v>wave_12</x:v>
      </x:c>
      <x:c r="C217" s="71" t="n">
        <x:v>12</x:v>
      </x:c>
      <x:c r="D217" s="71" t="n">
        <x:v>3</x:v>
      </x:c>
      <x:c r="E217" s="71" t="n">
        <x:v>4</x:v>
      </x:c>
      <x:c r="F217" s="71" t="str">
        <x:v>夜晚</x:v>
      </x:c>
      <x:c r="G217" s="71" t="str">
        <x:f>'第3日'!B90</x:f>
        <x:v>第12波 城镇决战</x:v>
      </x:c>
      <x:c r="H217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7" s="71" t="n">
        <x:f>'第3日'!E90</x:f>
        <x:v>0.22</x:v>
      </x:c>
      <x:c r="J217" s="71" t="n">
        <x:f>'第3日'!G90</x:f>
        <x:v>1</x:v>
      </x:c>
      <x:c r="K217" s="71" t="n">
        <x:f>'第3日'!I90</x:f>
        <x:v>300</x:v>
      </x:c>
      <x:c r="L217" s="71" t="str">
        <x:v>res://resources/audio/shenmu_town_combat.ogg</x:v>
      </x:c>
      <x:c r="M217" s="71" t="str">
        <x:v>res://resources/audio/shenmu_town_intermission.ogg</x:v>
      </x:c>
      <x:c r="N217" s="71" t="b">
        <x:f>'第3日'!I91="待设计"</x:f>
        <x:v>0</x:v>
      </x:c>
      <x:c r="O217" s="71" t="n">
        <x:v>15</x:v>
      </x:c>
      <x:c r="P217" s="71" t="str">
        <x:f>IF('第3日'!B108="","",IFERROR(VLOOKUP('第3日'!B108,'敌人目录'!$A$6:$B$54,2,FALSE),""))</x:f>
      </x:c>
      <x:c r="Q217" s="71" t="str">
        <x:f>IF('第3日'!B108="","",'第3日'!C108)</x:f>
      </x:c>
      <x:c r="R217" s="71" t="n">
        <x:v>-1</x:v>
      </x:c>
      <x:c r="S217" s="71" t="str">
        <x:f>IF('第3日'!B108="","",'第3日'!I108)</x:f>
      </x:c>
    </x:row>
    <x:row r="218">
      <x:c r="A218" s="71" t="n">
        <x:v>3</x:v>
      </x:c>
      <x:c r="B218" s="71" t="str">
        <x:v>wave_12</x:v>
      </x:c>
      <x:c r="C218" s="71" t="n">
        <x:v>12</x:v>
      </x:c>
      <x:c r="D218" s="71" t="n">
        <x:v>3</x:v>
      </x:c>
      <x:c r="E218" s="71" t="n">
        <x:v>4</x:v>
      </x:c>
      <x:c r="F218" s="71" t="str">
        <x:v>夜晚</x:v>
      </x:c>
      <x:c r="G218" s="71" t="str">
        <x:f>'第3日'!B90</x:f>
        <x:v>第12波 城镇决战</x:v>
      </x:c>
      <x:c r="H218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8" s="71" t="n">
        <x:f>'第3日'!E90</x:f>
        <x:v>0.22</x:v>
      </x:c>
      <x:c r="J218" s="71" t="n">
        <x:f>'第3日'!G90</x:f>
        <x:v>1</x:v>
      </x:c>
      <x:c r="K218" s="71" t="n">
        <x:f>'第3日'!I90</x:f>
        <x:v>300</x:v>
      </x:c>
      <x:c r="L218" s="71" t="str">
        <x:v>res://resources/audio/shenmu_town_combat.ogg</x:v>
      </x:c>
      <x:c r="M218" s="71" t="str">
        <x:v>res://resources/audio/shenmu_town_intermission.ogg</x:v>
      </x:c>
      <x:c r="N218" s="71" t="b">
        <x:f>'第3日'!I91="待设计"</x:f>
        <x:v>0</x:v>
      </x:c>
      <x:c r="O218" s="71" t="n">
        <x:v>16</x:v>
      </x:c>
      <x:c r="P218" s="71" t="str">
        <x:f>IF('第3日'!B109="","",IFERROR(VLOOKUP('第3日'!B109,'敌人目录'!$A$6:$B$54,2,FALSE),""))</x:f>
      </x:c>
      <x:c r="Q218" s="71" t="str">
        <x:f>IF('第3日'!B109="","",'第3日'!C109)</x:f>
      </x:c>
      <x:c r="R218" s="71" t="n">
        <x:v>-1</x:v>
      </x:c>
      <x:c r="S218" s="71" t="str">
        <x:f>IF('第3日'!B109="","",'第3日'!I109)</x:f>
      </x:c>
    </x:row>
    <x:row r="219">
      <x:c r="A219" s="71" t="n">
        <x:v>3</x:v>
      </x:c>
      <x:c r="B219" s="71" t="str">
        <x:v>wave_12</x:v>
      </x:c>
      <x:c r="C219" s="71" t="n">
        <x:v>12</x:v>
      </x:c>
      <x:c r="D219" s="71" t="n">
        <x:v>3</x:v>
      </x:c>
      <x:c r="E219" s="71" t="n">
        <x:v>4</x:v>
      </x:c>
      <x:c r="F219" s="71" t="str">
        <x:v>夜晚</x:v>
      </x:c>
      <x:c r="G219" s="71" t="str">
        <x:f>'第3日'!B90</x:f>
        <x:v>第12波 城镇决战</x:v>
      </x:c>
      <x:c r="H219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9" s="71" t="n">
        <x:f>'第3日'!E90</x:f>
        <x:v>0.22</x:v>
      </x:c>
      <x:c r="J219" s="71" t="n">
        <x:f>'第3日'!G90</x:f>
        <x:v>1</x:v>
      </x:c>
      <x:c r="K219" s="71" t="n">
        <x:f>'第3日'!I90</x:f>
        <x:v>300</x:v>
      </x:c>
      <x:c r="L219" s="71" t="str">
        <x:v>res://resources/audio/shenmu_town_combat.ogg</x:v>
      </x:c>
      <x:c r="M219" s="71" t="str">
        <x:v>res://resources/audio/shenmu_town_intermission.ogg</x:v>
      </x:c>
      <x:c r="N219" s="71" t="b">
        <x:f>'第3日'!I91="待设计"</x:f>
        <x:v>0</x:v>
      </x:c>
      <x:c r="O219" s="71" t="n">
        <x:v>17</x:v>
      </x:c>
      <x:c r="P219" s="71" t="str">
        <x:f>IF('第3日'!B110="","",IFERROR(VLOOKUP('第3日'!B110,'敌人目录'!$A$6:$B$54,2,FALSE),""))</x:f>
      </x:c>
      <x:c r="Q219" s="71" t="str">
        <x:f>IF('第3日'!B110="","",'第3日'!C110)</x:f>
      </x:c>
      <x:c r="R219" s="71" t="n">
        <x:v>-1</x:v>
      </x:c>
      <x:c r="S219" s="71" t="str">
        <x:f>IF('第3日'!B110="","",'第3日'!I110)</x:f>
      </x:c>
    </x:row>
    <x:row r="220">
      <x:c r="A220" s="71" t="n">
        <x:v>3</x:v>
      </x:c>
      <x:c r="B220" s="71" t="str">
        <x:v>wave_12</x:v>
      </x:c>
      <x:c r="C220" s="71" t="n">
        <x:v>12</x:v>
      </x:c>
      <x:c r="D220" s="71" t="n">
        <x:v>3</x:v>
      </x:c>
      <x:c r="E220" s="71" t="n">
        <x:v>4</x:v>
      </x:c>
      <x:c r="F220" s="71" t="str">
        <x:v>夜晚</x:v>
      </x:c>
      <x:c r="G220" s="71" t="str">
        <x:f>'第3日'!B90</x:f>
        <x:v>第12波 城镇决战</x:v>
      </x:c>
      <x:c r="H220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20" s="71" t="n">
        <x:f>'第3日'!E90</x:f>
        <x:v>0.22</x:v>
      </x:c>
      <x:c r="J220" s="71" t="n">
        <x:f>'第3日'!G90</x:f>
        <x:v>1</x:v>
      </x:c>
      <x:c r="K220" s="71" t="n">
        <x:f>'第3日'!I90</x:f>
        <x:v>300</x:v>
      </x:c>
      <x:c r="L220" s="71" t="str">
        <x:v>res://resources/audio/shenmu_town_combat.ogg</x:v>
      </x:c>
      <x:c r="M220" s="71" t="str">
        <x:v>res://resources/audio/shenmu_town_intermission.ogg</x:v>
      </x:c>
      <x:c r="N220" s="71" t="b">
        <x:f>'第3日'!I91="待设计"</x:f>
        <x:v>0</x:v>
      </x:c>
      <x:c r="O220" s="71" t="n">
        <x:v>18</x:v>
      </x:c>
      <x:c r="P220" s="71" t="str">
        <x:f>IF('第3日'!B111="","",IFERROR(VLOOKUP('第3日'!B111,'敌人目录'!$A$6:$B$54,2,FALSE),""))</x:f>
      </x:c>
      <x:c r="Q220" s="71" t="str">
        <x:f>IF('第3日'!B111="","",'第3日'!C111)</x:f>
      </x:c>
      <x:c r="R220" s="71" t="n">
        <x:v>-1</x:v>
      </x:c>
      <x:c r="S220" s="71" t="str">
        <x:f>IF('第3日'!B111="","",'第3日'!I111)</x:f>
      </x:c>
    </x:row>
  </x:sheetData>
  <x:mergeCells>
    <x:mergeCell ref="A1:S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58" hidden="0" customWidth="1"/>
    <x:col min="3" max="3" width="58" hidden="0" customWidth="1"/>
    <x:col min="4" max="4" width="18" hidden="0" customWidth="1"/>
    <x:col min="5" max="5" width="12" hidden="0" customWidth="1"/>
    <x:col min="6" max="6" width="12" hidden="0" customWidth="1"/>
  </x:cols>
  <x:sheetData>
    <x:row r="1" ht="34" customHeight="1">
      <x:c r="A1" s="3" t="str">
        <x:v>四日战役系统契约｜schema v3｜机器读取区域，请勿编辑</x:v>
      </x:c>
      <x:c r="B1" s="3"/>
      <x:c r="C1" s="3"/>
      <x:c r="D1" s="3"/>
      <x:c r="E1" s="3"/>
      <x:c r="F1" s="3"/>
    </x:row>
    <x:row r="2" ht="24" customHeight="1"/>
    <x:row r="3" ht="24" customHeight="1">
      <x:c r="A3" s="110" t="str">
        <x:v>字段</x:v>
      </x:c>
      <x:c r="B3" s="110" t="str">
        <x:v>值1</x:v>
      </x:c>
      <x:c r="C3" s="110" t="str">
        <x:v>值2</x:v>
      </x:c>
      <x:c r="D3" s="110" t="str">
        <x:v>值3</x:v>
      </x:c>
    </x:row>
    <x:row r="4" ht="24" customHeight="1">
      <x:c r="A4" s="131" t="str">
        <x:v>schema_version</x:v>
      </x:c>
      <x:c r="B4" s="71" t="n">
        <x:v>3</x:v>
      </x:c>
      <x:c r="C4" s="71"/>
      <x:c r="D4" s="71"/>
    </x:row>
    <x:row r="5" ht="24" customHeight="1">
      <x:c r="A5" s="131" t="str">
        <x:v>workbook_id</x:v>
      </x:c>
      <x:c r="B5" s="71" t="str">
        <x:v>tower_defense_4_day_campaign_designer_v3</x:v>
      </x:c>
      <x:c r="C5" s="71"/>
      <x:c r="D5" s="71"/>
    </x:row>
    <x:row r="6" ht="24" customHeight="1">
      <x:c r="A6" s="131" t="str">
        <x:v>campaign_id</x:v>
      </x:c>
      <x:c r="B6" s="71" t="str">
        <x:v>tower_defense_formal</x:v>
      </x:c>
      <x:c r="C6" s="71"/>
      <x:c r="D6" s="71"/>
    </x:row>
    <x:row r="7" ht="24" customHeight="1">
      <x:c r="A7" s="131" t="str">
        <x:v>catalog_sha256</x:v>
      </x:c>
      <x:c r="B7" s="71" t="str">
        <x:v>b1fe8380d773e1597266e16f821f218f409f50807d0f37e8e2cf139bc0c16be8</x:v>
      </x:c>
      <x:c r="C7" s="71"/>
      <x:c r="D7" s="71"/>
    </x:row>
    <x:row r="8" ht="24" customHeight="1">
      <x:c r="A8" s="131" t="str">
        <x:v>target_wave_count</x:v>
      </x:c>
      <x:c r="B8" s="71" t="n">
        <x:v>12</x:v>
      </x:c>
      <x:c r="C8" s="71"/>
      <x:c r="D8" s="71"/>
    </x:row>
    <x:row r="9" ht="24" customHeight="1">
      <x:c r="A9" s="131" t="str">
        <x:v>day_count</x:v>
      </x:c>
      <x:c r="B9" s="71" t="n">
        <x:v>4</x:v>
      </x:c>
      <x:c r="C9" s="71"/>
      <x:c r="D9" s="71"/>
    </x:row>
    <x:row r="10" ht="24" customHeight="1">
      <x:c r="A10" s="131" t="str">
        <x:v>waves_per_day</x:v>
      </x:c>
      <x:c r="B10" s="71" t="n">
        <x:v>4</x:v>
      </x:c>
      <x:c r="C10" s="71"/>
      <x:c r="D10" s="71"/>
    </x:row>
    <x:row r="11" ht="24" customHeight="1">
      <x:c r="A11" s="131" t="str">
        <x:v>boss_after_wave</x:v>
      </x:c>
      <x:c r="B11" s="71" t="n">
        <x:v>12</x:v>
      </x:c>
      <x:c r="C11" s="71"/>
      <x:c r="D11" s="71"/>
    </x:row>
    <x:row r="12" ht="24" customHeight="1">
      <x:c r="A12" s="131" t="str">
        <x:v>boss_day</x:v>
      </x:c>
      <x:c r="B12" s="71" t="n">
        <x:v>4</x:v>
      </x:c>
      <x:c r="C12" s="71"/>
      <x:c r="D12" s="71"/>
    </x:row>
    <x:row r="13" ht="24" customHeight="1">
      <x:c r="A13" s="131" t="str">
        <x:v>boss_period</x:v>
      </x:c>
      <x:c r="B13" s="71" t="str">
        <x:v>day</x:v>
      </x:c>
      <x:c r="C13" s="71"/>
      <x:c r="D13" s="71"/>
    </x:row>
    <x:row r="14" ht="24" customHeight="1">
      <x:c r="A14" s="131" t="str">
        <x:v>daily_rogue_action_points</x:v>
      </x:c>
      <x:c r="B14" s="71" t="n">
        <x:f>'全局设置'!B16</x:f>
        <x:v>5</x:v>
      </x:c>
      <x:c r="C14" s="71" t="n">
        <x:f>'全局设置'!D16</x:f>
        <x:v>5</x:v>
      </x:c>
      <x:c r="D14" s="71" t="n">
        <x:f>'全局设置'!F16</x:f>
        <x:v>5</x:v>
      </x:c>
    </x:row>
    <x:row r="15" ht="24" customHeight="1">
      <x:c r="A15" s="131" t="str">
        <x:v>boss_id</x:v>
      </x:c>
      <x:c r="B15" s="71" t="str">
        <x:v>linglan_boss</x:v>
      </x:c>
      <x:c r="C15" s="71"/>
      <x:c r="D15" s="71"/>
    </x:row>
    <x:row r="16" ht="24" customHeight="1">
      <x:c r="A16" s="131" t="str">
        <x:v>boss_step_id</x:v>
      </x:c>
      <x:c r="B16" s="71" t="str">
        <x:v>boss_01_linglan</x:v>
      </x:c>
      <x:c r="C16" s="71"/>
      <x:c r="D16" s="71"/>
    </x:row>
    <x:row r="17" ht="24" customHeight="1">
      <x:c r="A17" s="131" t="str">
        <x:v>boss_config_path</x:v>
      </x:c>
      <x:c r="B17" s="71" t="str">
        <x:v>res://resources/config/bosses/boss_01_linglan.tres</x:v>
      </x:c>
      <x:c r="C17" s="71"/>
      <x:c r="D17" s="71"/>
    </x:row>
    <x:row r="18" ht="24" customHeight="1">
      <x:c r="A18" s="131" t="str">
        <x:v>progression_config_path</x:v>
      </x:c>
      <x:c r="B18" s="71" t="str">
        <x:v>res://resources/config/campaigns/tower_defense/formal_progression.tres</x:v>
      </x:c>
      <x:c r="C18" s="71"/>
      <x:c r="D18" s="71"/>
    </x:row>
    <x:row r="19" ht="24" customHeight="1">
      <x:c r="A19" s="131" t="str">
        <x:v>flow_config_paths</x:v>
      </x:c>
      <x:c r="B19" s="132" t="str">
        <x:v>res://resources/config/campaigns/tower_defense/singleplayer/flow.tres</x:v>
      </x:c>
      <x:c r="C19" s="132" t="str">
        <x:v>res://resources/config/campaigns/tower_defense/multiplayer/flow.tres</x:v>
      </x:c>
      <x:c r="D19" s="71"/>
    </x:row>
    <x:row r="20" ht="24" customHeight="1"/>
    <x:row r="21" ht="24" customHeight="1">
      <x:c r="A21" s="9" t="str">
        <x:v>固定输出：target_wave_count=12 / day_count=4 / boss_after_wave=12 / boss_day=4 / boss_period=day / daily_rogue_action_points=[第1日,第2日,第3日]</x:v>
      </x:c>
      <x:c r="B21" s="9"/>
      <x:c r="C21" s="9"/>
      <x:c r="D21" s="9"/>
      <x:c r="E21" s="9"/>
      <x:c r="F21" s="9"/>
    </x:row>
  </x:sheetData>
  <x:mergeCells>
    <x:mergeCell ref="A1:F1"/>
    <x:mergeCell ref="A21:F21"/>
  </x:mergeCells>
  <x:pageMargins left="0.7" right="0.7" top="0.75" bottom="0.75" header="0.3" footer="0.3"/>
</x:worksheet>
</file>