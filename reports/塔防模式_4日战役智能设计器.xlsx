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953f92e2744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b96a82d215e24a8a"/>
    <x:sheet xmlns:r="http://schemas.openxmlformats.org/officeDocument/2006/relationships" name="总览" sheetId="2" r:id="R36d0ac61b6ef4ee4"/>
    <x:sheet xmlns:r="http://schemas.openxmlformats.org/officeDocument/2006/relationships" name="全局设置" sheetId="3" r:id="Ra7ab0741eaad4105"/>
    <x:sheet xmlns:r="http://schemas.openxmlformats.org/officeDocument/2006/relationships" name="第1日" sheetId="4" r:id="R1036c78c97e14229"/>
    <x:sheet xmlns:r="http://schemas.openxmlformats.org/officeDocument/2006/relationships" name="第2日" sheetId="5" r:id="R37a259197e704998"/>
    <x:sheet xmlns:r="http://schemas.openxmlformats.org/officeDocument/2006/relationships" name="第3日" sheetId="6" r:id="R68dda04c653840be"/>
    <x:sheet xmlns:r="http://schemas.openxmlformats.org/officeDocument/2006/relationships" name="第4日" sheetId="7" r:id="R3ecd3f7bc2a74bff"/>
    <x:sheet xmlns:r="http://schemas.openxmlformats.org/officeDocument/2006/relationships" name="敌人目录" sheetId="8" r:id="R38a7c375ddfe4a99"/>
    <x:sheet xmlns:r="http://schemas.openxmlformats.org/officeDocument/2006/relationships" name="敌人导入数据（勿改）" sheetId="9" r:id="R0a833f8e58b54582"/>
    <x:sheet xmlns:r="http://schemas.openxmlformats.org/officeDocument/2006/relationships" name="导入数据（勿改）" sheetId="10" r:id="Ref5108961a4842d4"/>
    <x:sheet xmlns:r="http://schemas.openxmlformats.org/officeDocument/2006/relationships" name="系统数据（勿改）" sheetId="11" r:id="R6fe3ea25c7694dd2"/>
  </x:sheets>
</x:workbook>
</file>

<file path=xl/sharedStrings.xml><?xml version="1.0" encoding="utf-8"?>
<x:sst xmlns:x="http://schemas.openxmlformats.org/spreadsheetml/2006/main">
  <x:si>
    <x:t xml:space="preserve">塔防模式｜4 日战役智能设计器</x:t>
  </x:si>
  <x:si>
    <x:t xml:space="preserve">正式战役为第 1～3 日共 12 波；第 4 日白昼只进行铃兰 Boss。第 1 日前三波已锁定保留。</x:t>
  </x:si>
  <x:si>
    <x:t xml:space="preserve">建议工作流</x:t>
  </x:si>
  <x:si>
    <x:t xml:space="preserve">先在“敌人目录”维护全局固定战斗数值、息壤与掉落概率。</x:t>
  </x:si>
  <x:si>
    <x:t xml:space="preserve">在“第1日”至“第3日”编辑每波敌人、数量、出生点与刷怪节奏；第 4 日 Boss 面板只读。</x:t>
  </x:si>
  <x:si>
    <x:t xml:space="preserve">到“总览”检查 12 波统计、日汇总、地下探索行动力和 Boss 接续。</x:t>
  </x:si>
  <x:si>
    <x:t xml:space="preserve">完成后把工作簿交回 Codex；Codex 校验并转换为 schema v3 JSON。工作簿不会直接写入正式 .tres。</x:t>
  </x:si>
  <x:si>
    <x:t xml:space="preserve">颜色与输入规则</x:t>
  </x:si>
  <x:si>
    <x:t xml:space="preserve">浅蓝</x:t>
  </x:si>
  <x:si>
    <x:t xml:space="preserve">波次名称、敌人、数量、出生点及节奏：可编辑</x:t>
  </x:si>
  <x:si>
    <x:t xml:space="preserve">金黄</x:t>
  </x:si>
  <x:si>
    <x:t xml:space="preserve">敌人固定息壤与工作簿关键提醒</x:t>
  </x:si>
  <x:si>
    <x:t xml:space="preserve">浅绿 / 浅紫</x:t>
  </x:si>
  <x:si>
    <x:t xml:space="preserve">敌人掉落概率：可编辑，输入 0%～100%</x:t>
  </x:si>
  <x:si>
    <x:t xml:space="preserve">浅灰</x:t>
  </x:si>
  <x:si>
    <x:t xml:space="preserve">公式与权威结构字段：请勿手工覆盖</x:t>
  </x:si>
  <x:si>
    <x:t xml:space="preserve">浅红</x:t>
  </x:si>
  <x:si>
    <x:t xml:space="preserve">校验失败：缺少输入、重复敌人或数值越界</x:t>
  </x:si>
  <x:si>
    <x:t xml:space="preserve">四日流程（结构性约束）</x:t>
  </x:si>
  <x:si>
    <x:t xml:space="preserve">第1～3日</x:t>
  </x:si>
  <x:si>
    <x:t xml:space="preserve">每天 4 个普通波次；第 4、8、12 波完成后进入地下探索。</x:t>
  </x:si>
  <x:si>
    <x:t xml:space="preserve">地下探索</x:t>
  </x:si>
  <x:si>
    <x:t xml:space="preserve">三日默认行动力分别为 5、5、5；配置为 0 时跳过。正式流程不再进入命运时间。</x:t>
  </x:si>
  <x:si>
    <x:t xml:space="preserve">第4日</x:t>
  </x:si>
  <x:si>
    <x:t xml:space="preserve">白昼准备完成后只进行铃兰 Boss；不显示普通波次编号，击败后直接通关。</x:t>
  </x:si>
  <x:si>
    <x:t xml:space="preserve">导入契约</x:t>
  </x:si>
  <x:si>
    <x:t xml:space="preserve">schema v3：12 波、4 日、Boss 位于第 12 波后、Boss 日为第 4 日白昼。</x:t>
  </x:si>
  <x:si>
    <x:t xml:space="preserve">请勿直接编辑“敌人导入数据（勿改）”“导入数据（勿改）”与“系统数据（勿改）”；它们是稳定 ID 和反向回读契约。</x:t>
  </x:si>
  <x:si>
    <x:t xml:space="preserve">塔防模式｜4 日战役总览</x:t>
  </x:si>
  <x:si>
    <x:t xml:space="preserve">第 1～3 日共 12 个普通波次；每日日终进入地下探索；第 4 日白昼只进行铃兰 Boss。</x:t>
  </x:si>
  <x:si>
    <x:t xml:space="preserve">可回读波次</x:t>
  </x:si>
  <x:si>
    <x:t xml:space="preserve">基础敌人数</x:t>
  </x:si>
  <x:si>
    <x:t xml:space="preserve">实际敌人数</x:t>
  </x:si>
  <x:si>
    <x:t xml:space="preserve">预计息壤/队伍</x:t>
  </x:si>
  <x:si>
    <x:t xml:space="preserve">Boss</x:t>
  </x:si>
  <x:si>
    <x:t xml:space="preserve">铃兰</x:t>
  </x:si>
  <x:si>
    <x:t xml:space="preserve">第4日·白昼</x:t>
  </x:si>
  <x:si>
    <x:t xml:space="preserve">波次</x:t>
  </x:si>
  <x:si>
    <x:t xml:space="preserve">日</x:t>
  </x:si>
  <x:si>
    <x:t xml:space="preserve">时段</x:t>
  </x:si>
  <x:si>
    <x:t xml:space="preserve">名称</x:t>
  </x:si>
  <x:si>
    <x:t xml:space="preserve">状态</x:t>
  </x:si>
  <x:si>
    <x:t xml:space="preserve">基础数量</x:t>
  </x:si>
  <x:si>
    <x:t xml:space="preserve">实际数量</x:t>
  </x:si>
  <x:si>
    <x:t xml:space="preserve">敌人种类</x:t>
  </x:si>
  <x:si>
    <x:t xml:space="preserve">最大息壤/玩家</x:t>
  </x:si>
  <x:si>
    <x:t xml:space="preserve">预计息壤/玩家</x:t>
  </x:si>
  <x:si>
    <x:t xml:space="preserve">最短刷怪(s)</x:t>
  </x:si>
  <x:si>
    <x:t xml:space="preserve">存活上限</x:t>
  </x:si>
  <x:si>
    <x:t xml:space="preserve">启用出生点</x:t>
  </x:si>
  <x:si>
    <x:t xml:space="preserve">第1波</x:t>
  </x:si>
  <x:si>
    <x:t xml:space="preserve">白昼</x:t>
  </x:si>
  <x:si>
    <x:t xml:space="preserve">第2波</x:t>
  </x:si>
  <x:si>
    <x:t xml:space="preserve">第3波</x:t>
  </x:si>
  <x:si>
    <x:t xml:space="preserve">夜晚</x:t>
  </x:si>
  <x:si>
    <x:t xml:space="preserve">第4波</x:t>
  </x:si>
  <x:si>
    <x:t xml:space="preserve">第5波</x:t>
  </x:si>
  <x:si>
    <x:t xml:space="preserve">第6波</x:t>
  </x:si>
  <x:si>
    <x:t xml:space="preserve">第7波</x:t>
  </x:si>
  <x:si>
    <x:t xml:space="preserve">第8波</x:t>
  </x:si>
  <x:si>
    <x:t xml:space="preserve">第9波</x:t>
  </x:si>
  <x:si>
    <x:t xml:space="preserve">第10波</x:t>
  </x:si>
  <x:si>
    <x:t xml:space="preserve">第11波</x:t>
  </x:si>
  <x:si>
    <x:t xml:space="preserve">第12波</x:t>
  </x:si>
  <x:si>
    <x:t xml:space="preserve">每日汇总</x:t>
  </x:si>
  <x:si>
    <x:t xml:space="preserve">普通波次</x:t>
  </x:si>
  <x:si>
    <x:t xml:space="preserve">基础敌人</x:t>
  </x:si>
  <x:si>
    <x:t xml:space="preserve">实际敌人</x:t>
  </x:si>
  <x:si>
    <x:t xml:space="preserve">日终地下探索 AP</x:t>
  </x:si>
  <x:si>
    <x:t xml:space="preserve">第1日</x:t>
  </x:si>
  <x:si>
    <x:t xml:space="preserve">第2日</x:t>
  </x:si>
  <x:si>
    <x:t xml:space="preserve">第3日</x:t>
  </x:si>
  <x:si>
    <x:t xml:space="preserve">无（Boss 后通关）</x:t>
  </x:si>
  <x:si>
    <x:t xml:space="preserve">全局设置与四日战役契约</x:t>
  </x:si>
  <x:si>
    <x:t xml:space="preserve">模拟参数</x:t>
  </x:si>
  <x:si>
    <x:t xml:space="preserve">当前值</x:t>
  </x:si>
  <x:si>
    <x:t xml:space="preserve">玩家人数</x:t>
  </x:si>
  <x:si>
    <x:t xml:space="preserve">每名额外玩家敌人数增幅</x:t>
  </x:si>
  <x:si>
    <x:t xml:space="preserve">预计击杀率</x:t>
  </x:si>
  <x:si>
    <x:t xml:space="preserve">目标普通波次数</x:t>
  </x:si>
  <x:si>
    <x:t xml:space="preserve">总日数</x:t>
  </x:si>
  <x:si>
    <x:t xml:space="preserve">每日日内波次</x:t>
  </x:si>
  <x:si>
    <x:t xml:space="preserve">Boss 接续于</x:t>
  </x:si>
  <x:si>
    <x:t xml:space="preserve">第12波之后</x:t>
  </x:si>
  <x:si>
    <x:t xml:space="preserve">Boss 日期</x:t>
  </x:si>
  <x:si>
    <x:t xml:space="preserve">Boss 时段</x:t>
  </x:si>
  <x:si>
    <x:t xml:space="preserve">第 1～3 日地下探索行动力（独立输入）</x:t>
  </x:si>
  <x:si>
    <x:t xml:space="preserve">第1日探索 AP</x:t>
  </x:si>
  <x:si>
    <x:t xml:space="preserve">第2日探索 AP</x:t>
  </x:si>
  <x:si>
    <x:t xml:space="preserve">第3日探索 AP</x:t>
  </x:si>
  <x:si>
    <x:t xml:space="preserve">设计完整度</x:t>
  </x:si>
  <x:si>
    <x:t xml:space="preserve">总体状态</x:t>
  </x:si>
  <x:si>
    <x:t xml:space="preserve">敌人目录签名</x:t>
  </x:si>
  <x:si>
    <x:t xml:space="preserve">b1fe8380d773e1597266e16f821f218f409f50807d0f37e8e2cf139bc0c16be8</x:t>
  </x:si>
  <x:si>
    <x:t xml:space="preserve">回读契约</x:t>
  </x:si>
  <x:si>
    <x:t xml:space="preserve">tower_defense_formal / schema v3</x:t>
  </x:si>
  <x:si>
    <x:t xml:space="preserve">注意：本工作簿不会直接修改正式 wave_01～12.tres；Codex 会先校验 JSON 契约并明确审计差异。</x:t>
  </x:si>
  <x:si>
    <x:t xml:space="preserve">第 1 波｜第 1 日·1/4｜白昼｜当前正式配置</x:t>
  </x:si>
  <x:si>
    <x:t xml:space="preserve">波次名称</x:t>
  </x:si>
  <x:si>
    <x:t xml:space="preserve">第1波 林地试探</x:t>
  </x:si>
  <x:si>
    <x:t xml:space="preserve">出生间隔(s)</x:t>
  </x:si>
  <x:si>
    <x:t xml:space="preserve">每Tick</x:t>
  </x:si>
  <x:si>
    <x:t xml:space="preserve">出生点</x:t>
  </x:si>
  <x:si>
    <x:t xml:space="preserve">点1·开启</x:t>
  </x:si>
  <x:si>
    <x:t xml:space="preserve">点2·开启</x:t>
  </x:si>
  <x:si>
    <x:t xml:space="preserve">点3·开启</x:t>
  </x:si>
  <x:si>
    <x:t xml:space="preserve">点4·开启</x:t>
  </x:si>
  <x:si>
    <x:t xml:space="preserve">点5·关闭</x:t>
  </x:si>
  <x:si>
    <x:t xml:space="preserve">点6·关闭</x:t>
  </x:si>
  <x:si>
    <x:t xml:space="preserve">波次校验</x:t>
  </x:si>
  <x:si>
    <x:t xml:space="preserve">仅编辑蓝色列、敌人数值和出生点；所有公式、稳定 ID 与 schema 字段由机器区自动生成。</x:t>
  </x:si>
  <x:si>
    <x:t xml:space="preserve">槽位</x:t>
  </x:si>
  <x:si>
    <x:t xml:space="preserve">敌人（下拉选择）</x:t>
  </x:si>
  <x:si>
    <x:t xml:space="preserve">息壤/击杀</x:t>
  </x:si>
  <x:si>
    <x:t xml:space="preserve">校验</x:t>
  </x:si>
  <x:si>
    <x:t xml:space="preserve">史莱姆</x:t>
  </x:si>
  <x:si>
    <x:t xml:space="preserve">火焰史莱姆</x:t>
  </x:si>
  <x:si>
    <x:t xml:space="preserve">普通原石虫</x:t>
  </x:si>
  <x:si>
    <x:t xml:space="preserve">迅捷原石虫</x:t>
  </x:si>
  <x:si>
    <x:t xml:space="preserve">火焰弹原石虫</x:t>
  </x:si>
  <x:si>
    <x:t xml:space="preserve">基础总数</x:t>
  </x:si>
  <x:si>
    <x:t xml:space="preserve">实际总数</x:t>
  </x:si>
  <x:si>
    <x:t xml:space="preserve">说明</x:t>
  </x:si>
  <x:si>
    <x:t xml:space="preserve">预计息壤 = 实际数量 × 固定息壤 × 击杀率；已移除每日命运倍率。</x:t>
  </x:si>
  <x:si>
    <x:t xml:space="preserve">第 2 波｜第 1 日·2/4｜白昼｜当前正式配置</x:t>
  </x:si>
  <x:si>
    <x:t xml:space="preserve">第2波 迅影与硬壳</x:t>
  </x:si>
  <x:si>
    <x:t xml:space="preserve">硬壳原石虫</x:t>
  </x:si>
  <x:si>
    <x:t xml:space="preserve">寒冰史莱姆</x:t>
  </x:si>
  <x:si>
    <x:t xml:space="preserve">第 3 波｜第 1 日·3/4｜夜晚｜当前正式配置</x:t>
  </x:si>
  <x:si>
    <x:t xml:space="preserve">第3波 火线初现</x:t>
  </x:si>
  <x:si>
    <x:t xml:space="preserve">点5·开启</x:t>
  </x:si>
  <x:si>
    <x:t xml:space="preserve">点6·开启</x:t>
  </x:si>
  <x:si>
    <x:t xml:space="preserve">守护者原石虫</x:t>
  </x:si>
  <x:si>
    <x:t xml:space="preserve">自爆原石虫</x:t>
  </x:si>
  <x:si>
    <x:t xml:space="preserve">绿色史莱姆</x:t>
  </x:si>
  <x:si>
    <x:t xml:space="preserve">紫晶自爆原石虫</x:t>
  </x:si>
  <x:si>
    <x:t xml:space="preserve">第 4 波｜第 1 日·4/4｜夜晚｜当前正式配置</x:t>
  </x:si>
  <x:si>
    <x:t xml:space="preserve">第4波 林地合围</x:t>
  </x:si>
  <x:si>
    <x:t xml:space="preserve">翠壳原石虫</x:t>
  </x:si>
  <x:si>
    <x:t xml:space="preserve">黄金史莱姆</x:t>
  </x:si>
  <x:si>
    <x:t xml:space="preserve">冲锋枪 Capoo</x:t>
  </x:si>
  <x:si>
    <x:t xml:space="preserve">AK猫猫虫</x:t>
  </x:si>
  <x:si>
    <x:t xml:space="preserve">第 5 波｜第 2 日·1/4｜白昼｜当前正式配置</x:t>
  </x:si>
  <x:si>
    <x:t xml:space="preserve">第5波 沼泽先遣</x:t>
  </x:si>
  <x:si>
    <x:t xml:space="preserve">战斗机器人</x:t>
  </x:si>
  <x:si>
    <x:t xml:space="preserve">持枪战斗机器人</x:t>
  </x:si>
  <x:si>
    <x:t xml:space="preserve">法师 Capoo</x:t>
  </x:si>
  <x:si>
    <x:t xml:space="preserve">火焰术士</x:t>
  </x:si>
  <x:si>
    <x:t xml:space="preserve">石头人</x:t>
  </x:si>
  <x:si>
    <x:t xml:space="preserve">第 6 波｜第 2 日·2/4｜白昼｜当前正式配置</x:t>
  </x:si>
  <x:si>
    <x:t xml:space="preserve">第6波 守护阵列</x:t>
  </x:si>
  <x:si>
    <x:t xml:space="preserve">举盾战斗机器人</x:t>
  </x:si>
  <x:si>
    <x:t xml:space="preserve">爆炸无人机操作员</x:t>
  </x:si>
  <x:si>
    <x:t xml:space="preserve">寒冰术士</x:t>
  </x:si>
  <x:si>
    <x:t xml:space="preserve">精英火焰术士</x:t>
  </x:si>
  <x:si>
    <x:t xml:space="preserve">第 7 波｜第 2 日·3/4｜夜晚｜当前正式配置</x:t>
  </x:si>
  <x:si>
    <x:t xml:space="preserve">第7波 紫晶突袭</x:t>
  </x:si>
  <x:si>
    <x:t xml:space="preserve">精英战斗机器人</x:t>
  </x:si>
  <x:si>
    <x:t xml:space="preserve">精英持枪战斗机器人</x:t>
  </x:si>
  <x:si>
    <x:t xml:space="preserve">精英爆炸无人机操作员</x:t>
  </x:si>
  <x:si>
    <x:t xml:space="preserve">忍者战斗机器人</x:t>
  </x:si>
  <x:si>
    <x:t xml:space="preserve">RPG猫猫虫</x:t>
  </x:si>
  <x:si>
    <x:t xml:space="preserve">精英冰霜术士</x:t>
  </x:si>
  <x:si>
    <x:t xml:space="preserve">雷电术士</x:t>
  </x:si>
  <x:si>
    <x:t xml:space="preserve">第 8 波｜第 2 日·4/4｜夜晚｜当前正式配置</x:t>
  </x:si>
  <x:si>
    <x:t xml:space="preserve">第8波 沼泽合围</x:t>
  </x:si>
  <x:si>
    <x:t xml:space="preserve">精英举盾战斗机器人</x:t>
  </x:si>
  <x:si>
    <x:t xml:space="preserve">精英忍者战斗机器人</x:t>
  </x:si>
  <x:si>
    <x:t xml:space="preserve">主战机器人</x:t>
  </x:si>
  <x:si>
    <x:t xml:space="preserve">狙击手 Capoo</x:t>
  </x:si>
  <x:si>
    <x:t xml:space="preserve">精英雷电术士</x:t>
  </x:si>
  <x:si>
    <x:t xml:space="preserve">精英石头人</x:t>
  </x:si>
  <x:si>
    <x:t xml:space="preserve">第 9 波｜第 3 日·1/4｜白昼｜当前正式配置</x:t>
  </x:si>
  <x:si>
    <x:t xml:space="preserve">第9波 城镇前锋</x:t>
  </x:si>
  <x:si>
    <x:t xml:space="preserve">纸箱怪</x:t>
  </x:si>
  <x:si>
    <x:t xml:space="preserve">精英骑士猫猫虫</x:t>
  </x:si>
  <x:si>
    <x:t xml:space="preserve">第 10 波｜第 3 日·2/4｜白昼｜当前正式配置</x:t>
  </x:si>
  <x:si>
    <x:t xml:space="preserve">第10波 火力交叉</x:t>
  </x:si>
  <x:si>
    <x:t xml:space="preserve">第 11 波｜第 3 日·3/4｜夜晚｜当前正式配置</x:t>
  </x:si>
  <x:si>
    <x:t xml:space="preserve">第11波 奥术重装</x:t>
  </x:si>
  <x:si>
    <x:t xml:space="preserve">第 12 波｜第 3 日·4/4｜夜晚｜当前正式配置</x:t>
  </x:si>
  <x:si>
    <x:t xml:space="preserve">第12波 城镇决战</x:t>
  </x:si>
  <x:si>
    <x:t xml:space="preserve">大纸箱怪</x:t>
  </x:si>
  <x:si>
    <x:t xml:space="preserve">第 4 日｜白昼｜铃兰 Boss</x:t>
  </x:si>
  <x:si>
    <x:t xml:space="preserve">流程身份</x:t>
  </x:si>
  <x:si>
    <x:t xml:space="preserve">日期</x:t>
  </x:si>
  <x:si>
    <x:t xml:space="preserve">前置</x:t>
  </x:si>
  <x:si>
    <x:t xml:space="preserve">第12波 + 第3日地下探索</x:t>
  </x:si>
  <x:si>
    <x:t xml:space="preserve">准备</x:t>
  </x:si>
  <x:si>
    <x:t xml:space="preserve">流程节点</x:t>
  </x:si>
  <x:si>
    <x:t xml:space="preserve">boss_01_linglan</x:t>
  </x:si>
  <x:si>
    <x:t xml:space="preserve">Boss ID</x:t>
  </x:si>
  <x:si>
    <x:t xml:space="preserve">linglan_boss</x:t>
  </x:si>
  <x:si>
    <x:t xml:space="preserve">显示名称</x:t>
  </x:si>
  <x:si>
    <x:t xml:space="preserve">普通波次编号</x:t>
  </x:si>
  <x:si>
    <x:t xml:space="preserve">不显示</x:t>
  </x:si>
  <x:si>
    <x:t xml:space="preserve">Boss 配置</x:t>
  </x:si>
  <x:si>
    <x:t xml:space="preserve">res://resources/config/bosses/boss_01_linglan.tres</x:t>
  </x:si>
  <x:si>
    <x:t xml:space="preserve">敌人配置</x:t>
  </x:si>
  <x:si>
    <x:t xml:space="preserve">res://resources/config/enemies/linglan_boss.tres</x:t>
  </x:si>
  <x:si>
    <x:t xml:space="preserve">Boss 音乐</x:t>
  </x:si>
  <x:si>
    <x:t xml:space="preserve">res://resources/audio/BGM_The_Truth_Never_Spoken.mp3</x:t>
  </x:si>
  <x:si>
    <x:t xml:space="preserve">通关条件</x:t>
  </x:si>
  <x:si>
    <x:t xml:space="preserve">铃兰死亡 → 沿用现有胜利流程 → 显示通关
不会再次进入地下探索，也不会进入小葱命运时间。</x:t>
  </x:si>
  <x:si>
    <x:t xml:space="preserve">此页无可编辑波次区域；Boss 数值继续由现有 Boss / Enemy 资源维护。</x:t>
  </x:si>
  <x:si>
    <x:t xml:space="preserve">敌人目录｜63 个普通波次敌人的全局固定配置</x:t>
  </x:si>
  <x:si>
    <x:t xml:space="preserve">敌人目录｜49 个普通波次敌人的全局固定配置</x:t>
  </x:si>
  <x:si>
    <x:t xml:space="preserve">蓝色、金色、绿色与紫色区域可编辑；所有 12 波共同引用本目录，Boss 不在普通波次下拉列表中。</x:t>
  </x:si>
  <x:si>
    <x:t xml:space="preserve">蓝色、金色、绿色与紫色区域均可编辑。每种敌人的数值、息壤和掉落只在此处定义一次，并由所有波次共同引用；波次页不再提供覆盖值。</x:t>
  </x:si>
  <x:si>
    <x:t xml:space="preserve">身份与引用｜只读</x:t>
  </x:si>
  <x:si>
    <x:t xml:space="preserve">战斗数值｜可编辑</x:t>
  </x:si>
  <x:si>
    <x:t xml:space="preserve">击杀奖励｜可编辑</x:t>
  </x:si>
  <x:si>
    <x:t xml:space="preserve">自动计算</x:t>
  </x:si>
  <x:si>
    <x:t xml:space="preserve">材料掉落概率｜每次击杀独立判定</x:t>
  </x:si>
  <x:si>
    <x:t xml:space="preserve">功能道具掉落概率｜每次击杀独立判定</x:t>
  </x:si>
  <x:si>
    <x:t xml:space="preserve">校验与来源｜只读</x:t>
  </x:si>
  <x:si>
    <x:t xml:space="preserve">下拉名称</x:t>
  </x:si>
  <x:si>
    <x:t xml:space="preserve">稳定ID</x:t>
  </x:si>
  <x:si>
    <x:t xml:space="preserve">家族</x:t>
  </x:si>
  <x:si>
    <x:t xml:space="preserve">等级</x:t>
  </x:si>
  <x:si>
    <x:t xml:space="preserve">正式波次已使用</x:t>
  </x:si>
  <x:si>
    <x:t xml:space="preserve">生命</x:t>
  </x:si>
  <x:si>
    <x:t xml:space="preserve">攻击</x:t>
  </x:si>
  <x:si>
    <x:t xml:space="preserve">物理防御</x:t>
  </x:si>
  <x:si>
    <x:t xml:space="preserve">法术防御</x:t>
  </x:si>
  <x:si>
    <x:t xml:space="preserve">移速</x:t>
  </x:si>
  <x:si>
    <x:t xml:space="preserve">Home伤害</x:t>
  </x:si>
  <x:si>
    <x:t xml:space="preserve">掉落期望/击杀</x:t>
  </x:si>
  <x:si>
    <x:t xml:space="preserve">木头</x:t>
  </x:si>
  <x:si>
    <x:t xml:space="preserve">白色水晶</x:t>
  </x:si>
  <x:si>
    <x:t xml:space="preserve">树苗</x:t>
  </x:si>
  <x:si>
    <x:t xml:space="preserve">卡普蓝晶</x:t>
  </x:si>
  <x:si>
    <x:t xml:space="preserve">术士紫晶粉</x:t>
  </x:si>
  <x:si>
    <x:t xml:space="preserve">凝胶</x:t>
  </x:si>
  <x:si>
    <x:t xml:space="preserve">小石块</x:t>
  </x:si>
  <x:si>
    <x:t xml:space="preserve">移速道具</x:t>
  </x:si>
  <x:si>
    <x:t xml:space="preserve">射速道具</x:t>
  </x:si>
  <x:si>
    <x:t xml:space="preserve">天妇罗道具</x:t>
  </x:si>
  <x:si>
    <x:t xml:space="preserve">生命药瓶</x:t>
  </x:si>
  <x:si>
    <x:t xml:space="preserve">雪狼破军</x:t>
  </x:si>
  <x:si>
    <x:t xml:space="preserve">行校验</x:t>
  </x:si>
  <x:si>
    <x:t xml:space="preserve">类别标签</x:t>
  </x:si>
  <x:si>
    <x:t xml:space="preserve">配置路径</x:t>
  </x:si>
  <x:si>
    <x:t xml:space="preserve">场景路径</x:t>
  </x:si>
  <x:si>
    <x:t xml:space="preserve">yuanshi_insect_basic</x:t>
  </x:si>
  <x:si>
    <x:t xml:space="preserve">原石虫</x:t>
  </x:si>
  <x:si>
    <x:t xml:space="preserve">普通</x:t>
  </x:si>
  <x:si>
    <x:t xml:space="preserve">是</x:t>
  </x:si>
  <x:si>
    <x:t xml:space="preserve">yuanshi_insect</x:t>
  </x:si>
  <x:si>
    <x:t xml:space="preserve">res://resources/config/enemies/yuanshi_insect_basic.tres</x:t>
  </x:si>
  <x:si>
    <x:t xml:space="preserve">res://scene/enemy/yuanshi_insect/yuanshi_insect_basic.tscn</x:t>
  </x:si>
  <x:si>
    <x:t xml:space="preserve">yuanshi_insect_shell</x:t>
  </x:si>
  <x:si>
    <x:t xml:space="preserve">res://resources/config/enemies/yuanshi_insect_shell.tres</x:t>
  </x:si>
  <x:si>
    <x:t xml:space="preserve">res://scene/enemy/yuanshi_insect/yuanshi_insect_shell.tscn</x:t>
  </x:si>
  <x:si>
    <x:t xml:space="preserve">yuanshi_insect_fast</x:t>
  </x:si>
  <x:si>
    <x:t xml:space="preserve">res://resources/config/enemies/yuanshi_insect_fast.tres</x:t>
  </x:si>
  <x:si>
    <x:t xml:space="preserve">res://scene/enemy/yuanshi_insect/yuanshi_insect_fast.tscn</x:t>
  </x:si>
  <x:si>
    <x:t xml:space="preserve">yuanshi_insect_bomber</x:t>
  </x:si>
  <x:si>
    <x:t xml:space="preserve">res://resources/config/enemies/yuanshi_insect_bomber.tres</x:t>
  </x:si>
  <x:si>
    <x:t xml:space="preserve">res://scene/enemy/yuanshi_insect/yuanshi_insect_bomber.tscn</x:t>
  </x:si>
  <x:si>
    <x:t xml:space="preserve">yuanshi_insect_purple_bomber</x:t>
  </x:si>
  <x:si>
    <x:t xml:space="preserve">res://resources/config/enemies/yuanshi_insect_purple_bomber.tres</x:t>
  </x:si>
  <x:si>
    <x:t xml:space="preserve">res://scene/enemy/yuanshi_insect/yuanshi_insect_purple_bomber.tscn</x:t>
  </x:si>
  <x:si>
    <x:t xml:space="preserve">yuanshi_insect_green_shell</x:t>
  </x:si>
  <x:si>
    <x:t xml:space="preserve">res://resources/config/enemies/yuanshi_insect_green_shell.tres</x:t>
  </x:si>
  <x:si>
    <x:t xml:space="preserve">res://scene/enemy/yuanshi_insect/yuanshi_insect_green_shell.tscn</x:t>
  </x:si>
  <x:si>
    <x:t xml:space="preserve">yuanshi_insect_fire_ranged</x:t>
  </x:si>
  <x:si>
    <x:t xml:space="preserve">res://resources/config/enemies/yuanshi_insect_fire_ranged.tres</x:t>
  </x:si>
  <x:si>
    <x:t xml:space="preserve">res://scene/enemy/yuanshi_insect/yuanshi_insect_fire_ranged.tscn</x:t>
  </x:si>
  <x:si>
    <x:t xml:space="preserve">yuanshi_insect_guardian</x:t>
  </x:si>
  <x:si>
    <x:t xml:space="preserve">res://resources/config/enemies/yuanshi_insect_guardian.tres</x:t>
  </x:si>
  <x:si>
    <x:t xml:space="preserve">res://scene/enemy/yuanshi_insect/yuanshi_insect_guardian.tscn</x:t>
  </x:si>
  <x:si>
    <x:t xml:space="preserve">被石头侵蚀的普通原石虫</x:t>
  </x:si>
  <x:si>
    <x:t xml:space="preserve">stone_eroded_yuanshi_insect_basic</x:t>
  </x:si>
  <x:si>
    <x:t xml:space="preserve">否</x:t>
  </x:si>
  <x:si>
    <x:t xml:space="preserve">yuanshi_insect, stone_eroded</x:t>
  </x:si>
  <x:si>
    <x:t xml:space="preserve">res://resources/config/enemies/stone_eroded_yuanshi_insect_basic.tres</x:t>
  </x:si>
  <x:si>
    <x:t xml:space="preserve">res://scene/enemy/stone_eroded/stone_eroded_yuanshi_insect_basic.tscn</x:t>
  </x:si>
  <x:si>
    <x:t xml:space="preserve">被石头侵蚀的硬壳原石虫</x:t>
  </x:si>
  <x:si>
    <x:t xml:space="preserve">stone_eroded_yuanshi_insect_shell</x:t>
  </x:si>
  <x:si>
    <x:t xml:space="preserve">res://resources/config/enemies/stone_eroded_yuanshi_insect_shell.tres</x:t>
  </x:si>
  <x:si>
    <x:t xml:space="preserve">res://scene/enemy/stone_eroded/stone_eroded_yuanshi_insect_shell.tscn</x:t>
  </x:si>
  <x:si>
    <x:t xml:space="preserve">被石头侵蚀的迅捷原石虫</x:t>
  </x:si>
  <x:si>
    <x:t xml:space="preserve">stone_eroded_yuanshi_insect_fast</x:t>
  </x:si>
  <x:si>
    <x:t xml:space="preserve">res://resources/config/enemies/stone_eroded_yuanshi_insect_fast.tres</x:t>
  </x:si>
  <x:si>
    <x:t xml:space="preserve">res://scene/enemy/stone_eroded/stone_eroded_yuanshi_insect_fast.tscn</x:t>
  </x:si>
  <x:si>
    <x:t xml:space="preserve">被石头侵蚀的自爆原石虫</x:t>
  </x:si>
  <x:si>
    <x:t xml:space="preserve">stone_eroded_yuanshi_insect_bomber</x:t>
  </x:si>
  <x:si>
    <x:t xml:space="preserve">res://resources/config/enemies/stone_eroded_yuanshi_insect_bomber.tres</x:t>
  </x:si>
  <x:si>
    <x:t xml:space="preserve">res://scene/enemy/stone_eroded/stone_eroded_yuanshi_insect_bomber.tscn</x:t>
  </x:si>
  <x:si>
    <x:t xml:space="preserve">被石头侵蚀的紫晶自爆原石虫</x:t>
  </x:si>
  <x:si>
    <x:t xml:space="preserve">stone_eroded_yuanshi_insect_purple_bomber</x:t>
  </x:si>
  <x:si>
    <x:t xml:space="preserve">res://resources/config/enemies/stone_eroded_yuanshi_insect_purple_bomber.tres</x:t>
  </x:si>
  <x:si>
    <x:t xml:space="preserve">res://scene/enemy/stone_eroded/stone_eroded_yuanshi_insect_purple_bomber.tscn</x:t>
  </x:si>
  <x:si>
    <x:t xml:space="preserve">被石头侵蚀的翠壳原石虫</x:t>
  </x:si>
  <x:si>
    <x:t xml:space="preserve">stone_eroded_yuanshi_insect_green_shell</x:t>
  </x:si>
  <x:si>
    <x:t xml:space="preserve">res://resources/config/enemies/stone_eroded_yuanshi_insect_green_shell.tres</x:t>
  </x:si>
  <x:si>
    <x:t xml:space="preserve">res://scene/enemy/stone_eroded/stone_eroded_yuanshi_insect_green_shell.tscn</x:t>
  </x:si>
  <x:si>
    <x:t xml:space="preserve">被石头侵蚀的火焰弹原石虫</x:t>
  </x:si>
  <x:si>
    <x:t xml:space="preserve">stone_eroded_yuanshi_insect_fire_ranged</x:t>
  </x:si>
  <x:si>
    <x:t xml:space="preserve">res://resources/config/enemies/stone_eroded_yuanshi_insect_fire_ranged.tres</x:t>
  </x:si>
  <x:si>
    <x:t xml:space="preserve">res://scene/enemy/stone_eroded/stone_eroded_yuanshi_insect_fire_ranged.tscn</x:t>
  </x:si>
  <x:si>
    <x:t xml:space="preserve">被石头侵蚀的守护者原石虫</x:t>
  </x:si>
  <x:si>
    <x:t xml:space="preserve">stone_eroded_yuanshi_insect_guardian</x:t>
  </x:si>
  <x:si>
    <x:t xml:space="preserve">res://resources/config/enemies/stone_eroded_yuanshi_insect_guardian.tres</x:t>
  </x:si>
  <x:si>
    <x:t xml:space="preserve">res://scene/enemy/stone_eroded/stone_eroded_yuanshi_insect_guardian.tscn</x:t>
  </x:si>
  <x:si>
    <x:t xml:space="preserve">slime_basic</x:t>
  </x:si>
  <x:si>
    <x:t xml:space="preserve">slime</x:t>
  </x:si>
  <x:si>
    <x:t xml:space="preserve">res://resources/config/enemies/slime.tres</x:t>
  </x:si>
  <x:si>
    <x:t xml:space="preserve">res://scene/enemy/slime/slime_basic.tscn</x:t>
  </x:si>
  <x:si>
    <x:t xml:space="preserve">slime_fire</x:t>
  </x:si>
  <x:si>
    <x:t xml:space="preserve">res://resources/config/enemies/slime_fire.tres</x:t>
  </x:si>
  <x:si>
    <x:t xml:space="preserve">res://scene/enemy/slime/slime_fire.tscn</x:t>
  </x:si>
  <x:si>
    <x:t xml:space="preserve">slime_frost</x:t>
  </x:si>
  <x:si>
    <x:t xml:space="preserve">res://resources/config/enemies/slime_frost.tres</x:t>
  </x:si>
  <x:si>
    <x:t xml:space="preserve">res://scene/enemy/slime/slime_frost.tscn</x:t>
  </x:si>
  <x:si>
    <x:t xml:space="preserve">slime_green</x:t>
  </x:si>
  <x:si>
    <x:t xml:space="preserve">res://resources/config/enemies/slime_green.tres</x:t>
  </x:si>
  <x:si>
    <x:t xml:space="preserve">res://scene/enemy/slime/slime_green.tscn</x:t>
  </x:si>
  <x:si>
    <x:t xml:space="preserve">slime_golden</x:t>
  </x:si>
  <x:si>
    <x:t xml:space="preserve">res://resources/config/enemies/slime_golden.tres</x:t>
  </x:si>
  <x:si>
    <x:t xml:space="preserve">res://scene/enemy/slime/slime_golden.tscn</x:t>
  </x:si>
  <x:si>
    <x:t xml:space="preserve">被石头侵蚀的史莱姆</x:t>
  </x:si>
  <x:si>
    <x:t xml:space="preserve">stone_eroded_slime</x:t>
  </x:si>
  <x:si>
    <x:t xml:space="preserve">slime, stone_eroded</x:t>
  </x:si>
  <x:si>
    <x:t xml:space="preserve">res://resources/config/enemies/stone_eroded_slime.tres</x:t>
  </x:si>
  <x:si>
    <x:t xml:space="preserve">res://scene/enemy/stone_eroded/stone_eroded_slime.tscn</x:t>
  </x:si>
  <x:si>
    <x:t xml:space="preserve">被石头侵蚀的火焰史莱姆</x:t>
  </x:si>
  <x:si>
    <x:t xml:space="preserve">stone_eroded_slime_fire</x:t>
  </x:si>
  <x:si>
    <x:t xml:space="preserve">res://resources/config/enemies/stone_eroded_slime_fire.tres</x:t>
  </x:si>
  <x:si>
    <x:t xml:space="preserve">res://scene/enemy/stone_eroded/stone_eroded_slime_fire.tscn</x:t>
  </x:si>
  <x:si>
    <x:t xml:space="preserve">被石头侵蚀的寒冰史莱姆</x:t>
  </x:si>
  <x:si>
    <x:t xml:space="preserve">stone_eroded_slime_frost</x:t>
  </x:si>
  <x:si>
    <x:t xml:space="preserve">res://resources/config/enemies/stone_eroded_slime_frost.tres</x:t>
  </x:si>
  <x:si>
    <x:t xml:space="preserve">res://scene/enemy/stone_eroded/stone_eroded_slime_frost.tscn</x:t>
  </x:si>
  <x:si>
    <x:t xml:space="preserve">被石头侵蚀的绿色史莱姆</x:t>
  </x:si>
  <x:si>
    <x:t xml:space="preserve">stone_eroded_slime_green</x:t>
  </x:si>
  <x:si>
    <x:t xml:space="preserve">res://resources/config/enemies/stone_eroded_slime_green.tres</x:t>
  </x:si>
  <x:si>
    <x:t xml:space="preserve">res://scene/enemy/stone_eroded/stone_eroded_slime_green.tscn</x:t>
  </x:si>
  <x:si>
    <x:t xml:space="preserve">被石头侵蚀的黄金史莱姆</x:t>
  </x:si>
  <x:si>
    <x:t xml:space="preserve">stone_eroded_slime_golden</x:t>
  </x:si>
  <x:si>
    <x:t xml:space="preserve">res://resources/config/enemies/stone_eroded_slime_golden.tres</x:t>
  </x:si>
  <x:si>
    <x:t xml:space="preserve">res://scene/enemy/stone_eroded/stone_eroded_slime_golden.tscn</x:t>
  </x:si>
  <x:si>
    <x:t xml:space="preserve">骑士猫猫虫</x:t>
  </x:si>
  <x:si>
    <x:t xml:space="preserve">capoo_knight</x:t>
  </x:si>
  <x:si>
    <x:t xml:space="preserve">猫猫虫</x:t>
  </x:si>
  <x:si>
    <x:t xml:space="preserve">capoo</x:t>
  </x:si>
  <x:si>
    <x:t xml:space="preserve">res://resources/config/enemies/capoo_knight.tres</x:t>
  </x:si>
  <x:si>
    <x:t xml:space="preserve">res://scene/enemy/capoo/capoo_knight.tscn</x:t>
  </x:si>
  <x:si>
    <x:t xml:space="preserve">capoo_knight_elite</x:t>
  </x:si>
  <x:si>
    <x:t xml:space="preserve">精英</x:t>
  </x:si>
  <x:si>
    <x:t xml:space="preserve">res://resources/config/enemies/capoo_knight_elite.tres</x:t>
  </x:si>
  <x:si>
    <x:t xml:space="preserve">res://scene/enemy/capoo/capoo_knight_elite.tscn</x:t>
  </x:si>
  <x:si>
    <x:t xml:space="preserve">剑客猫猫虫</x:t>
  </x:si>
  <x:si>
    <x:t xml:space="preserve">capoo_swordsman</x:t>
  </x:si>
  <x:si>
    <x:t xml:space="preserve">res://resources/config/enemies/capoo_swordsman.tres</x:t>
  </x:si>
  <x:si>
    <x:t xml:space="preserve">res://scene/enemy/capoo/capoo_swordsman.tscn</x:t>
  </x:si>
  <x:si>
    <x:t xml:space="preserve">capoo_smg</x:t>
  </x:si>
  <x:si>
    <x:t xml:space="preserve">res://resources/config/enemies/capoo_smg.tres</x:t>
  </x:si>
  <x:si>
    <x:t xml:space="preserve">res://scene/enemy/capoo/capoo_smg.tscn</x:t>
  </x:si>
  <x:si>
    <x:t xml:space="preserve">capoo_ak47</x:t>
  </x:si>
  <x:si>
    <x:t xml:space="preserve">res://resources/config/enemies/capoo_ak47.tres</x:t>
  </x:si>
  <x:si>
    <x:t xml:space="preserve">res://scene/enemy/capoo/capoo_ak47.tscn</x:t>
  </x:si>
  <x:si>
    <x:t xml:space="preserve">capoo_rpg</x:t>
  </x:si>
  <x:si>
    <x:t xml:space="preserve">res://resources/config/enemies/capoo_rpg.tres</x:t>
  </x:si>
  <x:si>
    <x:t xml:space="preserve">res://scene/enemy/capoo/capoo_rpg.tscn</x:t>
  </x:si>
  <x:si>
    <x:t xml:space="preserve">capoo_mage</x:t>
  </x:si>
  <x:si>
    <x:t xml:space="preserve">res://resources/config/enemies/capoo_mage.tres</x:t>
  </x:si>
  <x:si>
    <x:t xml:space="preserve">res://scene/enemy/capoo/capoo_mage.tscn</x:t>
  </x:si>
  <x:si>
    <x:t xml:space="preserve">capoo_sniper</x:t>
  </x:si>
  <x:si>
    <x:t xml:space="preserve">res://resources/config/enemies/capoo_sniper.tres</x:t>
  </x:si>
  <x:si>
    <x:t xml:space="preserve">res://scene/enemy/capoo/capoo_sniper.tscn</x:t>
  </x:si>
  <x:si>
    <x:t xml:space="preserve">被石头侵蚀的骑士猫猫虫</x:t>
  </x:si>
  <x:si>
    <x:t xml:space="preserve">stone_eroded_capoo_knight</x:t>
  </x:si>
  <x:si>
    <x:t xml:space="preserve">capoo, stone_eroded</x:t>
  </x:si>
  <x:si>
    <x:t xml:space="preserve">res://resources/config/enemies/stone_eroded_capoo_knight.tres</x:t>
  </x:si>
  <x:si>
    <x:t xml:space="preserve">res://scene/enemy/stone_eroded/stone_eroded_capoo_knight.tscn</x:t>
  </x:si>
  <x:si>
    <x:t xml:space="preserve">被石头侵蚀的精英骑士猫猫虫</x:t>
  </x:si>
  <x:si>
    <x:t xml:space="preserve">stone_eroded_capoo_knight_elite</x:t>
  </x:si>
  <x:si>
    <x:t xml:space="preserve">res://resources/config/enemies/stone_eroded_capoo_knight_elite.tres</x:t>
  </x:si>
  <x:si>
    <x:t xml:space="preserve">res://scene/enemy/stone_eroded/stone_eroded_capoo_knight_elite.tscn</x:t>
  </x:si>
  <x:si>
    <x:t xml:space="preserve">被石头侵蚀的剑客猫猫虫</x:t>
  </x:si>
  <x:si>
    <x:t xml:space="preserve">stone_eroded_capoo_swordsman</x:t>
  </x:si>
  <x:si>
    <x:t xml:space="preserve">res://resources/config/enemies/stone_eroded_capoo_swordsman.tres</x:t>
  </x:si>
  <x:si>
    <x:t xml:space="preserve">res://scene/enemy/stone_eroded/stone_eroded_capoo_swordsman.tscn</x:t>
  </x:si>
  <x:si>
    <x:t xml:space="preserve">被石头侵蚀的冲锋枪 Capoo</x:t>
  </x:si>
  <x:si>
    <x:t xml:space="preserve">stone_eroded_capoo_smg</x:t>
  </x:si>
  <x:si>
    <x:t xml:space="preserve">res://resources/config/enemies/stone_eroded_capoo_smg.tres</x:t>
  </x:si>
  <x:si>
    <x:t xml:space="preserve">res://scene/enemy/stone_eroded/stone_eroded_capoo_smg.tscn</x:t>
  </x:si>
  <x:si>
    <x:t xml:space="preserve">被石头侵蚀的AK猫猫虫</x:t>
  </x:si>
  <x:si>
    <x:t xml:space="preserve">stone_eroded_capoo_ak47</x:t>
  </x:si>
  <x:si>
    <x:t xml:space="preserve">res://resources/config/enemies/stone_eroded_capoo_ak47.tres</x:t>
  </x:si>
  <x:si>
    <x:t xml:space="preserve">res://scene/enemy/stone_eroded/stone_eroded_capoo_ak47.tscn</x:t>
  </x:si>
  <x:si>
    <x:t xml:space="preserve">被石头侵蚀的RPG猫猫虫</x:t>
  </x:si>
  <x:si>
    <x:t xml:space="preserve">stone_eroded_capoo_rpg</x:t>
  </x:si>
  <x:si>
    <x:t xml:space="preserve">res://resources/config/enemies/stone_eroded_capoo_rpg.tres</x:t>
  </x:si>
  <x:si>
    <x:t xml:space="preserve">res://scene/enemy/stone_eroded/stone_eroded_capoo_rpg.tscn</x:t>
  </x:si>
  <x:si>
    <x:t xml:space="preserve">被石头侵蚀的法师 Capoo</x:t>
  </x:si>
  <x:si>
    <x:t xml:space="preserve">stone_eroded_capoo_mage</x:t>
  </x:si>
  <x:si>
    <x:t xml:space="preserve">res://resources/config/enemies/stone_eroded_capoo_mage.tres</x:t>
  </x:si>
  <x:si>
    <x:t xml:space="preserve">res://scene/enemy/stone_eroded/stone_eroded_capoo_mage.tscn</x:t>
  </x:si>
  <x:si>
    <x:t xml:space="preserve">被石头侵蚀的狙击手 Capoo</x:t>
  </x:si>
  <x:si>
    <x:t xml:space="preserve">stone_eroded_capoo_sniper</x:t>
  </x:si>
  <x:si>
    <x:t xml:space="preserve">res://resources/config/enemies/stone_eroded_capoo_sniper.tres</x:t>
  </x:si>
  <x:si>
    <x:t xml:space="preserve">res://scene/enemy/stone_eroded/stone_eroded_capoo_sniper.tscn</x:t>
  </x:si>
  <x:si>
    <x:t xml:space="preserve">fire_sorcerer</x:t>
  </x:si>
  <x:si>
    <x:t xml:space="preserve">术士</x:t>
  </x:si>
  <x:si>
    <x:t xml:space="preserve">sorcerer</x:t>
  </x:si>
  <x:si>
    <x:t xml:space="preserve">res://resources/config/enemies/fire_sorcerer.tres</x:t>
  </x:si>
  <x:si>
    <x:t xml:space="preserve">res://scene/enemy/sorcerer/fire_sorcerer.tscn</x:t>
  </x:si>
  <x:si>
    <x:t xml:space="preserve">fire_sorcerer_elite</x:t>
  </x:si>
  <x:si>
    <x:t xml:space="preserve">res://resources/config/enemies/fire_sorcerer_elite.tres</x:t>
  </x:si>
  <x:si>
    <x:t xml:space="preserve">res://scene/enemy/sorcerer/fire_sorcerer_elite.tscn</x:t>
  </x:si>
  <x:si>
    <x:t xml:space="preserve">frost_sorcerer</x:t>
  </x:si>
  <x:si>
    <x:t xml:space="preserve">res://resources/config/enemies/frost_sorcerer.tres</x:t>
  </x:si>
  <x:si>
    <x:t xml:space="preserve">res://scene/enemy/sorcerer/frost_sorcerer.tscn</x:t>
  </x:si>
  <x:si>
    <x:t xml:space="preserve">frost_sorcerer_elite</x:t>
  </x:si>
  <x:si>
    <x:t xml:space="preserve">res://resources/config/enemies/frost_sorcerer_elite.tres</x:t>
  </x:si>
  <x:si>
    <x:t xml:space="preserve">res://scene/enemy/sorcerer/frost_sorcerer_elite.tscn</x:t>
  </x:si>
  <x:si>
    <x:t xml:space="preserve">lightning_sorcerer</x:t>
  </x:si>
  <x:si>
    <x:t xml:space="preserve">res://resources/config/enemies/lightning_sorcerer.tres</x:t>
  </x:si>
  <x:si>
    <x:t xml:space="preserve">res://scene/enemy/sorcerer/lightning_sorcerer.tscn</x:t>
  </x:si>
  <x:si>
    <x:t xml:space="preserve">lightning_sorcerer_elite</x:t>
  </x:si>
  <x:si>
    <x:t xml:space="preserve">res://resources/config/enemies/lightning_sorcerer_elite.tres</x:t>
  </x:si>
  <x:si>
    <x:t xml:space="preserve">res://scene/enemy/sorcerer/lightning_sorcerer_elite.tscn</x:t>
  </x:si>
  <x:si>
    <x:t xml:space="preserve">stone_golem</x:t>
  </x:si>
  <x:si>
    <x:t xml:space="preserve">人工造物</x:t>
  </x:si>
  <x:si>
    <x:t xml:space="preserve">artificial_creation</x:t>
  </x:si>
  <x:si>
    <x:t xml:space="preserve">res://resources/config/enemies/stone_golem.tres</x:t>
  </x:si>
  <x:si>
    <x:t xml:space="preserve">res://scene/enemy/artificial_creation/stone_golem.tscn</x:t>
  </x:si>
  <x:si>
    <x:t xml:space="preserve">stone_golem_elite</x:t>
  </x:si>
  <x:si>
    <x:t xml:space="preserve">res://resources/config/enemies/stone_golem_elite.tres</x:t>
  </x:si>
  <x:si>
    <x:t xml:space="preserve">res://scene/enemy/artificial_creation/stone_golem_elite.tscn</x:t>
  </x:si>
  <x:si>
    <x:t xml:space="preserve">cardboard_monster</x:t>
  </x:si>
  <x:si>
    <x:t xml:space="preserve">res://resources/config/enemies/cardboard_monster.tres</x:t>
  </x:si>
  <x:si>
    <x:t xml:space="preserve">res://scene/enemy/artificial_creation/cardboard_monster.tscn</x:t>
  </x:si>
  <x:si>
    <x:t xml:space="preserve">cardboard_monster_large</x:t>
  </x:si>
  <x:si>
    <x:t xml:space="preserve">res://resources/config/enemies/cardboard_monster_large.tres</x:t>
  </x:si>
  <x:si>
    <x:t xml:space="preserve">res://scene/enemy/artificial_creation/cardboard_monster_large.tscn</x:t>
  </x:si>
  <x:si>
    <x:t xml:space="preserve">combat_robot</x:t>
  </x:si>
  <x:si>
    <x:t xml:space="preserve">机械生命</x:t>
  </x:si>
  <x:si>
    <x:t xml:space="preserve">mechanical_life</x:t>
  </x:si>
  <x:si>
    <x:t xml:space="preserve">res://resources/config/enemies/combat_robot.tres</x:t>
  </x:si>
  <x:si>
    <x:t xml:space="preserve">res://scene/enemy/mechanical_life/combat_robot.tscn</x:t>
  </x:si>
  <x:si>
    <x:t xml:space="preserve">combat_robot_elite</x:t>
  </x:si>
  <x:si>
    <x:t xml:space="preserve">res://resources/config/enemies/combat_robot_elite.tres</x:t>
  </x:si>
  <x:si>
    <x:t xml:space="preserve">res://scene/enemy/mechanical_life/combat_robot_elite.tscn</x:t>
  </x:si>
  <x:si>
    <x:t xml:space="preserve">combat_robot_gunner</x:t>
  </x:si>
  <x:si>
    <x:t xml:space="preserve">res://resources/config/enemies/combat_robot_gunner.tres</x:t>
  </x:si>
  <x:si>
    <x:t xml:space="preserve">res://scene/enemy/mechanical_life/combat_robot_gunner.tscn</x:t>
  </x:si>
  <x:si>
    <x:t xml:space="preserve">combat_robot_gunner_elite</x:t>
  </x:si>
  <x:si>
    <x:t xml:space="preserve">res://resources/config/enemies/combat_robot_gunner_elite.tres</x:t>
  </x:si>
  <x:si>
    <x:t xml:space="preserve">res://scene/enemy/mechanical_life/combat_robot_gunner_elite.tscn</x:t>
  </x:si>
  <x:si>
    <x:t xml:space="preserve">combat_robot_drone_operator</x:t>
  </x:si>
  <x:si>
    <x:t xml:space="preserve">res://resources/config/enemies/combat_robot_drone_operator.tres</x:t>
  </x:si>
  <x:si>
    <x:t xml:space="preserve">res://scene/enemy/mechanical_life/combat_robot_drone_operator.tscn</x:t>
  </x:si>
  <x:si>
    <x:t xml:space="preserve">combat_robot_drone_operator_elite</x:t>
  </x:si>
  <x:si>
    <x:t xml:space="preserve">res://resources/config/enemies/combat_robot_drone_operator_elite.tres</x:t>
  </x:si>
  <x:si>
    <x:t xml:space="preserve">res://scene/enemy/mechanical_life/combat_robot_drone_operator_elite.tscn</x:t>
  </x:si>
  <x:si>
    <x:t xml:space="preserve">combat_robot_shield_bearer</x:t>
  </x:si>
  <x:si>
    <x:t xml:space="preserve">res://resources/config/enemies/combat_robot_shield_bearer.tres</x:t>
  </x:si>
  <x:si>
    <x:t xml:space="preserve">res://scene/enemy/mechanical_life/combat_robot_shield_bearer.tscn</x:t>
  </x:si>
  <x:si>
    <x:t xml:space="preserve">combat_robot_shield_bearer_elite</x:t>
  </x:si>
  <x:si>
    <x:t xml:space="preserve">res://resources/config/enemies/combat_robot_shield_bearer_elite.tres</x:t>
  </x:si>
  <x:si>
    <x:t xml:space="preserve">res://scene/enemy/mechanical_life/combat_robot_shield_bearer_elite.tscn</x:t>
  </x:si>
  <x:si>
    <x:t xml:space="preserve">combat_robot_ninja</x:t>
  </x:si>
  <x:si>
    <x:t xml:space="preserve">res://resources/config/enemies/combat_robot_ninja.tres</x:t>
  </x:si>
  <x:si>
    <x:t xml:space="preserve">res://scene/enemy/mechanical_life/combat_robot_ninja.tscn</x:t>
  </x:si>
  <x:si>
    <x:t xml:space="preserve">combat_robot_ninja_elite</x:t>
  </x:si>
  <x:si>
    <x:t xml:space="preserve">res://resources/config/enemies/combat_robot_ninja_elite.tres</x:t>
  </x:si>
  <x:si>
    <x:t xml:space="preserve">res://scene/enemy/mechanical_life/combat_robot_ninja_elite.tscn</x:t>
  </x:si>
  <x:si>
    <x:t xml:space="preserve">combat_robot_main_battle_elite</x:t>
  </x:si>
  <x:si>
    <x:t xml:space="preserve">res://resources/config/enemies/combat_robot_main_battle_elite.tres</x:t>
  </x:si>
  <x:si>
    <x:t xml:space="preserve">res://scene/enemy/mechanical_life/combat_robot_main_battle_elite.tscn</x:t>
  </x:si>
  <x:si>
    <x:t xml:space="preserve">敌人导入数据｜schema v3｜机器读取区域，请勿编辑</x:t>
  </x:si>
  <x:si>
    <x:t xml:space="preserve">schema_version</x:t>
  </x:si>
  <x:si>
    <x:t xml:space="preserve">workbook_id</x:t>
  </x:si>
  <x:si>
    <x:t xml:space="preserve">tower_defense_4_day_campaign_designer_v3</x:t>
  </x:si>
  <x:si>
    <x:t xml:space="preserve">enemy_count</x:t>
  </x:si>
  <x:si>
    <x:t xml:space="preserve">source</x:t>
  </x:si>
  <x:si>
    <x:t xml:space="preserve">敌人目录</x:t>
  </x:si>
  <x:si>
    <x:t xml:space="preserve">enemy_id</x:t>
  </x:si>
  <x:si>
    <x:t xml:space="preserve">max_health</x:t>
  </x:si>
  <x:si>
    <x:t xml:space="preserve">attack_damage</x:t>
  </x:si>
  <x:si>
    <x:t xml:space="preserve">physical_defense</x:t>
  </x:si>
  <x:si>
    <x:t xml:space="preserve">magic_defense</x:t>
  </x:si>
  <x:si>
    <x:t xml:space="preserve">move_speed</x:t>
  </x:si>
  <x:si>
    <x:t xml:space="preserve">home_damage</x:t>
  </x:si>
  <x:si>
    <x:t xml:space="preserve">xirang_kill_reward</x:t>
  </x:si>
  <x:si>
    <x:t xml:space="preserve">material_wood</x:t>
  </x:si>
  <x:si>
    <x:t xml:space="preserve">material_white_crystal</x:t>
  </x:si>
  <x:si>
    <x:t xml:space="preserve">material_sapling</x:t>
  </x:si>
  <x:si>
    <x:t xml:space="preserve">material_capoo_blue_crystal</x:t>
  </x:si>
  <x:si>
    <x:t xml:space="preserve">material_sorcerer_violet_powder</x:t>
  </x:si>
  <x:si>
    <x:t xml:space="preserve">material_gel</x:t>
  </x:si>
  <x:si>
    <x:t xml:space="preserve">material_small_stone</x:t>
  </x:si>
  <x:si>
    <x:t xml:space="preserve">pickup_speed</x:t>
  </x:si>
  <x:si>
    <x:t xml:space="preserve">pickup_rapid</x:t>
  </x:si>
  <x:si>
    <x:t xml:space="preserve">pickup_tenpura</x:t>
  </x:si>
  <x:si>
    <x:t xml:space="preserve">pickup_health</x:t>
  </x:si>
  <x:si>
    <x:t xml:space="preserve">pickup_spiral</x:t>
  </x:si>
  <x:si>
    <x:t xml:space="preserve">expected_drop_count_per_kill</x:t>
  </x:si>
  <x:si>
    <x:t xml:space="preserve">row_validation</x:t>
  </x:si>
  <x:si>
    <x:t xml:space="preserve">config_path</x:t>
  </x:si>
  <x:si>
    <x:t xml:space="preserve">12 波导入数据｜schema v3｜机器读取区域，请勿编辑</x:t>
  </x:si>
  <x:si>
    <x:t xml:space="preserve">target_wave_count</x:t>
  </x:si>
  <x:si>
    <x:t xml:space="preserve">day_count</x:t>
  </x:si>
  <x:si>
    <x:t xml:space="preserve">boss_after_wave</x:t>
  </x:si>
  <x:si>
    <x:t xml:space="preserve">boss_day</x:t>
  </x:si>
  <x:si>
    <x:t xml:space="preserve">wave_id</x:t>
  </x:si>
  <x:si>
    <x:t xml:space="preserve">wave_number</x:t>
  </x:si>
  <x:si>
    <x:t xml:space="preserve">day</x:t>
  </x:si>
  <x:si>
    <x:t xml:space="preserve">wave_in_day</x:t>
  </x:si>
  <x:si>
    <x:t xml:space="preserve">period</x:t>
  </x:si>
  <x:si>
    <x:t xml:space="preserve">display_name</x:t>
  </x:si>
  <x:si>
    <x:t xml:space="preserve">spawn_point_mask</x:t>
  </x:si>
  <x:si>
    <x:t xml:space="preserve">spawn_interval</x:t>
  </x:si>
  <x:si>
    <x:t xml:space="preserve">spawn_count_per_tick</x:t>
  </x:si>
  <x:si>
    <x:t xml:space="preserve">max_alive_enemies</x:t>
  </x:si>
  <x:si>
    <x:t xml:space="preserve">music_path</x:t>
  </x:si>
  <x:si>
    <x:t xml:space="preserve">post_wave_music_path</x:t>
  </x:si>
  <x:si>
    <x:t xml:space="preserve">is_placeholder</x:t>
  </x:si>
  <x:si>
    <x:t xml:space="preserve">enemy_slot</x:t>
  </x:si>
  <x:si>
    <x:t xml:space="preserve">count</x:t>
  </x:si>
  <x:si>
    <x:t xml:space="preserve">xirang_kill_reward_override</x:t>
  </x:si>
  <x:si>
    <x:t xml:space="preserve">wave_01</x:t>
  </x:si>
  <x:si>
    <x:t xml:space="preserve">res://resources/audio/shenmu_forest_combat.ogg</x:t>
  </x:si>
  <x:si>
    <x:t xml:space="preserve">res://resources/audio/shenmu_forest_intermission.ogg</x:t>
  </x:si>
  <x:si>
    <x:t xml:space="preserve">wave_02</x:t>
  </x:si>
  <x:si>
    <x:t xml:space="preserve">wave_03</x:t>
  </x:si>
  <x:si>
    <x:t xml:space="preserve">wave_04</x:t>
  </x:si>
  <x:si>
    <x:t xml:space="preserve">wave_05</x:t>
  </x:si>
  <x:si>
    <x:t xml:space="preserve">res://resources/audio/shenmu_swamp_combat.ogg</x:t>
  </x:si>
  <x:si>
    <x:t xml:space="preserve">res://resources/audio/shenmu_swamp_intermission.ogg</x:t>
  </x:si>
  <x:si>
    <x:t xml:space="preserve">wave_06</x:t>
  </x:si>
  <x:si>
    <x:t xml:space="preserve">wave_07</x:t>
  </x:si>
  <x:si>
    <x:t xml:space="preserve">wave_08</x:t>
  </x:si>
  <x:si>
    <x:t xml:space="preserve">wave_09</x:t>
  </x:si>
  <x:si>
    <x:t xml:space="preserve">res://resources/audio/shenmu_town_combat.ogg</x:t>
  </x:si>
  <x:si>
    <x:t xml:space="preserve">res://resources/audio/shenmu_town_intermission.ogg</x:t>
  </x:si>
  <x:si>
    <x:t xml:space="preserve">wave_10</x:t>
  </x:si>
  <x:si>
    <x:t xml:space="preserve">wave_11</x:t>
  </x:si>
  <x:si>
    <x:t xml:space="preserve">wave_12</x:t>
  </x:si>
  <x:si>
    <x:t xml:space="preserve">四日战役系统契约｜schema v3｜机器读取区域，请勿编辑</x:t>
  </x:si>
  <x:si>
    <x:t xml:space="preserve">字段</x:t>
  </x:si>
  <x:si>
    <x:t xml:space="preserve">值1</x:t>
  </x:si>
  <x:si>
    <x:t xml:space="preserve">值2</x:t>
  </x:si>
  <x:si>
    <x:t xml:space="preserve">值3</x:t>
  </x:si>
  <x:si>
    <x:t xml:space="preserve">campaign_id</x:t>
  </x:si>
  <x:si>
    <x:t xml:space="preserve">tower_defense_formal</x:t>
  </x:si>
  <x:si>
    <x:t xml:space="preserve">catalog_sha256</x:t>
  </x:si>
  <x:si>
    <x:t xml:space="preserve">6367b5144b48b5456fe9952644349906ccac3a23929b25b5a8b5304df1f00bb8</x:t>
  </x:si>
  <x:si>
    <x:t xml:space="preserve">waves_per_day</x:t>
  </x:si>
  <x:si>
    <x:t xml:space="preserve">boss_period</x:t>
  </x:si>
  <x:si>
    <x:t xml:space="preserve">daily_rogue_action_points</x:t>
  </x:si>
  <x:si>
    <x:t xml:space="preserve">boss_id</x:t>
  </x:si>
  <x:si>
    <x:t xml:space="preserve">boss_step_id</x:t>
  </x:si>
  <x:si>
    <x:t xml:space="preserve">boss_config_path</x:t>
  </x:si>
  <x:si>
    <x:t xml:space="preserve">progression_config_path</x:t>
  </x:si>
  <x:si>
    <x:t xml:space="preserve">res://resources/config/campaigns/tower_defense/formal_progression.tres</x:t>
  </x:si>
  <x:si>
    <x:t xml:space="preserve">flow_config_paths</x:t>
  </x:si>
  <x:si>
    <x:t xml:space="preserve">res://resources/config/campaigns/tower_defense/singleplayer/flow.tres</x:t>
  </x:si>
  <x:si>
    <x:t xml:space="preserve">res://resources/config/campaigns/tower_defense/multiplayer/flow.tres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</x:si>
</x:sst>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16">
    <x:font>
      <x:sz val="11"/>
      <x:name val="Carlito"/>
    </x:font>
    <x:font>
      <x:b/>
      <x:sz val="11"/>
      <x:color rgb="FFFFFFFF"/>
      <x:name val="Microsoft YaHei"/>
    </x:font>
    <x:font>
      <x:b/>
      <x:sz val="11"/>
      <x:color rgb="FF8A5A00"/>
      <x:name val="Microsoft YaHei"/>
    </x:font>
    <x:font>
      <x:b/>
      <x:sz val="11"/>
      <x:color rgb="FF1C7F7B"/>
      <x:name val="Microsoft YaHei"/>
    </x:font>
    <x:font>
      <x:sz val="11"/>
      <x:color rgb="FF172B35"/>
      <x:name val="Microsoft YaHei"/>
    </x:font>
    <x:font>
      <x:b/>
      <x:sz val="11"/>
      <x:color rgb="FF172B35"/>
      <x:name val="Microsoft YaHei"/>
    </x:font>
    <x:font>
      <x:b/>
      <x:sz val="11"/>
      <x:color rgb="FF3C315F"/>
      <x:name val="Microsoft YaHei"/>
    </x:font>
    <x:font>
      <x:b/>
      <x:sz val="11"/>
      <x:color rgb="FFB3261E"/>
      <x:name val="Microsoft YaHei"/>
    </x:font>
    <x:font>
      <x:sz val="11"/>
      <x:color rgb="FF1C7F7B"/>
      <x:name val="Microsoft YaHei"/>
    </x:font>
    <x:font>
      <x:sz val="11"/>
      <x:color rgb="FF8A5A00"/>
      <x:name val="Microsoft YaHei"/>
    </x:font>
    <x:font>
      <x:sz val="11"/>
      <x:color rgb="FF3C315F"/>
      <x:name val="Microsoft YaHei"/>
    </x:font>
    <x:font>
      <x:sz val="11"/>
      <x:name val="Carlito"/>
    </x:font>
    <x:font>
      <x:sz val="9"/>
      <x:name val="宋体"/>
    </x:font>
    <x:font>
      <x:sz val="11"/>
      <x:color rgb="FF172B35"/>
      <x:name val="Carlito"/>
    </x:font>
    <x:font>
      <x:b/>
      <x:sz val="11"/>
      <x:color rgb="FF3C315F"/>
      <x:name val="Carlito"/>
    </x:font>
    <x:font>
      <x:b/>
      <x:sz val="11"/>
      <x:color rgb="FF172B35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102A35"/>
      </x:patternFill>
    </x:fill>
    <x:fill>
      <x:patternFill patternType="solid">
        <x:fgColor rgb="FFFFF2CC"/>
      </x:patternFill>
    </x:fill>
    <x:fill>
      <x:patternFill patternType="solid">
        <x:fgColor rgb="FF1C7F7B"/>
      </x:patternFill>
    </x:fill>
    <x:fill>
      <x:patternFill patternType="solid">
        <x:fgColor rgb="FFD9F0EE"/>
      </x:patternFill>
    </x:fill>
    <x:fill>
      <x:patternFill patternType="solid">
        <x:fgColor rgb="FFFFFFFF"/>
      </x:patternFill>
    </x:fill>
    <x:fill>
      <x:patternFill patternType="solid">
        <x:fgColor rgb="FFD9EEF8"/>
      </x:patternFill>
    </x:fill>
    <x:fill>
      <x:patternFill patternType="solid">
        <x:fgColor rgb="FF3C315F"/>
      </x:patternFill>
    </x:fill>
    <x:fill>
      <x:patternFill patternType="solid">
        <x:fgColor rgb="FFEDE7F6"/>
      </x:patternFill>
    </x:fill>
    <x:fill>
      <x:patternFill patternType="solid">
        <x:fgColor rgb="FFFCE4E4"/>
      </x:patternFill>
    </x:fill>
    <x:fill>
      <x:patternFill patternType="solid">
        <x:fgColor rgb="FFEEF2F6"/>
      </x:patternFill>
    </x:fill>
    <x:fill>
      <x:patternFill patternType="solid">
        <x:fgColor rgb="FFD18B12"/>
      </x:patternFill>
    </x:fill>
    <x:fill>
      <x:patternFill patternType="solid">
        <x:fgColor rgb="FFE2F0D9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  <x:fill>
      <x:patternFill patternType="solid">
        <x:fgColor rgb="FFEDE7F6"/>
      </x:patternFill>
    </x:fill>
    <x:fill>
      <x:patternFill patternType="solid">
        <x:fgColor rgb="FFD9EEF8"/>
      </x:patternFill>
    </x:fill>
    <x:fill>
      <x:patternFill patternType="solid">
        <x:fgColor rgb="FFEEF2F6"/>
      </x:patternFill>
    </x:fill>
  </x:fills>
  <x:borders count="2">
    <x:border/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</x:borders>
  <x:cellStyleXfs count="2">
    <x:xf numFmtId="0" fontId="0" fillId="0" borderId="0"/>
    <x:xf numFmtId="0" fontId="11" fillId="0" borderId="0"/>
  </x:cellStyleXfs>
  <x:cellXfs count="67">
    <x:xf numFmtId="0" fontId="0" fillId="0" borderId="0" xfId="0"/>
    <x:xf numFmtId="0" fontId="3" fillId="5" borderId="1" xfId="1" applyFont="1" applyFill="1" applyBorder="1" applyAlignment="1">
      <x:alignment horizontal="center" vertical="center"/>
    </x:xf>
    <x:xf numFmtId="0" fontId="4" fillId="6" borderId="1" xfId="1" applyFont="1" applyFill="1" applyBorder="1" applyAlignment="1">
      <x:alignment horizontal="left" vertical="center" wrapText="1"/>
    </x:xf>
    <x:xf numFmtId="0" fontId="5" fillId="7" borderId="1" xfId="1" applyFont="1" applyFill="1" applyBorder="1" applyAlignment="1">
      <x:alignment horizontal="left" vertical="center"/>
    </x:xf>
    <x:xf numFmtId="0" fontId="4" fillId="6" borderId="1" xfId="1" applyFont="1" applyFill="1" applyBorder="1" applyAlignment="1">
      <x:alignment horizontal="left" vertical="center"/>
    </x:xf>
    <x:xf numFmtId="0" fontId="6" fillId="9" borderId="1" xfId="1" applyFont="1" applyFill="1" applyBorder="1" applyAlignment="1">
      <x:alignment horizontal="left" vertical="center"/>
    </x:xf>
    <x:xf numFmtId="0" fontId="1" fillId="4" borderId="1" xfId="1" applyFont="1" applyFill="1" applyBorder="1" applyAlignment="1">
      <x:alignment horizontal="center" vertical="center" wrapText="1"/>
    </x:xf>
    <x:xf numFmtId="0" fontId="4" fillId="7" borderId="1" xfId="1" applyFont="1" applyFill="1" applyBorder="1" applyAlignment="1">
      <x:alignment horizontal="right" vertical="center"/>
    </x:xf>
    <x:xf numFmtId="0" fontId="4" fillId="11" borderId="1" xfId="1" applyFont="1" applyFill="1" applyBorder="1" applyAlignment="1">
      <x:alignment horizontal="right" vertical="center"/>
    </x:xf>
    <x:xf numFmtId="9" fontId="4" fillId="7" borderId="1" xfId="1" applyNumberFormat="1" applyFont="1" applyFill="1" applyBorder="1" applyAlignment="1">
      <x:alignment horizontal="right" vertical="center"/>
    </x:xf>
    <x:xf numFmtId="0" fontId="4" fillId="9" borderId="1" xfId="1" applyFont="1" applyFill="1" applyBorder="1" applyAlignment="1">
      <x:alignment horizontal="center" vertical="center"/>
    </x:xf>
    <x:xf numFmtId="0" fontId="4" fillId="7" borderId="1" xfId="1" applyFont="1" applyFill="1" applyBorder="1" applyAlignment="1">
      <x:alignment horizontal="center" vertical="center"/>
    </x:xf>
    <x:xf numFmtId="0" fontId="6" fillId="7" borderId="1" xfId="1" applyFont="1" applyFill="1" applyBorder="1" applyAlignment="1">
      <x:alignment horizontal="center" vertical="center"/>
    </x:xf>
    <x:xf numFmtId="0" fontId="4" fillId="11" borderId="1" xfId="1" applyFont="1" applyFill="1" applyBorder="1" applyAlignment="1">
      <x:alignment horizontal="left" vertical="center"/>
    </x:xf>
    <x:xf numFmtId="0" fontId="4" fillId="7" borderId="1" xfId="1" applyFont="1" applyFill="1" applyBorder="1" applyAlignment="1">
      <x:alignment horizontal="left" vertical="center"/>
    </x:xf>
    <x:xf numFmtId="0" fontId="4" fillId="11" borderId="1" xfId="1" applyFont="1" applyFill="1" applyBorder="1" applyAlignment="1">
      <x:alignment horizontal="center" vertical="center"/>
    </x:xf>
    <x:xf numFmtId="0" fontId="4" fillId="6" borderId="1" xfId="1" applyFont="1" applyFill="1" applyBorder="1" applyAlignment="1">
      <x:alignment horizontal="center" vertical="center"/>
    </x:xf>
    <x:xf numFmtId="0" fontId="4" fillId="3" borderId="1" xfId="1" applyFont="1" applyFill="1" applyBorder="1" applyAlignment="1">
      <x:alignment horizontal="right" vertical="center"/>
    </x:xf>
    <x:xf numFmtId="0" fontId="1" fillId="12" borderId="1" xfId="1" applyFont="1" applyFill="1" applyBorder="1" applyAlignment="1">
      <x:alignment horizontal="center" vertical="center" wrapText="1"/>
    </x:xf>
    <x:xf numFmtId="0" fontId="1" fillId="8" borderId="1" xfId="1" applyFont="1" applyFill="1" applyBorder="1" applyAlignment="1">
      <x:alignment horizontal="center" vertical="center" wrapText="1"/>
    </x:xf>
    <x:xf numFmtId="0" fontId="1" fillId="2" borderId="1" xfId="1" applyFont="1" applyFill="1" applyBorder="1" applyAlignment="1">
      <x:alignment horizontal="center" vertical="center" wrapText="1"/>
    </x:xf>
    <x:xf numFmtId="176" fontId="4" fillId="13" borderId="1" xfId="1" applyNumberFormat="1" applyFont="1" applyFill="1" applyBorder="1" applyAlignment="1">
      <x:alignment horizontal="right" vertical="center"/>
    </x:xf>
    <x:xf numFmtId="176" fontId="4" fillId="9" borderId="1" xfId="1" applyNumberFormat="1" applyFont="1" applyFill="1" applyBorder="1" applyAlignment="1">
      <x:alignment horizontal="right" vertical="center"/>
    </x:xf>
    <x:xf numFmtId="0" fontId="5" fillId="11" borderId="1" xfId="1" applyFont="1" applyFill="1" applyBorder="1" applyAlignment="1">
      <x:alignment horizontal="left" vertical="center"/>
    </x:xf>
    <x:xf numFmtId="0" fontId="4" fillId="11" borderId="1" xfId="1" applyFont="1" applyFill="1" applyBorder="1" applyAlignment="1">
      <x:alignment horizontal="left" vertical="center" wrapText="1"/>
    </x:xf>
    <x:xf numFmtId="0" fontId="4" fillId="14" borderId="1" xfId="1" applyFont="1" applyFill="1" applyBorder="1" applyAlignment="1">
      <x:alignment horizontal="left" vertical="center"/>
    </x:xf>
    <x:xf numFmtId="0" fontId="4" fillId="15" borderId="1" xfId="1" applyFont="1" applyFill="1" applyBorder="1" applyAlignment="1">
      <x:alignment horizontal="right" vertical="center"/>
    </x:xf>
    <x:xf numFmtId="0" fontId="4" fillId="16" borderId="1" xfId="1" applyFont="1" applyFill="1" applyBorder="1" applyAlignment="1">
      <x:alignment horizontal="right" vertical="center"/>
    </x:xf>
    <x:xf numFmtId="176" fontId="4" fillId="17" borderId="1" xfId="1" applyNumberFormat="1" applyFont="1" applyFill="1" applyBorder="1" applyAlignment="1">
      <x:alignment horizontal="right" vertical="center"/>
    </x:xf>
    <x:xf numFmtId="176" fontId="4" fillId="18" borderId="1" xfId="1" applyNumberFormat="1" applyFont="1" applyFill="1" applyBorder="1" applyAlignment="1">
      <x:alignment horizontal="right" vertical="center"/>
    </x:xf>
    <x:xf numFmtId="0" fontId="7" fillId="10" borderId="1" xfId="1" applyFont="1" applyFill="1" applyBorder="1" applyAlignment="1">
      <x:alignment horizontal="left" vertical="center" wrapText="1"/>
    </x:xf>
    <x:xf numFmtId="0" fontId="1" fillId="2" borderId="0" xfId="1" applyFont="1" applyFill="1" applyAlignment="1">
      <x:alignment vertical="center"/>
    </x:xf>
    <x:xf numFmtId="0" fontId="2" fillId="3" borderId="1" xfId="1" applyFont="1" applyFill="1" applyBorder="1" applyAlignment="1">
      <x:alignment horizontal="left" vertical="center" wrapText="1"/>
    </x:xf>
    <x:xf numFmtId="0" fontId="1" fillId="4" borderId="0" xfId="1" applyFont="1" applyFill="1" applyAlignment="1">
      <x:alignment vertical="center"/>
    </x:xf>
    <x:xf numFmtId="0" fontId="1" fillId="8" borderId="0" xfId="1" applyFont="1" applyFill="1" applyAlignment="1">
      <x:alignment vertical="center"/>
    </x:xf>
    <x:xf numFmtId="0" fontId="6" fillId="9" borderId="1" xfId="1" applyFont="1" applyFill="1" applyBorder="1" applyAlignment="1">
      <x:alignment horizontal="center" vertical="center" wrapText="1"/>
    </x:xf>
    <x:xf numFmtId="0" fontId="8" fillId="5" borderId="1" xfId="1" applyFont="1" applyFill="1" applyBorder="1" applyAlignment="1">
      <x:alignment horizontal="left" vertical="center" wrapText="1"/>
    </x:xf>
    <x:xf numFmtId="3" fontId="5" fillId="11" borderId="1" xfId="1" applyNumberFormat="1" applyFont="1" applyFill="1" applyBorder="1" applyAlignment="1">
      <x:alignment horizontal="center" vertical="center"/>
    </x:xf>
    <x:xf numFmtId="0" fontId="9" fillId="3" borderId="1" xfId="1" applyFont="1" applyFill="1" applyBorder="1" applyAlignment="1">
      <x:alignment horizontal="left" vertical="center" wrapText="1"/>
    </x:xf>
    <x:xf numFmtId="0" fontId="10" fillId="9" borderId="1" xfId="1" applyFont="1" applyFill="1" applyBorder="1" applyAlignment="1">
      <x:alignment horizontal="left" vertical="center" wrapText="1"/>
    </x:xf>
    <x:xf numFmtId="0" fontId="4" fillId="6" borderId="1" xfId="1" applyFont="1" applyFill="1" applyBorder="1" applyAlignment="1">
      <x:alignment horizontal="left" vertical="center"/>
    </x:xf>
    <x:xf numFmtId="0" fontId="4" fillId="7" borderId="1" xfId="1" applyFont="1" applyFill="1" applyBorder="1" applyAlignment="1">
      <x:alignment horizontal="left" vertical="center"/>
    </x:xf>
    <x:xf numFmtId="0" fontId="3" fillId="5" borderId="1" xfId="1" applyFont="1" applyFill="1" applyBorder="1" applyAlignment="1">
      <x:alignment horizontal="center" vertical="center" wrapText="1"/>
    </x:xf>
    <x:xf numFmtId="0" fontId="10" fillId="9" borderId="1" xfId="1" applyFont="1" applyFill="1" applyBorder="1" applyAlignment="1">
      <x:alignment horizontal="center" vertical="center" wrapText="1"/>
    </x:xf>
    <x:xf numFmtId="0" fontId="4" fillId="11" borderId="1" xfId="1" applyFont="1" applyFill="1" applyBorder="1" applyAlignment="1">
      <x:alignment horizontal="left" vertical="center"/>
    </x:xf>
    <x:xf numFmtId="0" fontId="1" fillId="8" borderId="1" xfId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1" xfId="0" applyNumberFormat="1" applyFont="1" applyFill="1" applyBorder="1"/>
    <x:xf numFmtId="0" fontId="13" fillId="19" borderId="1" xfId="0" applyNumberFormat="1" applyFont="1" applyFill="1" applyBorder="1" applyAlignment="1">
      <x:alignment horizontal="center"/>
    </x:xf>
    <x:xf numFmtId="0" fontId="13" fillId="19" borderId="1" xfId="0" applyNumberFormat="1" applyFont="1" applyFill="1" applyBorder="1" applyAlignment="1">
      <x:alignment horizontal="center" vertical="center"/>
    </x:xf>
    <x:xf numFmtId="200" fontId="0" fillId="20" borderId="0" xfId="0" applyNumberFormat="1" applyFont="1" applyFill="1" applyBorder="1"/>
    <x:xf numFmtId="200" fontId="14" fillId="20" borderId="0" xfId="0" applyNumberFormat="1" applyFont="1" applyFill="1" applyBorder="1"/>
    <x:xf numFmtId="200" fontId="14" fillId="20" borderId="1" xfId="0" applyNumberFormat="1" applyFont="1" applyFill="1" applyBorder="1"/>
    <x:xf numFmtId="200" fontId="14" fillId="20" borderId="1" xfId="0" applyNumberFormat="1" applyFont="1" applyFill="1" applyBorder="1" applyAlignment="1">
      <x:alignment horizontal="center"/>
    </x:xf>
    <x:xf numFmtId="200" fontId="14" fillId="20" borderId="1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1" xfId="0" applyNumberFormat="1" applyFont="1" applyFill="1" applyBorder="1"/>
    <x:xf numFmtId="0" fontId="15" fillId="21" borderId="1" xfId="0" applyNumberFormat="1" applyFont="1" applyFill="1" applyBorder="1" applyAlignment="1">
      <x:alignment horizontal="left"/>
    </x:xf>
    <x:xf numFmtId="0" fontId="15" fillId="21" borderId="1" xfId="0" applyNumberFormat="1" applyFont="1" applyFill="1" applyBorder="1" applyAlignment="1">
      <x:alignment horizontal="left" vertical="center"/>
    </x:xf>
    <x:xf numFmtId="0" fontId="13" fillId="21" borderId="0" xfId="0" applyNumberFormat="1" applyFont="1" applyFill="1" applyBorder="1"/>
    <x:xf numFmtId="0" fontId="13" fillId="21" borderId="1" xfId="0" applyNumberFormat="1" applyFont="1" applyFill="1" applyBorder="1"/>
    <x:xf numFmtId="200" fontId="13" fillId="21" borderId="1" xfId="0" applyNumberFormat="1" applyFont="1" applyFill="1" applyBorder="1"/>
    <x:xf numFmtId="200" fontId="13" fillId="21" borderId="1" xfId="0" applyNumberFormat="1" applyFont="1" applyFill="1" applyBorder="1" applyAlignment="1">
      <x:alignment horizontal="center"/>
    </x:xf>
    <x:xf numFmtId="200" fontId="13" fillId="21" borderId="1" xfId="0" applyNumberFormat="1" applyFont="1" applyFill="1" applyBorder="1" applyAlignment="1">
      <x:alignment horizontal="center"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5d0b7b3332472f" /><Relationship Type="http://schemas.openxmlformats.org/officeDocument/2006/relationships/theme" Target="/xl/theme/theme1.xml" Id="R0d8e8827f7e14546" /><Relationship Type="http://schemas.openxmlformats.org/officeDocument/2006/relationships/sharedStrings" Target="/xl/sharedStrings.xml" Id="R61a29b8c3a5544cc" /><Relationship Type="http://schemas.openxmlformats.org/officeDocument/2006/relationships/worksheet" Target="/xl/worksheets/sheet1.xml" Id="Rb96a82d215e24a8a" /><Relationship Type="http://schemas.openxmlformats.org/officeDocument/2006/relationships/worksheet" Target="/xl/worksheets/sheet2.xml" Id="R36d0ac61b6ef4ee4" /><Relationship Type="http://schemas.openxmlformats.org/officeDocument/2006/relationships/worksheet" Target="/xl/worksheets/sheet3.xml" Id="Ra7ab0741eaad4105" /><Relationship Type="http://schemas.openxmlformats.org/officeDocument/2006/relationships/worksheet" Target="/xl/worksheets/sheet4.xml" Id="R1036c78c97e14229" /><Relationship Type="http://schemas.openxmlformats.org/officeDocument/2006/relationships/worksheet" Target="/xl/worksheets/sheet5.xml" Id="R37a259197e704998" /><Relationship Type="http://schemas.openxmlformats.org/officeDocument/2006/relationships/worksheet" Target="/xl/worksheets/sheet6.xml" Id="R68dda04c653840be" /><Relationship Type="http://schemas.openxmlformats.org/officeDocument/2006/relationships/worksheet" Target="/xl/worksheets/sheet7.xml" Id="R3ecd3f7bc2a74bff" /><Relationship Type="http://schemas.openxmlformats.org/officeDocument/2006/relationships/worksheet" Target="/xl/worksheets/sheet8.xml" Id="R38a7c375ddfe4a99" /><Relationship Type="http://schemas.openxmlformats.org/officeDocument/2006/relationships/worksheet" Target="/xl/worksheets/sheet9.xml" Id="R0a833f8e58b54582" /><Relationship Type="http://schemas.openxmlformats.org/officeDocument/2006/relationships/worksheet" Target="/xl/worksheets/sheet10.xml" Id="Ref5108961a4842d4" /><Relationship Type="http://schemas.openxmlformats.org/officeDocument/2006/relationships/worksheet" Target="/xl/worksheets/sheet11.xml" Id="R6fe3ea25c7694d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984998a573d48f0" /><Relationship Type="http://schemas.openxmlformats.org/officeDocument/2006/relationships/chart" Target="/xl/drawings/charts/chart2.xml" Id="R61fe7f4aa38b40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波预计息壤趋势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总览!$B$34:$B$45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总览!$C$34:$C$45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波实际敌人数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实际敌人数</c:v>
          </c:tx>
          <c:cat>
            <c:strRef>
              <c:f>总览!$A$52:$A$63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总览!$B$52:$B$63</c:f>
              <c:numCache>
                <c:formatCode>General</c:formatCode>
                <c:ptCount val="12"/>
                <c:pt idx="0">
                  <c:v>3000</c:v>
                </c:pt>
                <c:pt idx="1">
                  <c:v>3850</c:v>
                </c:pt>
                <c:pt idx="2">
                  <c:v>3470</c:v>
                </c:pt>
                <c:pt idx="3">
                  <c:v>2080</c:v>
                </c:pt>
                <c:pt idx="4">
                  <c:v>2100</c:v>
                </c:pt>
                <c:pt idx="5">
                  <c:v>2240</c:v>
                </c:pt>
                <c:pt idx="6">
                  <c:v>2150</c:v>
                </c:pt>
                <c:pt idx="7">
                  <c:v>2240</c:v>
                </c:pt>
                <c:pt idx="8">
                  <c:v>3120</c:v>
                </c:pt>
                <c:pt idx="9">
                  <c:v>3780</c:v>
                </c:pt>
                <c:pt idx="10">
                  <c:v>3000</c:v>
                </c:pt>
                <c:pt idx="11">
                  <c:v>4900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84998a573d48f0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fe7f4aa38b401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f5f75c55dbf4f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3" customWidth="1"/>
    <x:col min="2" max="2" width="86" customWidth="1"/>
    <x:col min="3" max="8" width="12" customWidth="1"/>
  </x:cols>
  <x:sheetData>
    <x:row r="1" ht="33.95000076293945" customHeight="1">
      <x:c r="A1" s="31" t="s">
        <x:v>0</x:v>
      </x:c>
      <x:c r="B1" s="31"/>
      <x:c r="C1" s="31"/>
      <x:c r="D1" s="31"/>
      <x:c r="E1" s="31"/>
      <x:c r="F1" s="31"/>
      <x:c r="G1" s="31"/>
      <x:c r="H1" s="31"/>
    </x:row>
    <x:row r="2" ht="15">
      <x:c r="A2" s="32" t="s">
        <x:v>1</x:v>
      </x:c>
      <x:c r="B2" s="32"/>
      <x:c r="C2" s="32"/>
      <x:c r="D2" s="32"/>
      <x:c r="E2" s="32"/>
      <x:c r="F2" s="32"/>
      <x:c r="G2" s="32"/>
      <x:c r="H2" s="32"/>
    </x:row>
    <x:row r="4" ht="15">
      <x:c r="A4" s="33" t="s">
        <x:v>2</x:v>
      </x:c>
      <x:c r="B4" s="33"/>
      <x:c r="C4" s="33"/>
      <x:c r="D4" s="33"/>
      <x:c r="E4" s="33"/>
      <x:c r="F4" s="33"/>
      <x:c r="G4" s="33"/>
      <x:c r="H4" s="33"/>
    </x:row>
    <x:row r="5" ht="24" customHeight="1">
      <x:c r="A5" s="1">
        <x:v>1</x:v>
      </x:c>
      <x:c r="B5" s="2" t="s">
        <x:v>3</x:v>
      </x:c>
    </x:row>
    <x:row r="6" ht="24" customHeight="1">
      <x:c r="A6" s="1">
        <x:v>2</x:v>
      </x:c>
      <x:c r="B6" s="2" t="str">
        <x:v>在“全局设置”调整模拟玩家数、击杀率、三类准备计时，以及第 1～3 日独立地下探索行动力。</x:v>
      </x:c>
    </x:row>
    <x:row r="7" ht="24" customHeight="1">
      <x:c r="A7" s="1">
        <x:v>3</x:v>
      </x:c>
      <x:c r="B7" s="2" t="s">
        <x:v>4</x:v>
      </x:c>
    </x:row>
    <x:row r="8" ht="24" customHeight="1">
      <x:c r="A8" s="1">
        <x:v>4</x:v>
      </x:c>
      <x:c r="B8" s="2" t="s">
        <x:v>5</x:v>
      </x:c>
    </x:row>
    <x:row r="9" ht="24" customHeight="1">
      <x:c r="A9" s="1">
        <x:v>5</x:v>
      </x:c>
      <x:c r="B9" s="2" t="s">
        <x:v>6</x:v>
      </x:c>
    </x:row>
    <x:row r="10" ht="24" customHeight="1"/>
    <x:row r="11" ht="24" customHeight="1">
      <x:c r="A11" s="33" t="s">
        <x:v>7</x:v>
      </x:c>
      <x:c r="B11" s="33"/>
      <x:c r="C11" s="33"/>
      <x:c r="D11" s="33"/>
      <x:c r="E11" s="33"/>
      <x:c r="F11" s="33"/>
      <x:c r="G11" s="33"/>
      <x:c r="H11" s="33"/>
    </x:row>
    <x:row r="12" ht="24" customHeight="1">
      <x:c r="A12" s="3" t="s">
        <x:v>8</x:v>
      </x:c>
      <x:c r="B12" s="4" t="s">
        <x:v>9</x:v>
      </x:c>
    </x:row>
    <x:row r="13" ht="24" customHeight="1">
      <x:c r="A13" s="3" t="s">
        <x:v>10</x:v>
      </x:c>
      <x:c r="B13" s="4" t="s">
        <x:v>11</x:v>
      </x:c>
    </x:row>
    <x:row r="14" ht="24" customHeight="1">
      <x:c r="A14" s="3" t="s">
        <x:v>12</x:v>
      </x:c>
      <x:c r="B14" s="4" t="s">
        <x:v>13</x:v>
      </x:c>
    </x:row>
    <x:row r="15" ht="24" customHeight="1">
      <x:c r="A15" s="3" t="s">
        <x:v>14</x:v>
      </x:c>
      <x:c r="B15" s="4" t="s">
        <x:v>15</x:v>
      </x:c>
    </x:row>
    <x:row r="16" ht="24" customHeight="1">
      <x:c r="A16" s="3" t="s">
        <x:v>16</x:v>
      </x:c>
      <x:c r="B16" s="4" t="s">
        <x:v>17</x:v>
      </x:c>
    </x:row>
    <x:row r="17" ht="24" customHeight="1"/>
    <x:row r="18" ht="24" customHeight="1">
      <x:c r="A18" s="34" t="s">
        <x:v>18</x:v>
      </x:c>
      <x:c r="B18" s="34"/>
      <x:c r="C18" s="34"/>
      <x:c r="D18" s="34"/>
      <x:c r="E18" s="34"/>
      <x:c r="F18" s="34"/>
      <x:c r="G18" s="34"/>
      <x:c r="H18" s="34"/>
    </x:row>
    <x:row r="19" ht="24" customHeight="1">
      <x:c r="A19" s="5" t="s">
        <x:v>19</x:v>
      </x:c>
      <x:c r="B19" s="2" t="s">
        <x:v>20</x:v>
      </x:c>
    </x:row>
    <x:row r="20" ht="24" customHeight="1">
      <x:c r="A20" s="5" t="s">
        <x:v>21</x:v>
      </x:c>
      <x:c r="B20" s="2" t="s">
        <x:v>22</x:v>
      </x:c>
    </x:row>
    <x:row r="21" ht="24" customHeight="1">
      <x:c r="A21" s="5" t="s">
        <x:v>23</x:v>
      </x:c>
      <x:c r="B21" s="2" t="s">
        <x:v>24</x:v>
      </x:c>
    </x:row>
    <x:row r="22" ht="24" customHeight="1">
      <x:c r="A22" s="5" t="s">
        <x:v>25</x:v>
      </x:c>
      <x:c r="B22" s="2" t="s">
        <x:v>26</x:v>
      </x:c>
    </x:row>
    <x:row r="23" ht="24" customHeight="1"/>
    <x:row r="24" ht="24" customHeight="1">
      <x:c r="A24" s="30" t="s">
        <x:v>27</x:v>
      </x:c>
      <x:c r="B24" s="30"/>
      <x:c r="C24" s="30"/>
      <x:c r="D24" s="30"/>
      <x:c r="E24" s="30"/>
      <x:c r="F24" s="30"/>
      <x:c r="G24" s="30"/>
      <x:c r="H24" s="30"/>
    </x:row>
  </x:sheetData>
  <x:mergeCells>
    <x:mergeCell ref="A24:H24"/>
    <x:mergeCell ref="A1:H1"/>
    <x:mergeCell ref="A2:H2"/>
    <x:mergeCell ref="A4:H4"/>
    <x:mergeCell ref="A11:H11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8" customWidth="1"/>
    <x:col min="3" max="3" width="10" customWidth="1"/>
    <x:col min="4" max="4" width="28" customWidth="1"/>
    <x:col min="5" max="8" width="13" customWidth="1"/>
    <x:col min="9" max="11" width="18" customWidth="1"/>
    <x:col min="12" max="12" width="15" customWidth="1"/>
    <x:col min="13" max="13" width="13" customWidth="1"/>
    <x:col min="14" max="14" width="15" customWidth="1"/>
  </x:cols>
  <x:sheetData>
    <x:row r="1" ht="36" customHeight="1">
      <x:c r="A1" s="31" t="s">
        <x:v>28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23.100000381469727" customHeight="1">
      <x:c r="A2" s="36" t="s">
        <x:v>29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</x:row>
    <x:row r="3" ht="23.100000381469727" customHeight="1"/>
    <x:row r="4" ht="23.100000381469727" customHeight="1">
      <x:c r="A4" s="6" t="s">
        <x:v>30</x:v>
      </x:c>
      <x:c r="B4" s="6"/>
      <x:c r="C4" s="6"/>
      <x:c r="D4" s="6" t="s">
        <x:v>31</x:v>
      </x:c>
      <x:c r="E4" s="6"/>
      <x:c r="F4" s="6"/>
      <x:c r="G4" s="6" t="s">
        <x:v>32</x:v>
      </x:c>
      <x:c r="H4" s="6"/>
      <x:c r="I4" s="6"/>
      <x:c r="J4" s="6" t="s">
        <x:v>33</x:v>
      </x:c>
      <x:c r="K4" s="6"/>
      <x:c r="L4" s="6"/>
      <x:c r="M4" s="6" t="s">
        <x:v>34</x:v>
      </x:c>
      <x:c r="N4" s="6" t="s">
        <x:v>35</x:v>
      </x:c>
    </x:row>
    <x:row r="5" ht="23.100000381469727" customHeight="1">
      <x:c r="A5" s="37" t="str">
        <x:f>COUNTIF(E9:E20,"可回读")&amp;" / 12"</x:f>
        <x:v>0 / 12</x:v>
      </x:c>
      <x:c r="B5" s="37"/>
      <x:c r="C5" s="37"/>
      <x:c r="D5" s="37" t="e">
        <x:f>SUM(F9:F20)</x:f>
        <x:v>#NAME?</x:v>
      </x:c>
      <x:c r="E5" s="37"/>
      <x:c r="F5" s="37"/>
      <x:c r="G5" s="37" t="e">
        <x:f>SUM(G9:G20)</x:f>
        <x:v>#NAME?</x:v>
      </x:c>
      <x:c r="H5" s="37"/>
      <x:c r="I5" s="37"/>
      <x:c r="J5" s="37" t="e">
        <x:f>SUM(K9:K20)</x:f>
        <x:v>#NAME?</x:v>
      </x:c>
      <x:c r="K5" s="37"/>
      <x:c r="L5" s="37"/>
      <x:c r="M5" s="37" t="s">
        <x:v>36</x:v>
      </x:c>
      <x:c r="N5" s="37"/>
    </x:row>
    <x:row r="6" ht="23.100000381469727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</x:row>
    <x:row r="7" ht="23.100000381469727" customHeight="1"/>
    <x:row r="8" ht="23.100000381469727" customHeight="1">
      <x:c r="A8" s="20" t="s">
        <x:v>37</x:v>
      </x:c>
      <x:c r="B8" s="20" t="s">
        <x:v>38</x:v>
      </x:c>
      <x:c r="C8" s="20" t="s">
        <x:v>39</x:v>
      </x:c>
      <x:c r="D8" s="20" t="s">
        <x:v>40</x:v>
      </x:c>
      <x:c r="E8" s="20" t="s">
        <x:v>41</x:v>
      </x:c>
      <x:c r="F8" s="20" t="s">
        <x:v>42</x:v>
      </x:c>
      <x:c r="G8" s="20" t="s">
        <x:v>43</x:v>
      </x:c>
      <x:c r="H8" s="20" t="s">
        <x:v>44</x:v>
      </x:c>
      <x:c r="I8" s="20" t="s">
        <x:v>45</x:v>
      </x:c>
      <x:c r="J8" s="20" t="s">
        <x:v>46</x:v>
      </x:c>
      <x:c r="K8" s="20" t="s">
        <x:v>33</x:v>
      </x:c>
      <x:c r="L8" s="20" t="s">
        <x:v>47</x:v>
      </x:c>
      <x:c r="M8" s="20" t="s">
        <x:v>48</x:v>
      </x:c>
      <x:c r="N8" s="20" t="s">
        <x:v>49</x:v>
      </x:c>
    </x:row>
    <x:row r="9" ht="23.100000381469727" customHeight="1">
      <x:c r="A9" s="13" t="s">
        <x:v>50</x:v>
      </x:c>
      <x:c r="B9" s="13">
        <x:v>1</x:v>
      </x:c>
      <x:c r="C9" s="13" t="s">
        <x:v>51</x:v>
      </x:c>
      <x:c r="D9" s="13" t="e">
        <x:f>第1日!B3</x:f>
        <x:v>#NAME?</x:v>
      </x:c>
      <x:c r="E9" s="13" t="e">
        <x:f>第1日!I4</x:f>
        <x:v>#NAME?</x:v>
      </x:c>
      <x:c r="F9" s="13" t="e">
        <x:f>SUM(第1日!C7:C24)</x:f>
        <x:v>#NAME?</x:v>
      </x:c>
      <x:c r="G9" s="13" t="e">
        <x:f>SUM(第1日!D7:D24)</x:f>
        <x:v>#NAME?</x:v>
      </x:c>
      <x:c r="H9" s="13" t="e">
        <x:f>COUNTA(第1日!B7:B24)</x:f>
        <x:v>#NAME?</x:v>
      </x:c>
      <x:c r="I9" s="17" t="e">
        <x:f>SUM(第1日!F7:F24)</x:f>
        <x:v>#NAME?</x:v>
      </x:c>
      <x:c r="J9" s="17" t="e">
        <x:f>SUM(第1日!G7:G24)</x:f>
        <x:v>#NAME?</x:v>
      </x:c>
      <x:c r="K9" s="17" t="e">
        <x:f>SUM(第1日!H7:H24)</x:f>
        <x:v>#NAME?</x:v>
      </x:c>
      <x:c r="L9" s="13" t="e">
        <x:f>IF(G9=0,0,MAX(0,(ROUNDUP(G9/第1日!G3,0)-1)*第1日!E3))</x:f>
        <x:v>#NAME?</x:v>
      </x:c>
      <x:c r="M9" s="13" t="e">
        <x:f>第1日!I3</x:f>
        <x:v>#NAME?</x:v>
      </x:c>
      <x:c r="N9" s="13" t="e">
        <x:f>IF(第1日!B4="点1·开启",1,0)+IF(第1日!C4="点2·开启",1,0)+IF(第1日!D4="点3·开启",1,0)+IF(第1日!E4="点4·开启",1,0)+IF(第1日!F4="点5·开启",1,0)+IF(第1日!G4="点6·开启",1,0)</x:f>
        <x:v>#NAME?</x:v>
      </x:c>
    </x:row>
    <x:row r="10" ht="23.100000381469727" customHeight="1">
      <x:c r="A10" s="13" t="s">
        <x:v>52</x:v>
      </x:c>
      <x:c r="B10" s="13">
        <x:v>1</x:v>
      </x:c>
      <x:c r="C10" s="13" t="s">
        <x:v>51</x:v>
      </x:c>
      <x:c r="D10" s="13" t="e">
        <x:f>第1日!B32</x:f>
        <x:v>#NAME?</x:v>
      </x:c>
      <x:c r="E10" s="13" t="e">
        <x:f>第1日!I33</x:f>
        <x:v>#NAME?</x:v>
      </x:c>
      <x:c r="F10" s="13" t="e">
        <x:f>SUM(第1日!C36:C53)</x:f>
        <x:v>#NAME?</x:v>
      </x:c>
      <x:c r="G10" s="13" t="e">
        <x:f>SUM(第1日!D36:D53)</x:f>
        <x:v>#NAME?</x:v>
      </x:c>
      <x:c r="H10" s="13" t="e">
        <x:f>COUNTA(第1日!B36:B53)</x:f>
        <x:v>#NAME?</x:v>
      </x:c>
      <x:c r="I10" s="17" t="e">
        <x:f>SUM(第1日!F36:F53)</x:f>
        <x:v>#NAME?</x:v>
      </x:c>
      <x:c r="J10" s="17" t="e">
        <x:f>SUM(第1日!G36:G53)</x:f>
        <x:v>#NAME?</x:v>
      </x:c>
      <x:c r="K10" s="17" t="e">
        <x:f>SUM(第1日!H36:H53)</x:f>
        <x:v>#NAME?</x:v>
      </x:c>
      <x:c r="L10" s="13" t="e">
        <x:f>IF(G10=0,0,MAX(0,(ROUNDUP(G10/第1日!G32,0)-1)*第1日!E32))</x:f>
        <x:v>#NAME?</x:v>
      </x:c>
      <x:c r="M10" s="13" t="e">
        <x:f>第1日!I32</x:f>
        <x:v>#NAME?</x:v>
      </x:c>
      <x:c r="N10" s="13" t="e">
        <x:f>IF(第1日!B33="点1·开启",1,0)+IF(第1日!C33="点2·开启",1,0)+IF(第1日!D33="点3·开启",1,0)+IF(第1日!E33="点4·开启",1,0)+IF(第1日!F33="点5·开启",1,0)+IF(第1日!G33="点6·开启",1,0)</x:f>
        <x:v>#NAME?</x:v>
      </x:c>
    </x:row>
    <x:row r="11" ht="23.100000381469727" customHeight="1">
      <x:c r="A11" s="13" t="s">
        <x:v>53</x:v>
      </x:c>
      <x:c r="B11" s="13">
        <x:v>1</x:v>
      </x:c>
      <x:c r="C11" s="13" t="s">
        <x:v>54</x:v>
      </x:c>
      <x:c r="D11" s="13" t="e">
        <x:f>第1日!B61</x:f>
        <x:v>#NAME?</x:v>
      </x:c>
      <x:c r="E11" s="13" t="e">
        <x:f>第1日!I62</x:f>
        <x:v>#NAME?</x:v>
      </x:c>
      <x:c r="F11" s="13" t="e">
        <x:f>SUM(第1日!C65:C82)</x:f>
        <x:v>#NAME?</x:v>
      </x:c>
      <x:c r="G11" s="13" t="e">
        <x:f>SUM(第1日!D65:D82)</x:f>
        <x:v>#NAME?</x:v>
      </x:c>
      <x:c r="H11" s="13" t="e">
        <x:f>COUNTA(第1日!B65:B82)</x:f>
        <x:v>#NAME?</x:v>
      </x:c>
      <x:c r="I11" s="17" t="e">
        <x:f>SUM(第1日!F65:F82)</x:f>
        <x:v>#NAME?</x:v>
      </x:c>
      <x:c r="J11" s="17" t="e">
        <x:f>SUM(第1日!G65:G82)</x:f>
        <x:v>#NAME?</x:v>
      </x:c>
      <x:c r="K11" s="17" t="e">
        <x:f>SUM(第1日!H65:H82)</x:f>
        <x:v>#NAME?</x:v>
      </x:c>
      <x:c r="L11" s="13" t="e">
        <x:f>IF(G11=0,0,MAX(0,(ROUNDUP(G11/第1日!G61,0)-1)*第1日!E61))</x:f>
        <x:v>#NAME?</x:v>
      </x:c>
      <x:c r="M11" s="13" t="e">
        <x:f>第1日!I61</x:f>
        <x:v>#NAME?</x:v>
      </x:c>
      <x:c r="N11" s="13" t="e">
        <x:f>IF(第1日!B62="点1·开启",1,0)+IF(第1日!C62="点2·开启",1,0)+IF(第1日!D62="点3·开启",1,0)+IF(第1日!E62="点4·开启",1,0)+IF(第1日!F62="点5·开启",1,0)+IF(第1日!G62="点6·开启",1,0)</x:f>
        <x:v>#NAME?</x:v>
      </x:c>
    </x:row>
    <x:row r="12" ht="23.100000381469727" customHeight="1">
      <x:c r="A12" s="13" t="s">
        <x:v>55</x:v>
      </x:c>
      <x:c r="B12" s="13">
        <x:v>1</x:v>
      </x:c>
      <x:c r="C12" s="13" t="s">
        <x:v>54</x:v>
      </x:c>
      <x:c r="D12" s="13" t="e">
        <x:f>第1日!B90</x:f>
        <x:v>#NAME?</x:v>
      </x:c>
      <x:c r="E12" s="13" t="e">
        <x:f>第1日!I91</x:f>
        <x:v>#NAME?</x:v>
      </x:c>
      <x:c r="F12" s="13" t="e">
        <x:f>SUM(第1日!C94:C111)</x:f>
        <x:v>#NAME?</x:v>
      </x:c>
      <x:c r="G12" s="13" t="e">
        <x:f>SUM(第1日!D94:D111)</x:f>
        <x:v>#NAME?</x:v>
      </x:c>
      <x:c r="H12" s="13" t="e">
        <x:f>COUNTA(第1日!B94:B111)</x:f>
        <x:v>#NAME?</x:v>
      </x:c>
      <x:c r="I12" s="17" t="e">
        <x:f>SUM(第1日!F94:F111)</x:f>
        <x:v>#NAME?</x:v>
      </x:c>
      <x:c r="J12" s="17" t="e">
        <x:f>SUM(第1日!G94:G111)</x:f>
        <x:v>#NAME?</x:v>
      </x:c>
      <x:c r="K12" s="17" t="e">
        <x:f>SUM(第1日!H94:H111)</x:f>
        <x:v>#NAME?</x:v>
      </x:c>
      <x:c r="L12" s="13" t="e">
        <x:f>IF(G12=0,0,MAX(0,(ROUNDUP(G12/第1日!G90,0)-1)*第1日!E90))</x:f>
        <x:v>#NAME?</x:v>
      </x:c>
      <x:c r="M12" s="13" t="e">
        <x:f>第1日!I90</x:f>
        <x:v>#NAME?</x:v>
      </x:c>
      <x:c r="N12" s="13" t="e">
        <x:f>IF(第1日!B91="点1·开启",1,0)+IF(第1日!C91="点2·开启",1,0)+IF(第1日!D91="点3·开启",1,0)+IF(第1日!E91="点4·开启",1,0)+IF(第1日!F91="点5·开启",1,0)+IF(第1日!G91="点6·开启",1,0)</x:f>
        <x:v>#NAME?</x:v>
      </x:c>
    </x:row>
    <x:row r="13" ht="23.100000381469727" customHeight="1">
      <x:c r="A13" s="13" t="s">
        <x:v>56</x:v>
      </x:c>
      <x:c r="B13" s="13">
        <x:v>2</x:v>
      </x:c>
      <x:c r="C13" s="13" t="s">
        <x:v>51</x:v>
      </x:c>
      <x:c r="D13" s="13" t="e">
        <x:f>第2日!B3</x:f>
        <x:v>#NAME?</x:v>
      </x:c>
      <x:c r="E13" s="13" t="e">
        <x:f>第2日!I4</x:f>
        <x:v>#NAME?</x:v>
      </x:c>
      <x:c r="F13" s="13" t="e">
        <x:f>SUM(第2日!C7:C24)</x:f>
        <x:v>#NAME?</x:v>
      </x:c>
      <x:c r="G13" s="13" t="e">
        <x:f>SUM(第2日!D7:D24)</x:f>
        <x:v>#NAME?</x:v>
      </x:c>
      <x:c r="H13" s="13" t="e">
        <x:f>COUNTA(第2日!B7:B24)</x:f>
        <x:v>#NAME?</x:v>
      </x:c>
      <x:c r="I13" s="17" t="e">
        <x:f>SUM(第2日!F7:F24)</x:f>
        <x:v>#NAME?</x:v>
      </x:c>
      <x:c r="J13" s="17" t="e">
        <x:f>SUM(第2日!G7:G24)</x:f>
        <x:v>#NAME?</x:v>
      </x:c>
      <x:c r="K13" s="17" t="e">
        <x:f>SUM(第2日!H7:H24)</x:f>
        <x:v>#NAME?</x:v>
      </x:c>
      <x:c r="L13" s="13" t="e">
        <x:f>IF(G13=0,0,MAX(0,(ROUNDUP(G13/第2日!G3,0)-1)*第2日!E3))</x:f>
        <x:v>#NAME?</x:v>
      </x:c>
      <x:c r="M13" s="13" t="e">
        <x:f>第2日!I3</x:f>
        <x:v>#NAME?</x:v>
      </x:c>
      <x:c r="N13" s="13" t="e">
        <x:f>IF(第2日!B4="点1·开启",1,0)+IF(第2日!C4="点2·开启",1,0)+IF(第2日!D4="点3·开启",1,0)+IF(第2日!E4="点4·开启",1,0)+IF(第2日!F4="点5·开启",1,0)+IF(第2日!G4="点6·开启",1,0)</x:f>
        <x:v>#NAME?</x:v>
      </x:c>
    </x:row>
    <x:row r="14" ht="23.100000381469727" customHeight="1">
      <x:c r="A14" s="13" t="s">
        <x:v>57</x:v>
      </x:c>
      <x:c r="B14" s="13">
        <x:v>2</x:v>
      </x:c>
      <x:c r="C14" s="13" t="s">
        <x:v>51</x:v>
      </x:c>
      <x:c r="D14" s="13" t="e">
        <x:f>第2日!B32</x:f>
        <x:v>#NAME?</x:v>
      </x:c>
      <x:c r="E14" s="13" t="e">
        <x:f>第2日!I33</x:f>
        <x:v>#NAME?</x:v>
      </x:c>
      <x:c r="F14" s="13" t="e">
        <x:f>SUM(第2日!C36:C53)</x:f>
        <x:v>#NAME?</x:v>
      </x:c>
      <x:c r="G14" s="13" t="e">
        <x:f>SUM(第2日!D36:D53)</x:f>
        <x:v>#NAME?</x:v>
      </x:c>
      <x:c r="H14" s="13" t="e">
        <x:f>COUNTA(第2日!B36:B53)</x:f>
        <x:v>#NAME?</x:v>
      </x:c>
      <x:c r="I14" s="17" t="e">
        <x:f>SUM(第2日!F36:F53)</x:f>
        <x:v>#NAME?</x:v>
      </x:c>
      <x:c r="J14" s="17" t="e">
        <x:f>SUM(第2日!G36:G53)</x:f>
        <x:v>#NAME?</x:v>
      </x:c>
      <x:c r="K14" s="17" t="e">
        <x:f>SUM(第2日!H36:H53)</x:f>
        <x:v>#NAME?</x:v>
      </x:c>
      <x:c r="L14" s="13" t="e">
        <x:f>IF(G14=0,0,MAX(0,(ROUNDUP(G14/第2日!G32,0)-1)*第2日!E32))</x:f>
        <x:v>#NAME?</x:v>
      </x:c>
      <x:c r="M14" s="13" t="e">
        <x:f>第2日!I32</x:f>
        <x:v>#NAME?</x:v>
      </x:c>
      <x:c r="N14" s="13" t="e">
        <x:f>IF(第2日!B33="点1·开启",1,0)+IF(第2日!C33="点2·开启",1,0)+IF(第2日!D33="点3·开启",1,0)+IF(第2日!E33="点4·开启",1,0)+IF(第2日!F33="点5·开启",1,0)+IF(第2日!G33="点6·开启",1,0)</x:f>
        <x:v>#NAME?</x:v>
      </x:c>
    </x:row>
    <x:row r="15" ht="23.100000381469727" customHeight="1">
      <x:c r="A15" s="13" t="s">
        <x:v>58</x:v>
      </x:c>
      <x:c r="B15" s="13">
        <x:v>2</x:v>
      </x:c>
      <x:c r="C15" s="13" t="s">
        <x:v>54</x:v>
      </x:c>
      <x:c r="D15" s="13" t="e">
        <x:f>第2日!B61</x:f>
        <x:v>#NAME?</x:v>
      </x:c>
      <x:c r="E15" s="13" t="e">
        <x:f>第2日!I62</x:f>
        <x:v>#NAME?</x:v>
      </x:c>
      <x:c r="F15" s="13" t="e">
        <x:f>SUM(第2日!C65:C82)</x:f>
        <x:v>#NAME?</x:v>
      </x:c>
      <x:c r="G15" s="13" t="e">
        <x:f>SUM(第2日!D65:D82)</x:f>
        <x:v>#NAME?</x:v>
      </x:c>
      <x:c r="H15" s="13" t="e">
        <x:f>COUNTA(第2日!B65:B82)</x:f>
        <x:v>#NAME?</x:v>
      </x:c>
      <x:c r="I15" s="17" t="e">
        <x:f>SUM(第2日!F65:F82)</x:f>
        <x:v>#NAME?</x:v>
      </x:c>
      <x:c r="J15" s="17" t="e">
        <x:f>SUM(第2日!G65:G82)</x:f>
        <x:v>#NAME?</x:v>
      </x:c>
      <x:c r="K15" s="17" t="e">
        <x:f>SUM(第2日!H65:H82)</x:f>
        <x:v>#NAME?</x:v>
      </x:c>
      <x:c r="L15" s="13" t="e">
        <x:f>IF(G15=0,0,MAX(0,(ROUNDUP(G15/第2日!G61,0)-1)*第2日!E61))</x:f>
        <x:v>#NAME?</x:v>
      </x:c>
      <x:c r="M15" s="13" t="e">
        <x:f>第2日!I61</x:f>
        <x:v>#NAME?</x:v>
      </x:c>
      <x:c r="N15" s="13" t="e">
        <x:f>IF(第2日!B62="点1·开启",1,0)+IF(第2日!C62="点2·开启",1,0)+IF(第2日!D62="点3·开启",1,0)+IF(第2日!E62="点4·开启",1,0)+IF(第2日!F62="点5·开启",1,0)+IF(第2日!G62="点6·开启",1,0)</x:f>
        <x:v>#NAME?</x:v>
      </x:c>
    </x:row>
    <x:row r="16" ht="23.100000381469727" customHeight="1">
      <x:c r="A16" s="13" t="s">
        <x:v>59</x:v>
      </x:c>
      <x:c r="B16" s="13">
        <x:v>2</x:v>
      </x:c>
      <x:c r="C16" s="13" t="s">
        <x:v>54</x:v>
      </x:c>
      <x:c r="D16" s="13" t="e">
        <x:f>第2日!B90</x:f>
        <x:v>#NAME?</x:v>
      </x:c>
      <x:c r="E16" s="13" t="e">
        <x:f>第2日!I91</x:f>
        <x:v>#NAME?</x:v>
      </x:c>
      <x:c r="F16" s="13" t="e">
        <x:f>SUM(第2日!C94:C111)</x:f>
        <x:v>#NAME?</x:v>
      </x:c>
      <x:c r="G16" s="13" t="e">
        <x:f>SUM(第2日!D94:D111)</x:f>
        <x:v>#NAME?</x:v>
      </x:c>
      <x:c r="H16" s="13" t="e">
        <x:f>COUNTA(第2日!B94:B111)</x:f>
        <x:v>#NAME?</x:v>
      </x:c>
      <x:c r="I16" s="17" t="e">
        <x:f>SUM(第2日!F94:F111)</x:f>
        <x:v>#NAME?</x:v>
      </x:c>
      <x:c r="J16" s="17" t="e">
        <x:f>SUM(第2日!G94:G111)</x:f>
        <x:v>#NAME?</x:v>
      </x:c>
      <x:c r="K16" s="17" t="e">
        <x:f>SUM(第2日!H94:H111)</x:f>
        <x:v>#NAME?</x:v>
      </x:c>
      <x:c r="L16" s="13" t="e">
        <x:f>IF(G16=0,0,MAX(0,(ROUNDUP(G16/第2日!G90,0)-1)*第2日!E90))</x:f>
        <x:v>#NAME?</x:v>
      </x:c>
      <x:c r="M16" s="13" t="e">
        <x:f>第2日!I90</x:f>
        <x:v>#NAME?</x:v>
      </x:c>
      <x:c r="N16" s="13" t="e">
        <x:f>IF(第2日!B91="点1·开启",1,0)+IF(第2日!C91="点2·开启",1,0)+IF(第2日!D91="点3·开启",1,0)+IF(第2日!E91="点4·开启",1,0)+IF(第2日!F91="点5·开启",1,0)+IF(第2日!G91="点6·开启",1,0)</x:f>
        <x:v>#NAME?</x:v>
      </x:c>
    </x:row>
    <x:row r="17" ht="23.100000381469727" customHeight="1">
      <x:c r="A17" s="13" t="s">
        <x:v>60</x:v>
      </x:c>
      <x:c r="B17" s="13">
        <x:v>3</x:v>
      </x:c>
      <x:c r="C17" s="13" t="s">
        <x:v>51</x:v>
      </x:c>
      <x:c r="D17" s="13" t="e">
        <x:f>第3日!B3</x:f>
        <x:v>#NAME?</x:v>
      </x:c>
      <x:c r="E17" s="13" t="e">
        <x:f>第3日!I4</x:f>
        <x:v>#NAME?</x:v>
      </x:c>
      <x:c r="F17" s="13" t="e">
        <x:f>SUM(第3日!C7:C24)</x:f>
        <x:v>#NAME?</x:v>
      </x:c>
      <x:c r="G17" s="13" t="e">
        <x:f>SUM(第3日!D7:D24)</x:f>
        <x:v>#NAME?</x:v>
      </x:c>
      <x:c r="H17" s="13" t="e">
        <x:f>COUNTA(第3日!B7:B24)</x:f>
        <x:v>#NAME?</x:v>
      </x:c>
      <x:c r="I17" s="17" t="e">
        <x:f>SUM(第3日!F7:F24)</x:f>
        <x:v>#NAME?</x:v>
      </x:c>
      <x:c r="J17" s="17" t="e">
        <x:f>SUM(第3日!G7:G24)</x:f>
        <x:v>#NAME?</x:v>
      </x:c>
      <x:c r="K17" s="17" t="e">
        <x:f>SUM(第3日!H7:H24)</x:f>
        <x:v>#NAME?</x:v>
      </x:c>
      <x:c r="L17" s="13" t="e">
        <x:f>IF(G17=0,0,MAX(0,(ROUNDUP(G17/第3日!G3,0)-1)*第3日!E3))</x:f>
        <x:v>#NAME?</x:v>
      </x:c>
      <x:c r="M17" s="13" t="e">
        <x:f>第3日!I3</x:f>
        <x:v>#NAME?</x:v>
      </x:c>
      <x:c r="N17" s="13" t="e">
        <x:f>IF(第3日!B4="点1·开启",1,0)+IF(第3日!C4="点2·开启",1,0)+IF(第3日!D4="点3·开启",1,0)+IF(第3日!E4="点4·开启",1,0)+IF(第3日!F4="点5·开启",1,0)+IF(第3日!G4="点6·开启",1,0)</x:f>
        <x:v>#NAME?</x:v>
      </x:c>
    </x:row>
    <x:row r="18" ht="23.100000381469727" customHeight="1">
      <x:c r="A18" s="13" t="s">
        <x:v>61</x:v>
      </x:c>
      <x:c r="B18" s="13">
        <x:v>3</x:v>
      </x:c>
      <x:c r="C18" s="13" t="s">
        <x:v>51</x:v>
      </x:c>
      <x:c r="D18" s="13" t="e">
        <x:f>第3日!B32</x:f>
        <x:v>#NAME?</x:v>
      </x:c>
      <x:c r="E18" s="13" t="e">
        <x:f>第3日!I33</x:f>
        <x:v>#NAME?</x:v>
      </x:c>
      <x:c r="F18" s="13" t="e">
        <x:f>SUM(第3日!C36:C53)</x:f>
        <x:v>#NAME?</x:v>
      </x:c>
      <x:c r="G18" s="13" t="e">
        <x:f>SUM(第3日!D36:D53)</x:f>
        <x:v>#NAME?</x:v>
      </x:c>
      <x:c r="H18" s="13" t="e">
        <x:f>COUNTA(第3日!B36:B53)</x:f>
        <x:v>#NAME?</x:v>
      </x:c>
      <x:c r="I18" s="17" t="e">
        <x:f>SUM(第3日!F36:F53)</x:f>
        <x:v>#NAME?</x:v>
      </x:c>
      <x:c r="J18" s="17" t="e">
        <x:f>SUM(第3日!G36:G53)</x:f>
        <x:v>#NAME?</x:v>
      </x:c>
      <x:c r="K18" s="17" t="e">
        <x:f>SUM(第3日!H36:H53)</x:f>
        <x:v>#NAME?</x:v>
      </x:c>
      <x:c r="L18" s="13" t="e">
        <x:f>IF(G18=0,0,MAX(0,(ROUNDUP(G18/第3日!G32,0)-1)*第3日!E32))</x:f>
        <x:v>#NAME?</x:v>
      </x:c>
      <x:c r="M18" s="13" t="e">
        <x:f>第3日!I32</x:f>
        <x:v>#NAME?</x:v>
      </x:c>
      <x:c r="N18" s="13" t="e">
        <x:f>IF(第3日!B33="点1·开启",1,0)+IF(第3日!C33="点2·开启",1,0)+IF(第3日!D33="点3·开启",1,0)+IF(第3日!E33="点4·开启",1,0)+IF(第3日!F33="点5·开启",1,0)+IF(第3日!G33="点6·开启",1,0)</x:f>
        <x:v>#NAME?</x:v>
      </x:c>
    </x:row>
    <x:row r="19" ht="23.100000381469727" customHeight="1">
      <x:c r="A19" s="13" t="s">
        <x:v>62</x:v>
      </x:c>
      <x:c r="B19" s="13">
        <x:v>3</x:v>
      </x:c>
      <x:c r="C19" s="13" t="s">
        <x:v>54</x:v>
      </x:c>
      <x:c r="D19" s="13" t="e">
        <x:f>第3日!B61</x:f>
        <x:v>#NAME?</x:v>
      </x:c>
      <x:c r="E19" s="13" t="e">
        <x:f>第3日!I62</x:f>
        <x:v>#NAME?</x:v>
      </x:c>
      <x:c r="F19" s="13" t="e">
        <x:f>SUM(第3日!C65:C82)</x:f>
        <x:v>#NAME?</x:v>
      </x:c>
      <x:c r="G19" s="13" t="e">
        <x:f>SUM(第3日!D65:D82)</x:f>
        <x:v>#NAME?</x:v>
      </x:c>
      <x:c r="H19" s="13" t="e">
        <x:f>COUNTA(第3日!B65:B82)</x:f>
        <x:v>#NAME?</x:v>
      </x:c>
      <x:c r="I19" s="17" t="e">
        <x:f>SUM(第3日!F65:F82)</x:f>
        <x:v>#NAME?</x:v>
      </x:c>
      <x:c r="J19" s="17" t="e">
        <x:f>SUM(第3日!G65:G82)</x:f>
        <x:v>#NAME?</x:v>
      </x:c>
      <x:c r="K19" s="17" t="e">
        <x:f>SUM(第3日!H65:H82)</x:f>
        <x:v>#NAME?</x:v>
      </x:c>
      <x:c r="L19" s="13" t="e">
        <x:f>IF(G19=0,0,MAX(0,(ROUNDUP(G19/第3日!G61,0)-1)*第3日!E61))</x:f>
        <x:v>#NAME?</x:v>
      </x:c>
      <x:c r="M19" s="13" t="e">
        <x:f>第3日!I61</x:f>
        <x:v>#NAME?</x:v>
      </x:c>
      <x:c r="N19" s="13" t="e">
        <x:f>IF(第3日!B62="点1·开启",1,0)+IF(第3日!C62="点2·开启",1,0)+IF(第3日!D62="点3·开启",1,0)+IF(第3日!E62="点4·开启",1,0)+IF(第3日!F62="点5·开启",1,0)+IF(第3日!G62="点6·开启",1,0)</x:f>
        <x:v>#NAME?</x:v>
      </x:c>
    </x:row>
    <x:row r="20" ht="23.100000381469727" customHeight="1">
      <x:c r="A20" s="13" t="s">
        <x:v>63</x:v>
      </x:c>
      <x:c r="B20" s="13">
        <x:v>3</x:v>
      </x:c>
      <x:c r="C20" s="13" t="s">
        <x:v>54</x:v>
      </x:c>
      <x:c r="D20" s="13" t="e">
        <x:f>第3日!B90</x:f>
        <x:v>#NAME?</x:v>
      </x:c>
      <x:c r="E20" s="13" t="e">
        <x:f>第3日!I91</x:f>
        <x:v>#NAME?</x:v>
      </x:c>
      <x:c r="F20" s="13" t="e">
        <x:f>SUM(第3日!C94:C111)</x:f>
        <x:v>#NAME?</x:v>
      </x:c>
      <x:c r="G20" s="13" t="e">
        <x:f>SUM(第3日!D94:D111)</x:f>
        <x:v>#NAME?</x:v>
      </x:c>
      <x:c r="H20" s="13" t="e">
        <x:f>COUNTA(第3日!B94:B111)</x:f>
        <x:v>#NAME?</x:v>
      </x:c>
      <x:c r="I20" s="17" t="e">
        <x:f>SUM(第3日!F94:F111)</x:f>
        <x:v>#NAME?</x:v>
      </x:c>
      <x:c r="J20" s="17" t="e">
        <x:f>SUM(第3日!G94:G111)</x:f>
        <x:v>#NAME?</x:v>
      </x:c>
      <x:c r="K20" s="17" t="e">
        <x:f>SUM(第3日!H94:H111)</x:f>
        <x:v>#NAME?</x:v>
      </x:c>
      <x:c r="L20" s="13" t="e">
        <x:f>IF(G20=0,0,MAX(0,(ROUNDUP(G20/第3日!G90,0)-1)*第3日!E90))</x:f>
        <x:v>#NAME?</x:v>
      </x:c>
      <x:c r="M20" s="13" t="e">
        <x:f>第3日!I90</x:f>
        <x:v>#NAME?</x:v>
      </x:c>
      <x:c r="N20" s="13" t="e">
        <x:f>IF(第3日!B91="点1·开启",1,0)+IF(第3日!C91="点2·开启",1,0)+IF(第3日!D91="点3·开启",1,0)+IF(第3日!E91="点4·开启",1,0)+IF(第3日!F91="点5·开启",1,0)+IF(第3日!G91="点6·开启",1,0)</x:f>
        <x:v>#NAME?</x:v>
      </x:c>
    </x:row>
    <x:row r="21" ht="23.100000381469727" customHeight="1"/>
    <x:row r="22" ht="23.100000381469727" customHeight="1">
      <x:c r="A22" s="35" t="str">
        <x:v>第 4 日·白昼｜5 分钟准备 → 铃兰 Boss → 击败后直接通关（无普通波次编号、无日终探索）</x:v>
      </x:c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 ht="23.100000381469727" customHeight="1"/>
    <x:row r="24" ht="23.100000381469727" customHeight="1">
      <x:c r="A24" s="34" t="s">
        <x:v>64</x:v>
      </x:c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34"/>
      <x:c r="M24" s="34"/>
      <x:c r="N24" s="34"/>
    </x:row>
    <x:row r="25" ht="23.100000381469727" customHeight="1">
      <x:c r="A25" s="20" t="s">
        <x:v>38</x:v>
      </x:c>
      <x:c r="B25" s="20" t="s">
        <x:v>65</x:v>
      </x:c>
      <x:c r="C25" s="20" t="s">
        <x:v>66</x:v>
      </x:c>
      <x:c r="D25" s="20" t="s">
        <x:v>67</x:v>
      </x:c>
      <x:c r="E25" s="20" t="s">
        <x:v>33</x:v>
      </x:c>
      <x:c r="F25" s="20" t="s">
        <x:v>68</x:v>
      </x:c>
    </x:row>
    <x:row r="26" ht="23.100000381469727" customHeight="1">
      <x:c r="A26" s="13" t="s">
        <x:v>69</x:v>
      </x:c>
      <x:c r="B26" s="13">
        <x:v>4</x:v>
      </x:c>
      <x:c r="C26" s="13" t="e">
        <x:f>SUM(F9:F12)</x:f>
        <x:v>#NAME?</x:v>
      </x:c>
      <x:c r="D26" s="13" t="e">
        <x:f>SUM(G9:G12)</x:f>
        <x:v>#NAME?</x:v>
      </x:c>
      <x:c r="E26" s="13" t="e">
        <x:f>SUM(K9:K12)</x:f>
        <x:v>#NAME?</x:v>
      </x:c>
      <x:c r="F26" s="13" t="e">
        <x:f>全局设置!B16</x:f>
        <x:v>#NAME?</x:v>
      </x:c>
    </x:row>
    <x:row r="27" ht="23.100000381469727" customHeight="1">
      <x:c r="A27" s="13" t="s">
        <x:v>70</x:v>
      </x:c>
      <x:c r="B27" s="13">
        <x:v>4</x:v>
      </x:c>
      <x:c r="C27" s="13" t="e">
        <x:f>SUM(F13:F16)</x:f>
        <x:v>#NAME?</x:v>
      </x:c>
      <x:c r="D27" s="13" t="e">
        <x:f>SUM(G13:G16)</x:f>
        <x:v>#NAME?</x:v>
      </x:c>
      <x:c r="E27" s="13" t="e">
        <x:f>SUM(K13:K16)</x:f>
        <x:v>#NAME?</x:v>
      </x:c>
      <x:c r="F27" s="13" t="e">
        <x:f>全局设置!D16</x:f>
        <x:v>#NAME?</x:v>
      </x:c>
    </x:row>
    <x:row r="28" ht="23.100000381469727" customHeight="1">
      <x:c r="A28" s="13" t="s">
        <x:v>71</x:v>
      </x:c>
      <x:c r="B28" s="13">
        <x:v>4</x:v>
      </x:c>
      <x:c r="C28" s="13" t="e">
        <x:f>SUM(F17:F20)</x:f>
        <x:v>#NAME?</x:v>
      </x:c>
      <x:c r="D28" s="13" t="e">
        <x:f>SUM(G17:G20)</x:f>
        <x:v>#NAME?</x:v>
      </x:c>
      <x:c r="E28" s="13" t="e">
        <x:f>SUM(K17:K20)</x:f>
        <x:v>#NAME?</x:v>
      </x:c>
      <x:c r="F28" s="13" t="e">
        <x:f>全局设置!F16</x:f>
        <x:v>#NAME?</x:v>
      </x:c>
    </x:row>
    <x:row r="29" ht="23.100000381469727" customHeight="1">
      <x:c r="A29" s="13" t="s">
        <x:v>23</x:v>
      </x:c>
      <x:c r="B29" s="13">
        <x:v>0</x:v>
      </x:c>
      <x:c r="C29" s="13">
        <x:v>0</x:v>
      </x:c>
      <x:c r="D29" s="13">
        <x:v>0</x:v>
      </x:c>
      <x:c r="E29" s="13">
        <x:v>0</x:v>
      </x:c>
      <x:c r="F29" s="13" t="s">
        <x:v>72</x:v>
      </x:c>
    </x:row>
    <x:row r="30" ht="23.100000381469727" customHeight="1"/>
    <x:row r="31" ht="23.100000381469727" customHeight="1"/>
    <x:row r="32" ht="23.100000381469727" customHeight="1"/>
    <x:row r="33" ht="23.100000381469727" customHeight="1">
      <x:c r="A33" s="18" t="s">
        <x:v>37</x:v>
      </x:c>
      <x:c r="B33" s="18" t="s">
        <x:v>46</x:v>
      </x:c>
      <x:c r="C33" s="18" t="s">
        <x:v>33</x:v>
      </x:c>
    </x:row>
    <x:row r="34" ht="23.100000381469727" customHeight="1">
      <x:c r="A34" s="13" t="s">
        <x:v>50</x:v>
      </x:c>
      <x:c r="B34" s="13" t="e">
        <x:f t="shared" ref="B34:B45" si="0">J9</x:f>
        <x:v>#NAME?</x:v>
      </x:c>
      <x:c r="C34" s="13" t="e">
        <x:f t="shared" ref="C34:C45" si="1">K9</x:f>
        <x:v>#NAME?</x:v>
      </x:c>
    </x:row>
    <x:row r="35" ht="23.100000381469727" customHeight="1">
      <x:c r="A35" s="13" t="s">
        <x:v>52</x:v>
      </x:c>
      <x:c r="B35" s="13">
        <x:f t="shared" si="0"/>
        <x:v>4050</x:v>
      </x:c>
      <x:c r="C35" s="13">
        <x:f t="shared" si="1"/>
        <x:v>4050</x:v>
      </x:c>
    </x:row>
    <x:row r="36" ht="23.100000381469727" customHeight="1">
      <x:c r="A36" s="13" t="s">
        <x:v>53</x:v>
      </x:c>
      <x:c r="B36" s="13">
        <x:f t="shared" si="0"/>
        <x:v>4540</x:v>
      </x:c>
      <x:c r="C36" s="13">
        <x:f t="shared" si="1"/>
        <x:v>4540</x:v>
      </x:c>
    </x:row>
    <x:row r="37" ht="23.100000381469727" customHeight="1">
      <x:c r="A37" s="13" t="s">
        <x:v>55</x:v>
      </x:c>
      <x:c r="B37" s="13">
        <x:f t="shared" si="0"/>
        <x:v>5140</x:v>
      </x:c>
      <x:c r="C37" s="13">
        <x:f t="shared" si="1"/>
        <x:v>5140</x:v>
      </x:c>
    </x:row>
    <x:row r="38" ht="23.100000381469727" customHeight="1">
      <x:c r="A38" s="13" t="s">
        <x:v>56</x:v>
      </x:c>
      <x:c r="B38" s="13">
        <x:f t="shared" si="0"/>
        <x:v>8000</x:v>
      </x:c>
      <x:c r="C38" s="13">
        <x:f t="shared" si="1"/>
        <x:v>8000</x:v>
      </x:c>
    </x:row>
    <x:row r="39" ht="23.100000381469727" customHeight="1">
      <x:c r="A39" s="13" t="s">
        <x:v>57</x:v>
      </x:c>
      <x:c r="B39" s="13">
        <x:f t="shared" si="0"/>
        <x:v>9060</x:v>
      </x:c>
      <x:c r="C39" s="13">
        <x:f t="shared" si="1"/>
        <x:v>9060</x:v>
      </x:c>
    </x:row>
    <x:row r="40" ht="23.100000381469727" customHeight="1">
      <x:c r="A40" s="13" t="s">
        <x:v>58</x:v>
      </x:c>
      <x:c r="B40" s="13">
        <x:f t="shared" si="0"/>
        <x:v>10410</x:v>
      </x:c>
      <x:c r="C40" s="13">
        <x:f t="shared" si="1"/>
        <x:v>10410</x:v>
      </x:c>
    </x:row>
    <x:row r="41" ht="23.100000381469727" customHeight="1">
      <x:c r="A41" s="13" t="s">
        <x:v>59</x:v>
      </x:c>
      <x:c r="B41" s="13">
        <x:f t="shared" si="0"/>
        <x:v>11750</x:v>
      </x:c>
      <x:c r="C41" s="13">
        <x:f t="shared" si="1"/>
        <x:v>11750</x:v>
      </x:c>
    </x:row>
    <x:row r="42" ht="23.100000381469727" customHeight="1">
      <x:c r="A42" s="13" t="s">
        <x:v>60</x:v>
      </x:c>
      <x:c r="B42" s="13">
        <x:f t="shared" si="0"/>
        <x:v>26700</x:v>
      </x:c>
      <x:c r="C42" s="13">
        <x:f t="shared" si="1"/>
        <x:v>26700</x:v>
      </x:c>
    </x:row>
    <x:row r="43" ht="23.100000381469727" customHeight="1">
      <x:c r="A43" s="13" t="s">
        <x:v>61</x:v>
      </x:c>
      <x:c r="B43" s="13">
        <x:f t="shared" si="0"/>
        <x:v>38800</x:v>
      </x:c>
      <x:c r="C43" s="13">
        <x:f t="shared" si="1"/>
        <x:v>38800</x:v>
      </x:c>
    </x:row>
    <x:row r="44" ht="23.100000381469727" customHeight="1">
      <x:c r="A44" s="13" t="s">
        <x:v>62</x:v>
      </x:c>
      <x:c r="B44" s="13">
        <x:f t="shared" si="0"/>
        <x:v>47200</x:v>
      </x:c>
      <x:c r="C44" s="13">
        <x:f t="shared" si="1"/>
        <x:v>47200</x:v>
      </x:c>
    </x:row>
    <x:row r="45" ht="23.100000381469727" customHeight="1">
      <x:c r="A45" s="13" t="s">
        <x:v>63</x:v>
      </x:c>
      <x:c r="B45" s="13">
        <x:f t="shared" si="0"/>
        <x:v>65000</x:v>
      </x:c>
      <x:c r="C45" s="13">
        <x:f t="shared" si="1"/>
        <x:v>65000</x:v>
      </x:c>
    </x:row>
    <x:row r="46" ht="23.100000381469727" customHeight="1"/>
    <x:row r="47" ht="23.100000381469727" customHeight="1"/>
    <x:row r="48" ht="23.100000381469727" customHeight="1"/>
    <x:row r="49" ht="23.100000381469727" customHeight="1"/>
    <x:row r="50" ht="23.100000381469727" customHeight="1"/>
    <x:row r="51" ht="23.100000381469727" customHeight="1">
      <x:c r="A51" s="6" t="s">
        <x:v>37</x:v>
      </x:c>
      <x:c r="B51" s="6" t="s">
        <x:v>32</x:v>
      </x:c>
    </x:row>
    <x:row r="52" ht="23.100000381469727" customHeight="1">
      <x:c r="A52" s="13" t="s">
        <x:v>50</x:v>
      </x:c>
      <x:c r="B52" s="13" t="e">
        <x:f t="shared" ref="B52:B63" si="2">G9</x:f>
        <x:v>#NAME?</x:v>
      </x:c>
    </x:row>
    <x:row r="53" ht="23.100000381469727" customHeight="1">
      <x:c r="A53" s="13" t="s">
        <x:v>52</x:v>
      </x:c>
      <x:c r="B53" s="13">
        <x:f t="shared" si="2"/>
        <x:v>3850</x:v>
      </x:c>
    </x:row>
    <x:row r="54" ht="23.100000381469727" customHeight="1">
      <x:c r="A54" s="13" t="s">
        <x:v>53</x:v>
      </x:c>
      <x:c r="B54" s="13">
        <x:f t="shared" si="2"/>
        <x:v>3470</x:v>
      </x:c>
    </x:row>
    <x:row r="55" ht="23.100000381469727" customHeight="1">
      <x:c r="A55" s="13" t="s">
        <x:v>55</x:v>
      </x:c>
      <x:c r="B55" s="13">
        <x:f t="shared" si="2"/>
        <x:v>2080</x:v>
      </x:c>
    </x:row>
    <x:row r="56" ht="23.100000381469727" customHeight="1">
      <x:c r="A56" s="13" t="s">
        <x:v>56</x:v>
      </x:c>
      <x:c r="B56" s="13">
        <x:f t="shared" si="2"/>
        <x:v>2100</x:v>
      </x:c>
    </x:row>
    <x:row r="57" ht="23.100000381469727" customHeight="1">
      <x:c r="A57" s="13" t="s">
        <x:v>57</x:v>
      </x:c>
      <x:c r="B57" s="13">
        <x:f t="shared" si="2"/>
        <x:v>2240</x:v>
      </x:c>
    </x:row>
    <x:row r="58" ht="23.100000381469727" customHeight="1">
      <x:c r="A58" s="13" t="s">
        <x:v>58</x:v>
      </x:c>
      <x:c r="B58" s="13">
        <x:f t="shared" si="2"/>
        <x:v>2150</x:v>
      </x:c>
    </x:row>
    <x:row r="59" ht="23.100000381469727" customHeight="1">
      <x:c r="A59" s="13" t="s">
        <x:v>59</x:v>
      </x:c>
      <x:c r="B59" s="13">
        <x:f t="shared" si="2"/>
        <x:v>2240</x:v>
      </x:c>
    </x:row>
    <x:row r="60" ht="23.100000381469727" customHeight="1">
      <x:c r="A60" s="13" t="s">
        <x:v>60</x:v>
      </x:c>
      <x:c r="B60" s="13">
        <x:f t="shared" si="2"/>
        <x:v>3120</x:v>
      </x:c>
    </x:row>
    <x:row r="61" ht="23.100000381469727" customHeight="1">
      <x:c r="A61" s="13" t="s">
        <x:v>61</x:v>
      </x:c>
      <x:c r="B61" s="13">
        <x:f t="shared" si="2"/>
        <x:v>3780</x:v>
      </x:c>
    </x:row>
    <x:row r="62" ht="23.100000381469727" customHeight="1">
      <x:c r="A62" s="13" t="s">
        <x:v>62</x:v>
      </x:c>
      <x:c r="B62" s="13">
        <x:f t="shared" si="2"/>
        <x:v>3000</x:v>
      </x:c>
    </x:row>
    <x:row r="63" ht="23.100000381469727" customHeight="1">
      <x:c r="A63" s="13" t="s">
        <x:v>63</x:v>
      </x:c>
      <x:c r="B63" s="13">
        <x:f t="shared" si="2"/>
        <x:v>4900</x:v>
      </x:c>
    </x:row>
    <x:row r="64" ht="23.100000381469727" customHeight="1"/>
    <x:row r="65" ht="23.100000381469727" customHeight="1"/>
    <x:row r="66" ht="23.100000381469727" customHeight="1"/>
  </x:sheetData>
  <x:mergeCells>
    <x:mergeCell ref="A22:N22"/>
    <x:mergeCell ref="A24:N24"/>
    <x:mergeCell ref="A1:N1"/>
    <x:mergeCell ref="A2:N2"/>
    <x:mergeCell ref="A5:C6"/>
    <x:mergeCell ref="D5:F6"/>
    <x:mergeCell ref="G5:I6"/>
    <x:mergeCell ref="J5:L6"/>
    <x:mergeCell ref="M5:N6"/>
  </x:mergeCells>
  <x:pageMargins left="0.7" right="0.7" top="0.75" bottom="0.75" header="0.3" footer="0.3"/>
  <x:drawing xmlns:r="http://schemas.openxmlformats.org/officeDocument/2006/relationships" r:id="R9f5f75c55dbf4f7f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31" customWidth="1"/>
    <x:col min="2" max="3" width="22" customWidth="1"/>
    <x:col min="4" max="4" width="14" customWidth="1"/>
    <x:col min="5" max="5" width="22" customWidth="1"/>
    <x:col min="6" max="6" width="14" customWidth="1"/>
  </x:cols>
  <x:sheetData>
    <x:row r="1" ht="33.95000076293945" customHeight="1">
      <x:c r="A1" s="31" t="s">
        <x:v>73</x:v>
      </x:c>
      <x:c r="B1" s="31"/>
      <x:c r="C1" s="31"/>
      <x:c r="D1" s="31"/>
      <x:c r="E1" s="31"/>
      <x:c r="F1" s="31"/>
    </x:row>
    <x:row r="2" ht="23.100000381469727" customHeight="1">
      <x:c r="A2" s="36" t="str">
        <x:v>蓝色项目影响平衡预览；三类准备计时与地下探索行动力会进入 schema v3，并由正式成长配置读取。</x:v>
      </x:c>
      <x:c r="B2" s="36"/>
      <x:c r="C2" s="36"/>
      <x:c r="D2" s="36"/>
      <x:c r="E2" s="36"/>
      <x:c r="F2" s="36"/>
    </x:row>
    <x:row r="3" ht="23.100000381469727" customHeight="1"/>
    <x:row r="4" ht="23.100000381469727" customHeight="1">
      <x:c r="A4" s="6" t="s">
        <x:v>74</x:v>
      </x:c>
      <x:c r="B4" s="6" t="s">
        <x:v>75</x:v>
      </x:c>
    </x:row>
    <x:row r="5" ht="23.100000381469727" customHeight="1">
      <x:c r="A5" s="4" t="s">
        <x:v>76</x:v>
      </x:c>
      <x:c r="B5" s="7">
        <x:v>1</x:v>
      </x:c>
    </x:row>
    <x:row r="6" ht="23.100000381469727" customHeight="1">
      <x:c r="A6" s="4" t="s">
        <x:v>77</x:v>
      </x:c>
      <x:c r="B6" s="9">
        <x:v>0.25</x:v>
      </x:c>
    </x:row>
    <x:row r="7" ht="23.100000381469727" customHeight="1">
      <x:c r="A7" s="4" t="s">
        <x:v>78</x:v>
      </x:c>
      <x:c r="B7" s="9">
        <x:v>1</x:v>
      </x:c>
    </x:row>
    <x:row r="8" ht="23.100000381469727" customHeight="1">
      <x:c r="A8" s="4" t="s">
        <x:v>79</x:v>
      </x:c>
      <x:c r="B8" s="8">
        <x:v>12</x:v>
      </x:c>
    </x:row>
    <x:row r="9" ht="23.100000381469727" customHeight="1">
      <x:c r="A9" s="4" t="s">
        <x:v>80</x:v>
      </x:c>
      <x:c r="B9" s="8">
        <x:v>4</x:v>
      </x:c>
    </x:row>
    <x:row r="10" ht="23.100000381469727" customHeight="1">
      <x:c r="A10" s="4" t="s">
        <x:v>81</x:v>
      </x:c>
      <x:c r="B10" s="8">
        <x:v>4</x:v>
      </x:c>
    </x:row>
    <x:row r="11" ht="23.100000381469727" customHeight="1">
      <x:c r="A11" s="4" t="s">
        <x:v>82</x:v>
      </x:c>
      <x:c r="B11" s="8" t="s">
        <x:v>83</x:v>
      </x:c>
    </x:row>
    <x:row r="12" ht="23.100000381469727" customHeight="1">
      <x:c r="A12" s="4" t="s">
        <x:v>84</x:v>
      </x:c>
      <x:c r="B12" s="8" t="s">
        <x:v>23</x:v>
      </x:c>
    </x:row>
    <x:row r="13" ht="23.100000381469727" customHeight="1">
      <x:c r="A13" s="4" t="s">
        <x:v>85</x:v>
      </x:c>
      <x:c r="B13" s="8" t="s">
        <x:v>51</x:v>
      </x:c>
    </x:row>
    <x:row r="14" ht="22" customHeight="1">
      <x:c r="A14" s="51" t="str">
        <x:v>首波前准备(s)</x:v>
      </x:c>
      <x:c r="B14" s="56" t="n">
        <x:v>300</x:v>
      </x:c>
      <x:c r="C14" s="51" t="str">
        <x:v>普通波间休整(s)</x:v>
      </x:c>
      <x:c r="D14" s="56" t="n">
        <x:v>300</x:v>
      </x:c>
      <x:c r="E14" s="51" t="str">
        <x:v>跨日/首领准备(s)</x:v>
      </x:c>
      <x:c r="F14" s="56" t="n">
        <x:v>300</x:v>
      </x:c>
    </x:row>
    <x:row r="15" ht="23.100000381469727" customHeight="1">
      <x:c r="A15" s="34" t="s">
        <x:v>86</x:v>
      </x:c>
      <x:c r="B15" s="34"/>
      <x:c r="C15" s="34"/>
      <x:c r="D15" s="34"/>
      <x:c r="E15" s="34"/>
      <x:c r="F15" s="34"/>
    </x:row>
    <x:row r="16" ht="23.100000381469727" customHeight="1">
      <x:c r="A16" s="10" t="s">
        <x:v>87</x:v>
      </x:c>
      <x:c r="B16" s="12">
        <x:v>5</x:v>
      </x:c>
      <x:c r="C16" s="10" t="s">
        <x:v>88</x:v>
      </x:c>
      <x:c r="D16" s="12">
        <x:v>5</x:v>
      </x:c>
      <x:c r="E16" s="10" t="s">
        <x:v>89</x:v>
      </x:c>
      <x:c r="F16" s="12">
        <x:v>5</x:v>
      </x:c>
    </x:row>
    <x:row r="17" ht="23.100000381469727" customHeight="1"/>
    <x:row r="18" ht="23.100000381469727" customHeight="1">
      <x:c r="A18" s="33" t="s">
        <x:v>90</x:v>
      </x:c>
      <x:c r="B18" s="33"/>
      <x:c r="C18" s="33"/>
      <x:c r="D18" s="33"/>
      <x:c r="E18" s="33"/>
      <x:c r="F18" s="33"/>
    </x:row>
    <x:row r="19" ht="23.100000381469727" customHeight="1">
      <x:c r="A19" s="4" t="s">
        <x:v>30</x:v>
      </x:c>
      <x:c r="B19" s="13" t="e">
        <x:f>COUNTIF(总览!E9:E20,"可回读")&amp;" / 12"</x:f>
        <x:v>#NAME?</x:v>
      </x:c>
    </x:row>
    <x:row r="20" ht="23.100000381469727" customHeight="1">
      <x:c r="A20" s="4" t="s">
        <x:v>91</x:v>
      </x:c>
      <x:c r="B20" s="13" t="e">
        <x:f>IF(B19="12 / 12","完整","仍有待设计或需修正")</x:f>
        <x:v>#NAME?</x:v>
      </x:c>
    </x:row>
    <x:row r="21" ht="23.100000381469727" customHeight="1">
      <x:c r="A21" s="4" t="s">
        <x:v>92</x:v>
      </x:c>
      <x:c r="B21" s="13" t="s">
        <x:v>93</x:v>
      </x:c>
    </x:row>
    <x:row r="22" ht="23.100000381469727" customHeight="1">
      <x:c r="A22" s="4" t="s">
        <x:v>94</x:v>
      </x:c>
      <x:c r="B22" s="13" t="s">
        <x:v>95</x:v>
      </x:c>
    </x:row>
    <x:row r="23" ht="23.100000381469727" customHeight="1"/>
    <x:row r="24" ht="23.100000381469727" customHeight="1">
      <x:c r="A24" s="38" t="s">
        <x:v>96</x:v>
      </x:c>
      <x:c r="B24" s="38"/>
      <x:c r="C24" s="38"/>
      <x:c r="D24" s="38"/>
      <x:c r="E24" s="38"/>
      <x:c r="F24" s="38"/>
    </x:row>
  </x:sheetData>
  <x:mergeCells>
    <x:mergeCell ref="A1:F1"/>
    <x:mergeCell ref="A2:F2"/>
    <x:mergeCell ref="A15:F15"/>
    <x:mergeCell ref="A18:F18"/>
    <x:mergeCell ref="A24:F24"/>
  </x:mergeCells>
  <x:dataValidations count="6">
    <x:dataValidation type="whole" sqref="B5">
      <x:formula1>1</x:formula1>
      <x:formula2>8</x:formula2>
    </x:dataValidation>
    <x:dataValidation type="decimal" sqref="B6:B7">
      <x:formula1>0</x:formula1>
      <x:formula2>1</x:formula2>
    </x:dataValidation>
    <x:dataValidation type="whole" sqref="B16 F16 D16">
      <x:formula1>0</x:formula1>
      <x:formula2>999</x:formula2>
    </x:dataValidation>
    <x:dataValidation type="whole" operator="between" sqref="B14">
      <x:formula1>0</x:formula1>
      <x:formula2>3600</x:formula2>
    </x:dataValidation>
    <x:dataValidation type="whole" operator="between" sqref="D14">
      <x:formula1>0</x:formula1>
      <x:formula2>3600</x:formula2>
    </x:dataValidation>
    <x:dataValidation type="whole" operator="between" sqref="F14">
      <x:formula1>0</x:formula1>
      <x:formula2>3600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1" t="e">
        <x:f>"第1日｜4 波配置｜日终地下探索 +"&amp;全局设置!B16&amp;" AP"</x:f>
        <x:v>#NAME?</x:v>
      </x:c>
      <x:c r="B1" s="31"/>
      <x:c r="C1" s="31"/>
      <x:c r="D1" s="31"/>
      <x:c r="E1" s="31"/>
      <x:c r="F1" s="31"/>
      <x:c r="G1" s="31"/>
      <x:c r="H1" s="31"/>
      <x:c r="I1" s="31"/>
    </x:row>
    <x:row r="2" ht="21.950000762939453" customHeight="1">
      <x:c r="A2" s="33" t="s">
        <x:v>97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50</x:v>
      </x:c>
      <x:c r="C3" s="41" t="s">
        <x:v>99</x:v>
      </x:c>
      <x:c r="D3" s="6" t="s">
        <x:v>100</x:v>
      </x:c>
      <x:c r="E3" s="7" t="n">
        <x:v>0.25</x:v>
      </x:c>
      <x:c r="F3" s="6" t="s">
        <x:v>101</x:v>
      </x:c>
      <x:c r="G3" s="7">
        <x:v>1</x:v>
      </x:c>
      <x:c r="H3" s="6" t="s">
        <x:v>48</x:v>
      </x:c>
      <x:c r="I3" s="7" t="n">
        <x:v>200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107</x:v>
      </x:c>
      <x:c r="G4" s="11" t="s">
        <x:v>108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115</x:v>
      </x:c>
      <x:c r="C7" s="14">
        <x:v>1300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116</x:v>
      </x:c>
      <x:c r="C8" s="14">
        <x:v>400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400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117</x:v>
      </x:c>
      <x:c r="C9" s="14">
        <x:v>500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500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118</x:v>
      </x:c>
      <x:c r="C10" s="14">
        <x:v>300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300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500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500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/>
      <x:c r="C12" s="14"/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</x:c>
    </x:row>
    <x:row r="13" ht="21.950000762939453" customHeight="1">
      <x:c r="A13" s="16">
        <x:v>7</x:v>
      </x:c>
      <x:c r="B13" s="14"/>
      <x:c r="C13" s="14"/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</x:c>
    </x:row>
    <x:row r="14" ht="21.950000762939453" customHeight="1">
      <x:c r="A14" s="16">
        <x:v>8</x:v>
      </x:c>
      <x:c r="B14" s="14"/>
      <x:c r="C14" s="14"/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</x:c>
    </x:row>
    <x:row r="15" ht="21.950000762939453" customHeight="1">
      <x:c r="A15" s="16">
        <x:v>9</x:v>
      </x:c>
      <x:c r="B15" s="14"/>
      <x:c r="C15" s="14"/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</x:c>
    </x:row>
    <x:row r="16" ht="21.950000762939453" customHeight="1">
      <x:c r="A16" s="16">
        <x:v>10</x:v>
      </x:c>
      <x:c r="B16" s="14"/>
      <x:c r="C16" s="14"/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</x:c>
    </x:row>
    <x:row r="17" ht="21.950000762939453" customHeight="1">
      <x:c r="A17" s="16">
        <x:v>11</x:v>
      </x:c>
      <x:c r="B17" s="14"/>
      <x:c r="C17" s="14"/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</x:c>
    </x:row>
    <x:row r="18" ht="21.950000762939453" customHeight="1">
      <x:c r="A18" s="16">
        <x:v>12</x:v>
      </x:c>
      <x:c r="B18" s="14"/>
      <x:c r="C18" s="14"/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</x:c>
    </x:row>
    <x:row r="19" ht="21.950000762939453" customHeight="1">
      <x:c r="A19" s="16">
        <x:v>13</x:v>
      </x:c>
      <x:c r="B19" s="14"/>
      <x:c r="C19" s="14"/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</x:c>
    </x:row>
    <x:row r="20" ht="21.950000762939453" customHeight="1">
      <x:c r="A20" s="16">
        <x:v>14</x:v>
      </x:c>
      <x:c r="B20" s="14"/>
      <x:c r="C20" s="14"/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</x:c>
    </x:row>
    <x:row r="21" ht="21.950000762939453" customHeight="1">
      <x:c r="A21" s="16">
        <x:v>15</x:v>
      </x:c>
      <x:c r="B21" s="14"/>
      <x:c r="C21" s="14"/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3000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124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52</x:v>
      </x:c>
      <x:c r="C32" s="41" t="s">
        <x:v>125</x:v>
      </x:c>
      <x:c r="D32" s="6" t="s">
        <x:v>100</x:v>
      </x:c>
      <x:c r="E32" s="7">
        <x:v>0.1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107</x:v>
      </x:c>
      <x:c r="G33" s="11" t="s">
        <x:v>108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115</x:v>
      </x:c>
      <x:c r="C36" s="14">
        <x:v>2000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116</x:v>
      </x:c>
      <x:c r="C37" s="14">
        <x:v>400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400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117</x:v>
      </x:c>
      <x:c r="C38" s="14">
        <x:v>500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500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118</x:v>
      </x:c>
      <x:c r="C39" s="14">
        <x:v>300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300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126</x:v>
      </x:c>
      <x:c r="C40" s="14">
        <x:v>200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400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119</x:v>
      </x:c>
      <x:c r="C41" s="14">
        <x:v>50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50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127</x:v>
      </x:c>
      <x:c r="C42" s="14">
        <x:v>400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400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/>
      <x:c r="C43" s="14"/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</x:c>
    </x:row>
    <x:row r="44" ht="21.950000762939453" customHeight="1">
      <x:c r="A44" s="16">
        <x:v>9</x:v>
      </x:c>
      <x:c r="B44" s="14"/>
      <x:c r="C44" s="14"/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</x:c>
    </x:row>
    <x:row r="45" ht="21.950000762939453" customHeight="1">
      <x:c r="A45" s="16">
        <x:v>10</x:v>
      </x:c>
      <x:c r="B45" s="14"/>
      <x:c r="C45" s="14"/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</x:c>
    </x:row>
    <x:row r="46" ht="21.950000762939453" customHeight="1">
      <x:c r="A46" s="16">
        <x:v>11</x:v>
      </x:c>
      <x:c r="B46" s="14"/>
      <x:c r="C46" s="14"/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</x:c>
    </x:row>
    <x:row r="47" ht="21.950000762939453" customHeight="1">
      <x:c r="A47" s="16">
        <x:v>12</x:v>
      </x:c>
      <x:c r="B47" s="14"/>
      <x:c r="C47" s="14"/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</x:c>
    </x:row>
    <x:row r="48" ht="21.950000762939453" customHeight="1">
      <x:c r="A48" s="16">
        <x:v>13</x:v>
      </x:c>
      <x:c r="B48" s="14"/>
      <x:c r="C48" s="14"/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</x:c>
    </x:row>
    <x:row r="49" ht="21.950000762939453" customHeight="1">
      <x:c r="A49" s="16">
        <x:v>14</x:v>
      </x:c>
      <x:c r="B49" s="14"/>
      <x:c r="C49" s="14"/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</x:c>
    </x:row>
    <x:row r="50" ht="21.950000762939453" customHeight="1">
      <x:c r="A50" s="16">
        <x:v>15</x:v>
      </x:c>
      <x:c r="B50" s="14"/>
      <x:c r="C50" s="14"/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</x:c>
    </x:row>
    <x:row r="51" ht="21.950000762939453" customHeight="1">
      <x:c r="A51" s="16">
        <x:v>16</x:v>
      </x:c>
      <x:c r="B51" s="14"/>
      <x:c r="C51" s="14"/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</x:c>
    </x:row>
    <x:row r="52" ht="21.950000762939453" customHeight="1">
      <x:c r="A52" s="16">
        <x:v>17</x:v>
      </x:c>
      <x:c r="B52" s="14"/>
      <x:c r="C52" s="14"/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</x:c>
    </x:row>
    <x:row r="53" ht="21.950000762939453" customHeight="1">
      <x:c r="A53" s="16">
        <x:v>18</x:v>
      </x:c>
      <x:c r="B53" s="14"/>
      <x:c r="C53" s="14"/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3850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128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53</x:v>
      </x:c>
      <x:c r="C61" s="41" t="s">
        <x:v>129</x:v>
      </x:c>
      <x:c r="D61" s="19" t="s">
        <x:v>100</x:v>
      </x:c>
      <x:c r="E61" s="7">
        <x:v>0.1</x:v>
      </x:c>
      <x:c r="F61" s="19" t="s">
        <x:v>101</x:v>
      </x:c>
      <x:c r="G61" s="7">
        <x:v>2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132</x:v>
      </x:c>
      <x:c r="C65" s="14">
        <x:v>50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117</x:v>
      </x:c>
      <x:c r="C66" s="14">
        <x:v>500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500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126</x:v>
      </x:c>
      <x:c r="C67" s="14">
        <x:v>1000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2000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133</x:v>
      </x:c>
      <x:c r="C68" s="14">
        <x:v>400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400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134</x:v>
      </x:c>
      <x:c r="C69" s="14">
        <x:v>100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100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127</x:v>
      </x:c>
      <x:c r="C70" s="14">
        <x:v>400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400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119</x:v>
      </x:c>
      <x:c r="C71" s="14">
        <x:v>500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500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115</x:v>
      </x:c>
      <x:c r="C72" s="14">
        <x:v>500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500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135</x:v>
      </x:c>
      <x:c r="C73" s="14">
        <x:v>20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40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/>
      <x:c r="C74" s="14"/>
      <x:c r="D74" s="8" t="e">
        <x:f>IF(B74="",0,ROUNDUP(C74*(1+(全局设置!$B$5-1)*全局设置!$B$6),0))</x:f>
        <x:v>#NAME?</x:v>
      </x:c>
      <x:c r="E74" s="17" t="e">
        <x:f>IF(B74="",0,IFERROR(VLOOKUP(B74,敌人目录!$A$6:$M$68,13,FALSE),0))</x:f>
        <x:v>#NAME?</x:v>
      </x:c>
      <x:c r="F74" s="17">
        <x:f t="shared" si="4"/>
        <x:v>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</x:c>
    </x:row>
    <x:row r="75" ht="21.950000762939453" customHeight="1">
      <x:c r="A75" s="16">
        <x:v>11</x:v>
      </x:c>
      <x:c r="B75" s="14"/>
      <x:c r="C75" s="14"/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</x:c>
    </x:row>
    <x:row r="76" ht="21.950000762939453" customHeight="1">
      <x:c r="A76" s="16">
        <x:v>12</x:v>
      </x:c>
      <x:c r="B76" s="14"/>
      <x:c r="C76" s="14"/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</x:c>
    </x:row>
    <x:row r="77" ht="21.950000762939453" customHeight="1">
      <x:c r="A77" s="16">
        <x:v>13</x:v>
      </x:c>
      <x:c r="B77" s="14"/>
      <x:c r="C77" s="14"/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</x:c>
    </x:row>
    <x:row r="78" ht="21.950000762939453" customHeight="1">
      <x:c r="A78" s="16">
        <x:v>14</x:v>
      </x:c>
      <x:c r="B78" s="14"/>
      <x:c r="C78" s="14"/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</x:c>
    </x:row>
    <x:row r="79" ht="21.950000762939453" customHeight="1">
      <x:c r="A79" s="16">
        <x:v>15</x:v>
      </x:c>
      <x:c r="B79" s="14"/>
      <x:c r="C79" s="14"/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</x:c>
    </x:row>
    <x:row r="80" ht="21.950000762939453" customHeight="1">
      <x:c r="A80" s="16">
        <x:v>16</x:v>
      </x:c>
      <x:c r="B80" s="14"/>
      <x:c r="C80" s="14"/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</x:c>
    </x:row>
    <x:row r="81" ht="21.950000762939453" customHeight="1">
      <x:c r="A81" s="16">
        <x:v>17</x:v>
      </x:c>
      <x:c r="B81" s="14"/>
      <x:c r="C81" s="14"/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</x:c>
    </x:row>
    <x:row r="82" ht="21.950000762939453" customHeight="1">
      <x:c r="A82" s="16">
        <x:v>18</x:v>
      </x:c>
      <x:c r="B82" s="14"/>
      <x:c r="C82" s="14"/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3470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136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55</x:v>
      </x:c>
      <x:c r="C90" s="41" t="s">
        <x:v>137</x:v>
      </x:c>
      <x:c r="D90" s="19" t="s">
        <x:v>100</x:v>
      </x:c>
      <x:c r="E90" s="7">
        <x:v>0.1</x:v>
      </x:c>
      <x:c r="F90" s="19" t="s">
        <x:v>101</x:v>
      </x:c>
      <x:c r="G90" s="7">
        <x:v>3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117</x:v>
      </x:c>
      <x:c r="C94" s="14">
        <x:v>500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138</x:v>
      </x:c>
      <x:c r="C95" s="14">
        <x:v>10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20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132</x:v>
      </x:c>
      <x:c r="C96" s="14">
        <x:v>10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20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133</x:v>
      </x:c>
      <x:c r="C97" s="14">
        <x:v>200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200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126</x:v>
      </x:c>
      <x:c r="C98" s="14">
        <x:v>800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1600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139</x:v>
      </x:c>
      <x:c r="C99" s="14">
        <x:v>100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100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140</x:v>
      </x:c>
      <x:c r="C100" s="14">
        <x:v>10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250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127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200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141</x:v>
      </x:c>
      <x:c r="C102" s="14">
        <x:v>100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2000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135</x:v>
      </x:c>
      <x:c r="C103" s="14">
        <x:v>100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200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134</x:v>
      </x:c>
      <x:c r="C104" s="14">
        <x:v>50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50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/>
      <x:c r="C105" s="14"/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</x:c>
    </x:row>
    <x:row r="106" ht="21.950000762939453" customHeight="1">
      <x:c r="A106" s="16">
        <x:v>13</x:v>
      </x:c>
      <x:c r="B106" s="14"/>
      <x:c r="C106" s="14"/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</x:c>
    </x:row>
    <x:row r="107" ht="21.950000762939453" customHeight="1">
      <x:c r="A107" s="16">
        <x:v>14</x:v>
      </x:c>
      <x:c r="B107" s="14"/>
      <x:c r="C107" s="14"/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</x:c>
    </x:row>
    <x:row r="108" ht="21.950000762939453" customHeight="1">
      <x:c r="A108" s="16">
        <x:v>15</x:v>
      </x:c>
      <x:c r="B108" s="14"/>
      <x:c r="C108" s="14"/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</x:c>
    </x:row>
    <x:row r="109" ht="21.950000762939453" customHeight="1">
      <x:c r="A109" s="16">
        <x:v>16</x:v>
      </x:c>
      <x:c r="B109" s="14"/>
      <x:c r="C109" s="14"/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</x:c>
    </x:row>
    <x:row r="110" ht="21.950000762939453" customHeight="1">
      <x:c r="A110" s="16">
        <x:v>17</x:v>
      </x:c>
      <x:c r="B110" s="14"/>
      <x:c r="C110" s="14"/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</x:c>
    </x:row>
    <x:row r="111" ht="21.950000762939453" customHeight="1">
      <x:c r="A111" s="16">
        <x:v>18</x:v>
      </x:c>
      <x:c r="B111" s="14"/>
      <x:c r="C111" s="14"/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2080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65:C82 C36:C53">
      <x:formula1>1</x:formula1>
      <x:formula2>9999</x:formula2>
    </x:dataValidation>
    <x:dataValidation type="decimal" sqref="E3 E90 E61 E32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>
      <x:formula1>INDIRECT("'敌人目录'!$A$6:$A$68")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1" t="e">
        <x:f>"第2日｜4 波配置｜日终地下探索 +"&amp;全局设置!D16&amp;" AP"</x:f>
        <x:v>#NAME?</x:v>
      </x:c>
      <x:c r="B1" s="31"/>
      <x:c r="C1" s="31"/>
      <x:c r="D1" s="31"/>
      <x:c r="E1" s="31"/>
      <x:c r="F1" s="31"/>
      <x:c r="G1" s="31"/>
      <x:c r="H1" s="31"/>
      <x:c r="I1" s="31"/>
    </x:row>
    <x:row r="2" ht="21.950000762939453" customHeight="1">
      <x:c r="A2" s="33" t="s">
        <x:v>142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56</x:v>
      </x:c>
      <x:c r="C3" s="41" t="s">
        <x:v>143</x:v>
      </x:c>
      <x:c r="D3" s="6" t="s">
        <x:v>100</x:v>
      </x:c>
      <x:c r="E3" s="7">
        <x:v>2.5000000000000001E-2</x:v>
      </x:c>
      <x:c r="F3" s="6" t="s">
        <x:v>101</x:v>
      </x:c>
      <x:c r="G3" s="7">
        <x:v>1</x:v>
      </x:c>
      <x:c r="H3" s="6" t="s">
        <x:v>48</x:v>
      </x:c>
      <x:c r="I3" s="7">
        <x:v>300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130</x:v>
      </x:c>
      <x:c r="G4" s="11" t="s">
        <x:v>131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115</x:v>
      </x:c>
      <x:c r="C7" s="14">
        <x:v>350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117</x:v>
      </x:c>
      <x:c r="C8" s="14">
        <x:v>300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300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118</x:v>
      </x:c>
      <x:c r="C9" s="14">
        <x:v>250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250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133</x:v>
      </x:c>
      <x:c r="C10" s="14">
        <x:v>200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200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200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200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 t="s">
        <x:v>126</x:v>
      </x:c>
      <x:c r="C12" s="14">
        <x:v>250</x:v>
      </x:c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500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  <x:v>可回读</x:v>
      </x:c>
    </x:row>
    <x:row r="13" ht="21.950000762939453" customHeight="1">
      <x:c r="A13" s="16">
        <x:v>7</x:v>
      </x:c>
      <x:c r="B13" s="14" t="s">
        <x:v>132</x:v>
      </x:c>
      <x:c r="C13" s="14">
        <x:v>150</x:v>
      </x:c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300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  <x:v>可回读</x:v>
      </x:c>
    </x:row>
    <x:row r="14" ht="21.950000762939453" customHeight="1">
      <x:c r="A14" s="16">
        <x:v>8</x:v>
      </x:c>
      <x:c r="B14" s="14" t="s">
        <x:v>138</x:v>
      </x:c>
      <x:c r="C14" s="14">
        <x:v>100</x:v>
      </x:c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200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  <x:v>可回读</x:v>
      </x:c>
    </x:row>
    <x:row r="15" ht="21.950000762939453" customHeight="1">
      <x:c r="A15" s="16">
        <x:v>9</x:v>
      </x:c>
      <x:c r="B15" s="14" t="s">
        <x:v>144</x:v>
      </x:c>
      <x:c r="C15" s="14">
        <x:v>80</x:v>
      </x:c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800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  <x:v>可回读</x:v>
      </x:c>
    </x:row>
    <x:row r="16" ht="21.950000762939453" customHeight="1">
      <x:c r="A16" s="16">
        <x:v>10</x:v>
      </x:c>
      <x:c r="B16" s="14" t="s">
        <x:v>145</x:v>
      </x:c>
      <x:c r="C16" s="14">
        <x:v>60</x:v>
      </x:c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600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  <x:v>可回读</x:v>
      </x:c>
    </x:row>
    <x:row r="17" ht="21.950000762939453" customHeight="1">
      <x:c r="A17" s="16">
        <x:v>11</x:v>
      </x:c>
      <x:c r="B17" s="14" t="s">
        <x:v>141</x:v>
      </x:c>
      <x:c r="C17" s="14">
        <x:v>60</x:v>
      </x:c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1200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  <x:v>可回读</x:v>
      </x:c>
    </x:row>
    <x:row r="18" ht="21.950000762939453" customHeight="1">
      <x:c r="A18" s="16">
        <x:v>12</x:v>
      </x:c>
      <x:c r="B18" s="14" t="s">
        <x:v>140</x:v>
      </x:c>
      <x:c r="C18" s="14">
        <x:v>40</x:v>
      </x:c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1000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  <x:v>可回读</x:v>
      </x:c>
    </x:row>
    <x:row r="19" ht="21.950000762939453" customHeight="1">
      <x:c r="A19" s="16">
        <x:v>13</x:v>
      </x:c>
      <x:c r="B19" s="14" t="s">
        <x:v>146</x:v>
      </x:c>
      <x:c r="C19" s="14">
        <x:v>30</x:v>
      </x:c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900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  <x:v>可回读</x:v>
      </x:c>
    </x:row>
    <x:row r="20" ht="21.950000762939453" customHeight="1">
      <x:c r="A20" s="16">
        <x:v>14</x:v>
      </x:c>
      <x:c r="B20" s="14" t="s">
        <x:v>147</x:v>
      </x:c>
      <x:c r="C20" s="14">
        <x:v>20</x:v>
      </x:c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700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  <x:v>可回读</x:v>
      </x:c>
    </x:row>
    <x:row r="21" ht="21.950000762939453" customHeight="1">
      <x:c r="A21" s="16">
        <x:v>15</x:v>
      </x:c>
      <x:c r="B21" s="14" t="s">
        <x:v>148</x:v>
      </x:c>
      <x:c r="C21" s="14">
        <x:v>10</x:v>
      </x:c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500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  <x:v>可回读</x:v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2100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149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57</x:v>
      </x:c>
      <x:c r="C32" s="41" t="s">
        <x:v>150</x:v>
      </x:c>
      <x:c r="D32" s="6" t="s">
        <x:v>100</x:v>
      </x:c>
      <x:c r="E32" s="7">
        <x:v>2.5000000000000001E-2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130</x:v>
      </x:c>
      <x:c r="G33" s="11" t="s">
        <x:v>131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115</x:v>
      </x:c>
      <x:c r="C36" s="14">
        <x:v>300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116</x:v>
      </x:c>
      <x:c r="C37" s="14">
        <x:v>200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200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127</x:v>
      </x:c>
      <x:c r="C38" s="14">
        <x:v>200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200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117</x:v>
      </x:c>
      <x:c r="C39" s="14">
        <x:v>260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260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118</x:v>
      </x:c>
      <x:c r="C40" s="14">
        <x:v>200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200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133</x:v>
      </x:c>
      <x:c r="C41" s="14">
        <x:v>150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150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135</x:v>
      </x:c>
      <x:c r="C42" s="14">
        <x:v>100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200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 t="s">
        <x:v>119</x:v>
      </x:c>
      <x:c r="C43" s="14">
        <x:v>150</x:v>
      </x:c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150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  <x:v>可回读</x:v>
      </x:c>
    </x:row>
    <x:row r="44" ht="21.950000762939453" customHeight="1">
      <x:c r="A44" s="16">
        <x:v>9</x:v>
      </x:c>
      <x:c r="B44" s="14" t="s">
        <x:v>126</x:v>
      </x:c>
      <x:c r="C44" s="14">
        <x:v>300</x:v>
      </x:c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600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  <x:v>可回读</x:v>
      </x:c>
    </x:row>
    <x:row r="45" ht="21.950000762939453" customHeight="1">
      <x:c r="A45" s="16">
        <x:v>10</x:v>
      </x:c>
      <x:c r="B45" s="14" t="s">
        <x:v>138</x:v>
      </x:c>
      <x:c r="C45" s="14">
        <x:v>100</x:v>
      </x:c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200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  <x:v>可回读</x:v>
      </x:c>
    </x:row>
    <x:row r="46" ht="21.950000762939453" customHeight="1">
      <x:c r="A46" s="16">
        <x:v>11</x:v>
      </x:c>
      <x:c r="B46" s="14" t="s">
        <x:v>132</x:v>
      </x:c>
      <x:c r="C46" s="14">
        <x:v>50</x:v>
      </x:c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100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  <x:v>可回读</x:v>
      </x:c>
    </x:row>
    <x:row r="47" ht="21.950000762939453" customHeight="1">
      <x:c r="A47" s="16">
        <x:v>12</x:v>
      </x:c>
      <x:c r="B47" s="14" t="s">
        <x:v>145</x:v>
      </x:c>
      <x:c r="C47" s="14">
        <x:v>25</x:v>
      </x:c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250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  <x:v>可回读</x:v>
      </x:c>
    </x:row>
    <x:row r="48" ht="21.950000762939453" customHeight="1">
      <x:c r="A48" s="16">
        <x:v>13</x:v>
      </x:c>
      <x:c r="B48" s="14" t="s">
        <x:v>151</x:v>
      </x:c>
      <x:c r="C48" s="14">
        <x:v>25</x:v>
      </x:c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250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  <x:v>可回读</x:v>
      </x:c>
    </x:row>
    <x:row r="49" ht="21.950000762939453" customHeight="1">
      <x:c r="A49" s="16">
        <x:v>14</x:v>
      </x:c>
      <x:c r="B49" s="14" t="s">
        <x:v>152</x:v>
      </x:c>
      <x:c r="C49" s="14">
        <x:v>20</x:v>
      </x:c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200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  <x:v>可回读</x:v>
      </x:c>
    </x:row>
    <x:row r="50" ht="21.950000762939453" customHeight="1">
      <x:c r="A50" s="16">
        <x:v>15</x:v>
      </x:c>
      <x:c r="B50" s="14" t="s">
        <x:v>146</x:v>
      </x:c>
      <x:c r="C50" s="14">
        <x:v>50</x:v>
      </x:c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1500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  <x:v>可回读</x:v>
      </x:c>
    </x:row>
    <x:row r="51" ht="21.950000762939453" customHeight="1">
      <x:c r="A51" s="16">
        <x:v>16</x:v>
      </x:c>
      <x:c r="B51" s="14" t="s">
        <x:v>153</x:v>
      </x:c>
      <x:c r="C51" s="14">
        <x:v>50</x:v>
      </x:c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1750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  <x:v>可回读</x:v>
      </x:c>
    </x:row>
    <x:row r="52" ht="21.950000762939453" customHeight="1">
      <x:c r="A52" s="16">
        <x:v>17</x:v>
      </x:c>
      <x:c r="B52" s="14" t="s">
        <x:v>154</x:v>
      </x:c>
      <x:c r="C52" s="14">
        <x:v>30</x:v>
      </x:c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1050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  <x:v>可回读</x:v>
      </x:c>
    </x:row>
    <x:row r="53" ht="21.950000762939453" customHeight="1">
      <x:c r="A53" s="16">
        <x:v>18</x:v>
      </x:c>
      <x:c r="B53" s="14" t="s">
        <x:v>148</x:v>
      </x:c>
      <x:c r="C53" s="14">
        <x:v>30</x:v>
      </x:c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1500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  <x:v>可回读</x:v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2240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155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58</x:v>
      </x:c>
      <x:c r="C61" s="41" t="s">
        <x:v>156</x:v>
      </x:c>
      <x:c r="D61" s="19" t="s">
        <x:v>100</x:v>
      </x:c>
      <x:c r="E61" s="7">
        <x:v>2.5000000000000001E-2</x:v>
      </x:c>
      <x:c r="F61" s="19" t="s">
        <x:v>101</x:v>
      </x:c>
      <x:c r="G61" s="7">
        <x:v>1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115</x:v>
      </x:c>
      <x:c r="C65" s="14">
        <x:v>250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134</x:v>
      </x:c>
      <x:c r="C66" s="14">
        <x:v>200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200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117</x:v>
      </x:c>
      <x:c r="C67" s="14">
        <x:v>250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250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118</x:v>
      </x:c>
      <x:c r="C68" s="14">
        <x:v>200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200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133</x:v>
      </x:c>
      <x:c r="C69" s="14">
        <x:v>150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150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135</x:v>
      </x:c>
      <x:c r="C70" s="14">
        <x:v>100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200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119</x:v>
      </x:c>
      <x:c r="C71" s="14">
        <x:v>200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200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126</x:v>
      </x:c>
      <x:c r="C72" s="14">
        <x:v>250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500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138</x:v>
      </x:c>
      <x:c r="C73" s="14">
        <x:v>150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300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 t="s">
        <x:v>132</x:v>
      </x:c>
      <x:c r="C74" s="14">
        <x:v>50</x:v>
      </x:c>
      <x:c r="D74" s="8">
        <x:v>50</x:v>
      </x:c>
      <x:c r="E74" s="17" t="e">
        <x:f>IF(B74="",0,IFERROR(VLOOKUP(B74,敌人目录!$A$6:$M$68,13,FALSE),0))</x:f>
        <x:v>#NAME?</x:v>
      </x:c>
      <x:c r="F74" s="17">
        <x:f t="shared" si="4"/>
        <x:v>100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  <x:v>可回读</x:v>
      </x:c>
    </x:row>
    <x:row r="75" ht="21.950000762939453" customHeight="1">
      <x:c r="A75" s="16">
        <x:v>11</x:v>
      </x:c>
      <x:c r="B75" s="14" t="s">
        <x:v>157</x:v>
      </x:c>
      <x:c r="C75" s="14">
        <x:v>40</x:v>
      </x:c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400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  <x:v>可回读</x:v>
      </x:c>
    </x:row>
    <x:row r="76" ht="21.950000762939453" customHeight="1">
      <x:c r="A76" s="16">
        <x:v>12</x:v>
      </x:c>
      <x:c r="B76" s="14" t="s">
        <x:v>158</x:v>
      </x:c>
      <x:c r="C76" s="14">
        <x:v>40</x:v>
      </x:c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400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  <x:v>可回读</x:v>
      </x:c>
    </x:row>
    <x:row r="77" ht="21.950000762939453" customHeight="1">
      <x:c r="A77" s="16">
        <x:v>13</x:v>
      </x:c>
      <x:c r="B77" s="14" t="s">
        <x:v>159</x:v>
      </x:c>
      <x:c r="C77" s="14">
        <x:v>30</x:v>
      </x:c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300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  <x:v>可回读</x:v>
      </x:c>
    </x:row>
    <x:row r="78" ht="21.950000762939453" customHeight="1">
      <x:c r="A78" s="16">
        <x:v>14</x:v>
      </x:c>
      <x:c r="B78" s="14" t="s">
        <x:v>160</x:v>
      </x:c>
      <x:c r="C78" s="14">
        <x:v>40</x:v>
      </x:c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400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  <x:v>可回读</x:v>
      </x:c>
    </x:row>
    <x:row r="79" ht="21.950000762939453" customHeight="1">
      <x:c r="A79" s="16">
        <x:v>15</x:v>
      </x:c>
      <x:c r="B79" s="14" t="s">
        <x:v>161</x:v>
      </x:c>
      <x:c r="C79" s="14">
        <x:v>40</x:v>
      </x:c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960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  <x:v>可回读</x:v>
      </x:c>
    </x:row>
    <x:row r="80" ht="21.950000762939453" customHeight="1">
      <x:c r="A80" s="16">
        <x:v>16</x:v>
      </x:c>
      <x:c r="B80" s="14" t="s">
        <x:v>154</x:v>
      </x:c>
      <x:c r="C80" s="14">
        <x:v>50</x:v>
      </x:c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1750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  <x:v>可回读</x:v>
      </x:c>
    </x:row>
    <x:row r="81" ht="21.950000762939453" customHeight="1">
      <x:c r="A81" s="16">
        <x:v>17</x:v>
      </x:c>
      <x:c r="B81" s="14" t="s">
        <x:v>162</x:v>
      </x:c>
      <x:c r="C81" s="14">
        <x:v>50</x:v>
      </x:c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1750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  <x:v>可回读</x:v>
      </x:c>
    </x:row>
    <x:row r="82" ht="21.950000762939453" customHeight="1">
      <x:c r="A82" s="16">
        <x:v>18</x:v>
      </x:c>
      <x:c r="B82" s="14" t="s">
        <x:v>163</x:v>
      </x:c>
      <x:c r="C82" s="14">
        <x:v>60</x:v>
      </x:c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2100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  <x:v>可回读</x:v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2150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164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59</x:v>
      </x:c>
      <x:c r="C90" s="41" t="s">
        <x:v>165</x:v>
      </x:c>
      <x:c r="D90" s="19" t="s">
        <x:v>100</x:v>
      </x:c>
      <x:c r="E90" s="7">
        <x:v>2.5000000000000001E-2</x:v>
      </x:c>
      <x:c r="F90" s="19" t="s">
        <x:v>101</x:v>
      </x:c>
      <x:c r="G90" s="7">
        <x:v>1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116</x:v>
      </x:c>
      <x:c r="C94" s="14">
        <x:v>200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127</x:v>
      </x:c>
      <x:c r="C95" s="14">
        <x:v>200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200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134</x:v>
      </x:c>
      <x:c r="C96" s="14">
        <x:v>200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200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117</x:v>
      </x:c>
      <x:c r="C97" s="14">
        <x:v>200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200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118</x:v>
      </x:c>
      <x:c r="C98" s="14">
        <x:v>200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200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133</x:v>
      </x:c>
      <x:c r="C99" s="14">
        <x:v>150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150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135</x:v>
      </x:c>
      <x:c r="C100" s="14">
        <x:v>150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300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119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200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126</x:v>
      </x:c>
      <x:c r="C102" s="14">
        <x:v>250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500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132</x:v>
      </x:c>
      <x:c r="C103" s="14">
        <x:v>150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300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166</x:v>
      </x:c>
      <x:c r="C104" s="14">
        <x:v>50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500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 t="s">
        <x:v>167</x:v>
      </x:c>
      <x:c r="C105" s="14">
        <x:v>50</x:v>
      </x:c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500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  <x:v>可回读</x:v>
      </x:c>
    </x:row>
    <x:row r="106" ht="21.950000762939453" customHeight="1">
      <x:c r="A106" s="16">
        <x:v>13</x:v>
      </x:c>
      <x:c r="B106" s="14" t="s">
        <x:v>168</x:v>
      </x:c>
      <x:c r="C106" s="14">
        <x:v>10</x:v>
      </x:c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100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  <x:v>可回读</x:v>
      </x:c>
    </x:row>
    <x:row r="107" ht="21.950000762939453" customHeight="1">
      <x:c r="A107" s="16">
        <x:v>14</x:v>
      </x:c>
      <x:c r="B107" s="14" t="s">
        <x:v>169</x:v>
      </x:c>
      <x:c r="C107" s="14">
        <x:v>50</x:v>
      </x:c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1750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  <x:v>可回读</x:v>
      </x:c>
    </x:row>
    <x:row r="108" ht="21.950000762939453" customHeight="1">
      <x:c r="A108" s="16">
        <x:v>15</x:v>
      </x:c>
      <x:c r="B108" s="14" t="s">
        <x:v>154</x:v>
      </x:c>
      <x:c r="C108" s="14">
        <x:v>50</x:v>
      </x:c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1750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  <x:v>可回读</x:v>
      </x:c>
    </x:row>
    <x:row r="109" ht="21.950000762939453" customHeight="1">
      <x:c r="A109" s="16">
        <x:v>16</x:v>
      </x:c>
      <x:c r="B109" s="14" t="s">
        <x:v>162</x:v>
      </x:c>
      <x:c r="C109" s="14">
        <x:v>50</x:v>
      </x:c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1750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  <x:v>可回读</x:v>
      </x:c>
    </x:row>
    <x:row r="110" ht="21.950000762939453" customHeight="1">
      <x:c r="A110" s="16">
        <x:v>17</x:v>
      </x:c>
      <x:c r="B110" s="14" t="s">
        <x:v>170</x:v>
      </x:c>
      <x:c r="C110" s="14">
        <x:v>70</x:v>
      </x:c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2450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  <x:v>可回读</x:v>
      </x:c>
    </x:row>
    <x:row r="111" ht="21.950000762939453" customHeight="1">
      <x:c r="A111" s="16">
        <x:v>18</x:v>
      </x:c>
      <x:c r="B111" s="14" t="s">
        <x:v>171</x:v>
      </x:c>
      <x:c r="C111" s="14">
        <x:v>10</x:v>
      </x:c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500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  <x:v>可回读</x:v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2240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65:C82 C36:C53">
      <x:formula1>1</x:formula1>
      <x:formula2>9999</x:formula2>
    </x:dataValidation>
    <x:dataValidation type="decimal" sqref="E3 E61 E32 E90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>
      <x:formula1>INDIRECT("'敌人目录'!$A$6:$A$68")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4" t="e">
        <x:f>"第3日｜4 波配置｜日终地下探索 +"&amp;全局设置!F16&amp;" AP"</x:f>
        <x:v>#NAME?</x:v>
      </x:c>
      <x:c r="B1" s="34"/>
      <x:c r="C1" s="34"/>
      <x:c r="D1" s="34"/>
      <x:c r="E1" s="34"/>
      <x:c r="F1" s="34"/>
      <x:c r="G1" s="34"/>
      <x:c r="H1" s="34"/>
      <x:c r="I1" s="34"/>
    </x:row>
    <x:row r="2" ht="21.950000762939453" customHeight="1">
      <x:c r="A2" s="33" t="s">
        <x:v>172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60</x:v>
      </x:c>
      <x:c r="C3" s="41" t="s">
        <x:v>173</x:v>
      </x:c>
      <x:c r="D3" s="6" t="s">
        <x:v>100</x:v>
      </x:c>
      <x:c r="E3" s="7">
        <x:v>0.08</x:v>
      </x:c>
      <x:c r="F3" s="6" t="s">
        <x:v>101</x:v>
      </x:c>
      <x:c r="G3" s="7">
        <x:v>1</x:v>
      </x:c>
      <x:c r="H3" s="6" t="s">
        <x:v>48</x:v>
      </x:c>
      <x:c r="I3" s="7">
        <x:v>300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130</x:v>
      </x:c>
      <x:c r="G4" s="11" t="s">
        <x:v>131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139</x:v>
      </x:c>
      <x:c r="C7" s="14">
        <x:v>1000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141</x:v>
      </x:c>
      <x:c r="C8" s="14">
        <x:v>200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4000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148</x:v>
      </x:c>
      <x:c r="C9" s="14">
        <x:v>20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1000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171</x:v>
      </x:c>
      <x:c r="C10" s="14">
        <x:v>100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5000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300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300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 t="s">
        <x:v>174</x:v>
      </x:c>
      <x:c r="C12" s="14">
        <x:v>400</x:v>
      </x:c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1200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  <x:v>可回读</x:v>
      </x:c>
    </x:row>
    <x:row r="13" ht="21.950000762939453" customHeight="1">
      <x:c r="A13" s="16">
        <x:v>7</x:v>
      </x:c>
      <x:c r="B13" s="14" t="s">
        <x:v>160</x:v>
      </x:c>
      <x:c r="C13" s="14">
        <x:v>50</x:v>
      </x:c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500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  <x:v>可回读</x:v>
      </x:c>
    </x:row>
    <x:row r="14" ht="21.950000762939453" customHeight="1">
      <x:c r="A14" s="16">
        <x:v>8</x:v>
      </x:c>
      <x:c r="B14" s="14" t="s">
        <x:v>167</x:v>
      </x:c>
      <x:c r="C14" s="14">
        <x:v>50</x:v>
      </x:c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500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  <x:v>可回读</x:v>
      </x:c>
    </x:row>
    <x:row r="15" ht="21.950000762939453" customHeight="1">
      <x:c r="A15" s="16">
        <x:v>9</x:v>
      </x:c>
      <x:c r="B15" s="14" t="s">
        <x:v>132</x:v>
      </x:c>
      <x:c r="C15" s="14">
        <x:v>100</x:v>
      </x:c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200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  <x:v>可回读</x:v>
      </x:c>
    </x:row>
    <x:row r="16" ht="21.950000762939453" customHeight="1">
      <x:c r="A16" s="16">
        <x:v>10</x:v>
      </x:c>
      <x:c r="B16" s="14" t="s">
        <x:v>175</x:v>
      </x:c>
      <x:c r="C16" s="14">
        <x:v>400</x:v>
      </x:c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8000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  <x:v>可回读</x:v>
      </x:c>
    </x:row>
    <x:row r="17" ht="21.950000762939453" customHeight="1">
      <x:c r="A17" s="16">
        <x:v>11</x:v>
      </x:c>
      <x:c r="B17" s="14" t="s">
        <x:v>159</x:v>
      </x:c>
      <x:c r="C17" s="14">
        <x:v>200</x:v>
      </x:c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2000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  <x:v>可回读</x:v>
      </x:c>
    </x:row>
    <x:row r="18" ht="21.950000762939453" customHeight="1">
      <x:c r="A18" s="16">
        <x:v>12</x:v>
      </x:c>
      <x:c r="B18" s="14" t="s">
        <x:v>144</x:v>
      </x:c>
      <x:c r="C18" s="14">
        <x:v>200</x:v>
      </x:c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2000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  <x:v>可回读</x:v>
      </x:c>
    </x:row>
    <x:row r="19" ht="21.950000762939453" customHeight="1">
      <x:c r="A19" s="16">
        <x:v>13</x:v>
      </x:c>
      <x:c r="B19" s="14" t="s">
        <x:v>151</x:v>
      </x:c>
      <x:c r="C19" s="14">
        <x:v>100</x:v>
      </x:c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1000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  <x:v>可回读</x:v>
      </x:c>
    </x:row>
    <x:row r="20" ht="21.950000762939453" customHeight="1">
      <x:c r="A20" s="16">
        <x:v>14</x:v>
      </x:c>
      <x:c r="B20" s="14"/>
      <x:c r="C20" s="14"/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</x:c>
    </x:row>
    <x:row r="21" ht="21.950000762939453" customHeight="1">
      <x:c r="A21" s="16">
        <x:v>15</x:v>
      </x:c>
      <x:c r="B21" s="14"/>
      <x:c r="C21" s="14"/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3120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176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61</x:v>
      </x:c>
      <x:c r="C32" s="41" t="s">
        <x:v>177</x:v>
      </x:c>
      <x:c r="D32" s="6" t="s">
        <x:v>100</x:v>
      </x:c>
      <x:c r="E32" s="7">
        <x:v>0.08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130</x:v>
      </x:c>
      <x:c r="G33" s="11" t="s">
        <x:v>131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139</x:v>
      </x:c>
      <x:c r="C36" s="14">
        <x:v>1000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161</x:v>
      </x:c>
      <x:c r="C37" s="14">
        <x:v>100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2400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148</x:v>
      </x:c>
      <x:c r="C38" s="14">
        <x:v>20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1000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171</x:v>
      </x:c>
      <x:c r="C39" s="14">
        <x:v>120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6000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135</x:v>
      </x:c>
      <x:c r="C40" s="14">
        <x:v>300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600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174</x:v>
      </x:c>
      <x:c r="C41" s="14">
        <x:v>400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1200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160</x:v>
      </x:c>
      <x:c r="C42" s="14">
        <x:v>20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200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 t="s">
        <x:v>167</x:v>
      </x:c>
      <x:c r="C43" s="14">
        <x:v>20</x:v>
      </x:c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200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  <x:v>可回读</x:v>
      </x:c>
    </x:row>
    <x:row r="44" ht="21.950000762939453" customHeight="1">
      <x:c r="A44" s="16">
        <x:v>9</x:v>
      </x:c>
      <x:c r="B44" s="14" t="s">
        <x:v>132</x:v>
      </x:c>
      <x:c r="C44" s="14">
        <x:v>100</x:v>
      </x:c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200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  <x:v>可回读</x:v>
      </x:c>
    </x:row>
    <x:row r="45" ht="21.950000762939453" customHeight="1">
      <x:c r="A45" s="16">
        <x:v>10</x:v>
      </x:c>
      <x:c r="B45" s="14" t="s">
        <x:v>175</x:v>
      </x:c>
      <x:c r="C45" s="14">
        <x:v>400</x:v>
      </x:c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8000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  <x:v>可回读</x:v>
      </x:c>
    </x:row>
    <x:row r="46" ht="21.950000762939453" customHeight="1">
      <x:c r="A46" s="16">
        <x:v>11</x:v>
      </x:c>
      <x:c r="B46" s="14" t="s">
        <x:v>159</x:v>
      </x:c>
      <x:c r="C46" s="14">
        <x:v>200</x:v>
      </x:c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2000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  <x:v>可回读</x:v>
      </x:c>
    </x:row>
    <x:row r="47" ht="21.950000762939453" customHeight="1">
      <x:c r="A47" s="16">
        <x:v>12</x:v>
      </x:c>
      <x:c r="B47" s="14" t="s">
        <x:v>144</x:v>
      </x:c>
      <x:c r="C47" s="14">
        <x:v>200</x:v>
      </x:c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2000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  <x:v>可回读</x:v>
      </x:c>
    </x:row>
    <x:row r="48" ht="21.950000762939453" customHeight="1">
      <x:c r="A48" s="16">
        <x:v>13</x:v>
      </x:c>
      <x:c r="B48" s="14" t="s">
        <x:v>157</x:v>
      </x:c>
      <x:c r="C48" s="14">
        <x:v>500</x:v>
      </x:c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5000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  <x:v>可回读</x:v>
      </x:c>
    </x:row>
    <x:row r="49" ht="21.950000762939453" customHeight="1">
      <x:c r="A49" s="16">
        <x:v>14</x:v>
      </x:c>
      <x:c r="B49" s="14" t="s">
        <x:v>169</x:v>
      </x:c>
      <x:c r="C49" s="14">
        <x:v>200</x:v>
      </x:c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7000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  <x:v>可回读</x:v>
      </x:c>
    </x:row>
    <x:row r="50" ht="21.950000762939453" customHeight="1">
      <x:c r="A50" s="16">
        <x:v>15</x:v>
      </x:c>
      <x:c r="B50" s="14" t="s">
        <x:v>166</x:v>
      </x:c>
      <x:c r="C50" s="14">
        <x:v>200</x:v>
      </x:c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2000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  <x:v>可回读</x:v>
      </x:c>
    </x:row>
    <x:row r="51" ht="21.950000762939453" customHeight="1">
      <x:c r="A51" s="16">
        <x:v>16</x:v>
      </x:c>
      <x:c r="B51" s="14"/>
      <x:c r="C51" s="14"/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</x:c>
    </x:row>
    <x:row r="52" ht="21.950000762939453" customHeight="1">
      <x:c r="A52" s="16">
        <x:v>17</x:v>
      </x:c>
      <x:c r="B52" s="14"/>
      <x:c r="C52" s="14"/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</x:c>
    </x:row>
    <x:row r="53" ht="21.950000762939453" customHeight="1">
      <x:c r="A53" s="16">
        <x:v>18</x:v>
      </x:c>
      <x:c r="B53" s="14"/>
      <x:c r="C53" s="14"/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3780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178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62</x:v>
      </x:c>
      <x:c r="C61" s="41" t="s">
        <x:v>179</x:v>
      </x:c>
      <x:c r="D61" s="19" t="s">
        <x:v>100</x:v>
      </x:c>
      <x:c r="E61" s="7">
        <x:v>0.04</x:v>
      </x:c>
      <x:c r="F61" s="19" t="s">
        <x:v>101</x:v>
      </x:c>
      <x:c r="G61" s="7">
        <x:v>1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141</x:v>
      </x:c>
      <x:c r="C65" s="14">
        <x:v>200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132</x:v>
      </x:c>
      <x:c r="C66" s="14">
        <x:v>200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400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151</x:v>
      </x:c>
      <x:c r="C67" s="14">
        <x:v>400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4000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152</x:v>
      </x:c>
      <x:c r="C68" s="14">
        <x:v>200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2000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158</x:v>
      </x:c>
      <x:c r="C69" s="14">
        <x:v>400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4000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171</x:v>
      </x:c>
      <x:c r="C70" s="14">
        <x:v>100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5000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168</x:v>
      </x:c>
      <x:c r="C71" s="14">
        <x:v>100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1000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162</x:v>
      </x:c>
      <x:c r="C72" s="14">
        <x:v>200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7000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170</x:v>
      </x:c>
      <x:c r="C73" s="14">
        <x:v>200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7000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 t="s">
        <x:v>157</x:v>
      </x:c>
      <x:c r="C74" s="14">
        <x:v>200</x:v>
      </x:c>
      <x:c r="D74" s="8" t="e">
        <x:f>IF(B74="",0,ROUNDUP(C74*(1+(全局设置!$B$5-1)*全局设置!$B$6),0))</x:f>
        <x:v>#NAME?</x:v>
      </x:c>
      <x:c r="E74" s="17" t="e">
        <x:f>IF(B74="",0,IFERROR(VLOOKUP(B74,敌人目录!$A$6:$M$68,13,FALSE),0))</x:f>
        <x:v>#NAME?</x:v>
      </x:c>
      <x:c r="F74" s="17">
        <x:f t="shared" si="4"/>
        <x:v>2000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  <x:v>可回读</x:v>
      </x:c>
    </x:row>
    <x:row r="75" ht="21.950000762939453" customHeight="1">
      <x:c r="A75" s="16">
        <x:v>11</x:v>
      </x:c>
      <x:c r="B75" s="14" t="s">
        <x:v>174</x:v>
      </x:c>
      <x:c r="C75" s="14">
        <x:v>100</x:v>
      </x:c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300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  <x:v>可回读</x:v>
      </x:c>
    </x:row>
    <x:row r="76" ht="21.950000762939453" customHeight="1">
      <x:c r="A76" s="16">
        <x:v>12</x:v>
      </x:c>
      <x:c r="B76" s="14" t="s">
        <x:v>167</x:v>
      </x:c>
      <x:c r="C76" s="14">
        <x:v>200</x:v>
      </x:c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2000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  <x:v>可回读</x:v>
      </x:c>
    </x:row>
    <x:row r="77" ht="21.950000762939453" customHeight="1">
      <x:c r="A77" s="16">
        <x:v>13</x:v>
      </x:c>
      <x:c r="B77" s="14" t="s">
        <x:v>139</x:v>
      </x:c>
      <x:c r="C77" s="14">
        <x:v>100</x:v>
      </x:c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100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  <x:v>可回读</x:v>
      </x:c>
    </x:row>
    <x:row r="78" ht="21.950000762939453" customHeight="1">
      <x:c r="A78" s="16">
        <x:v>14</x:v>
      </x:c>
      <x:c r="B78" s="14" t="s">
        <x:v>116</x:v>
      </x:c>
      <x:c r="C78" s="14">
        <x:v>100</x:v>
      </x:c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100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  <x:v>可回读</x:v>
      </x:c>
    </x:row>
    <x:row r="79" ht="21.950000762939453" customHeight="1">
      <x:c r="A79" s="16">
        <x:v>15</x:v>
      </x:c>
      <x:c r="B79" s="14" t="s">
        <x:v>161</x:v>
      </x:c>
      <x:c r="C79" s="14">
        <x:v>200</x:v>
      </x:c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4800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  <x:v>可回读</x:v>
      </x:c>
    </x:row>
    <x:row r="80" ht="21.950000762939453" customHeight="1">
      <x:c r="A80" s="16">
        <x:v>16</x:v>
      </x:c>
      <x:c r="B80" s="14" t="s">
        <x:v>154</x:v>
      </x:c>
      <x:c r="C80" s="14">
        <x:v>100</x:v>
      </x:c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3500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  <x:v>可回读</x:v>
      </x:c>
    </x:row>
    <x:row r="81" ht="21.950000762939453" customHeight="1">
      <x:c r="A81" s="16">
        <x:v>17</x:v>
      </x:c>
      <x:c r="B81" s="14"/>
      <x:c r="C81" s="14"/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</x:c>
    </x:row>
    <x:row r="82" ht="21.950000762939453" customHeight="1">
      <x:c r="A82" s="16">
        <x:v>18</x:v>
      </x:c>
      <x:c r="B82" s="14"/>
      <x:c r="C82" s="14"/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3000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180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63</x:v>
      </x:c>
      <x:c r="C90" s="41" t="s">
        <x:v>181</x:v>
      </x:c>
      <x:c r="D90" s="19" t="s">
        <x:v>100</x:v>
      </x:c>
      <x:c r="E90" s="7">
        <x:v>2.5000000000000001E-2</x:v>
      </x:c>
      <x:c r="F90" s="19" t="s">
        <x:v>101</x:v>
      </x:c>
      <x:c r="G90" s="7">
        <x:v>1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141</x:v>
      </x:c>
      <x:c r="C94" s="14">
        <x:v>500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132</x:v>
      </x:c>
      <x:c r="C95" s="14">
        <x:v>200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400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166</x:v>
      </x:c>
      <x:c r="C96" s="14">
        <x:v>400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4000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159</x:v>
      </x:c>
      <x:c r="C97" s="14">
        <x:v>400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4000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158</x:v>
      </x:c>
      <x:c r="C98" s="14">
        <x:v>400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4000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171</x:v>
      </x:c>
      <x:c r="C99" s="14">
        <x:v>200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10000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168</x:v>
      </x:c>
      <x:c r="C100" s="14">
        <x:v>100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1000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162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7000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170</x:v>
      </x:c>
      <x:c r="C102" s="14">
        <x:v>200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7000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157</x:v>
      </x:c>
      <x:c r="C103" s="14">
        <x:v>1000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10000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182</x:v>
      </x:c>
      <x:c r="C104" s="14">
        <x:v>400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2400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 t="s">
        <x:v>167</x:v>
      </x:c>
      <x:c r="C105" s="14">
        <x:v>200</x:v>
      </x:c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2000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  <x:v>可回读</x:v>
      </x:c>
    </x:row>
    <x:row r="106" ht="21.950000762939453" customHeight="1">
      <x:c r="A106" s="16">
        <x:v>13</x:v>
      </x:c>
      <x:c r="B106" s="14" t="s">
        <x:v>139</x:v>
      </x:c>
      <x:c r="C106" s="14">
        <x:v>200</x:v>
      </x:c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200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  <x:v>可回读</x:v>
      </x:c>
    </x:row>
    <x:row r="107" ht="21.950000762939453" customHeight="1">
      <x:c r="A107" s="16">
        <x:v>14</x:v>
      </x:c>
      <x:c r="B107" s="14" t="s">
        <x:v>116</x:v>
      </x:c>
      <x:c r="C107" s="14">
        <x:v>200</x:v>
      </x:c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200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  <x:v>可回读</x:v>
      </x:c>
    </x:row>
    <x:row r="108" ht="21.950000762939453" customHeight="1">
      <x:c r="A108" s="16">
        <x:v>15</x:v>
      </x:c>
      <x:c r="B108" s="14" t="s">
        <x:v>161</x:v>
      </x:c>
      <x:c r="C108" s="14">
        <x:v>100</x:v>
      </x:c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2400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  <x:v>可回读</x:v>
      </x:c>
    </x:row>
    <x:row r="109" ht="21.950000762939453" customHeight="1">
      <x:c r="A109" s="16">
        <x:v>16</x:v>
      </x:c>
      <x:c r="B109" s="14" t="s">
        <x:v>135</x:v>
      </x:c>
      <x:c r="C109" s="14">
        <x:v>200</x:v>
      </x:c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400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  <x:v>可回读</x:v>
      </x:c>
    </x:row>
    <x:row r="110" ht="21.950000762939453" customHeight="1">
      <x:c r="A110" s="16">
        <x:v>17</x:v>
      </x:c>
      <x:c r="B110" s="14"/>
      <x:c r="C110" s="14"/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</x:c>
    </x:row>
    <x:row r="111" ht="21.950000762939453" customHeight="1">
      <x:c r="A111" s="16">
        <x:v>18</x:v>
      </x:c>
      <x:c r="B111" s="14"/>
      <x:c r="C111" s="14"/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4900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36:C53 C65:C82">
      <x:formula1>1</x:formula1>
      <x:formula2>9999</x:formula2>
    </x:dataValidation>
    <x:dataValidation type="decimal" sqref="E3 E90 E32 E61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36:B53 B94:B111 B7:B24 B65:B82">
      <x:formula1>INDIRECT("'敌人目录'!$A$6:$A$68")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23" customWidth="1"/>
    <x:col min="3" max="3" width="13" customWidth="1"/>
    <x:col min="4" max="4" width="15" customWidth="1"/>
    <x:col min="5" max="5" width="18" customWidth="1"/>
    <x:col min="6" max="6" width="22" customWidth="1"/>
    <x:col min="7" max="7" width="13" customWidth="1"/>
    <x:col min="8" max="9" width="20" customWidth="1"/>
  </x:cols>
  <x:sheetData>
    <x:row r="1" ht="36" customHeight="1">
      <x:c r="A1" s="34" t="s">
        <x:v>183</x:v>
      </x:c>
      <x:c r="B1" s="34"/>
      <x:c r="C1" s="34"/>
      <x:c r="D1" s="34"/>
      <x:c r="E1" s="34"/>
      <x:c r="F1" s="34"/>
      <x:c r="G1" s="34"/>
      <x:c r="H1" s="34"/>
      <x:c r="I1" s="34"/>
    </x:row>
    <x:row r="2" ht="24.950000762939453" customHeight="1">
      <x:c r="A2" s="32" t="str">
        <x:v>只读 Boss 面板：第 4 日没有第 13～16 波；5 分钟白昼准备后进入铃兰战，击败后直接通关。</x:v>
      </x:c>
      <x:c r="B2" s="32"/>
      <x:c r="C2" s="32"/>
      <x:c r="D2" s="32"/>
      <x:c r="E2" s="32"/>
      <x:c r="F2" s="32"/>
      <x:c r="G2" s="32"/>
      <x:c r="H2" s="32"/>
      <x:c r="I2" s="32"/>
    </x:row>
    <x:row r="3" ht="24.950000762939453" customHeight="1"/>
    <x:row r="4" ht="24.950000762939453" customHeight="1">
      <x:c r="A4" s="34" t="s">
        <x:v>184</x:v>
      </x:c>
      <x:c r="B4" s="34"/>
      <x:c r="C4" s="34"/>
      <x:c r="D4" s="34"/>
      <x:c r="E4" s="34"/>
      <x:c r="F4" s="34"/>
      <x:c r="G4" s="34"/>
      <x:c r="H4" s="34"/>
      <x:c r="I4" s="34"/>
    </x:row>
    <x:row r="5" ht="24.950000762939453" customHeight="1">
      <x:c r="A5" s="20" t="s">
        <x:v>185</x:v>
      </x:c>
      <x:c r="B5" s="13" t="s">
        <x:v>23</x:v>
      </x:c>
      <x:c r="C5" s="20" t="s">
        <x:v>39</x:v>
      </x:c>
      <x:c r="D5" s="13" t="s">
        <x:v>51</x:v>
      </x:c>
      <x:c r="E5" s="20" t="s">
        <x:v>186</x:v>
      </x:c>
      <x:c r="F5" s="13" t="s">
        <x:v>187</x:v>
      </x:c>
      <x:c r="G5" s="20" t="s">
        <x:v>188</x:v>
      </x:c>
      <x:c r="H5" s="13" t="str">
        <x:v>300 秒（5 分钟）</x:v>
      </x:c>
      <x:c r="I5" s="13"/>
    </x:row>
    <x:row r="6" ht="24.950000762939453" customHeight="1">
      <x:c r="A6" s="20" t="s">
        <x:v>189</x:v>
      </x:c>
      <x:c r="B6" s="44" t="s">
        <x:v>190</x:v>
      </x:c>
      <x:c r="C6" s="44"/>
      <x:c r="D6" s="44"/>
      <x:c r="E6" s="20" t="s">
        <x:v>191</x:v>
      </x:c>
      <x:c r="F6" s="44" t="s">
        <x:v>192</x:v>
      </x:c>
      <x:c r="G6" s="44"/>
      <x:c r="H6" s="44"/>
      <x:c r="I6" s="44"/>
    </x:row>
    <x:row r="7" ht="24.950000762939453" customHeight="1">
      <x:c r="A7" s="20" t="s">
        <x:v>193</x:v>
      </x:c>
      <x:c r="B7" s="44" t="s">
        <x:v>35</x:v>
      </x:c>
      <x:c r="C7" s="44"/>
      <x:c r="D7" s="44"/>
      <x:c r="E7" s="20" t="s">
        <x:v>194</x:v>
      </x:c>
      <x:c r="F7" s="44" t="s">
        <x:v>195</x:v>
      </x:c>
      <x:c r="G7" s="44"/>
      <x:c r="H7" s="44"/>
      <x:c r="I7" s="44"/>
    </x:row>
    <x:row r="8" ht="24.950000762939453" customHeight="1">
      <x:c r="A8" s="20" t="s">
        <x:v>196</x:v>
      </x:c>
      <x:c r="B8" s="44" t="s">
        <x:v>197</x:v>
      </x:c>
      <x:c r="C8" s="44"/>
      <x:c r="D8" s="44"/>
      <x:c r="E8" s="44"/>
      <x:c r="F8" s="44"/>
      <x:c r="G8" s="44"/>
      <x:c r="H8" s="44"/>
      <x:c r="I8" s="44"/>
    </x:row>
    <x:row r="9" ht="24.950000762939453" customHeight="1">
      <x:c r="A9" s="20" t="s">
        <x:v>198</x:v>
      </x:c>
      <x:c r="B9" s="44" t="s">
        <x:v>199</x:v>
      </x:c>
      <x:c r="C9" s="44"/>
      <x:c r="D9" s="44"/>
      <x:c r="E9" s="44"/>
      <x:c r="F9" s="44"/>
      <x:c r="G9" s="44"/>
      <x:c r="H9" s="44"/>
      <x:c r="I9" s="44"/>
    </x:row>
    <x:row r="10" ht="24.950000762939453" customHeight="1">
      <x:c r="A10" s="20" t="s">
        <x:v>200</x:v>
      </x:c>
      <x:c r="B10" s="44" t="s">
        <x:v>201</x:v>
      </x:c>
      <x:c r="C10" s="44"/>
      <x:c r="D10" s="44"/>
      <x:c r="E10" s="44"/>
      <x:c r="F10" s="44"/>
      <x:c r="G10" s="44"/>
      <x:c r="H10" s="44"/>
      <x:c r="I10" s="44"/>
    </x:row>
    <x:row r="11" ht="24.950000762939453" customHeight="1"/>
    <x:row r="12" ht="24.950000762939453" customHeight="1">
      <x:c r="A12" s="33" t="s">
        <x:v>202</x:v>
      </x:c>
      <x:c r="B12" s="33"/>
      <x:c r="C12" s="33"/>
      <x:c r="D12" s="33"/>
      <x:c r="E12" s="33"/>
      <x:c r="F12" s="33"/>
      <x:c r="G12" s="33"/>
      <x:c r="H12" s="33"/>
      <x:c r="I12" s="33"/>
    </x:row>
    <x:row r="13" ht="32.099998474121094" customHeight="1">
      <x:c r="A13" s="42" t="s">
        <x:v>203</x:v>
      </x:c>
      <x:c r="B13" s="42"/>
      <x:c r="C13" s="42"/>
      <x:c r="D13" s="42"/>
      <x:c r="E13" s="42"/>
      <x:c r="F13" s="42"/>
      <x:c r="G13" s="42"/>
      <x:c r="H13" s="42"/>
      <x:c r="I13" s="42"/>
    </x:row>
    <x:row r="14" ht="32.099998474121094" customHeight="1">
      <x:c r="A14" s="42"/>
      <x:c r="B14" s="42"/>
      <x:c r="C14" s="42"/>
      <x:c r="D14" s="42"/>
      <x:c r="E14" s="42"/>
      <x:c r="F14" s="42"/>
      <x:c r="G14" s="42"/>
      <x:c r="H14" s="42"/>
      <x:c r="I14" s="42"/>
    </x:row>
    <x:row r="15" ht="32.099998474121094" customHeight="1">
      <x:c r="A15" s="42"/>
      <x:c r="B15" s="42"/>
      <x:c r="C15" s="42"/>
      <x:c r="D15" s="42"/>
      <x:c r="E15" s="42"/>
      <x:c r="F15" s="42"/>
      <x:c r="G15" s="42"/>
      <x:c r="H15" s="42"/>
      <x:c r="I15" s="42"/>
    </x:row>
    <x:row r="16" ht="24.950000762939453" customHeight="1"/>
    <x:row r="17" ht="24.950000762939453" customHeight="1">
      <x:c r="A17" s="43" t="s">
        <x:v>204</x:v>
      </x:c>
      <x:c r="B17" s="43"/>
      <x:c r="C17" s="43"/>
      <x:c r="D17" s="43"/>
      <x:c r="E17" s="43"/>
      <x:c r="F17" s="43"/>
      <x:c r="G17" s="43"/>
      <x:c r="H17" s="43"/>
      <x:c r="I17" s="43"/>
    </x:row>
  </x:sheetData>
  <x:mergeCells>
    <x:mergeCell ref="A1:I1"/>
    <x:mergeCell ref="A2:I2"/>
    <x:mergeCell ref="A4:I4"/>
    <x:mergeCell ref="B6:D6"/>
    <x:mergeCell ref="F6:I6"/>
    <x:mergeCell ref="A12:I12"/>
    <x:mergeCell ref="A13:I15"/>
    <x:mergeCell ref="A17:I17"/>
    <x:mergeCell ref="B7:D7"/>
    <x:mergeCell ref="F7:I7"/>
    <x:mergeCell ref="B8:I8"/>
    <x:mergeCell ref="B9:I9"/>
    <x:mergeCell ref="B10:I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" customWidth="1"/>
    <x:col min="2" max="2" width="28" customWidth="1"/>
    <x:col min="3" max="3" width="19" customWidth="1"/>
    <x:col min="4" max="4" width="15" customWidth="1"/>
    <x:col min="5" max="5" width="11" customWidth="1"/>
    <x:col min="6" max="6" width="14" customWidth="1"/>
    <x:col min="7" max="8" width="11" customWidth="1"/>
    <x:col min="9" max="10" width="12" customWidth="1"/>
    <x:col min="11" max="11" width="11" customWidth="1"/>
    <x:col min="12" max="12" width="12" customWidth="1"/>
    <x:col min="13" max="13" width="13" customWidth="1"/>
    <x:col min="14" max="14" width="17" customWidth="1"/>
    <x:col min="15" max="15" width="12" customWidth="1"/>
    <x:col min="16" max="16" width="13" customWidth="1"/>
    <x:col min="17" max="17" width="12" customWidth="1"/>
    <x:col min="18" max="18" width="13" customWidth="1"/>
    <x:col min="19" max="19" width="15" customWidth="1"/>
    <x:col min="20" max="27" width="12" customWidth="1"/>
    <x:col min="28" max="28" width="24" customWidth="1"/>
    <x:col min="29" max="30" width="48" customWidth="1"/>
  </x:cols>
  <x:sheetData>
    <x:row r="1" ht="33.95000076293945" customHeight="1">
      <x:c r="A1" s="31" t="s">
        <x:v>205</x:v>
      </x:c>
      <x:c r="B1" s="31" t="s">
        <x:v>206</x:v>
      </x:c>
      <x:c r="C1" s="31" t="s">
        <x:v>206</x:v>
      </x:c>
      <x:c r="D1" s="31" t="s">
        <x:v>206</x:v>
      </x:c>
      <x:c r="E1" s="31" t="s">
        <x:v>206</x:v>
      </x:c>
      <x:c r="F1" s="31" t="s">
        <x:v>206</x:v>
      </x:c>
      <x:c r="G1" s="31" t="s">
        <x:v>206</x:v>
      </x:c>
      <x:c r="H1" s="31" t="s">
        <x:v>206</x:v>
      </x:c>
      <x:c r="I1" s="31" t="s">
        <x:v>206</x:v>
      </x:c>
      <x:c r="J1" s="31" t="s">
        <x:v>206</x:v>
      </x:c>
      <x:c r="K1" s="31" t="s">
        <x:v>206</x:v>
      </x:c>
      <x:c r="L1" s="31" t="s">
        <x:v>206</x:v>
      </x:c>
      <x:c r="M1" s="31" t="s">
        <x:v>206</x:v>
      </x:c>
      <x:c r="N1" s="31" t="s">
        <x:v>206</x:v>
      </x:c>
      <x:c r="O1" s="31" t="s">
        <x:v>206</x:v>
      </x:c>
      <x:c r="P1" s="31" t="s">
        <x:v>206</x:v>
      </x:c>
      <x:c r="Q1" s="31" t="s">
        <x:v>206</x:v>
      </x:c>
      <x:c r="R1" s="31" t="s">
        <x:v>206</x:v>
      </x:c>
      <x:c r="S1" s="31" t="s">
        <x:v>206</x:v>
      </x:c>
      <x:c r="T1" s="31" t="s">
        <x:v>206</x:v>
      </x:c>
      <x:c r="U1" s="31" t="s">
        <x:v>206</x:v>
      </x:c>
      <x:c r="V1" s="31" t="s">
        <x:v>206</x:v>
      </x:c>
      <x:c r="W1" s="31" t="s">
        <x:v>206</x:v>
      </x:c>
      <x:c r="X1" s="31" t="s">
        <x:v>206</x:v>
      </x:c>
      <x:c r="Y1" s="31" t="s">
        <x:v>206</x:v>
      </x:c>
      <x:c r="Z1" s="31" t="s">
        <x:v>206</x:v>
      </x:c>
      <x:c r="AA1" s="31" t="s">
        <x:v>206</x:v>
      </x:c>
      <x:c r="AB1" s="31" t="s">
        <x:v>206</x:v>
      </x:c>
      <x:c r="AC1" s="31" t="s">
        <x:v>206</x:v>
      </x:c>
      <x:c r="AD1" s="31" t="s">
        <x:v>206</x:v>
      </x:c>
    </x:row>
    <x:row r="2" ht="23.100000381469727" customHeight="1">
      <x:c r="A2" s="36" t="s">
        <x:v>207</x:v>
      </x:c>
      <x:c r="B2" s="36" t="s">
        <x:v>208</x:v>
      </x:c>
      <x:c r="C2" s="36" t="s">
        <x:v>208</x:v>
      </x:c>
      <x:c r="D2" s="36" t="s">
        <x:v>208</x:v>
      </x:c>
      <x:c r="E2" s="36" t="s">
        <x:v>208</x:v>
      </x:c>
      <x:c r="F2" s="36" t="s">
        <x:v>208</x:v>
      </x:c>
      <x:c r="G2" s="36" t="s">
        <x:v>208</x:v>
      </x:c>
      <x:c r="H2" s="36" t="s">
        <x:v>208</x:v>
      </x:c>
      <x:c r="I2" s="36" t="s">
        <x:v>208</x:v>
      </x:c>
      <x:c r="J2" s="36" t="s">
        <x:v>208</x:v>
      </x:c>
      <x:c r="K2" s="36" t="s">
        <x:v>208</x:v>
      </x:c>
      <x:c r="L2" s="36" t="s">
        <x:v>208</x:v>
      </x:c>
      <x:c r="M2" s="36" t="s">
        <x:v>208</x:v>
      </x:c>
      <x:c r="N2" s="36" t="s">
        <x:v>208</x:v>
      </x:c>
      <x:c r="O2" s="36" t="s">
        <x:v>208</x:v>
      </x:c>
      <x:c r="P2" s="36" t="s">
        <x:v>208</x:v>
      </x:c>
      <x:c r="Q2" s="36" t="s">
        <x:v>208</x:v>
      </x:c>
      <x:c r="R2" s="36" t="s">
        <x:v>208</x:v>
      </x:c>
      <x:c r="S2" s="36" t="s">
        <x:v>208</x:v>
      </x:c>
      <x:c r="T2" s="36" t="s">
        <x:v>208</x:v>
      </x:c>
      <x:c r="U2" s="36" t="s">
        <x:v>208</x:v>
      </x:c>
      <x:c r="V2" s="36" t="s">
        <x:v>208</x:v>
      </x:c>
      <x:c r="W2" s="36" t="s">
        <x:v>208</x:v>
      </x:c>
      <x:c r="X2" s="36" t="s">
        <x:v>208</x:v>
      </x:c>
      <x:c r="Y2" s="36" t="s">
        <x:v>208</x:v>
      </x:c>
      <x:c r="Z2" s="36" t="s">
        <x:v>208</x:v>
      </x:c>
      <x:c r="AA2" s="36" t="s">
        <x:v>208</x:v>
      </x:c>
      <x:c r="AB2" s="36" t="s">
        <x:v>208</x:v>
      </x:c>
      <x:c r="AC2" s="36" t="s">
        <x:v>208</x:v>
      </x:c>
      <x:c r="AD2" s="36" t="s">
        <x:v>208</x:v>
      </x:c>
    </x:row>
    <x:row r="3" ht="23.100000381469727" customHeight="1"/>
    <x:row r="4" ht="23.100000381469727" customHeight="1">
      <x:c r="A4" s="45" t="s">
        <x:v>209</x:v>
      </x:c>
      <x:c r="B4" s="45" t="s">
        <x:v>209</x:v>
      </x:c>
      <x:c r="C4" s="45" t="s">
        <x:v>209</x:v>
      </x:c>
      <x:c r="D4" s="45" t="s">
        <x:v>209</x:v>
      </x:c>
      <x:c r="E4" s="45" t="s">
        <x:v>209</x:v>
      </x:c>
      <x:c r="F4" s="45" t="s">
        <x:v>209</x:v>
      </x:c>
      <x:c r="G4" s="45" t="s">
        <x:v>210</x:v>
      </x:c>
      <x:c r="H4" s="45" t="s">
        <x:v>210</x:v>
      </x:c>
      <x:c r="I4" s="45" t="s">
        <x:v>210</x:v>
      </x:c>
      <x:c r="J4" s="45" t="s">
        <x:v>210</x:v>
      </x:c>
      <x:c r="K4" s="45" t="s">
        <x:v>210</x:v>
      </x:c>
      <x:c r="L4" s="45" t="s">
        <x:v>210</x:v>
      </x:c>
      <x:c r="M4" s="19" t="s">
        <x:v>211</x:v>
      </x:c>
      <x:c r="N4" s="19" t="s">
        <x:v>212</x:v>
      </x:c>
      <x:c r="O4" s="45" t="s">
        <x:v>213</x:v>
      </x:c>
      <x:c r="P4" s="45" t="s">
        <x:v>213</x:v>
      </x:c>
      <x:c r="Q4" s="45" t="s">
        <x:v>213</x:v>
      </x:c>
      <x:c r="R4" s="45" t="s">
        <x:v>213</x:v>
      </x:c>
      <x:c r="S4" s="45" t="s">
        <x:v>213</x:v>
      </x:c>
      <x:c r="T4" s="45" t="s">
        <x:v>213</x:v>
      </x:c>
      <x:c r="U4" s="45" t="s">
        <x:v>213</x:v>
      </x:c>
      <x:c r="V4" s="45" t="s">
        <x:v>214</x:v>
      </x:c>
      <x:c r="W4" s="45" t="s">
        <x:v>214</x:v>
      </x:c>
      <x:c r="X4" s="45" t="s">
        <x:v>214</x:v>
      </x:c>
      <x:c r="Y4" s="45" t="s">
        <x:v>214</x:v>
      </x:c>
      <x:c r="Z4" s="45" t="s">
        <x:v>214</x:v>
      </x:c>
      <x:c r="AA4" s="45" t="s">
        <x:v>215</x:v>
      </x:c>
      <x:c r="AB4" s="45" t="s">
        <x:v>215</x:v>
      </x:c>
      <x:c r="AC4" s="45" t="s">
        <x:v>215</x:v>
      </x:c>
      <x:c r="AD4" s="45" t="s">
        <x:v>215</x:v>
      </x:c>
    </x:row>
    <x:row r="5" ht="23.100000381469727" customHeight="1">
      <x:c r="A5" s="20" t="s">
        <x:v>216</x:v>
      </x:c>
      <x:c r="B5" s="20" t="s">
        <x:v>217</x:v>
      </x:c>
      <x:c r="C5" s="20" t="s">
        <x:v>40</x:v>
      </x:c>
      <x:c r="D5" s="20" t="s">
        <x:v>218</x:v>
      </x:c>
      <x:c r="E5" s="20" t="s">
        <x:v>219</x:v>
      </x:c>
      <x:c r="F5" s="20" t="s">
        <x:v>220</x:v>
      </x:c>
      <x:c r="G5" s="20" t="s">
        <x:v>221</x:v>
      </x:c>
      <x:c r="H5" s="20" t="s">
        <x:v>222</x:v>
      </x:c>
      <x:c r="I5" s="20" t="s">
        <x:v>223</x:v>
      </x:c>
      <x:c r="J5" s="20" t="s">
        <x:v>224</x:v>
      </x:c>
      <x:c r="K5" s="20" t="s">
        <x:v>225</x:v>
      </x:c>
      <x:c r="L5" s="20" t="s">
        <x:v>226</x:v>
      </x:c>
      <x:c r="M5" s="20" t="s">
        <x:v>113</x:v>
      </x:c>
      <x:c r="N5" s="20" t="s">
        <x:v>227</x:v>
      </x:c>
      <x:c r="O5" s="20" t="s">
        <x:v>228</x:v>
      </x:c>
      <x:c r="P5" s="20" t="s">
        <x:v>229</x:v>
      </x:c>
      <x:c r="Q5" s="20" t="s">
        <x:v>230</x:v>
      </x:c>
      <x:c r="R5" s="20" t="s">
        <x:v>231</x:v>
      </x:c>
      <x:c r="S5" s="20" t="s">
        <x:v>232</x:v>
      </x:c>
      <x:c r="T5" s="20" t="s">
        <x:v>233</x:v>
      </x:c>
      <x:c r="U5" s="20" t="s">
        <x:v>234</x:v>
      </x:c>
      <x:c r="V5" s="20" t="s">
        <x:v>235</x:v>
      </x:c>
      <x:c r="W5" s="20" t="s">
        <x:v>236</x:v>
      </x:c>
      <x:c r="X5" s="20" t="s">
        <x:v>237</x:v>
      </x:c>
      <x:c r="Y5" s="20" t="s">
        <x:v>238</x:v>
      </x:c>
      <x:c r="Z5" s="20" t="s">
        <x:v>239</x:v>
      </x:c>
      <x:c r="AA5" s="20" t="s">
        <x:v>240</x:v>
      </x:c>
      <x:c r="AB5" s="20" t="s">
        <x:v>241</x:v>
      </x:c>
      <x:c r="AC5" s="20" t="s">
        <x:v>242</x:v>
      </x:c>
      <x:c r="AD5" s="20" t="s">
        <x:v>243</x:v>
      </x:c>
    </x:row>
    <x:row r="6" ht="23.100000381469727" customHeight="1">
      <x:c r="A6" s="13" t="s">
        <x:v>117</x:v>
      </x:c>
      <x:c r="B6" s="13" t="s">
        <x:v>244</x:v>
      </x:c>
      <x:c r="C6" s="13" t="s">
        <x:v>117</x:v>
      </x:c>
      <x:c r="D6" s="13" t="s">
        <x:v>245</x:v>
      </x:c>
      <x:c r="E6" s="13" t="s">
        <x:v>246</x:v>
      </x:c>
      <x:c r="F6" s="13" t="s">
        <x:v>247</x:v>
      </x:c>
      <x:c r="G6" s="7">
        <x:v>40</x:v>
      </x:c>
      <x:c r="H6" s="7">
        <x:v>10</x:v>
      </x:c>
      <x:c r="I6" s="7">
        <x:v>0</x:v>
      </x:c>
      <x:c r="J6" s="7">
        <x:v>0</x:v>
      </x:c>
      <x:c r="K6" s="7">
        <x:v>20</x:v>
      </x:c>
      <x:c r="L6" s="7">
        <x:v>1</x:v>
      </x:c>
      <x:c r="M6" s="17">
        <x:v>1</x:v>
      </x:c>
      <x:c r="N6" s="17" t="n">
        <x:f t="shared" ref="N6:N37" si="0">SUM(O6:Z6)</x:f>
        <x:v>0.04600000000000001</x:v>
      </x:c>
      <x:c r="O6" s="21">
        <x:v>0.02</x:v>
      </x:c>
      <x:c r="P6" s="21">
        <x:v>2E-3</x:v>
      </x:c>
      <x:c r="Q6" s="21">
        <x:v>0.01</x:v>
      </x:c>
      <x:c r="R6" s="21">
        <x:v>0</x:v>
      </x:c>
      <x:c r="S6" s="21">
        <x:v>0</x:v>
      </x:c>
      <x:c r="T6" s="21">
        <x:v>0</x:v>
      </x:c>
      <x:c r="U6" s="21">
        <x:v>0</x:v>
      </x:c>
      <x:c r="V6" s="22">
        <x:v>4.0000000000000001E-3</x:v>
      </x:c>
      <x:c r="W6" s="22">
        <x:v>4.0000000000000001E-3</x:v>
      </x:c>
      <x:c r="X6" s="22">
        <x:v>4.0000000000000001E-3</x:v>
      </x:c>
      <x:c r="Y6" s="22">
        <x:v>0</x:v>
      </x:c>
      <x:c r="Z6" s="22">
        <x:v>2E-3</x:v>
      </x:c>
      <x:c r="AA6" s="13" t="str">
        <x:f t="shared" ref="AA6:AA37" si="1">IF(AND(A6&lt;&gt;"",B6&lt;&gt;"",G6&gt;0,M6&gt;=0,M6&lt;=999),"可回读","需修正")</x:f>
        <x:v>可回读</x:v>
      </x:c>
      <x:c r="AB6" s="13" t="s">
        <x:v>248</x:v>
      </x:c>
      <x:c r="AC6" s="13" t="s">
        <x:v>249</x:v>
      </x:c>
      <x:c r="AD6" s="13" t="s">
        <x:v>250</x:v>
      </x:c>
    </x:row>
    <x:row r="7" ht="23.100000381469727" customHeight="1">
      <x:c r="A7" s="13" t="s">
        <x:v>126</x:v>
      </x:c>
      <x:c r="B7" s="13" t="s">
        <x:v>251</x:v>
      </x:c>
      <x:c r="C7" s="13" t="s">
        <x:v>126</x:v>
      </x:c>
      <x:c r="D7" s="13" t="s">
        <x:v>245</x:v>
      </x:c>
      <x:c r="E7" s="13" t="s">
        <x:v>246</x:v>
      </x:c>
      <x:c r="F7" s="13" t="s">
        <x:v>247</x:v>
      </x:c>
      <x:c r="G7" s="7">
        <x:v>140</x:v>
      </x:c>
      <x:c r="H7" s="7">
        <x:v>14</x:v>
      </x:c>
      <x:c r="I7" s="7">
        <x:v>3</x:v>
      </x:c>
      <x:c r="J7" s="7">
        <x:v>0</x:v>
      </x:c>
      <x:c r="K7" s="7">
        <x:v>20</x:v>
      </x:c>
      <x:c r="L7" s="7">
        <x:v>2</x:v>
      </x:c>
      <x:c r="M7" s="17">
        <x:v>2</x:v>
      </x:c>
      <x:c r="N7" s="17">
        <x:f t="shared" si="0"/>
        <x:v>4.6000000000000013E-2</x:v>
      </x:c>
      <x:c r="O7" s="21">
        <x:v>0.02</x:v>
      </x:c>
      <x:c r="P7" s="21">
        <x:v>2E-3</x:v>
      </x:c>
      <x:c r="Q7" s="21">
        <x:v>0.01</x:v>
      </x:c>
      <x:c r="R7" s="21">
        <x:v>0</x:v>
      </x:c>
      <x:c r="S7" s="21">
        <x:v>0</x:v>
      </x:c>
      <x:c r="T7" s="21">
        <x:v>0</x:v>
      </x:c>
      <x:c r="U7" s="21">
        <x:v>0</x:v>
      </x:c>
      <x:c r="V7" s="22">
        <x:v>4.0000000000000001E-3</x:v>
      </x:c>
      <x:c r="W7" s="22">
        <x:v>4.0000000000000001E-3</x:v>
      </x:c>
      <x:c r="X7" s="22">
        <x:v>4.0000000000000001E-3</x:v>
      </x:c>
      <x:c r="Y7" s="22">
        <x:v>0</x:v>
      </x:c>
      <x:c r="Z7" s="22">
        <x:v>2E-3</x:v>
      </x:c>
      <x:c r="AA7" s="13" t="str">
        <x:f t="shared" si="1"/>
        <x:v>可回读</x:v>
      </x:c>
      <x:c r="AB7" s="13" t="s">
        <x:v>248</x:v>
      </x:c>
      <x:c r="AC7" s="13" t="s">
        <x:v>252</x:v>
      </x:c>
      <x:c r="AD7" s="13" t="s">
        <x:v>253</x:v>
      </x:c>
    </x:row>
    <x:row r="8" ht="23.100000381469727" customHeight="1">
      <x:c r="A8" s="13" t="s">
        <x:v>118</x:v>
      </x:c>
      <x:c r="B8" s="13" t="s">
        <x:v>254</x:v>
      </x:c>
      <x:c r="C8" s="13" t="s">
        <x:v>118</x:v>
      </x:c>
      <x:c r="D8" s="13" t="s">
        <x:v>245</x:v>
      </x:c>
      <x:c r="E8" s="13" t="s">
        <x:v>246</x:v>
      </x:c>
      <x:c r="F8" s="13" t="s">
        <x:v>247</x:v>
      </x:c>
      <x:c r="G8" s="7">
        <x:v>35</x:v>
      </x:c>
      <x:c r="H8" s="7">
        <x:v>10</x:v>
      </x:c>
      <x:c r="I8" s="7">
        <x:v>0</x:v>
      </x:c>
      <x:c r="J8" s="7">
        <x:v>0</x:v>
      </x:c>
      <x:c r="K8" s="7">
        <x:v>40</x:v>
      </x:c>
      <x:c r="L8" s="7">
        <x:v>1</x:v>
      </x:c>
      <x:c r="M8" s="17">
        <x:v>1</x:v>
      </x:c>
      <x:c r="N8" s="17">
        <x:f t="shared" si="0"/>
        <x:v>4.6000000000000013E-2</x:v>
      </x:c>
      <x:c r="O8" s="21">
        <x:v>0.02</x:v>
      </x:c>
      <x:c r="P8" s="21">
        <x:v>2E-3</x:v>
      </x:c>
      <x:c r="Q8" s="21">
        <x:v>0.01</x:v>
      </x:c>
      <x:c r="R8" s="21">
        <x:v>0</x:v>
      </x:c>
      <x:c r="S8" s="21">
        <x:v>0</x:v>
      </x:c>
      <x:c r="T8" s="21">
        <x:v>0</x:v>
      </x:c>
      <x:c r="U8" s="21">
        <x:v>0</x:v>
      </x:c>
      <x:c r="V8" s="22">
        <x:v>4.0000000000000001E-3</x:v>
      </x:c>
      <x:c r="W8" s="22">
        <x:v>4.0000000000000001E-3</x:v>
      </x:c>
      <x:c r="X8" s="22">
        <x:v>4.0000000000000001E-3</x:v>
      </x:c>
      <x:c r="Y8" s="22">
        <x:v>0</x:v>
      </x:c>
      <x:c r="Z8" s="22">
        <x:v>2E-3</x:v>
      </x:c>
      <x:c r="AA8" s="13" t="str">
        <x:f t="shared" si="1"/>
        <x:v>可回读</x:v>
      </x:c>
      <x:c r="AB8" s="13" t="s">
        <x:v>248</x:v>
      </x:c>
      <x:c r="AC8" s="13" t="s">
        <x:v>255</x:v>
      </x:c>
      <x:c r="AD8" s="13" t="s">
        <x:v>256</x:v>
      </x:c>
    </x:row>
    <x:row r="9" ht="23.100000381469727" customHeight="1">
      <x:c r="A9" s="13" t="s">
        <x:v>133</x:v>
      </x:c>
      <x:c r="B9" s="13" t="s">
        <x:v>257</x:v>
      </x:c>
      <x:c r="C9" s="13" t="s">
        <x:v>133</x:v>
      </x:c>
      <x:c r="D9" s="13" t="s">
        <x:v>245</x:v>
      </x:c>
      <x:c r="E9" s="13" t="s">
        <x:v>246</x:v>
      </x:c>
      <x:c r="F9" s="13" t="s">
        <x:v>247</x:v>
      </x:c>
      <x:c r="G9" s="7">
        <x:v>30</x:v>
      </x:c>
      <x:c r="H9" s="7">
        <x:v>10</x:v>
      </x:c>
      <x:c r="I9" s="7">
        <x:v>0</x:v>
      </x:c>
      <x:c r="J9" s="7">
        <x:v>0</x:v>
      </x:c>
      <x:c r="K9" s="7">
        <x:v>18</x:v>
      </x:c>
      <x:c r="L9" s="7">
        <x:v>1</x:v>
      </x:c>
      <x:c r="M9" s="17">
        <x:v>1</x:v>
      </x:c>
      <x:c r="N9" s="17">
        <x:f t="shared" si="0"/>
        <x:v>4.6000000000000013E-2</x:v>
      </x:c>
      <x:c r="O9" s="21">
        <x:v>0.02</x:v>
      </x:c>
      <x:c r="P9" s="21">
        <x:v>2E-3</x:v>
      </x:c>
      <x:c r="Q9" s="21">
        <x:v>0.01</x:v>
      </x:c>
      <x:c r="R9" s="21">
        <x:v>0</x:v>
      </x:c>
      <x:c r="S9" s="21">
        <x:v>0</x:v>
      </x:c>
      <x:c r="T9" s="21">
        <x:v>0</x:v>
      </x:c>
      <x:c r="U9" s="21">
        <x:v>0</x:v>
      </x:c>
      <x:c r="V9" s="22">
        <x:v>4.0000000000000001E-3</x:v>
      </x:c>
      <x:c r="W9" s="22">
        <x:v>4.0000000000000001E-3</x:v>
      </x:c>
      <x:c r="X9" s="22">
        <x:v>4.0000000000000001E-3</x:v>
      </x:c>
      <x:c r="Y9" s="22">
        <x:v>0</x:v>
      </x:c>
      <x:c r="Z9" s="22">
        <x:v>2E-3</x:v>
      </x:c>
      <x:c r="AA9" s="13" t="str">
        <x:f t="shared" si="1"/>
        <x:v>可回读</x:v>
      </x:c>
      <x:c r="AB9" s="13" t="s">
        <x:v>248</x:v>
      </x:c>
      <x:c r="AC9" s="13" t="s">
        <x:v>258</x:v>
      </x:c>
      <x:c r="AD9" s="13" t="s">
        <x:v>259</x:v>
      </x:c>
    </x:row>
    <x:row r="10" ht="23.100000381469727" customHeight="1">
      <x:c r="A10" s="13" t="s">
        <x:v>135</x:v>
      </x:c>
      <x:c r="B10" s="13" t="s">
        <x:v>260</x:v>
      </x:c>
      <x:c r="C10" s="13" t="s">
        <x:v>135</x:v>
      </x:c>
      <x:c r="D10" s="13" t="s">
        <x:v>245</x:v>
      </x:c>
      <x:c r="E10" s="13" t="s">
        <x:v>246</x:v>
      </x:c>
      <x:c r="F10" s="13" t="s">
        <x:v>247</x:v>
      </x:c>
      <x:c r="G10" s="7">
        <x:v>40</x:v>
      </x:c>
      <x:c r="H10" s="7">
        <x:v>10</x:v>
      </x:c>
      <x:c r="I10" s="7">
        <x:v>0</x:v>
      </x:c>
      <x:c r="J10" s="7">
        <x:v>0</x:v>
      </x:c>
      <x:c r="K10" s="7">
        <x:v>32</x:v>
      </x:c>
      <x:c r="L10" s="7">
        <x:v>1</x:v>
      </x:c>
      <x:c r="M10" s="17">
        <x:v>2</x:v>
      </x:c>
      <x:c r="N10" s="17">
        <x:f t="shared" si="0"/>
        <x:v>4.6000000000000013E-2</x:v>
      </x:c>
      <x:c r="O10" s="21">
        <x:v>0.02</x:v>
      </x:c>
      <x:c r="P10" s="21">
        <x:v>2E-3</x:v>
      </x:c>
      <x:c r="Q10" s="21">
        <x:v>0.01</x:v>
      </x:c>
      <x:c r="R10" s="21">
        <x:v>0</x:v>
      </x:c>
      <x:c r="S10" s="21">
        <x:v>0</x:v>
      </x:c>
      <x:c r="T10" s="21">
        <x:v>0</x:v>
      </x:c>
      <x:c r="U10" s="21">
        <x:v>0</x:v>
      </x:c>
      <x:c r="V10" s="22">
        <x:v>4.0000000000000001E-3</x:v>
      </x:c>
      <x:c r="W10" s="22">
        <x:v>4.0000000000000001E-3</x:v>
      </x:c>
      <x:c r="X10" s="22">
        <x:v>4.0000000000000001E-3</x:v>
      </x:c>
      <x:c r="Y10" s="22">
        <x:v>0</x:v>
      </x:c>
      <x:c r="Z10" s="22">
        <x:v>2E-3</x:v>
      </x:c>
      <x:c r="AA10" s="13" t="str">
        <x:f t="shared" si="1"/>
        <x:v>可回读</x:v>
      </x:c>
      <x:c r="AB10" s="13" t="s">
        <x:v>248</x:v>
      </x:c>
      <x:c r="AC10" s="13" t="s">
        <x:v>261</x:v>
      </x:c>
      <x:c r="AD10" s="13" t="s">
        <x:v>262</x:v>
      </x:c>
    </x:row>
    <x:row r="11" ht="23.100000381469727" customHeight="1">
      <x:c r="A11" s="13" t="s">
        <x:v>138</x:v>
      </x:c>
      <x:c r="B11" s="13" t="s">
        <x:v>263</x:v>
      </x:c>
      <x:c r="C11" s="13" t="s">
        <x:v>138</x:v>
      </x:c>
      <x:c r="D11" s="13" t="s">
        <x:v>245</x:v>
      </x:c>
      <x:c r="E11" s="13" t="s">
        <x:v>246</x:v>
      </x:c>
      <x:c r="F11" s="13" t="s">
        <x:v>247</x:v>
      </x:c>
      <x:c r="G11" s="7">
        <x:v>200</x:v>
      </x:c>
      <x:c r="H11" s="7">
        <x:v>20</x:v>
      </x:c>
      <x:c r="I11" s="7">
        <x:v>5</x:v>
      </x:c>
      <x:c r="J11" s="7">
        <x:v>0</x:v>
      </x:c>
      <x:c r="K11" s="7">
        <x:v>15</x:v>
      </x:c>
      <x:c r="L11" s="7">
        <x:v>5</x:v>
      </x:c>
      <x:c r="M11" s="17">
        <x:v>2</x:v>
      </x:c>
      <x:c r="N11" s="17">
        <x:f t="shared" si="0"/>
        <x:v>4.6000000000000013E-2</x:v>
      </x:c>
      <x:c r="O11" s="21">
        <x:v>0.02</x:v>
      </x:c>
      <x:c r="P11" s="21">
        <x:v>2E-3</x:v>
      </x:c>
      <x:c r="Q11" s="21">
        <x:v>0.01</x:v>
      </x:c>
      <x:c r="R11" s="21">
        <x:v>0</x:v>
      </x:c>
      <x:c r="S11" s="21">
        <x:v>0</x:v>
      </x:c>
      <x:c r="T11" s="21">
        <x:v>0</x:v>
      </x:c>
      <x:c r="U11" s="21">
        <x:v>0</x:v>
      </x:c>
      <x:c r="V11" s="22">
        <x:v>4.0000000000000001E-3</x:v>
      </x:c>
      <x:c r="W11" s="22">
        <x:v>4.0000000000000001E-3</x:v>
      </x:c>
      <x:c r="X11" s="22">
        <x:v>4.0000000000000001E-3</x:v>
      </x:c>
      <x:c r="Y11" s="22">
        <x:v>0</x:v>
      </x:c>
      <x:c r="Z11" s="22">
        <x:v>2E-3</x:v>
      </x:c>
      <x:c r="AA11" s="13" t="str">
        <x:f t="shared" si="1"/>
        <x:v>可回读</x:v>
      </x:c>
      <x:c r="AB11" s="13" t="s">
        <x:v>248</x:v>
      </x:c>
      <x:c r="AC11" s="13" t="s">
        <x:v>264</x:v>
      </x:c>
      <x:c r="AD11" s="13" t="s">
        <x:v>265</x:v>
      </x:c>
    </x:row>
    <x:row r="12" ht="23.100000381469727" customHeight="1">
      <x:c r="A12" s="13" t="s">
        <x:v>119</x:v>
      </x:c>
      <x:c r="B12" s="13" t="s">
        <x:v>266</x:v>
      </x:c>
      <x:c r="C12" s="13" t="s">
        <x:v>119</x:v>
      </x:c>
      <x:c r="D12" s="13" t="s">
        <x:v>245</x:v>
      </x:c>
      <x:c r="E12" s="13" t="s">
        <x:v>246</x:v>
      </x:c>
      <x:c r="F12" s="13" t="s">
        <x:v>247</x:v>
      </x:c>
      <x:c r="G12" s="7">
        <x:v>40</x:v>
      </x:c>
      <x:c r="H12" s="7">
        <x:v>25</x:v>
      </x:c>
      <x:c r="I12" s="7">
        <x:v>0</x:v>
      </x:c>
      <x:c r="J12" s="7">
        <x:v>0</x:v>
      </x:c>
      <x:c r="K12" s="7">
        <x:v>22</x:v>
      </x:c>
      <x:c r="L12" s="7">
        <x:v>2</x:v>
      </x:c>
      <x:c r="M12" s="17">
        <x:v>1</x:v>
      </x:c>
      <x:c r="N12" s="17">
        <x:f t="shared" si="0"/>
        <x:v>4.6000000000000013E-2</x:v>
      </x:c>
      <x:c r="O12" s="21">
        <x:v>0.02</x:v>
      </x:c>
      <x:c r="P12" s="21">
        <x:v>2E-3</x:v>
      </x:c>
      <x:c r="Q12" s="21">
        <x:v>0.01</x:v>
      </x:c>
      <x:c r="R12" s="21">
        <x:v>0</x:v>
      </x:c>
      <x:c r="S12" s="21">
        <x:v>0</x:v>
      </x:c>
      <x:c r="T12" s="21">
        <x:v>0</x:v>
      </x:c>
      <x:c r="U12" s="21">
        <x:v>0</x:v>
      </x:c>
      <x:c r="V12" s="22">
        <x:v>4.0000000000000001E-3</x:v>
      </x:c>
      <x:c r="W12" s="22">
        <x:v>4.0000000000000001E-3</x:v>
      </x:c>
      <x:c r="X12" s="22">
        <x:v>4.0000000000000001E-3</x:v>
      </x:c>
      <x:c r="Y12" s="22">
        <x:v>0</x:v>
      </x:c>
      <x:c r="Z12" s="22">
        <x:v>2E-3</x:v>
      </x:c>
      <x:c r="AA12" s="13" t="str">
        <x:f t="shared" si="1"/>
        <x:v>可回读</x:v>
      </x:c>
      <x:c r="AB12" s="13" t="s">
        <x:v>248</x:v>
      </x:c>
      <x:c r="AC12" s="13" t="s">
        <x:v>267</x:v>
      </x:c>
      <x:c r="AD12" s="13" t="s">
        <x:v>268</x:v>
      </x:c>
    </x:row>
    <x:row r="13" ht="23.100000381469727" customHeight="1">
      <x:c r="A13" s="13" t="s">
        <x:v>132</x:v>
      </x:c>
      <x:c r="B13" s="13" t="s">
        <x:v>269</x:v>
      </x:c>
      <x:c r="C13" s="13" t="s">
        <x:v>132</x:v>
      </x:c>
      <x:c r="D13" s="13" t="s">
        <x:v>245</x:v>
      </x:c>
      <x:c r="E13" s="13" t="s">
        <x:v>246</x:v>
      </x:c>
      <x:c r="F13" s="13" t="s">
        <x:v>247</x:v>
      </x:c>
      <x:c r="G13" s="7">
        <x:v>150</x:v>
      </x:c>
      <x:c r="H13" s="7">
        <x:v>10</x:v>
      </x:c>
      <x:c r="I13" s="7">
        <x:v>5</x:v>
      </x:c>
      <x:c r="J13" s="7">
        <x:v>0</x:v>
      </x:c>
      <x:c r="K13" s="7">
        <x:v>20</x:v>
      </x:c>
      <x:c r="L13" s="7">
        <x:v>5</x:v>
      </x:c>
      <x:c r="M13" s="17">
        <x:v>2</x:v>
      </x:c>
      <x:c r="N13" s="17">
        <x:f t="shared" si="0"/>
        <x:v>4.6000000000000013E-2</x:v>
      </x:c>
      <x:c r="O13" s="21">
        <x:v>0.02</x:v>
      </x:c>
      <x:c r="P13" s="21">
        <x:v>2E-3</x:v>
      </x:c>
      <x:c r="Q13" s="21">
        <x:v>0.01</x:v>
      </x:c>
      <x:c r="R13" s="21">
        <x:v>0</x:v>
      </x:c>
      <x:c r="S13" s="21">
        <x:v>0</x:v>
      </x:c>
      <x:c r="T13" s="21">
        <x:v>0</x:v>
      </x:c>
      <x:c r="U13" s="21">
        <x:v>0</x:v>
      </x:c>
      <x:c r="V13" s="22">
        <x:v>4.0000000000000001E-3</x:v>
      </x:c>
      <x:c r="W13" s="22">
        <x:v>4.0000000000000001E-3</x:v>
      </x:c>
      <x:c r="X13" s="22">
        <x:v>4.0000000000000001E-3</x:v>
      </x:c>
      <x:c r="Y13" s="22">
        <x:v>0</x:v>
      </x:c>
      <x:c r="Z13" s="22">
        <x:v>2E-3</x:v>
      </x:c>
      <x:c r="AA13" s="13" t="str">
        <x:f t="shared" si="1"/>
        <x:v>可回读</x:v>
      </x:c>
      <x:c r="AB13" s="13" t="s">
        <x:v>248</x:v>
      </x:c>
      <x:c r="AC13" s="13" t="s">
        <x:v>270</x:v>
      </x:c>
      <x:c r="AD13" s="13" t="s">
        <x:v>271</x:v>
      </x:c>
    </x:row>
    <x:row r="14" ht="23.100000381469727" customHeight="1">
      <x:c r="A14" s="13" t="s">
        <x:v>272</x:v>
      </x:c>
      <x:c r="B14" s="13" t="s">
        <x:v>273</x:v>
      </x:c>
      <x:c r="C14" s="13" t="s">
        <x:v>272</x:v>
      </x:c>
      <x:c r="D14" s="13" t="s">
        <x:v>245</x:v>
      </x:c>
      <x:c r="E14" s="13" t="s">
        <x:v>246</x:v>
      </x:c>
      <x:c r="F14" s="13" t="s">
        <x:v>274</x:v>
      </x:c>
      <x:c r="G14" s="7">
        <x:v>80</x:v>
      </x:c>
      <x:c r="H14" s="7">
        <x:v>10</x:v>
      </x:c>
      <x:c r="I14" s="7">
        <x:v>150</x:v>
      </x:c>
      <x:c r="J14" s="7">
        <x:v>0</x:v>
      </x:c>
      <x:c r="K14" s="7">
        <x:v>20</x:v>
      </x:c>
      <x:c r="L14" s="7">
        <x:v>1</x:v>
      </x:c>
      <x:c r="M14" s="17">
        <x:v>1</x:v>
      </x:c>
      <x:c r="N14" s="17">
        <x:f t="shared" si="0"/>
        <x:v>4.6000000000000013E-2</x:v>
      </x:c>
      <x:c r="O14" s="21">
        <x:v>0.02</x:v>
      </x:c>
      <x:c r="P14" s="21">
        <x:v>2E-3</x:v>
      </x:c>
      <x:c r="Q14" s="21">
        <x:v>0.01</x:v>
      </x:c>
      <x:c r="R14" s="21">
        <x:v>0</x:v>
      </x:c>
      <x:c r="S14" s="21">
        <x:v>0</x:v>
      </x:c>
      <x:c r="T14" s="21">
        <x:v>0</x:v>
      </x:c>
      <x:c r="U14" s="21">
        <x:v>0</x:v>
      </x:c>
      <x:c r="V14" s="22">
        <x:v>4.0000000000000001E-3</x:v>
      </x:c>
      <x:c r="W14" s="22">
        <x:v>4.0000000000000001E-3</x:v>
      </x:c>
      <x:c r="X14" s="22">
        <x:v>4.0000000000000001E-3</x:v>
      </x:c>
      <x:c r="Y14" s="22">
        <x:v>0</x:v>
      </x:c>
      <x:c r="Z14" s="22">
        <x:v>2E-3</x:v>
      </x:c>
      <x:c r="AA14" s="13" t="str">
        <x:f t="shared" si="1"/>
        <x:v>可回读</x:v>
      </x:c>
      <x:c r="AB14" s="13" t="s">
        <x:v>275</x:v>
      </x:c>
      <x:c r="AC14" s="13" t="s">
        <x:v>276</x:v>
      </x:c>
      <x:c r="AD14" s="13" t="s">
        <x:v>277</x:v>
      </x:c>
    </x:row>
    <x:row r="15" ht="23.100000381469727" customHeight="1">
      <x:c r="A15" s="13" t="s">
        <x:v>278</x:v>
      </x:c>
      <x:c r="B15" s="13" t="s">
        <x:v>279</x:v>
      </x:c>
      <x:c r="C15" s="13" t="s">
        <x:v>278</x:v>
      </x:c>
      <x:c r="D15" s="13" t="s">
        <x:v>245</x:v>
      </x:c>
      <x:c r="E15" s="13" t="s">
        <x:v>246</x:v>
      </x:c>
      <x:c r="F15" s="13" t="s">
        <x:v>274</x:v>
      </x:c>
      <x:c r="G15" s="7">
        <x:v>280</x:v>
      </x:c>
      <x:c r="H15" s="7">
        <x:v>14</x:v>
      </x:c>
      <x:c r="I15" s="7">
        <x:v>150</x:v>
      </x:c>
      <x:c r="J15" s="7">
        <x:v>0</x:v>
      </x:c>
      <x:c r="K15" s="7">
        <x:v>20</x:v>
      </x:c>
      <x:c r="L15" s="7">
        <x:v>2</x:v>
      </x:c>
      <x:c r="M15" s="17">
        <x:v>2</x:v>
      </x:c>
      <x:c r="N15" s="17">
        <x:f t="shared" si="0"/>
        <x:v>4.6000000000000013E-2</x:v>
      </x:c>
      <x:c r="O15" s="21">
        <x:v>0.02</x:v>
      </x:c>
      <x:c r="P15" s="21">
        <x:v>2E-3</x:v>
      </x:c>
      <x:c r="Q15" s="21">
        <x:v>0.01</x:v>
      </x:c>
      <x:c r="R15" s="21">
        <x:v>0</x:v>
      </x:c>
      <x:c r="S15" s="21">
        <x:v>0</x:v>
      </x:c>
      <x:c r="T15" s="21">
        <x:v>0</x:v>
      </x:c>
      <x:c r="U15" s="21">
        <x:v>0</x:v>
      </x:c>
      <x:c r="V15" s="22">
        <x:v>4.0000000000000001E-3</x:v>
      </x:c>
      <x:c r="W15" s="22">
        <x:v>4.0000000000000001E-3</x:v>
      </x:c>
      <x:c r="X15" s="22">
        <x:v>4.0000000000000001E-3</x:v>
      </x:c>
      <x:c r="Y15" s="22">
        <x:v>0</x:v>
      </x:c>
      <x:c r="Z15" s="22">
        <x:v>2E-3</x:v>
      </x:c>
      <x:c r="AA15" s="13" t="str">
        <x:f t="shared" si="1"/>
        <x:v>可回读</x:v>
      </x:c>
      <x:c r="AB15" s="13" t="s">
        <x:v>275</x:v>
      </x:c>
      <x:c r="AC15" s="13" t="s">
        <x:v>280</x:v>
      </x:c>
      <x:c r="AD15" s="13" t="s">
        <x:v>281</x:v>
      </x:c>
    </x:row>
    <x:row r="16" ht="23.100000381469727" customHeight="1">
      <x:c r="A16" s="13" t="s">
        <x:v>282</x:v>
      </x:c>
      <x:c r="B16" s="13" t="s">
        <x:v>283</x:v>
      </x:c>
      <x:c r="C16" s="13" t="s">
        <x:v>282</x:v>
      </x:c>
      <x:c r="D16" s="13" t="s">
        <x:v>245</x:v>
      </x:c>
      <x:c r="E16" s="13" t="s">
        <x:v>246</x:v>
      </x:c>
      <x:c r="F16" s="13" t="s">
        <x:v>274</x:v>
      </x:c>
      <x:c r="G16" s="7">
        <x:v>70</x:v>
      </x:c>
      <x:c r="H16" s="7">
        <x:v>10</x:v>
      </x:c>
      <x:c r="I16" s="7">
        <x:v>150</x:v>
      </x:c>
      <x:c r="J16" s="7">
        <x:v>0</x:v>
      </x:c>
      <x:c r="K16" s="7">
        <x:v>40</x:v>
      </x:c>
      <x:c r="L16" s="7">
        <x:v>1</x:v>
      </x:c>
      <x:c r="M16" s="17">
        <x:v>1</x:v>
      </x:c>
      <x:c r="N16" s="17">
        <x:f t="shared" si="0"/>
        <x:v>4.6000000000000013E-2</x:v>
      </x:c>
      <x:c r="O16" s="21">
        <x:v>0.02</x:v>
      </x:c>
      <x:c r="P16" s="21">
        <x:v>2E-3</x:v>
      </x:c>
      <x:c r="Q16" s="21">
        <x:v>0.01</x:v>
      </x:c>
      <x:c r="R16" s="21">
        <x:v>0</x:v>
      </x:c>
      <x:c r="S16" s="21">
        <x:v>0</x:v>
      </x:c>
      <x:c r="T16" s="21">
        <x:v>0</x:v>
      </x:c>
      <x:c r="U16" s="21">
        <x:v>0</x:v>
      </x:c>
      <x:c r="V16" s="22">
        <x:v>4.0000000000000001E-3</x:v>
      </x:c>
      <x:c r="W16" s="22">
        <x:v>4.0000000000000001E-3</x:v>
      </x:c>
      <x:c r="X16" s="22">
        <x:v>4.0000000000000001E-3</x:v>
      </x:c>
      <x:c r="Y16" s="22">
        <x:v>0</x:v>
      </x:c>
      <x:c r="Z16" s="22">
        <x:v>2E-3</x:v>
      </x:c>
      <x:c r="AA16" s="13" t="str">
        <x:f t="shared" si="1"/>
        <x:v>可回读</x:v>
      </x:c>
      <x:c r="AB16" s="13" t="s">
        <x:v>275</x:v>
      </x:c>
      <x:c r="AC16" s="13" t="s">
        <x:v>284</x:v>
      </x:c>
      <x:c r="AD16" s="13" t="s">
        <x:v>285</x:v>
      </x:c>
    </x:row>
    <x:row r="17" ht="23.100000381469727" customHeight="1">
      <x:c r="A17" s="13" t="s">
        <x:v>286</x:v>
      </x:c>
      <x:c r="B17" s="13" t="s">
        <x:v>287</x:v>
      </x:c>
      <x:c r="C17" s="13" t="s">
        <x:v>286</x:v>
      </x:c>
      <x:c r="D17" s="13" t="s">
        <x:v>245</x:v>
      </x:c>
      <x:c r="E17" s="13" t="s">
        <x:v>246</x:v>
      </x:c>
      <x:c r="F17" s="13" t="s">
        <x:v>274</x:v>
      </x:c>
      <x:c r="G17" s="7">
        <x:v>60</x:v>
      </x:c>
      <x:c r="H17" s="7">
        <x:v>10</x:v>
      </x:c>
      <x:c r="I17" s="7">
        <x:v>150</x:v>
      </x:c>
      <x:c r="J17" s="7">
        <x:v>0</x:v>
      </x:c>
      <x:c r="K17" s="7">
        <x:v>18</x:v>
      </x:c>
      <x:c r="L17" s="7">
        <x:v>1</x:v>
      </x:c>
      <x:c r="M17" s="17">
        <x:v>1</x:v>
      </x:c>
      <x:c r="N17" s="17">
        <x:f t="shared" si="0"/>
        <x:v>4.6000000000000013E-2</x:v>
      </x:c>
      <x:c r="O17" s="21">
        <x:v>0.02</x:v>
      </x:c>
      <x:c r="P17" s="21">
        <x:v>2E-3</x:v>
      </x:c>
      <x:c r="Q17" s="21">
        <x:v>0.01</x:v>
      </x:c>
      <x:c r="R17" s="21">
        <x:v>0</x:v>
      </x:c>
      <x:c r="S17" s="21">
        <x:v>0</x:v>
      </x:c>
      <x:c r="T17" s="21">
        <x:v>0</x:v>
      </x:c>
      <x:c r="U17" s="21">
        <x:v>0</x:v>
      </x:c>
      <x:c r="V17" s="22">
        <x:v>4.0000000000000001E-3</x:v>
      </x:c>
      <x:c r="W17" s="22">
        <x:v>4.0000000000000001E-3</x:v>
      </x:c>
      <x:c r="X17" s="22">
        <x:v>4.0000000000000001E-3</x:v>
      </x:c>
      <x:c r="Y17" s="22">
        <x:v>0</x:v>
      </x:c>
      <x:c r="Z17" s="22">
        <x:v>2E-3</x:v>
      </x:c>
      <x:c r="AA17" s="13" t="str">
        <x:f t="shared" si="1"/>
        <x:v>可回读</x:v>
      </x:c>
      <x:c r="AB17" s="13" t="s">
        <x:v>275</x:v>
      </x:c>
      <x:c r="AC17" s="13" t="s">
        <x:v>288</x:v>
      </x:c>
      <x:c r="AD17" s="13" t="s">
        <x:v>289</x:v>
      </x:c>
    </x:row>
    <x:row r="18" ht="23.100000381469727" customHeight="1">
      <x:c r="A18" s="13" t="s">
        <x:v>290</x:v>
      </x:c>
      <x:c r="B18" s="13" t="s">
        <x:v>291</x:v>
      </x:c>
      <x:c r="C18" s="13" t="s">
        <x:v>290</x:v>
      </x:c>
      <x:c r="D18" s="13" t="s">
        <x:v>245</x:v>
      </x:c>
      <x:c r="E18" s="13" t="s">
        <x:v>246</x:v>
      </x:c>
      <x:c r="F18" s="13" t="s">
        <x:v>274</x:v>
      </x:c>
      <x:c r="G18" s="7">
        <x:v>80</x:v>
      </x:c>
      <x:c r="H18" s="7">
        <x:v>10</x:v>
      </x:c>
      <x:c r="I18" s="7">
        <x:v>150</x:v>
      </x:c>
      <x:c r="J18" s="7">
        <x:v>0</x:v>
      </x:c>
      <x:c r="K18" s="7">
        <x:v>32</x:v>
      </x:c>
      <x:c r="L18" s="7">
        <x:v>1</x:v>
      </x:c>
      <x:c r="M18" s="17">
        <x:v>2</x:v>
      </x:c>
      <x:c r="N18" s="17">
        <x:f t="shared" si="0"/>
        <x:v>4.6000000000000013E-2</x:v>
      </x:c>
      <x:c r="O18" s="21">
        <x:v>0.02</x:v>
      </x:c>
      <x:c r="P18" s="21">
        <x:v>2E-3</x:v>
      </x:c>
      <x:c r="Q18" s="21">
        <x:v>0.01</x:v>
      </x:c>
      <x:c r="R18" s="21">
        <x:v>0</x:v>
      </x:c>
      <x:c r="S18" s="21">
        <x:v>0</x:v>
      </x:c>
      <x:c r="T18" s="21">
        <x:v>0</x:v>
      </x:c>
      <x:c r="U18" s="21">
        <x:v>0</x:v>
      </x:c>
      <x:c r="V18" s="22">
        <x:v>4.0000000000000001E-3</x:v>
      </x:c>
      <x:c r="W18" s="22">
        <x:v>4.0000000000000001E-3</x:v>
      </x:c>
      <x:c r="X18" s="22">
        <x:v>4.0000000000000001E-3</x:v>
      </x:c>
      <x:c r="Y18" s="22">
        <x:v>0</x:v>
      </x:c>
      <x:c r="Z18" s="22">
        <x:v>2E-3</x:v>
      </x:c>
      <x:c r="AA18" s="13" t="str">
        <x:f t="shared" si="1"/>
        <x:v>可回读</x:v>
      </x:c>
      <x:c r="AB18" s="13" t="s">
        <x:v>275</x:v>
      </x:c>
      <x:c r="AC18" s="13" t="s">
        <x:v>292</x:v>
      </x:c>
      <x:c r="AD18" s="13" t="s">
        <x:v>293</x:v>
      </x:c>
    </x:row>
    <x:row r="19" ht="23.100000381469727" customHeight="1">
      <x:c r="A19" s="13" t="s">
        <x:v>294</x:v>
      </x:c>
      <x:c r="B19" s="13" t="s">
        <x:v>295</x:v>
      </x:c>
      <x:c r="C19" s="13" t="s">
        <x:v>294</x:v>
      </x:c>
      <x:c r="D19" s="13" t="s">
        <x:v>245</x:v>
      </x:c>
      <x:c r="E19" s="13" t="s">
        <x:v>246</x:v>
      </x:c>
      <x:c r="F19" s="13" t="s">
        <x:v>274</x:v>
      </x:c>
      <x:c r="G19" s="7">
        <x:v>400</x:v>
      </x:c>
      <x:c r="H19" s="7">
        <x:v>20</x:v>
      </x:c>
      <x:c r="I19" s="7">
        <x:v>150</x:v>
      </x:c>
      <x:c r="J19" s="7">
        <x:v>0</x:v>
      </x:c>
      <x:c r="K19" s="7">
        <x:v>15</x:v>
      </x:c>
      <x:c r="L19" s="7">
        <x:v>5</x:v>
      </x:c>
      <x:c r="M19" s="17">
        <x:v>2</x:v>
      </x:c>
      <x:c r="N19" s="17">
        <x:f t="shared" si="0"/>
        <x:v>4.6000000000000013E-2</x:v>
      </x:c>
      <x:c r="O19" s="21">
        <x:v>0.02</x:v>
      </x:c>
      <x:c r="P19" s="21">
        <x:v>2E-3</x:v>
      </x:c>
      <x:c r="Q19" s="21">
        <x:v>0.01</x:v>
      </x:c>
      <x:c r="R19" s="21">
        <x:v>0</x:v>
      </x:c>
      <x:c r="S19" s="21">
        <x:v>0</x:v>
      </x:c>
      <x:c r="T19" s="21">
        <x:v>0</x:v>
      </x:c>
      <x:c r="U19" s="21">
        <x:v>0</x:v>
      </x:c>
      <x:c r="V19" s="22">
        <x:v>4.0000000000000001E-3</x:v>
      </x:c>
      <x:c r="W19" s="22">
        <x:v>4.0000000000000001E-3</x:v>
      </x:c>
      <x:c r="X19" s="22">
        <x:v>4.0000000000000001E-3</x:v>
      </x:c>
      <x:c r="Y19" s="22">
        <x:v>0</x:v>
      </x:c>
      <x:c r="Z19" s="22">
        <x:v>2E-3</x:v>
      </x:c>
      <x:c r="AA19" s="13" t="str">
        <x:f t="shared" si="1"/>
        <x:v>可回读</x:v>
      </x:c>
      <x:c r="AB19" s="13" t="s">
        <x:v>275</x:v>
      </x:c>
      <x:c r="AC19" s="13" t="s">
        <x:v>296</x:v>
      </x:c>
      <x:c r="AD19" s="13" t="s">
        <x:v>297</x:v>
      </x:c>
    </x:row>
    <x:row r="20" ht="23.100000381469727" customHeight="1">
      <x:c r="A20" s="13" t="s">
        <x:v>298</x:v>
      </x:c>
      <x:c r="B20" s="13" t="s">
        <x:v>299</x:v>
      </x:c>
      <x:c r="C20" s="13" t="s">
        <x:v>298</x:v>
      </x:c>
      <x:c r="D20" s="13" t="s">
        <x:v>245</x:v>
      </x:c>
      <x:c r="E20" s="13" t="s">
        <x:v>246</x:v>
      </x:c>
      <x:c r="F20" s="13" t="s">
        <x:v>274</x:v>
      </x:c>
      <x:c r="G20" s="7">
        <x:v>80</x:v>
      </x:c>
      <x:c r="H20" s="7">
        <x:v>25</x:v>
      </x:c>
      <x:c r="I20" s="7">
        <x:v>150</x:v>
      </x:c>
      <x:c r="J20" s="7">
        <x:v>0</x:v>
      </x:c>
      <x:c r="K20" s="7">
        <x:v>22</x:v>
      </x:c>
      <x:c r="L20" s="7">
        <x:v>2</x:v>
      </x:c>
      <x:c r="M20" s="17">
        <x:v>1</x:v>
      </x:c>
      <x:c r="N20" s="17">
        <x:f t="shared" si="0"/>
        <x:v>4.6000000000000013E-2</x:v>
      </x:c>
      <x:c r="O20" s="21">
        <x:v>0.02</x:v>
      </x:c>
      <x:c r="P20" s="21">
        <x:v>2E-3</x:v>
      </x:c>
      <x:c r="Q20" s="21">
        <x:v>0.01</x:v>
      </x:c>
      <x:c r="R20" s="21">
        <x:v>0</x:v>
      </x:c>
      <x:c r="S20" s="21">
        <x:v>0</x:v>
      </x:c>
      <x:c r="T20" s="21">
        <x:v>0</x:v>
      </x:c>
      <x:c r="U20" s="21">
        <x:v>0</x:v>
      </x:c>
      <x:c r="V20" s="22">
        <x:v>4.0000000000000001E-3</x:v>
      </x:c>
      <x:c r="W20" s="22">
        <x:v>4.0000000000000001E-3</x:v>
      </x:c>
      <x:c r="X20" s="22">
        <x:v>4.0000000000000001E-3</x:v>
      </x:c>
      <x:c r="Y20" s="22">
        <x:v>0</x:v>
      </x:c>
      <x:c r="Z20" s="22">
        <x:v>2E-3</x:v>
      </x:c>
      <x:c r="AA20" s="13" t="str">
        <x:f t="shared" si="1"/>
        <x:v>可回读</x:v>
      </x:c>
      <x:c r="AB20" s="13" t="s">
        <x:v>275</x:v>
      </x:c>
      <x:c r="AC20" s="13" t="s">
        <x:v>300</x:v>
      </x:c>
      <x:c r="AD20" s="13" t="s">
        <x:v>301</x:v>
      </x:c>
    </x:row>
    <x:row r="21" ht="23.100000381469727" customHeight="1">
      <x:c r="A21" s="13" t="s">
        <x:v>302</x:v>
      </x:c>
      <x:c r="B21" s="13" t="s">
        <x:v>303</x:v>
      </x:c>
      <x:c r="C21" s="13" t="s">
        <x:v>302</x:v>
      </x:c>
      <x:c r="D21" s="13" t="s">
        <x:v>245</x:v>
      </x:c>
      <x:c r="E21" s="13" t="s">
        <x:v>246</x:v>
      </x:c>
      <x:c r="F21" s="13" t="s">
        <x:v>274</x:v>
      </x:c>
      <x:c r="G21" s="7">
        <x:v>300</x:v>
      </x:c>
      <x:c r="H21" s="7">
        <x:v>10</x:v>
      </x:c>
      <x:c r="I21" s="7">
        <x:v>150</x:v>
      </x:c>
      <x:c r="J21" s="7">
        <x:v>0</x:v>
      </x:c>
      <x:c r="K21" s="7">
        <x:v>20</x:v>
      </x:c>
      <x:c r="L21" s="7">
        <x:v>5</x:v>
      </x:c>
      <x:c r="M21" s="17">
        <x:v>2</x:v>
      </x:c>
      <x:c r="N21" s="17">
        <x:f t="shared" si="0"/>
        <x:v>4.6000000000000013E-2</x:v>
      </x:c>
      <x:c r="O21" s="21">
        <x:v>0.02</x:v>
      </x:c>
      <x:c r="P21" s="21">
        <x:v>2E-3</x:v>
      </x:c>
      <x:c r="Q21" s="21">
        <x:v>0.01</x:v>
      </x:c>
      <x:c r="R21" s="21">
        <x:v>0</x:v>
      </x:c>
      <x:c r="S21" s="21">
        <x:v>0</x:v>
      </x:c>
      <x:c r="T21" s="21">
        <x:v>0</x:v>
      </x:c>
      <x:c r="U21" s="21">
        <x:v>0</x:v>
      </x:c>
      <x:c r="V21" s="22">
        <x:v>4.0000000000000001E-3</x:v>
      </x:c>
      <x:c r="W21" s="22">
        <x:v>4.0000000000000001E-3</x:v>
      </x:c>
      <x:c r="X21" s="22">
        <x:v>4.0000000000000001E-3</x:v>
      </x:c>
      <x:c r="Y21" s="22">
        <x:v>0</x:v>
      </x:c>
      <x:c r="Z21" s="22">
        <x:v>2E-3</x:v>
      </x:c>
      <x:c r="AA21" s="13" t="str">
        <x:f t="shared" si="1"/>
        <x:v>可回读</x:v>
      </x:c>
      <x:c r="AB21" s="13" t="s">
        <x:v>275</x:v>
      </x:c>
      <x:c r="AC21" s="13" t="s">
        <x:v>304</x:v>
      </x:c>
      <x:c r="AD21" s="13" t="s">
        <x:v>305</x:v>
      </x:c>
    </x:row>
    <x:row r="22" ht="23.100000381469727" customHeight="1">
      <x:c r="A22" s="13" t="s">
        <x:v>115</x:v>
      </x:c>
      <x:c r="B22" s="13" t="s">
        <x:v>306</x:v>
      </x:c>
      <x:c r="C22" s="13" t="s">
        <x:v>115</x:v>
      </x:c>
      <x:c r="D22" s="13" t="s">
        <x:v>115</x:v>
      </x:c>
      <x:c r="E22" s="13" t="s">
        <x:v>246</x:v>
      </x:c>
      <x:c r="F22" s="13" t="s">
        <x:v>274</x:v>
      </x:c>
      <x:c r="G22" s="7">
        <x:v>100</x:v>
      </x:c>
      <x:c r="H22" s="7">
        <x:v>10</x:v>
      </x:c>
      <x:c r="I22" s="7">
        <x:v>0</x:v>
      </x:c>
      <x:c r="J22" s="7">
        <x:v>0</x:v>
      </x:c>
      <x:c r="K22" s="7">
        <x:v>20</x:v>
      </x:c>
      <x:c r="L22" s="7">
        <x:v>1</x:v>
      </x:c>
      <x:c r="M22" s="17">
        <x:v>1</x:v>
      </x:c>
      <x:c r="N22" s="17">
        <x:f t="shared" si="0"/>
        <x:v>6.6000000000000017E-2</x:v>
      </x:c>
      <x:c r="O22" s="21">
        <x:v>0.02</x:v>
      </x:c>
      <x:c r="P22" s="21">
        <x:v>2E-3</x:v>
      </x:c>
      <x:c r="Q22" s="21">
        <x:v>0.01</x:v>
      </x:c>
      <x:c r="R22" s="21">
        <x:v>0</x:v>
      </x:c>
      <x:c r="S22" s="21">
        <x:v>0</x:v>
      </x:c>
      <x:c r="T22" s="21">
        <x:v>0.02</x:v>
      </x:c>
      <x:c r="U22" s="21">
        <x:v>0</x:v>
      </x:c>
      <x:c r="V22" s="22">
        <x:v>4.0000000000000001E-3</x:v>
      </x:c>
      <x:c r="W22" s="22">
        <x:v>4.0000000000000001E-3</x:v>
      </x:c>
      <x:c r="X22" s="22">
        <x:v>4.0000000000000001E-3</x:v>
      </x:c>
      <x:c r="Y22" s="22">
        <x:v>0</x:v>
      </x:c>
      <x:c r="Z22" s="22">
        <x:v>2E-3</x:v>
      </x:c>
      <x:c r="AA22" s="13" t="str">
        <x:f t="shared" si="1"/>
        <x:v>可回读</x:v>
      </x:c>
      <x:c r="AB22" s="13" t="s">
        <x:v>307</x:v>
      </x:c>
      <x:c r="AC22" s="13" t="s">
        <x:v>308</x:v>
      </x:c>
      <x:c r="AD22" s="13" t="s">
        <x:v>309</x:v>
      </x:c>
    </x:row>
    <x:row r="23" ht="23.100000381469727" customHeight="1">
      <x:c r="A23" s="13" t="s">
        <x:v>116</x:v>
      </x:c>
      <x:c r="B23" s="13" t="s">
        <x:v>310</x:v>
      </x:c>
      <x:c r="C23" s="13" t="s">
        <x:v>116</x:v>
      </x:c>
      <x:c r="D23" s="13" t="s">
        <x:v>115</x:v>
      </x:c>
      <x:c r="E23" s="13" t="s">
        <x:v>246</x:v>
      </x:c>
      <x:c r="F23" s="13" t="s">
        <x:v>274</x:v>
      </x:c>
      <x:c r="G23" s="7">
        <x:v>200</x:v>
      </x:c>
      <x:c r="H23" s="7">
        <x:v>10</x:v>
      </x:c>
      <x:c r="I23" s="7">
        <x:v>0</x:v>
      </x:c>
      <x:c r="J23" s="7">
        <x:v>0</x:v>
      </x:c>
      <x:c r="K23" s="7">
        <x:v>20</x:v>
      </x:c>
      <x:c r="L23" s="7">
        <x:v>1</x:v>
      </x:c>
      <x:c r="M23" s="17">
        <x:v>1</x:v>
      </x:c>
      <x:c r="N23" s="17">
        <x:f t="shared" si="0"/>
        <x:v>6.6000000000000017E-2</x:v>
      </x:c>
      <x:c r="O23" s="21">
        <x:v>0.02</x:v>
      </x:c>
      <x:c r="P23" s="21">
        <x:v>2E-3</x:v>
      </x:c>
      <x:c r="Q23" s="21">
        <x:v>0.01</x:v>
      </x:c>
      <x:c r="R23" s="21">
        <x:v>0</x:v>
      </x:c>
      <x:c r="S23" s="21">
        <x:v>0</x:v>
      </x:c>
      <x:c r="T23" s="21">
        <x:v>0.02</x:v>
      </x:c>
      <x:c r="U23" s="21">
        <x:v>0</x:v>
      </x:c>
      <x:c r="V23" s="22">
        <x:v>4.0000000000000001E-3</x:v>
      </x:c>
      <x:c r="W23" s="22">
        <x:v>4.0000000000000001E-3</x:v>
      </x:c>
      <x:c r="X23" s="22">
        <x:v>4.0000000000000001E-3</x:v>
      </x:c>
      <x:c r="Y23" s="22">
        <x:v>0</x:v>
      </x:c>
      <x:c r="Z23" s="22">
        <x:v>2E-3</x:v>
      </x:c>
      <x:c r="AA23" s="13" t="str">
        <x:f t="shared" si="1"/>
        <x:v>可回读</x:v>
      </x:c>
      <x:c r="AB23" s="13" t="s">
        <x:v>307</x:v>
      </x:c>
      <x:c r="AC23" s="13" t="s">
        <x:v>311</x:v>
      </x:c>
      <x:c r="AD23" s="13" t="s">
        <x:v>312</x:v>
      </x:c>
    </x:row>
    <x:row r="24" ht="23.100000381469727" customHeight="1">
      <x:c r="A24" s="13" t="s">
        <x:v>127</x:v>
      </x:c>
      <x:c r="B24" s="13" t="s">
        <x:v>313</x:v>
      </x:c>
      <x:c r="C24" s="13" t="s">
        <x:v>127</x:v>
      </x:c>
      <x:c r="D24" s="13" t="s">
        <x:v>115</x:v>
      </x:c>
      <x:c r="E24" s="13" t="s">
        <x:v>246</x:v>
      </x:c>
      <x:c r="F24" s="13" t="s">
        <x:v>274</x:v>
      </x:c>
      <x:c r="G24" s="7">
        <x:v>200</x:v>
      </x:c>
      <x:c r="H24" s="7">
        <x:v>10</x:v>
      </x:c>
      <x:c r="I24" s="7">
        <x:v>0</x:v>
      </x:c>
      <x:c r="J24" s="7">
        <x:v>0</x:v>
      </x:c>
      <x:c r="K24" s="7">
        <x:v>20</x:v>
      </x:c>
      <x:c r="L24" s="7">
        <x:v>1</x:v>
      </x:c>
      <x:c r="M24" s="17">
        <x:v>1</x:v>
      </x:c>
      <x:c r="N24" s="17">
        <x:f t="shared" si="0"/>
        <x:v>6.6000000000000017E-2</x:v>
      </x:c>
      <x:c r="O24" s="21">
        <x:v>0.02</x:v>
      </x:c>
      <x:c r="P24" s="21">
        <x:v>2E-3</x:v>
      </x:c>
      <x:c r="Q24" s="21">
        <x:v>0.01</x:v>
      </x:c>
      <x:c r="R24" s="21">
        <x:v>0</x:v>
      </x:c>
      <x:c r="S24" s="21">
        <x:v>0</x:v>
      </x:c>
      <x:c r="T24" s="21">
        <x:v>0.02</x:v>
      </x:c>
      <x:c r="U24" s="21">
        <x:v>0</x:v>
      </x:c>
      <x:c r="V24" s="22">
        <x:v>4.0000000000000001E-3</x:v>
      </x:c>
      <x:c r="W24" s="22">
        <x:v>4.0000000000000001E-3</x:v>
      </x:c>
      <x:c r="X24" s="22">
        <x:v>4.0000000000000001E-3</x:v>
      </x:c>
      <x:c r="Y24" s="22">
        <x:v>0</x:v>
      </x:c>
      <x:c r="Z24" s="22">
        <x:v>2E-3</x:v>
      </x:c>
      <x:c r="AA24" s="13" t="str">
        <x:f t="shared" si="1"/>
        <x:v>可回读</x:v>
      </x:c>
      <x:c r="AB24" s="13" t="s">
        <x:v>307</x:v>
      </x:c>
      <x:c r="AC24" s="13" t="s">
        <x:v>314</x:v>
      </x:c>
      <x:c r="AD24" s="13" t="s">
        <x:v>315</x:v>
      </x:c>
    </x:row>
    <x:row r="25" ht="23.100000381469727" customHeight="1">
      <x:c r="A25" s="13" t="s">
        <x:v>134</x:v>
      </x:c>
      <x:c r="B25" s="13" t="s">
        <x:v>316</x:v>
      </x:c>
      <x:c r="C25" s="13" t="s">
        <x:v>134</x:v>
      </x:c>
      <x:c r="D25" s="13" t="s">
        <x:v>115</x:v>
      </x:c>
      <x:c r="E25" s="13" t="s">
        <x:v>246</x:v>
      </x:c>
      <x:c r="F25" s="13" t="s">
        <x:v>274</x:v>
      </x:c>
      <x:c r="G25" s="7">
        <x:v>300</x:v>
      </x:c>
      <x:c r="H25" s="7">
        <x:v>10</x:v>
      </x:c>
      <x:c r="I25" s="7">
        <x:v>50</x:v>
      </x:c>
      <x:c r="J25" s="7">
        <x:v>50</x:v>
      </x:c>
      <x:c r="K25" s="7">
        <x:v>20</x:v>
      </x:c>
      <x:c r="L25" s="7">
        <x:v>1</x:v>
      </x:c>
      <x:c r="M25" s="17">
        <x:v>1</x:v>
      </x:c>
      <x:c r="N25" s="17">
        <x:f t="shared" si="0"/>
        <x:v>6.6000000000000017E-2</x:v>
      </x:c>
      <x:c r="O25" s="21">
        <x:v>0.02</x:v>
      </x:c>
      <x:c r="P25" s="21">
        <x:v>2E-3</x:v>
      </x:c>
      <x:c r="Q25" s="21">
        <x:v>0.01</x:v>
      </x:c>
      <x:c r="R25" s="21">
        <x:v>0</x:v>
      </x:c>
      <x:c r="S25" s="21">
        <x:v>0</x:v>
      </x:c>
      <x:c r="T25" s="21">
        <x:v>0.02</x:v>
      </x:c>
      <x:c r="U25" s="21">
        <x:v>0</x:v>
      </x:c>
      <x:c r="V25" s="22">
        <x:v>4.0000000000000001E-3</x:v>
      </x:c>
      <x:c r="W25" s="22">
        <x:v>4.0000000000000001E-3</x:v>
      </x:c>
      <x:c r="X25" s="22">
        <x:v>4.0000000000000001E-3</x:v>
      </x:c>
      <x:c r="Y25" s="22">
        <x:v>0</x:v>
      </x:c>
      <x:c r="Z25" s="22">
        <x:v>2E-3</x:v>
      </x:c>
      <x:c r="AA25" s="13" t="str">
        <x:f t="shared" si="1"/>
        <x:v>可回读</x:v>
      </x:c>
      <x:c r="AB25" s="13" t="s">
        <x:v>307</x:v>
      </x:c>
      <x:c r="AC25" s="13" t="s">
        <x:v>317</x:v>
      </x:c>
      <x:c r="AD25" s="13" t="s">
        <x:v>318</x:v>
      </x:c>
    </x:row>
    <x:row r="26" ht="23.100000381469727" customHeight="1">
      <x:c r="A26" s="13" t="s">
        <x:v>139</x:v>
      </x:c>
      <x:c r="B26" s="13" t="s">
        <x:v>319</x:v>
      </x:c>
      <x:c r="C26" s="13" t="s">
        <x:v>139</x:v>
      </x:c>
      <x:c r="D26" s="13" t="s">
        <x:v>115</x:v>
      </x:c>
      <x:c r="E26" s="13" t="s">
        <x:v>246</x:v>
      </x:c>
      <x:c r="F26" s="13" t="s">
        <x:v>274</x:v>
      </x:c>
      <x:c r="G26" s="7">
        <x:v>1000</x:v>
      </x:c>
      <x:c r="H26" s="7">
        <x:v>50</x:v>
      </x:c>
      <x:c r="I26" s="7">
        <x:v>0</x:v>
      </x:c>
      <x:c r="J26" s="7">
        <x:v>0</x:v>
      </x:c>
      <x:c r="K26" s="7">
        <x:v>20</x:v>
      </x:c>
      <x:c r="L26" s="7">
        <x:v>1</x:v>
      </x:c>
      <x:c r="M26" s="17">
        <x:v>1</x:v>
      </x:c>
      <x:c r="N26" s="17">
        <x:f t="shared" si="0"/>
        <x:v>6.6000000000000017E-2</x:v>
      </x:c>
      <x:c r="O26" s="21">
        <x:v>0.02</x:v>
      </x:c>
      <x:c r="P26" s="21">
        <x:v>2E-3</x:v>
      </x:c>
      <x:c r="Q26" s="21">
        <x:v>0.01</x:v>
      </x:c>
      <x:c r="R26" s="21">
        <x:v>0</x:v>
      </x:c>
      <x:c r="S26" s="21">
        <x:v>0</x:v>
      </x:c>
      <x:c r="T26" s="21">
        <x:v>0.02</x:v>
      </x:c>
      <x:c r="U26" s="21">
        <x:v>0</x:v>
      </x:c>
      <x:c r="V26" s="22">
        <x:v>4.0000000000000001E-3</x:v>
      </x:c>
      <x:c r="W26" s="22">
        <x:v>4.0000000000000001E-3</x:v>
      </x:c>
      <x:c r="X26" s="22">
        <x:v>4.0000000000000001E-3</x:v>
      </x:c>
      <x:c r="Y26" s="22">
        <x:v>0</x:v>
      </x:c>
      <x:c r="Z26" s="22">
        <x:v>2E-3</x:v>
      </x:c>
      <x:c r="AA26" s="13" t="str">
        <x:f t="shared" si="1"/>
        <x:v>可回读</x:v>
      </x:c>
      <x:c r="AB26" s="13" t="s">
        <x:v>307</x:v>
      </x:c>
      <x:c r="AC26" s="13" t="s">
        <x:v>320</x:v>
      </x:c>
      <x:c r="AD26" s="13" t="s">
        <x:v>321</x:v>
      </x:c>
    </x:row>
    <x:row r="27" ht="23.100000381469727" customHeight="1">
      <x:c r="A27" s="13" t="s">
        <x:v>322</x:v>
      </x:c>
      <x:c r="B27" s="13" t="s">
        <x:v>323</x:v>
      </x:c>
      <x:c r="C27" s="13" t="s">
        <x:v>322</x:v>
      </x:c>
      <x:c r="D27" s="13" t="s">
        <x:v>115</x:v>
      </x:c>
      <x:c r="E27" s="13" t="s">
        <x:v>246</x:v>
      </x:c>
      <x:c r="F27" s="13" t="s">
        <x:v>274</x:v>
      </x:c>
      <x:c r="G27" s="7">
        <x:v>200</x:v>
      </x:c>
      <x:c r="H27" s="7">
        <x:v>10</x:v>
      </x:c>
      <x:c r="I27" s="7">
        <x:v>150</x:v>
      </x:c>
      <x:c r="J27" s="7">
        <x:v>0</x:v>
      </x:c>
      <x:c r="K27" s="7">
        <x:v>20</x:v>
      </x:c>
      <x:c r="L27" s="7">
        <x:v>1</x:v>
      </x:c>
      <x:c r="M27" s="17">
        <x:v>1</x:v>
      </x:c>
      <x:c r="N27" s="17">
        <x:f t="shared" si="0"/>
        <x:v>6.6000000000000017E-2</x:v>
      </x:c>
      <x:c r="O27" s="21">
        <x:v>0.02</x:v>
      </x:c>
      <x:c r="P27" s="21">
        <x:v>2E-3</x:v>
      </x:c>
      <x:c r="Q27" s="21">
        <x:v>0.01</x:v>
      </x:c>
      <x:c r="R27" s="21">
        <x:v>0</x:v>
      </x:c>
      <x:c r="S27" s="21">
        <x:v>0</x:v>
      </x:c>
      <x:c r="T27" s="21">
        <x:v>0.02</x:v>
      </x:c>
      <x:c r="U27" s="21">
        <x:v>0</x:v>
      </x:c>
      <x:c r="V27" s="22">
        <x:v>4.0000000000000001E-3</x:v>
      </x:c>
      <x:c r="W27" s="22">
        <x:v>4.0000000000000001E-3</x:v>
      </x:c>
      <x:c r="X27" s="22">
        <x:v>4.0000000000000001E-3</x:v>
      </x:c>
      <x:c r="Y27" s="22">
        <x:v>0</x:v>
      </x:c>
      <x:c r="Z27" s="22">
        <x:v>2E-3</x:v>
      </x:c>
      <x:c r="AA27" s="13" t="str">
        <x:f t="shared" si="1"/>
        <x:v>可回读</x:v>
      </x:c>
      <x:c r="AB27" s="13" t="s">
        <x:v>324</x:v>
      </x:c>
      <x:c r="AC27" s="13" t="s">
        <x:v>325</x:v>
      </x:c>
      <x:c r="AD27" s="13" t="s">
        <x:v>326</x:v>
      </x:c>
    </x:row>
    <x:row r="28" ht="23.100000381469727" customHeight="1">
      <x:c r="A28" s="13" t="s">
        <x:v>327</x:v>
      </x:c>
      <x:c r="B28" s="13" t="s">
        <x:v>328</x:v>
      </x:c>
      <x:c r="C28" s="13" t="s">
        <x:v>327</x:v>
      </x:c>
      <x:c r="D28" s="13" t="s">
        <x:v>115</x:v>
      </x:c>
      <x:c r="E28" s="13" t="s">
        <x:v>246</x:v>
      </x:c>
      <x:c r="F28" s="13" t="s">
        <x:v>274</x:v>
      </x:c>
      <x:c r="G28" s="7">
        <x:v>400</x:v>
      </x:c>
      <x:c r="H28" s="7">
        <x:v>10</x:v>
      </x:c>
      <x:c r="I28" s="7">
        <x:v>150</x:v>
      </x:c>
      <x:c r="J28" s="7">
        <x:v>0</x:v>
      </x:c>
      <x:c r="K28" s="7">
        <x:v>20</x:v>
      </x:c>
      <x:c r="L28" s="7">
        <x:v>1</x:v>
      </x:c>
      <x:c r="M28" s="17">
        <x:v>1</x:v>
      </x:c>
      <x:c r="N28" s="17">
        <x:f t="shared" si="0"/>
        <x:v>6.6000000000000017E-2</x:v>
      </x:c>
      <x:c r="O28" s="21">
        <x:v>0.02</x:v>
      </x:c>
      <x:c r="P28" s="21">
        <x:v>2E-3</x:v>
      </x:c>
      <x:c r="Q28" s="21">
        <x:v>0.01</x:v>
      </x:c>
      <x:c r="R28" s="21">
        <x:v>0</x:v>
      </x:c>
      <x:c r="S28" s="21">
        <x:v>0</x:v>
      </x:c>
      <x:c r="T28" s="21">
        <x:v>0.02</x:v>
      </x:c>
      <x:c r="U28" s="21">
        <x:v>0</x:v>
      </x:c>
      <x:c r="V28" s="22">
        <x:v>4.0000000000000001E-3</x:v>
      </x:c>
      <x:c r="W28" s="22">
        <x:v>4.0000000000000001E-3</x:v>
      </x:c>
      <x:c r="X28" s="22">
        <x:v>4.0000000000000001E-3</x:v>
      </x:c>
      <x:c r="Y28" s="22">
        <x:v>0</x:v>
      </x:c>
      <x:c r="Z28" s="22">
        <x:v>2E-3</x:v>
      </x:c>
      <x:c r="AA28" s="13" t="str">
        <x:f t="shared" si="1"/>
        <x:v>可回读</x:v>
      </x:c>
      <x:c r="AB28" s="13" t="s">
        <x:v>324</x:v>
      </x:c>
      <x:c r="AC28" s="13" t="s">
        <x:v>329</x:v>
      </x:c>
      <x:c r="AD28" s="13" t="s">
        <x:v>330</x:v>
      </x:c>
    </x:row>
    <x:row r="29" ht="23.100000381469727" customHeight="1">
      <x:c r="A29" s="13" t="s">
        <x:v>331</x:v>
      </x:c>
      <x:c r="B29" s="13" t="s">
        <x:v>332</x:v>
      </x:c>
      <x:c r="C29" s="13" t="s">
        <x:v>331</x:v>
      </x:c>
      <x:c r="D29" s="13" t="s">
        <x:v>115</x:v>
      </x:c>
      <x:c r="E29" s="13" t="s">
        <x:v>246</x:v>
      </x:c>
      <x:c r="F29" s="13" t="s">
        <x:v>274</x:v>
      </x:c>
      <x:c r="G29" s="7">
        <x:v>400</x:v>
      </x:c>
      <x:c r="H29" s="7">
        <x:v>10</x:v>
      </x:c>
      <x:c r="I29" s="7">
        <x:v>150</x:v>
      </x:c>
      <x:c r="J29" s="7">
        <x:v>0</x:v>
      </x:c>
      <x:c r="K29" s="7">
        <x:v>20</x:v>
      </x:c>
      <x:c r="L29" s="7">
        <x:v>1</x:v>
      </x:c>
      <x:c r="M29" s="17">
        <x:v>1</x:v>
      </x:c>
      <x:c r="N29" s="17">
        <x:f t="shared" si="0"/>
        <x:v>6.6000000000000017E-2</x:v>
      </x:c>
      <x:c r="O29" s="21">
        <x:v>0.02</x:v>
      </x:c>
      <x:c r="P29" s="21">
        <x:v>2E-3</x:v>
      </x:c>
      <x:c r="Q29" s="21">
        <x:v>0.01</x:v>
      </x:c>
      <x:c r="R29" s="21">
        <x:v>0</x:v>
      </x:c>
      <x:c r="S29" s="21">
        <x:v>0</x:v>
      </x:c>
      <x:c r="T29" s="21">
        <x:v>0.02</x:v>
      </x:c>
      <x:c r="U29" s="21">
        <x:v>0</x:v>
      </x:c>
      <x:c r="V29" s="22">
        <x:v>4.0000000000000001E-3</x:v>
      </x:c>
      <x:c r="W29" s="22">
        <x:v>4.0000000000000001E-3</x:v>
      </x:c>
      <x:c r="X29" s="22">
        <x:v>4.0000000000000001E-3</x:v>
      </x:c>
      <x:c r="Y29" s="22">
        <x:v>0</x:v>
      </x:c>
      <x:c r="Z29" s="22">
        <x:v>2E-3</x:v>
      </x:c>
      <x:c r="AA29" s="13" t="str">
        <x:f t="shared" si="1"/>
        <x:v>可回读</x:v>
      </x:c>
      <x:c r="AB29" s="13" t="s">
        <x:v>324</x:v>
      </x:c>
      <x:c r="AC29" s="13" t="s">
        <x:v>333</x:v>
      </x:c>
      <x:c r="AD29" s="13" t="s">
        <x:v>334</x:v>
      </x:c>
    </x:row>
    <x:row r="30" ht="23.100000381469727" customHeight="1">
      <x:c r="A30" s="13" t="s">
        <x:v>335</x:v>
      </x:c>
      <x:c r="B30" s="13" t="s">
        <x:v>336</x:v>
      </x:c>
      <x:c r="C30" s="13" t="s">
        <x:v>335</x:v>
      </x:c>
      <x:c r="D30" s="13" t="s">
        <x:v>115</x:v>
      </x:c>
      <x:c r="E30" s="13" t="s">
        <x:v>246</x:v>
      </x:c>
      <x:c r="F30" s="13" t="s">
        <x:v>274</x:v>
      </x:c>
      <x:c r="G30" s="7">
        <x:v>600</x:v>
      </x:c>
      <x:c r="H30" s="7">
        <x:v>10</x:v>
      </x:c>
      <x:c r="I30" s="7">
        <x:v>150</x:v>
      </x:c>
      <x:c r="J30" s="7">
        <x:v>50</x:v>
      </x:c>
      <x:c r="K30" s="7">
        <x:v>20</x:v>
      </x:c>
      <x:c r="L30" s="7">
        <x:v>1</x:v>
      </x:c>
      <x:c r="M30" s="17">
        <x:v>1</x:v>
      </x:c>
      <x:c r="N30" s="17">
        <x:f t="shared" si="0"/>
        <x:v>6.6000000000000017E-2</x:v>
      </x:c>
      <x:c r="O30" s="21">
        <x:v>0.02</x:v>
      </x:c>
      <x:c r="P30" s="21">
        <x:v>2E-3</x:v>
      </x:c>
      <x:c r="Q30" s="21">
        <x:v>0.01</x:v>
      </x:c>
      <x:c r="R30" s="21">
        <x:v>0</x:v>
      </x:c>
      <x:c r="S30" s="21">
        <x:v>0</x:v>
      </x:c>
      <x:c r="T30" s="21">
        <x:v>0.02</x:v>
      </x:c>
      <x:c r="U30" s="21">
        <x:v>0</x:v>
      </x:c>
      <x:c r="V30" s="22">
        <x:v>4.0000000000000001E-3</x:v>
      </x:c>
      <x:c r="W30" s="22">
        <x:v>4.0000000000000001E-3</x:v>
      </x:c>
      <x:c r="X30" s="22">
        <x:v>4.0000000000000001E-3</x:v>
      </x:c>
      <x:c r="Y30" s="22">
        <x:v>0</x:v>
      </x:c>
      <x:c r="Z30" s="22">
        <x:v>2E-3</x:v>
      </x:c>
      <x:c r="AA30" s="13" t="str">
        <x:f t="shared" si="1"/>
        <x:v>可回读</x:v>
      </x:c>
      <x:c r="AB30" s="13" t="s">
        <x:v>324</x:v>
      </x:c>
      <x:c r="AC30" s="13" t="s">
        <x:v>337</x:v>
      </x:c>
      <x:c r="AD30" s="13" t="s">
        <x:v>338</x:v>
      </x:c>
    </x:row>
    <x:row r="31" ht="23.100000381469727" customHeight="1">
      <x:c r="A31" s="13" t="s">
        <x:v>339</x:v>
      </x:c>
      <x:c r="B31" s="13" t="s">
        <x:v>340</x:v>
      </x:c>
      <x:c r="C31" s="13" t="s">
        <x:v>339</x:v>
      </x:c>
      <x:c r="D31" s="13" t="s">
        <x:v>115</x:v>
      </x:c>
      <x:c r="E31" s="13" t="s">
        <x:v>246</x:v>
      </x:c>
      <x:c r="F31" s="13" t="s">
        <x:v>274</x:v>
      </x:c>
      <x:c r="G31" s="7">
        <x:v>2000</x:v>
      </x:c>
      <x:c r="H31" s="7">
        <x:v>50</x:v>
      </x:c>
      <x:c r="I31" s="7">
        <x:v>150</x:v>
      </x:c>
      <x:c r="J31" s="7">
        <x:v>0</x:v>
      </x:c>
      <x:c r="K31" s="7">
        <x:v>20</x:v>
      </x:c>
      <x:c r="L31" s="7">
        <x:v>1</x:v>
      </x:c>
      <x:c r="M31" s="17">
        <x:v>1</x:v>
      </x:c>
      <x:c r="N31" s="17">
        <x:f t="shared" si="0"/>
        <x:v>6.6000000000000017E-2</x:v>
      </x:c>
      <x:c r="O31" s="21">
        <x:v>0.02</x:v>
      </x:c>
      <x:c r="P31" s="21">
        <x:v>2E-3</x:v>
      </x:c>
      <x:c r="Q31" s="21">
        <x:v>0.01</x:v>
      </x:c>
      <x:c r="R31" s="21">
        <x:v>0</x:v>
      </x:c>
      <x:c r="S31" s="21">
        <x:v>0</x:v>
      </x:c>
      <x:c r="T31" s="21">
        <x:v>0.02</x:v>
      </x:c>
      <x:c r="U31" s="21">
        <x:v>0</x:v>
      </x:c>
      <x:c r="V31" s="22">
        <x:v>4.0000000000000001E-3</x:v>
      </x:c>
      <x:c r="W31" s="22">
        <x:v>4.0000000000000001E-3</x:v>
      </x:c>
      <x:c r="X31" s="22">
        <x:v>4.0000000000000001E-3</x:v>
      </x:c>
      <x:c r="Y31" s="22">
        <x:v>0</x:v>
      </x:c>
      <x:c r="Z31" s="22">
        <x:v>2E-3</x:v>
      </x:c>
      <x:c r="AA31" s="13" t="str">
        <x:f t="shared" si="1"/>
        <x:v>可回读</x:v>
      </x:c>
      <x:c r="AB31" s="13" t="s">
        <x:v>324</x:v>
      </x:c>
      <x:c r="AC31" s="13" t="s">
        <x:v>341</x:v>
      </x:c>
      <x:c r="AD31" s="13" t="s">
        <x:v>342</x:v>
      </x:c>
    </x:row>
    <x:row r="32" ht="23.100000381469727" customHeight="1">
      <x:c r="A32" s="13" t="s">
        <x:v>343</x:v>
      </x:c>
      <x:c r="B32" s="13" t="s">
        <x:v>344</x:v>
      </x:c>
      <x:c r="C32" s="13" t="s">
        <x:v>343</x:v>
      </x:c>
      <x:c r="D32" s="13" t="s">
        <x:v>345</x:v>
      </x:c>
      <x:c r="E32" s="13" t="s">
        <x:v>246</x:v>
      </x:c>
      <x:c r="F32" s="13" t="s">
        <x:v>247</x:v>
      </x:c>
      <x:c r="G32" s="7">
        <x:v>200</x:v>
      </x:c>
      <x:c r="H32" s="7">
        <x:v>28</x:v>
      </x:c>
      <x:c r="I32" s="7">
        <x:v>10</x:v>
      </x:c>
      <x:c r="J32" s="7">
        <x:v>0</x:v>
      </x:c>
      <x:c r="K32" s="7">
        <x:v>34</x:v>
      </x:c>
      <x:c r="L32" s="7">
        <x:v>5</x:v>
      </x:c>
      <x:c r="M32" s="17">
        <x:v>20</x:v>
      </x:c>
      <x:c r="N32" s="17">
        <x:f t="shared" si="0"/>
        <x:v>5.6000000000000008E-2</x:v>
      </x:c>
      <x:c r="O32" s="21">
        <x:v>0.02</x:v>
      </x:c>
      <x:c r="P32" s="21">
        <x:v>2E-3</x:v>
      </x:c>
      <x:c r="Q32" s="21">
        <x:v>0.01</x:v>
      </x:c>
      <x:c r="R32" s="21">
        <x:v>0.01</x:v>
      </x:c>
      <x:c r="S32" s="21">
        <x:v>0</x:v>
      </x:c>
      <x:c r="T32" s="21">
        <x:v>0</x:v>
      </x:c>
      <x:c r="U32" s="21">
        <x:v>0</x:v>
      </x:c>
      <x:c r="V32" s="22">
        <x:v>4.0000000000000001E-3</x:v>
      </x:c>
      <x:c r="W32" s="22">
        <x:v>4.0000000000000001E-3</x:v>
      </x:c>
      <x:c r="X32" s="22">
        <x:v>4.0000000000000001E-3</x:v>
      </x:c>
      <x:c r="Y32" s="22">
        <x:v>0</x:v>
      </x:c>
      <x:c r="Z32" s="22">
        <x:v>2E-3</x:v>
      </x:c>
      <x:c r="AA32" s="13" t="str">
        <x:f t="shared" si="1"/>
        <x:v>可回读</x:v>
      </x:c>
      <x:c r="AB32" s="13" t="s">
        <x:v>346</x:v>
      </x:c>
      <x:c r="AC32" s="13" t="s">
        <x:v>347</x:v>
      </x:c>
      <x:c r="AD32" s="13" t="s">
        <x:v>348</x:v>
      </x:c>
    </x:row>
    <x:row r="33" ht="23.100000381469727" customHeight="1">
      <x:c r="A33" s="13" t="s">
        <x:v>175</x:v>
      </x:c>
      <x:c r="B33" s="13" t="s">
        <x:v>349</x:v>
      </x:c>
      <x:c r="C33" s="13" t="s">
        <x:v>175</x:v>
      </x:c>
      <x:c r="D33" s="13" t="s">
        <x:v>345</x:v>
      </x:c>
      <x:c r="E33" s="13" t="s">
        <x:v>350</x:v>
      </x:c>
      <x:c r="F33" s="13" t="s">
        <x:v>274</x:v>
      </x:c>
      <x:c r="G33" s="7">
        <x:v>350</x:v>
      </x:c>
      <x:c r="H33" s="7">
        <x:v>28</x:v>
      </x:c>
      <x:c r="I33" s="7">
        <x:v>15</x:v>
      </x:c>
      <x:c r="J33" s="7">
        <x:v>0</x:v>
      </x:c>
      <x:c r="K33" s="7">
        <x:v>34</x:v>
      </x:c>
      <x:c r="L33" s="7">
        <x:v>8</x:v>
      </x:c>
      <x:c r="M33" s="17">
        <x:v>20</x:v>
      </x:c>
      <x:c r="N33" s="17">
        <x:f t="shared" si="0"/>
        <x:v>5.6000000000000008E-2</x:v>
      </x:c>
      <x:c r="O33" s="21">
        <x:v>0.02</x:v>
      </x:c>
      <x:c r="P33" s="21">
        <x:v>2E-3</x:v>
      </x:c>
      <x:c r="Q33" s="21">
        <x:v>0.01</x:v>
      </x:c>
      <x:c r="R33" s="21">
        <x:v>0.01</x:v>
      </x:c>
      <x:c r="S33" s="21">
        <x:v>0</x:v>
      </x:c>
      <x:c r="T33" s="21">
        <x:v>0</x:v>
      </x:c>
      <x:c r="U33" s="21">
        <x:v>0</x:v>
      </x:c>
      <x:c r="V33" s="22">
        <x:v>4.0000000000000001E-3</x:v>
      </x:c>
      <x:c r="W33" s="22">
        <x:v>4.0000000000000001E-3</x:v>
      </x:c>
      <x:c r="X33" s="22">
        <x:v>4.0000000000000001E-3</x:v>
      </x:c>
      <x:c r="Y33" s="22">
        <x:v>0</x:v>
      </x:c>
      <x:c r="Z33" s="22">
        <x:v>2E-3</x:v>
      </x:c>
      <x:c r="AA33" s="13" t="str">
        <x:f t="shared" si="1"/>
        <x:v>可回读</x:v>
      </x:c>
      <x:c r="AB33" s="13" t="s">
        <x:v>346</x:v>
      </x:c>
      <x:c r="AC33" s="13" t="s">
        <x:v>351</x:v>
      </x:c>
      <x:c r="AD33" s="13" t="s">
        <x:v>352</x:v>
      </x:c>
    </x:row>
    <x:row r="34" ht="23.100000381469727" customHeight="1">
      <x:c r="A34" s="13" t="s">
        <x:v>353</x:v>
      </x:c>
      <x:c r="B34" s="13" t="s">
        <x:v>354</x:v>
      </x:c>
      <x:c r="C34" s="13" t="s">
        <x:v>353</x:v>
      </x:c>
      <x:c r="D34" s="13" t="s">
        <x:v>345</x:v>
      </x:c>
      <x:c r="E34" s="13" t="s">
        <x:v>246</x:v>
      </x:c>
      <x:c r="F34" s="13" t="s">
        <x:v>274</x:v>
      </x:c>
      <x:c r="G34" s="7">
        <x:v>400</x:v>
      </x:c>
      <x:c r="H34" s="7">
        <x:v>24</x:v>
      </x:c>
      <x:c r="I34" s="7">
        <x:v>5</x:v>
      </x:c>
      <x:c r="J34" s="7">
        <x:v>0</x:v>
      </x:c>
      <x:c r="K34" s="7">
        <x:v>38</x:v>
      </x:c>
      <x:c r="L34" s="7">
        <x:v>5</x:v>
      </x:c>
      <x:c r="M34" s="17">
        <x:v>20</x:v>
      </x:c>
      <x:c r="N34" s="17">
        <x:f t="shared" si="0"/>
        <x:v>5.6000000000000008E-2</x:v>
      </x:c>
      <x:c r="O34" s="21">
        <x:v>0.02</x:v>
      </x:c>
      <x:c r="P34" s="21">
        <x:v>2E-3</x:v>
      </x:c>
      <x:c r="Q34" s="21">
        <x:v>0.01</x:v>
      </x:c>
      <x:c r="R34" s="21">
        <x:v>0.01</x:v>
      </x:c>
      <x:c r="S34" s="21">
        <x:v>0</x:v>
      </x:c>
      <x:c r="T34" s="21">
        <x:v>0</x:v>
      </x:c>
      <x:c r="U34" s="21">
        <x:v>0</x:v>
      </x:c>
      <x:c r="V34" s="22">
        <x:v>4.0000000000000001E-3</x:v>
      </x:c>
      <x:c r="W34" s="22">
        <x:v>4.0000000000000001E-3</x:v>
      </x:c>
      <x:c r="X34" s="22">
        <x:v>4.0000000000000001E-3</x:v>
      </x:c>
      <x:c r="Y34" s="22">
        <x:v>0</x:v>
      </x:c>
      <x:c r="Z34" s="22">
        <x:v>2E-3</x:v>
      </x:c>
      <x:c r="AA34" s="13" t="str">
        <x:f t="shared" si="1"/>
        <x:v>可回读</x:v>
      </x:c>
      <x:c r="AB34" s="13" t="s">
        <x:v>346</x:v>
      </x:c>
      <x:c r="AC34" s="13" t="s">
        <x:v>355</x:v>
      </x:c>
      <x:c r="AD34" s="13" t="s">
        <x:v>356</x:v>
      </x:c>
    </x:row>
    <x:row r="35" ht="23.100000381469727" customHeight="1">
      <x:c r="A35" s="13" t="s">
        <x:v>140</x:v>
      </x:c>
      <x:c r="B35" s="13" t="s">
        <x:v>357</x:v>
      </x:c>
      <x:c r="C35" s="13" t="s">
        <x:v>140</x:v>
      </x:c>
      <x:c r="D35" s="13" t="s">
        <x:v>345</x:v>
      </x:c>
      <x:c r="E35" s="13" t="s">
        <x:v>246</x:v>
      </x:c>
      <x:c r="F35" s="13" t="s">
        <x:v>274</x:v>
      </x:c>
      <x:c r="G35" s="7">
        <x:v>200</x:v>
      </x:c>
      <x:c r="H35" s="7">
        <x:v>30</x:v>
      </x:c>
      <x:c r="I35" s="7">
        <x:v>0</x:v>
      </x:c>
      <x:c r="J35" s="7">
        <x:v>0</x:v>
      </x:c>
      <x:c r="K35" s="7">
        <x:v>100</x:v>
      </x:c>
      <x:c r="L35" s="7">
        <x:v>2</x:v>
      </x:c>
      <x:c r="M35" s="17">
        <x:v>25</x:v>
      </x:c>
      <x:c r="N35" s="17">
        <x:f t="shared" si="0"/>
        <x:v>5.6000000000000008E-2</x:v>
      </x:c>
      <x:c r="O35" s="21">
        <x:v>0.02</x:v>
      </x:c>
      <x:c r="P35" s="21">
        <x:v>2E-3</x:v>
      </x:c>
      <x:c r="Q35" s="21">
        <x:v>0.01</x:v>
      </x:c>
      <x:c r="R35" s="21">
        <x:v>0.01</x:v>
      </x:c>
      <x:c r="S35" s="21">
        <x:v>0</x:v>
      </x:c>
      <x:c r="T35" s="21">
        <x:v>0</x:v>
      </x:c>
      <x:c r="U35" s="21">
        <x:v>0</x:v>
      </x:c>
      <x:c r="V35" s="22">
        <x:v>4.0000000000000001E-3</x:v>
      </x:c>
      <x:c r="W35" s="22">
        <x:v>4.0000000000000001E-3</x:v>
      </x:c>
      <x:c r="X35" s="22">
        <x:v>4.0000000000000001E-3</x:v>
      </x:c>
      <x:c r="Y35" s="22">
        <x:v>0</x:v>
      </x:c>
      <x:c r="Z35" s="22">
        <x:v>2E-3</x:v>
      </x:c>
      <x:c r="AA35" s="13" t="str">
        <x:f t="shared" si="1"/>
        <x:v>可回读</x:v>
      </x:c>
      <x:c r="AB35" s="13" t="s">
        <x:v>346</x:v>
      </x:c>
      <x:c r="AC35" s="13" t="s">
        <x:v>358</x:v>
      </x:c>
      <x:c r="AD35" s="13" t="s">
        <x:v>359</x:v>
      </x:c>
    </x:row>
    <x:row r="36" ht="23.100000381469727" customHeight="1">
      <x:c r="A36" s="13" t="s">
        <x:v>141</x:v>
      </x:c>
      <x:c r="B36" s="13" t="s">
        <x:v>360</x:v>
      </x:c>
      <x:c r="C36" s="13" t="s">
        <x:v>141</x:v>
      </x:c>
      <x:c r="D36" s="13" t="s">
        <x:v>345</x:v>
      </x:c>
      <x:c r="E36" s="13" t="s">
        <x:v>246</x:v>
      </x:c>
      <x:c r="F36" s="13" t="s">
        <x:v>247</x:v>
      </x:c>
      <x:c r="G36" s="7">
        <x:v>150</x:v>
      </x:c>
      <x:c r="H36" s="7">
        <x:v>20</x:v>
      </x:c>
      <x:c r="I36" s="7">
        <x:v>0</x:v>
      </x:c>
      <x:c r="J36" s="7">
        <x:v>0</x:v>
      </x:c>
      <x:c r="K36" s="7">
        <x:v>18</x:v>
      </x:c>
      <x:c r="L36" s="7">
        <x:v>2</x:v>
      </x:c>
      <x:c r="M36" s="17">
        <x:v>20</x:v>
      </x:c>
      <x:c r="N36" s="17">
        <x:f t="shared" si="0"/>
        <x:v>5.6000000000000008E-2</x:v>
      </x:c>
      <x:c r="O36" s="21">
        <x:v>0.02</x:v>
      </x:c>
      <x:c r="P36" s="21">
        <x:v>2E-3</x:v>
      </x:c>
      <x:c r="Q36" s="21">
        <x:v>0.01</x:v>
      </x:c>
      <x:c r="R36" s="21">
        <x:v>0.01</x:v>
      </x:c>
      <x:c r="S36" s="21">
        <x:v>0</x:v>
      </x:c>
      <x:c r="T36" s="21">
        <x:v>0</x:v>
      </x:c>
      <x:c r="U36" s="21">
        <x:v>0</x:v>
      </x:c>
      <x:c r="V36" s="22">
        <x:v>4.0000000000000001E-3</x:v>
      </x:c>
      <x:c r="W36" s="22">
        <x:v>4.0000000000000001E-3</x:v>
      </x:c>
      <x:c r="X36" s="22">
        <x:v>4.0000000000000001E-3</x:v>
      </x:c>
      <x:c r="Y36" s="22">
        <x:v>0</x:v>
      </x:c>
      <x:c r="Z36" s="22">
        <x:v>2E-3</x:v>
      </x:c>
      <x:c r="AA36" s="13" t="str">
        <x:f t="shared" si="1"/>
        <x:v>可回读</x:v>
      </x:c>
      <x:c r="AB36" s="13" t="s">
        <x:v>346</x:v>
      </x:c>
      <x:c r="AC36" s="13" t="s">
        <x:v>361</x:v>
      </x:c>
      <x:c r="AD36" s="13" t="s">
        <x:v>362</x:v>
      </x:c>
    </x:row>
    <x:row r="37" ht="23.100000381469727" customHeight="1">
      <x:c r="A37" s="13" t="s">
        <x:v>161</x:v>
      </x:c>
      <x:c r="B37" s="13" t="s">
        <x:v>363</x:v>
      </x:c>
      <x:c r="C37" s="13" t="s">
        <x:v>161</x:v>
      </x:c>
      <x:c r="D37" s="13" t="s">
        <x:v>345</x:v>
      </x:c>
      <x:c r="E37" s="13" t="s">
        <x:v>246</x:v>
      </x:c>
      <x:c r="F37" s="13" t="s">
        <x:v>247</x:v>
      </x:c>
      <x:c r="G37" s="7">
        <x:v>200</x:v>
      </x:c>
      <x:c r="H37" s="7">
        <x:v>20</x:v>
      </x:c>
      <x:c r="I37" s="7">
        <x:v>0</x:v>
      </x:c>
      <x:c r="J37" s="7">
        <x:v>0</x:v>
      </x:c>
      <x:c r="K37" s="7">
        <x:v>16</x:v>
      </x:c>
      <x:c r="L37" s="7">
        <x:v>5</x:v>
      </x:c>
      <x:c r="M37" s="17">
        <x:v>24</x:v>
      </x:c>
      <x:c r="N37" s="17">
        <x:f t="shared" si="0"/>
        <x:v>5.6000000000000008E-2</x:v>
      </x:c>
      <x:c r="O37" s="21">
        <x:v>0.02</x:v>
      </x:c>
      <x:c r="P37" s="21">
        <x:v>2E-3</x:v>
      </x:c>
      <x:c r="Q37" s="21">
        <x:v>0.01</x:v>
      </x:c>
      <x:c r="R37" s="21">
        <x:v>0.01</x:v>
      </x:c>
      <x:c r="S37" s="21">
        <x:v>0</x:v>
      </x:c>
      <x:c r="T37" s="21">
        <x:v>0</x:v>
      </x:c>
      <x:c r="U37" s="21">
        <x:v>0</x:v>
      </x:c>
      <x:c r="V37" s="22">
        <x:v>4.0000000000000001E-3</x:v>
      </x:c>
      <x:c r="W37" s="22">
        <x:v>4.0000000000000001E-3</x:v>
      </x:c>
      <x:c r="X37" s="22">
        <x:v>4.0000000000000001E-3</x:v>
      </x:c>
      <x:c r="Y37" s="22">
        <x:v>0</x:v>
      </x:c>
      <x:c r="Z37" s="22">
        <x:v>2E-3</x:v>
      </x:c>
      <x:c r="AA37" s="13" t="str">
        <x:f t="shared" si="1"/>
        <x:v>可回读</x:v>
      </x:c>
      <x:c r="AB37" s="13" t="s">
        <x:v>346</x:v>
      </x:c>
      <x:c r="AC37" s="13" t="s">
        <x:v>364</x:v>
      </x:c>
      <x:c r="AD37" s="13" t="s">
        <x:v>365</x:v>
      </x:c>
    </x:row>
    <x:row r="38" ht="23.100000381469727" customHeight="1">
      <x:c r="A38" s="13" t="s">
        <x:v>146</x:v>
      </x:c>
      <x:c r="B38" s="13" t="s">
        <x:v>366</x:v>
      </x:c>
      <x:c r="C38" s="13" t="s">
        <x:v>146</x:v>
      </x:c>
      <x:c r="D38" s="13" t="s">
        <x:v>345</x:v>
      </x:c>
      <x:c r="E38" s="13" t="s">
        <x:v>246</x:v>
      </x:c>
      <x:c r="F38" s="13" t="s">
        <x:v>247</x:v>
      </x:c>
      <x:c r="G38" s="7">
        <x:v>200</x:v>
      </x:c>
      <x:c r="H38" s="7">
        <x:v>35</x:v>
      </x:c>
      <x:c r="I38" s="7">
        <x:v>0</x:v>
      </x:c>
      <x:c r="J38" s="7">
        <x:v>0</x:v>
      </x:c>
      <x:c r="K38" s="7">
        <x:v>24</x:v>
      </x:c>
      <x:c r="L38" s="7">
        <x:v>5</x:v>
      </x:c>
      <x:c r="M38" s="17">
        <x:v>30</x:v>
      </x:c>
      <x:c r="N38" s="17" t="n">
        <x:f t="shared" ref="N38:N68" si="2">SUM(O38:Z38)</x:f>
        <x:v>0.05600000000000001</x:v>
      </x:c>
      <x:c r="O38" s="21">
        <x:v>0.02</x:v>
      </x:c>
      <x:c r="P38" s="21">
        <x:v>2E-3</x:v>
      </x:c>
      <x:c r="Q38" s="21">
        <x:v>0.01</x:v>
      </x:c>
      <x:c r="R38" s="21">
        <x:v>0.01</x:v>
      </x:c>
      <x:c r="S38" s="21">
        <x:v>0</x:v>
      </x:c>
      <x:c r="T38" s="21">
        <x:v>0</x:v>
      </x:c>
      <x:c r="U38" s="21">
        <x:v>0</x:v>
      </x:c>
      <x:c r="V38" s="22">
        <x:v>4.0000000000000001E-3</x:v>
      </x:c>
      <x:c r="W38" s="22">
        <x:v>4.0000000000000001E-3</x:v>
      </x:c>
      <x:c r="X38" s="22">
        <x:v>4.0000000000000001E-3</x:v>
      </x:c>
      <x:c r="Y38" s="22">
        <x:v>0</x:v>
      </x:c>
      <x:c r="Z38" s="22">
        <x:v>2E-3</x:v>
      </x:c>
      <x:c r="AA38" s="13" t="str">
        <x:f t="shared" ref="AA38:AA68" si="3">IF(AND(A38&lt;&gt;"",B38&lt;&gt;"",G38&gt;0,M38&gt;=0,M38&lt;=999),"可回读","需修正")</x:f>
        <x:v>可回读</x:v>
      </x:c>
      <x:c r="AB38" s="13" t="s">
        <x:v>346</x:v>
      </x:c>
      <x:c r="AC38" s="13" t="s">
        <x:v>367</x:v>
      </x:c>
      <x:c r="AD38" s="13" t="s">
        <x:v>368</x:v>
      </x:c>
    </x:row>
    <x:row r="39" ht="23.100000381469727" customHeight="1">
      <x:c r="A39" s="13" t="s">
        <x:v>169</x:v>
      </x:c>
      <x:c r="B39" s="13" t="s">
        <x:v>369</x:v>
      </x:c>
      <x:c r="C39" s="13" t="s">
        <x:v>169</x:v>
      </x:c>
      <x:c r="D39" s="13" t="s">
        <x:v>345</x:v>
      </x:c>
      <x:c r="E39" s="13" t="s">
        <x:v>246</x:v>
      </x:c>
      <x:c r="F39" s="13" t="s">
        <x:v>274</x:v>
      </x:c>
      <x:c r="G39" s="7">
        <x:v>100</x:v>
      </x:c>
      <x:c r="H39" s="7">
        <x:v>200</x:v>
      </x:c>
      <x:c r="I39" s="7">
        <x:v>20</x:v>
      </x:c>
      <x:c r="J39" s="7">
        <x:v>0</x:v>
      </x:c>
      <x:c r="K39" s="7">
        <x:v>80</x:v>
      </x:c>
      <x:c r="L39" s="7">
        <x:v>2</x:v>
      </x:c>
      <x:c r="M39" s="17">
        <x:v>35</x:v>
      </x:c>
      <x:c r="N39" s="17">
        <x:f t="shared" si="2"/>
        <x:v>5.6000000000000008E-2</x:v>
      </x:c>
      <x:c r="O39" s="21">
        <x:v>0.02</x:v>
      </x:c>
      <x:c r="P39" s="21">
        <x:v>2E-3</x:v>
      </x:c>
      <x:c r="Q39" s="21">
        <x:v>0.01</x:v>
      </x:c>
      <x:c r="R39" s="21">
        <x:v>0.01</x:v>
      </x:c>
      <x:c r="S39" s="21">
        <x:v>0</x:v>
      </x:c>
      <x:c r="T39" s="21">
        <x:v>0</x:v>
      </x:c>
      <x:c r="U39" s="21">
        <x:v>0</x:v>
      </x:c>
      <x:c r="V39" s="22">
        <x:v>4.0000000000000001E-3</x:v>
      </x:c>
      <x:c r="W39" s="22">
        <x:v>4.0000000000000001E-3</x:v>
      </x:c>
      <x:c r="X39" s="22">
        <x:v>4.0000000000000001E-3</x:v>
      </x:c>
      <x:c r="Y39" s="22">
        <x:v>0</x:v>
      </x:c>
      <x:c r="Z39" s="22">
        <x:v>2E-3</x:v>
      </x:c>
      <x:c r="AA39" s="13" t="str">
        <x:f t="shared" si="3"/>
        <x:v>可回读</x:v>
      </x:c>
      <x:c r="AB39" s="13" t="s">
        <x:v>346</x:v>
      </x:c>
      <x:c r="AC39" s="13" t="s">
        <x:v>370</x:v>
      </x:c>
      <x:c r="AD39" s="13" t="s">
        <x:v>371</x:v>
      </x:c>
    </x:row>
    <x:row r="40" ht="23.100000381469727" customHeight="1">
      <x:c r="A40" s="13" t="s">
        <x:v>372</x:v>
      </x:c>
      <x:c r="B40" s="13" t="s">
        <x:v>373</x:v>
      </x:c>
      <x:c r="C40" s="13" t="s">
        <x:v>372</x:v>
      </x:c>
      <x:c r="D40" s="13" t="s">
        <x:v>345</x:v>
      </x:c>
      <x:c r="E40" s="13" t="s">
        <x:v>246</x:v>
      </x:c>
      <x:c r="F40" s="13" t="s">
        <x:v>274</x:v>
      </x:c>
      <x:c r="G40" s="7">
        <x:v>400</x:v>
      </x:c>
      <x:c r="H40" s="7">
        <x:v>28</x:v>
      </x:c>
      <x:c r="I40" s="7">
        <x:v>150</x:v>
      </x:c>
      <x:c r="J40" s="7">
        <x:v>0</x:v>
      </x:c>
      <x:c r="K40" s="7">
        <x:v>34</x:v>
      </x:c>
      <x:c r="L40" s="7">
        <x:v>5</x:v>
      </x:c>
      <x:c r="M40" s="17">
        <x:v>20</x:v>
      </x:c>
      <x:c r="N40" s="17">
        <x:f t="shared" si="2"/>
        <x:v>5.6000000000000008E-2</x:v>
      </x:c>
      <x:c r="O40" s="21">
        <x:v>0.02</x:v>
      </x:c>
      <x:c r="P40" s="21">
        <x:v>2E-3</x:v>
      </x:c>
      <x:c r="Q40" s="21">
        <x:v>0.01</x:v>
      </x:c>
      <x:c r="R40" s="21">
        <x:v>0.01</x:v>
      </x:c>
      <x:c r="S40" s="21">
        <x:v>0</x:v>
      </x:c>
      <x:c r="T40" s="21">
        <x:v>0</x:v>
      </x:c>
      <x:c r="U40" s="21">
        <x:v>0</x:v>
      </x:c>
      <x:c r="V40" s="22">
        <x:v>4.0000000000000001E-3</x:v>
      </x:c>
      <x:c r="W40" s="22">
        <x:v>4.0000000000000001E-3</x:v>
      </x:c>
      <x:c r="X40" s="22">
        <x:v>4.0000000000000001E-3</x:v>
      </x:c>
      <x:c r="Y40" s="22">
        <x:v>0</x:v>
      </x:c>
      <x:c r="Z40" s="22">
        <x:v>2E-3</x:v>
      </x:c>
      <x:c r="AA40" s="13" t="str">
        <x:f t="shared" si="3"/>
        <x:v>可回读</x:v>
      </x:c>
      <x:c r="AB40" s="13" t="s">
        <x:v>374</x:v>
      </x:c>
      <x:c r="AC40" s="13" t="s">
        <x:v>375</x:v>
      </x:c>
      <x:c r="AD40" s="13" t="s">
        <x:v>376</x:v>
      </x:c>
    </x:row>
    <x:row r="41" ht="23.100000381469727" customHeight="1">
      <x:c r="A41" s="13" t="s">
        <x:v>377</x:v>
      </x:c>
      <x:c r="B41" s="13" t="s">
        <x:v>378</x:v>
      </x:c>
      <x:c r="C41" s="13" t="s">
        <x:v>377</x:v>
      </x:c>
      <x:c r="D41" s="13" t="s">
        <x:v>345</x:v>
      </x:c>
      <x:c r="E41" s="13" t="s">
        <x:v>350</x:v>
      </x:c>
      <x:c r="F41" s="13" t="s">
        <x:v>274</x:v>
      </x:c>
      <x:c r="G41" s="7">
        <x:v>700</x:v>
      </x:c>
      <x:c r="H41" s="7">
        <x:v>28</x:v>
      </x:c>
      <x:c r="I41" s="7">
        <x:v>150</x:v>
      </x:c>
      <x:c r="J41" s="7">
        <x:v>0</x:v>
      </x:c>
      <x:c r="K41" s="7">
        <x:v>34</x:v>
      </x:c>
      <x:c r="L41" s="7">
        <x:v>8</x:v>
      </x:c>
      <x:c r="M41" s="17">
        <x:v>20</x:v>
      </x:c>
      <x:c r="N41" s="17">
        <x:f t="shared" si="2"/>
        <x:v>5.6000000000000008E-2</x:v>
      </x:c>
      <x:c r="O41" s="21">
        <x:v>0.02</x:v>
      </x:c>
      <x:c r="P41" s="21">
        <x:v>2E-3</x:v>
      </x:c>
      <x:c r="Q41" s="21">
        <x:v>0.01</x:v>
      </x:c>
      <x:c r="R41" s="21">
        <x:v>0.01</x:v>
      </x:c>
      <x:c r="S41" s="21">
        <x:v>0</x:v>
      </x:c>
      <x:c r="T41" s="21">
        <x:v>0</x:v>
      </x:c>
      <x:c r="U41" s="21">
        <x:v>0</x:v>
      </x:c>
      <x:c r="V41" s="22">
        <x:v>4.0000000000000001E-3</x:v>
      </x:c>
      <x:c r="W41" s="22">
        <x:v>4.0000000000000001E-3</x:v>
      </x:c>
      <x:c r="X41" s="22">
        <x:v>4.0000000000000001E-3</x:v>
      </x:c>
      <x:c r="Y41" s="22">
        <x:v>0</x:v>
      </x:c>
      <x:c r="Z41" s="22">
        <x:v>2E-3</x:v>
      </x:c>
      <x:c r="AA41" s="13" t="str">
        <x:f t="shared" si="3"/>
        <x:v>可回读</x:v>
      </x:c>
      <x:c r="AB41" s="13" t="s">
        <x:v>374</x:v>
      </x:c>
      <x:c r="AC41" s="13" t="s">
        <x:v>379</x:v>
      </x:c>
      <x:c r="AD41" s="13" t="s">
        <x:v>380</x:v>
      </x:c>
    </x:row>
    <x:row r="42" ht="23.100000381469727" customHeight="1">
      <x:c r="A42" s="13" t="s">
        <x:v>381</x:v>
      </x:c>
      <x:c r="B42" s="13" t="s">
        <x:v>382</x:v>
      </x:c>
      <x:c r="C42" s="13" t="s">
        <x:v>381</x:v>
      </x:c>
      <x:c r="D42" s="13" t="s">
        <x:v>345</x:v>
      </x:c>
      <x:c r="E42" s="13" t="s">
        <x:v>246</x:v>
      </x:c>
      <x:c r="F42" s="13" t="s">
        <x:v>274</x:v>
      </x:c>
      <x:c r="G42" s="7">
        <x:v>800</x:v>
      </x:c>
      <x:c r="H42" s="7">
        <x:v>24</x:v>
      </x:c>
      <x:c r="I42" s="7">
        <x:v>150</x:v>
      </x:c>
      <x:c r="J42" s="7">
        <x:v>0</x:v>
      </x:c>
      <x:c r="K42" s="7">
        <x:v>38</x:v>
      </x:c>
      <x:c r="L42" s="7">
        <x:v>5</x:v>
      </x:c>
      <x:c r="M42" s="17">
        <x:v>20</x:v>
      </x:c>
      <x:c r="N42" s="17">
        <x:f t="shared" si="2"/>
        <x:v>5.6000000000000008E-2</x:v>
      </x:c>
      <x:c r="O42" s="21">
        <x:v>0.02</x:v>
      </x:c>
      <x:c r="P42" s="21">
        <x:v>2E-3</x:v>
      </x:c>
      <x:c r="Q42" s="21">
        <x:v>0.01</x:v>
      </x:c>
      <x:c r="R42" s="21">
        <x:v>0.01</x:v>
      </x:c>
      <x:c r="S42" s="21">
        <x:v>0</x:v>
      </x:c>
      <x:c r="T42" s="21">
        <x:v>0</x:v>
      </x:c>
      <x:c r="U42" s="21">
        <x:v>0</x:v>
      </x:c>
      <x:c r="V42" s="22">
        <x:v>4.0000000000000001E-3</x:v>
      </x:c>
      <x:c r="W42" s="22">
        <x:v>4.0000000000000001E-3</x:v>
      </x:c>
      <x:c r="X42" s="22">
        <x:v>4.0000000000000001E-3</x:v>
      </x:c>
      <x:c r="Y42" s="22">
        <x:v>0</x:v>
      </x:c>
      <x:c r="Z42" s="22">
        <x:v>2E-3</x:v>
      </x:c>
      <x:c r="AA42" s="13" t="str">
        <x:f t="shared" si="3"/>
        <x:v>可回读</x:v>
      </x:c>
      <x:c r="AB42" s="13" t="s">
        <x:v>374</x:v>
      </x:c>
      <x:c r="AC42" s="13" t="s">
        <x:v>383</x:v>
      </x:c>
      <x:c r="AD42" s="13" t="s">
        <x:v>384</x:v>
      </x:c>
    </x:row>
    <x:row r="43" ht="23.100000381469727" customHeight="1">
      <x:c r="A43" s="13" t="s">
        <x:v>385</x:v>
      </x:c>
      <x:c r="B43" s="13" t="s">
        <x:v>386</x:v>
      </x:c>
      <x:c r="C43" s="13" t="s">
        <x:v>385</x:v>
      </x:c>
      <x:c r="D43" s="13" t="s">
        <x:v>345</x:v>
      </x:c>
      <x:c r="E43" s="13" t="s">
        <x:v>246</x:v>
      </x:c>
      <x:c r="F43" s="13" t="s">
        <x:v>274</x:v>
      </x:c>
      <x:c r="G43" s="7">
        <x:v>400</x:v>
      </x:c>
      <x:c r="H43" s="7">
        <x:v>30</x:v>
      </x:c>
      <x:c r="I43" s="7">
        <x:v>150</x:v>
      </x:c>
      <x:c r="J43" s="7">
        <x:v>0</x:v>
      </x:c>
      <x:c r="K43" s="7">
        <x:v>100</x:v>
      </x:c>
      <x:c r="L43" s="7">
        <x:v>2</x:v>
      </x:c>
      <x:c r="M43" s="17">
        <x:v>25</x:v>
      </x:c>
      <x:c r="N43" s="17">
        <x:f t="shared" si="2"/>
        <x:v>5.6000000000000008E-2</x:v>
      </x:c>
      <x:c r="O43" s="21">
        <x:v>0.02</x:v>
      </x:c>
      <x:c r="P43" s="21">
        <x:v>2E-3</x:v>
      </x:c>
      <x:c r="Q43" s="21">
        <x:v>0.01</x:v>
      </x:c>
      <x:c r="R43" s="21">
        <x:v>0.01</x:v>
      </x:c>
      <x:c r="S43" s="21">
        <x:v>0</x:v>
      </x:c>
      <x:c r="T43" s="21">
        <x:v>0</x:v>
      </x:c>
      <x:c r="U43" s="21">
        <x:v>0</x:v>
      </x:c>
      <x:c r="V43" s="22">
        <x:v>4.0000000000000001E-3</x:v>
      </x:c>
      <x:c r="W43" s="22">
        <x:v>4.0000000000000001E-3</x:v>
      </x:c>
      <x:c r="X43" s="22">
        <x:v>4.0000000000000001E-3</x:v>
      </x:c>
      <x:c r="Y43" s="22">
        <x:v>0</x:v>
      </x:c>
      <x:c r="Z43" s="22">
        <x:v>2E-3</x:v>
      </x:c>
      <x:c r="AA43" s="13" t="str">
        <x:f t="shared" si="3"/>
        <x:v>可回读</x:v>
      </x:c>
      <x:c r="AB43" s="13" t="s">
        <x:v>374</x:v>
      </x:c>
      <x:c r="AC43" s="13" t="s">
        <x:v>387</x:v>
      </x:c>
      <x:c r="AD43" s="13" t="s">
        <x:v>388</x:v>
      </x:c>
    </x:row>
    <x:row r="44" ht="23.100000381469727" customHeight="1">
      <x:c r="A44" s="13" t="s">
        <x:v>389</x:v>
      </x:c>
      <x:c r="B44" s="13" t="s">
        <x:v>390</x:v>
      </x:c>
      <x:c r="C44" s="13" t="s">
        <x:v>389</x:v>
      </x:c>
      <x:c r="D44" s="13" t="s">
        <x:v>345</x:v>
      </x:c>
      <x:c r="E44" s="13" t="s">
        <x:v>246</x:v>
      </x:c>
      <x:c r="F44" s="13" t="s">
        <x:v>274</x:v>
      </x:c>
      <x:c r="G44" s="7">
        <x:v>300</x:v>
      </x:c>
      <x:c r="H44" s="7">
        <x:v>20</x:v>
      </x:c>
      <x:c r="I44" s="7">
        <x:v>150</x:v>
      </x:c>
      <x:c r="J44" s="7">
        <x:v>0</x:v>
      </x:c>
      <x:c r="K44" s="7">
        <x:v>18</x:v>
      </x:c>
      <x:c r="L44" s="7">
        <x:v>2</x:v>
      </x:c>
      <x:c r="M44" s="17">
        <x:v>20</x:v>
      </x:c>
      <x:c r="N44" s="17">
        <x:f t="shared" si="2"/>
        <x:v>5.6000000000000008E-2</x:v>
      </x:c>
      <x:c r="O44" s="21">
        <x:v>0.02</x:v>
      </x:c>
      <x:c r="P44" s="21">
        <x:v>2E-3</x:v>
      </x:c>
      <x:c r="Q44" s="21">
        <x:v>0.01</x:v>
      </x:c>
      <x:c r="R44" s="21">
        <x:v>0.01</x:v>
      </x:c>
      <x:c r="S44" s="21">
        <x:v>0</x:v>
      </x:c>
      <x:c r="T44" s="21">
        <x:v>0</x:v>
      </x:c>
      <x:c r="U44" s="21">
        <x:v>0</x:v>
      </x:c>
      <x:c r="V44" s="22">
        <x:v>4.0000000000000001E-3</x:v>
      </x:c>
      <x:c r="W44" s="22">
        <x:v>4.0000000000000001E-3</x:v>
      </x:c>
      <x:c r="X44" s="22">
        <x:v>4.0000000000000001E-3</x:v>
      </x:c>
      <x:c r="Y44" s="22">
        <x:v>0</x:v>
      </x:c>
      <x:c r="Z44" s="22">
        <x:v>2E-3</x:v>
      </x:c>
      <x:c r="AA44" s="13" t="str">
        <x:f t="shared" si="3"/>
        <x:v>可回读</x:v>
      </x:c>
      <x:c r="AB44" s="13" t="s">
        <x:v>374</x:v>
      </x:c>
      <x:c r="AC44" s="13" t="s">
        <x:v>391</x:v>
      </x:c>
      <x:c r="AD44" s="13" t="s">
        <x:v>392</x:v>
      </x:c>
    </x:row>
    <x:row r="45" ht="23.100000381469727" customHeight="1">
      <x:c r="A45" s="13" t="s">
        <x:v>393</x:v>
      </x:c>
      <x:c r="B45" s="13" t="s">
        <x:v>394</x:v>
      </x:c>
      <x:c r="C45" s="13" t="s">
        <x:v>393</x:v>
      </x:c>
      <x:c r="D45" s="13" t="s">
        <x:v>345</x:v>
      </x:c>
      <x:c r="E45" s="13" t="s">
        <x:v>246</x:v>
      </x:c>
      <x:c r="F45" s="13" t="s">
        <x:v>274</x:v>
      </x:c>
      <x:c r="G45" s="7">
        <x:v>400</x:v>
      </x:c>
      <x:c r="H45" s="7">
        <x:v>20</x:v>
      </x:c>
      <x:c r="I45" s="7">
        <x:v>150</x:v>
      </x:c>
      <x:c r="J45" s="7">
        <x:v>0</x:v>
      </x:c>
      <x:c r="K45" s="7">
        <x:v>16</x:v>
      </x:c>
      <x:c r="L45" s="7">
        <x:v>5</x:v>
      </x:c>
      <x:c r="M45" s="17">
        <x:v>24</x:v>
      </x:c>
      <x:c r="N45" s="17">
        <x:f t="shared" si="2"/>
        <x:v>5.6000000000000008E-2</x:v>
      </x:c>
      <x:c r="O45" s="21">
        <x:v>0.02</x:v>
      </x:c>
      <x:c r="P45" s="21">
        <x:v>2E-3</x:v>
      </x:c>
      <x:c r="Q45" s="21">
        <x:v>0.01</x:v>
      </x:c>
      <x:c r="R45" s="21">
        <x:v>0.01</x:v>
      </x:c>
      <x:c r="S45" s="21">
        <x:v>0</x:v>
      </x:c>
      <x:c r="T45" s="21">
        <x:v>0</x:v>
      </x:c>
      <x:c r="U45" s="21">
        <x:v>0</x:v>
      </x:c>
      <x:c r="V45" s="22">
        <x:v>4.0000000000000001E-3</x:v>
      </x:c>
      <x:c r="W45" s="22">
        <x:v>4.0000000000000001E-3</x:v>
      </x:c>
      <x:c r="X45" s="22">
        <x:v>4.0000000000000001E-3</x:v>
      </x:c>
      <x:c r="Y45" s="22">
        <x:v>0</x:v>
      </x:c>
      <x:c r="Z45" s="22">
        <x:v>2E-3</x:v>
      </x:c>
      <x:c r="AA45" s="13" t="str">
        <x:f t="shared" si="3"/>
        <x:v>可回读</x:v>
      </x:c>
      <x:c r="AB45" s="13" t="s">
        <x:v>374</x:v>
      </x:c>
      <x:c r="AC45" s="13" t="s">
        <x:v>395</x:v>
      </x:c>
      <x:c r="AD45" s="13" t="s">
        <x:v>396</x:v>
      </x:c>
    </x:row>
    <x:row r="46" ht="23.100000381469727" customHeight="1">
      <x:c r="A46" s="13" t="s">
        <x:v>397</x:v>
      </x:c>
      <x:c r="B46" s="13" t="s">
        <x:v>398</x:v>
      </x:c>
      <x:c r="C46" s="13" t="s">
        <x:v>397</x:v>
      </x:c>
      <x:c r="D46" s="13" t="s">
        <x:v>345</x:v>
      </x:c>
      <x:c r="E46" s="13" t="s">
        <x:v>246</x:v>
      </x:c>
      <x:c r="F46" s="13" t="s">
        <x:v>274</x:v>
      </x:c>
      <x:c r="G46" s="7">
        <x:v>400</x:v>
      </x:c>
      <x:c r="H46" s="7">
        <x:v>35</x:v>
      </x:c>
      <x:c r="I46" s="7">
        <x:v>150</x:v>
      </x:c>
      <x:c r="J46" s="7">
        <x:v>0</x:v>
      </x:c>
      <x:c r="K46" s="7">
        <x:v>24</x:v>
      </x:c>
      <x:c r="L46" s="7">
        <x:v>5</x:v>
      </x:c>
      <x:c r="M46" s="17">
        <x:v>30</x:v>
      </x:c>
      <x:c r="N46" s="17">
        <x:f t="shared" si="2"/>
        <x:v>5.6000000000000008E-2</x:v>
      </x:c>
      <x:c r="O46" s="21">
        <x:v>0.02</x:v>
      </x:c>
      <x:c r="P46" s="21">
        <x:v>2E-3</x:v>
      </x:c>
      <x:c r="Q46" s="21">
        <x:v>0.01</x:v>
      </x:c>
      <x:c r="R46" s="21">
        <x:v>0.01</x:v>
      </x:c>
      <x:c r="S46" s="21">
        <x:v>0</x:v>
      </x:c>
      <x:c r="T46" s="21">
        <x:v>0</x:v>
      </x:c>
      <x:c r="U46" s="21">
        <x:v>0</x:v>
      </x:c>
      <x:c r="V46" s="22">
        <x:v>4.0000000000000001E-3</x:v>
      </x:c>
      <x:c r="W46" s="22">
        <x:v>4.0000000000000001E-3</x:v>
      </x:c>
      <x:c r="X46" s="22">
        <x:v>4.0000000000000001E-3</x:v>
      </x:c>
      <x:c r="Y46" s="22">
        <x:v>0</x:v>
      </x:c>
      <x:c r="Z46" s="22">
        <x:v>2E-3</x:v>
      </x:c>
      <x:c r="AA46" s="13" t="str">
        <x:f t="shared" si="3"/>
        <x:v>可回读</x:v>
      </x:c>
      <x:c r="AB46" s="13" t="s">
        <x:v>374</x:v>
      </x:c>
      <x:c r="AC46" s="13" t="s">
        <x:v>399</x:v>
      </x:c>
      <x:c r="AD46" s="13" t="s">
        <x:v>400</x:v>
      </x:c>
    </x:row>
    <x:row r="47" ht="23.100000381469727" customHeight="1">
      <x:c r="A47" s="13" t="s">
        <x:v>401</x:v>
      </x:c>
      <x:c r="B47" s="13" t="s">
        <x:v>402</x:v>
      </x:c>
      <x:c r="C47" s="13" t="s">
        <x:v>401</x:v>
      </x:c>
      <x:c r="D47" s="13" t="s">
        <x:v>345</x:v>
      </x:c>
      <x:c r="E47" s="13" t="s">
        <x:v>246</x:v>
      </x:c>
      <x:c r="F47" s="13" t="s">
        <x:v>274</x:v>
      </x:c>
      <x:c r="G47" s="7">
        <x:v>200</x:v>
      </x:c>
      <x:c r="H47" s="7">
        <x:v>200</x:v>
      </x:c>
      <x:c r="I47" s="7">
        <x:v>150</x:v>
      </x:c>
      <x:c r="J47" s="7">
        <x:v>0</x:v>
      </x:c>
      <x:c r="K47" s="7">
        <x:v>80</x:v>
      </x:c>
      <x:c r="L47" s="7">
        <x:v>2</x:v>
      </x:c>
      <x:c r="M47" s="17">
        <x:v>35</x:v>
      </x:c>
      <x:c r="N47" s="17">
        <x:f t="shared" si="2"/>
        <x:v>5.6000000000000008E-2</x:v>
      </x:c>
      <x:c r="O47" s="21">
        <x:v>0.02</x:v>
      </x:c>
      <x:c r="P47" s="21">
        <x:v>2E-3</x:v>
      </x:c>
      <x:c r="Q47" s="21">
        <x:v>0.01</x:v>
      </x:c>
      <x:c r="R47" s="21">
        <x:v>0.01</x:v>
      </x:c>
      <x:c r="S47" s="21">
        <x:v>0</x:v>
      </x:c>
      <x:c r="T47" s="21">
        <x:v>0</x:v>
      </x:c>
      <x:c r="U47" s="21">
        <x:v>0</x:v>
      </x:c>
      <x:c r="V47" s="22">
        <x:v>4.0000000000000001E-3</x:v>
      </x:c>
      <x:c r="W47" s="22">
        <x:v>4.0000000000000001E-3</x:v>
      </x:c>
      <x:c r="X47" s="22">
        <x:v>4.0000000000000001E-3</x:v>
      </x:c>
      <x:c r="Y47" s="22">
        <x:v>0</x:v>
      </x:c>
      <x:c r="Z47" s="22">
        <x:v>2E-3</x:v>
      </x:c>
      <x:c r="AA47" s="13" t="str">
        <x:f t="shared" si="3"/>
        <x:v>可回读</x:v>
      </x:c>
      <x:c r="AB47" s="13" t="s">
        <x:v>374</x:v>
      </x:c>
      <x:c r="AC47" s="13" t="s">
        <x:v>403</x:v>
      </x:c>
      <x:c r="AD47" s="13" t="s">
        <x:v>404</x:v>
      </x:c>
    </x:row>
    <x:row r="48" ht="23.100000381469727" customHeight="1">
      <x:c r="A48" s="13" t="s">
        <x:v>147</x:v>
      </x:c>
      <x:c r="B48" s="13" t="s">
        <x:v>405</x:v>
      </x:c>
      <x:c r="C48" s="13" t="s">
        <x:v>147</x:v>
      </x:c>
      <x:c r="D48" s="13" t="s">
        <x:v>406</x:v>
      </x:c>
      <x:c r="E48" s="13" t="s">
        <x:v>246</x:v>
      </x:c>
      <x:c r="F48" s="13" t="s">
        <x:v>274</x:v>
      </x:c>
      <x:c r="G48" s="7">
        <x:v>200</x:v>
      </x:c>
      <x:c r="H48" s="7">
        <x:v>40</x:v>
      </x:c>
      <x:c r="I48" s="7">
        <x:v>20</x:v>
      </x:c>
      <x:c r="J48" s="7">
        <x:v>80</x:v>
      </x:c>
      <x:c r="K48" s="7">
        <x:v>24</x:v>
      </x:c>
      <x:c r="L48" s="7">
        <x:v>5</x:v>
      </x:c>
      <x:c r="M48" s="17">
        <x:v>35</x:v>
      </x:c>
      <x:c r="N48" s="17">
        <x:f t="shared" si="2"/>
        <x:v>5.6000000000000008E-2</x:v>
      </x:c>
      <x:c r="O48" s="21">
        <x:v>0.02</x:v>
      </x:c>
      <x:c r="P48" s="21">
        <x:v>2E-3</x:v>
      </x:c>
      <x:c r="Q48" s="21">
        <x:v>0.01</x:v>
      </x:c>
      <x:c r="R48" s="21">
        <x:v>0</x:v>
      </x:c>
      <x:c r="S48" s="21">
        <x:v>0.01</x:v>
      </x:c>
      <x:c r="T48" s="21">
        <x:v>0</x:v>
      </x:c>
      <x:c r="U48" s="21">
        <x:v>0</x:v>
      </x:c>
      <x:c r="V48" s="22">
        <x:v>4.0000000000000001E-3</x:v>
      </x:c>
      <x:c r="W48" s="22">
        <x:v>4.0000000000000001E-3</x:v>
      </x:c>
      <x:c r="X48" s="22">
        <x:v>4.0000000000000001E-3</x:v>
      </x:c>
      <x:c r="Y48" s="22">
        <x:v>0</x:v>
      </x:c>
      <x:c r="Z48" s="22">
        <x:v>2E-3</x:v>
      </x:c>
      <x:c r="AA48" s="13" t="str">
        <x:f t="shared" si="3"/>
        <x:v>可回读</x:v>
      </x:c>
      <x:c r="AB48" s="13" t="s">
        <x:v>407</x:v>
      </x:c>
      <x:c r="AC48" s="13" t="s">
        <x:v>408</x:v>
      </x:c>
      <x:c r="AD48" s="13" t="s">
        <x:v>409</x:v>
      </x:c>
    </x:row>
    <x:row r="49" ht="23.100000381469727" customHeight="1">
      <x:c r="A49" s="13" t="s">
        <x:v>154</x:v>
      </x:c>
      <x:c r="B49" s="13" t="s">
        <x:v>410</x:v>
      </x:c>
      <x:c r="C49" s="13" t="s">
        <x:v>154</x:v>
      </x:c>
      <x:c r="D49" s="13" t="s">
        <x:v>406</x:v>
      </x:c>
      <x:c r="E49" s="13" t="s">
        <x:v>350</x:v>
      </x:c>
      <x:c r="F49" s="13" t="s">
        <x:v>274</x:v>
      </x:c>
      <x:c r="G49" s="7">
        <x:v>300</x:v>
      </x:c>
      <x:c r="H49" s="7">
        <x:v>70</x:v>
      </x:c>
      <x:c r="I49" s="7">
        <x:v>40</x:v>
      </x:c>
      <x:c r="J49" s="7">
        <x:v>80</x:v>
      </x:c>
      <x:c r="K49" s="7">
        <x:v>24</x:v>
      </x:c>
      <x:c r="L49" s="7">
        <x:v>5</x:v>
      </x:c>
      <x:c r="M49" s="17">
        <x:v>35</x:v>
      </x:c>
      <x:c r="N49" s="17">
        <x:f t="shared" si="2"/>
        <x:v>5.6000000000000008E-2</x:v>
      </x:c>
      <x:c r="O49" s="21">
        <x:v>0.02</x:v>
      </x:c>
      <x:c r="P49" s="21">
        <x:v>2E-3</x:v>
      </x:c>
      <x:c r="Q49" s="21">
        <x:v>0.01</x:v>
      </x:c>
      <x:c r="R49" s="21">
        <x:v>0</x:v>
      </x:c>
      <x:c r="S49" s="21">
        <x:v>0.01</x:v>
      </x:c>
      <x:c r="T49" s="21">
        <x:v>0</x:v>
      </x:c>
      <x:c r="U49" s="21">
        <x:v>0</x:v>
      </x:c>
      <x:c r="V49" s="22">
        <x:v>4.0000000000000001E-3</x:v>
      </x:c>
      <x:c r="W49" s="22">
        <x:v>4.0000000000000001E-3</x:v>
      </x:c>
      <x:c r="X49" s="22">
        <x:v>4.0000000000000001E-3</x:v>
      </x:c>
      <x:c r="Y49" s="22">
        <x:v>0</x:v>
      </x:c>
      <x:c r="Z49" s="22">
        <x:v>2E-3</x:v>
      </x:c>
      <x:c r="AA49" s="13" t="str">
        <x:f t="shared" si="3"/>
        <x:v>可回读</x:v>
      </x:c>
      <x:c r="AB49" s="13" t="s">
        <x:v>407</x:v>
      </x:c>
      <x:c r="AC49" s="13" t="s">
        <x:v>411</x:v>
      </x:c>
      <x:c r="AD49" s="13" t="s">
        <x:v>412</x:v>
      </x:c>
    </x:row>
    <x:row r="50" ht="23.100000381469727" customHeight="1">
      <x:c r="A50" s="13" t="s">
        <x:v>153</x:v>
      </x:c>
      <x:c r="B50" s="13" t="s">
        <x:v>413</x:v>
      </x:c>
      <x:c r="C50" s="13" t="s">
        <x:v>153</x:v>
      </x:c>
      <x:c r="D50" s="13" t="s">
        <x:v>406</x:v>
      </x:c>
      <x:c r="E50" s="13" t="s">
        <x:v>246</x:v>
      </x:c>
      <x:c r="F50" s="13" t="s">
        <x:v>274</x:v>
      </x:c>
      <x:c r="G50" s="7">
        <x:v>200</x:v>
      </x:c>
      <x:c r="H50" s="7">
        <x:v>50</x:v>
      </x:c>
      <x:c r="I50" s="7">
        <x:v>20</x:v>
      </x:c>
      <x:c r="J50" s="7">
        <x:v>80</x:v>
      </x:c>
      <x:c r="K50" s="7">
        <x:v>24</x:v>
      </x:c>
      <x:c r="L50" s="7">
        <x:v>5</x:v>
      </x:c>
      <x:c r="M50" s="17">
        <x:v>35</x:v>
      </x:c>
      <x:c r="N50" s="17">
        <x:f t="shared" si="2"/>
        <x:v>5.6000000000000008E-2</x:v>
      </x:c>
      <x:c r="O50" s="21">
        <x:v>0.02</x:v>
      </x:c>
      <x:c r="P50" s="21">
        <x:v>2E-3</x:v>
      </x:c>
      <x:c r="Q50" s="21">
        <x:v>0.01</x:v>
      </x:c>
      <x:c r="R50" s="21">
        <x:v>0</x:v>
      </x:c>
      <x:c r="S50" s="21">
        <x:v>0.01</x:v>
      </x:c>
      <x:c r="T50" s="21">
        <x:v>0</x:v>
      </x:c>
      <x:c r="U50" s="21">
        <x:v>0</x:v>
      </x:c>
      <x:c r="V50" s="22">
        <x:v>4.0000000000000001E-3</x:v>
      </x:c>
      <x:c r="W50" s="22">
        <x:v>4.0000000000000001E-3</x:v>
      </x:c>
      <x:c r="X50" s="22">
        <x:v>4.0000000000000001E-3</x:v>
      </x:c>
      <x:c r="Y50" s="22">
        <x:v>0</x:v>
      </x:c>
      <x:c r="Z50" s="22">
        <x:v>2E-3</x:v>
      </x:c>
      <x:c r="AA50" s="13" t="str">
        <x:f t="shared" si="3"/>
        <x:v>可回读</x:v>
      </x:c>
      <x:c r="AB50" s="13" t="s">
        <x:v>407</x:v>
      </x:c>
      <x:c r="AC50" s="13" t="s">
        <x:v>414</x:v>
      </x:c>
      <x:c r="AD50" s="13" t="s">
        <x:v>415</x:v>
      </x:c>
    </x:row>
    <x:row r="51" ht="23.100000381469727" customHeight="1">
      <x:c r="A51" s="13" t="s">
        <x:v>162</x:v>
      </x:c>
      <x:c r="B51" s="13" t="s">
        <x:v>416</x:v>
      </x:c>
      <x:c r="C51" s="13" t="s">
        <x:v>162</x:v>
      </x:c>
      <x:c r="D51" s="13" t="s">
        <x:v>406</x:v>
      </x:c>
      <x:c r="E51" s="13" t="s">
        <x:v>350</x:v>
      </x:c>
      <x:c r="F51" s="13" t="s">
        <x:v>274</x:v>
      </x:c>
      <x:c r="G51" s="7">
        <x:v>300</x:v>
      </x:c>
      <x:c r="H51" s="7">
        <x:v>80</x:v>
      </x:c>
      <x:c r="I51" s="7">
        <x:v>20</x:v>
      </x:c>
      <x:c r="J51" s="7">
        <x:v>80</x:v>
      </x:c>
      <x:c r="K51" s="7">
        <x:v>24</x:v>
      </x:c>
      <x:c r="L51" s="7">
        <x:v>5</x:v>
      </x:c>
      <x:c r="M51" s="17">
        <x:v>35</x:v>
      </x:c>
      <x:c r="N51" s="17">
        <x:f t="shared" si="2"/>
        <x:v>5.6000000000000008E-2</x:v>
      </x:c>
      <x:c r="O51" s="21">
        <x:v>0.02</x:v>
      </x:c>
      <x:c r="P51" s="21">
        <x:v>2E-3</x:v>
      </x:c>
      <x:c r="Q51" s="21">
        <x:v>0.01</x:v>
      </x:c>
      <x:c r="R51" s="21">
        <x:v>0</x:v>
      </x:c>
      <x:c r="S51" s="21">
        <x:v>0.01</x:v>
      </x:c>
      <x:c r="T51" s="21">
        <x:v>0</x:v>
      </x:c>
      <x:c r="U51" s="21">
        <x:v>0</x:v>
      </x:c>
      <x:c r="V51" s="22">
        <x:v>4.0000000000000001E-3</x:v>
      </x:c>
      <x:c r="W51" s="22">
        <x:v>4.0000000000000001E-3</x:v>
      </x:c>
      <x:c r="X51" s="22">
        <x:v>4.0000000000000001E-3</x:v>
      </x:c>
      <x:c r="Y51" s="22">
        <x:v>0</x:v>
      </x:c>
      <x:c r="Z51" s="22">
        <x:v>2E-3</x:v>
      </x:c>
      <x:c r="AA51" s="13" t="str">
        <x:f t="shared" si="3"/>
        <x:v>可回读</x:v>
      </x:c>
      <x:c r="AB51" s="13" t="s">
        <x:v>407</x:v>
      </x:c>
      <x:c r="AC51" s="13" t="s">
        <x:v>417</x:v>
      </x:c>
      <x:c r="AD51" s="13" t="s">
        <x:v>418</x:v>
      </x:c>
    </x:row>
    <x:row r="52" ht="23.100000381469727" customHeight="1">
      <x:c r="A52" s="13" t="s">
        <x:v>163</x:v>
      </x:c>
      <x:c r="B52" s="13" t="s">
        <x:v>419</x:v>
      </x:c>
      <x:c r="C52" s="13" t="s">
        <x:v>163</x:v>
      </x:c>
      <x:c r="D52" s="13" t="s">
        <x:v>406</x:v>
      </x:c>
      <x:c r="E52" s="13" t="s">
        <x:v>246</x:v>
      </x:c>
      <x:c r="F52" s="13" t="s">
        <x:v>274</x:v>
      </x:c>
      <x:c r="G52" s="7">
        <x:v>200</x:v>
      </x:c>
      <x:c r="H52" s="7">
        <x:v>50</x:v>
      </x:c>
      <x:c r="I52" s="7">
        <x:v>20</x:v>
      </x:c>
      <x:c r="J52" s="7">
        <x:v>80</x:v>
      </x:c>
      <x:c r="K52" s="7">
        <x:v>24</x:v>
      </x:c>
      <x:c r="L52" s="7">
        <x:v>5</x:v>
      </x:c>
      <x:c r="M52" s="17">
        <x:v>35</x:v>
      </x:c>
      <x:c r="N52" s="17">
        <x:f t="shared" si="2"/>
        <x:v>5.6000000000000008E-2</x:v>
      </x:c>
      <x:c r="O52" s="21">
        <x:v>0.02</x:v>
      </x:c>
      <x:c r="P52" s="21">
        <x:v>2E-3</x:v>
      </x:c>
      <x:c r="Q52" s="21">
        <x:v>0.01</x:v>
      </x:c>
      <x:c r="R52" s="21">
        <x:v>0</x:v>
      </x:c>
      <x:c r="S52" s="21">
        <x:v>0.01</x:v>
      </x:c>
      <x:c r="T52" s="21">
        <x:v>0</x:v>
      </x:c>
      <x:c r="U52" s="21">
        <x:v>0</x:v>
      </x:c>
      <x:c r="V52" s="22">
        <x:v>4.0000000000000001E-3</x:v>
      </x:c>
      <x:c r="W52" s="22">
        <x:v>4.0000000000000001E-3</x:v>
      </x:c>
      <x:c r="X52" s="22">
        <x:v>4.0000000000000001E-3</x:v>
      </x:c>
      <x:c r="Y52" s="22">
        <x:v>0</x:v>
      </x:c>
      <x:c r="Z52" s="22">
        <x:v>2E-3</x:v>
      </x:c>
      <x:c r="AA52" s="13" t="str">
        <x:f t="shared" si="3"/>
        <x:v>可回读</x:v>
      </x:c>
      <x:c r="AB52" s="13" t="s">
        <x:v>407</x:v>
      </x:c>
      <x:c r="AC52" s="13" t="s">
        <x:v>420</x:v>
      </x:c>
      <x:c r="AD52" s="13" t="s">
        <x:v>421</x:v>
      </x:c>
    </x:row>
    <x:row r="53" ht="23.100000381469727" customHeight="1">
      <x:c r="A53" s="13" t="s">
        <x:v>170</x:v>
      </x:c>
      <x:c r="B53" s="13" t="s">
        <x:v>422</x:v>
      </x:c>
      <x:c r="C53" s="13" t="s">
        <x:v>170</x:v>
      </x:c>
      <x:c r="D53" s="13" t="s">
        <x:v>406</x:v>
      </x:c>
      <x:c r="E53" s="13" t="s">
        <x:v>350</x:v>
      </x:c>
      <x:c r="F53" s="13" t="s">
        <x:v>274</x:v>
      </x:c>
      <x:c r="G53" s="7">
        <x:v>300</x:v>
      </x:c>
      <x:c r="H53" s="7">
        <x:v>80</x:v>
      </x:c>
      <x:c r="I53" s="7">
        <x:v>20</x:v>
      </x:c>
      <x:c r="J53" s="7">
        <x:v>80</x:v>
      </x:c>
      <x:c r="K53" s="7">
        <x:v>24</x:v>
      </x:c>
      <x:c r="L53" s="7">
        <x:v>5</x:v>
      </x:c>
      <x:c r="M53" s="17">
        <x:v>35</x:v>
      </x:c>
      <x:c r="N53" s="17">
        <x:f t="shared" si="2"/>
        <x:v>5.6000000000000008E-2</x:v>
      </x:c>
      <x:c r="O53" s="21">
        <x:v>0.02</x:v>
      </x:c>
      <x:c r="P53" s="21">
        <x:v>2E-3</x:v>
      </x:c>
      <x:c r="Q53" s="21">
        <x:v>0.01</x:v>
      </x:c>
      <x:c r="R53" s="21">
        <x:v>0</x:v>
      </x:c>
      <x:c r="S53" s="21">
        <x:v>0.01</x:v>
      </x:c>
      <x:c r="T53" s="21">
        <x:v>0</x:v>
      </x:c>
      <x:c r="U53" s="21">
        <x:v>0</x:v>
      </x:c>
      <x:c r="V53" s="22">
        <x:v>4.0000000000000001E-3</x:v>
      </x:c>
      <x:c r="W53" s="22">
        <x:v>4.0000000000000001E-3</x:v>
      </x:c>
      <x:c r="X53" s="22">
        <x:v>4.0000000000000001E-3</x:v>
      </x:c>
      <x:c r="Y53" s="22">
        <x:v>0</x:v>
      </x:c>
      <x:c r="Z53" s="22">
        <x:v>2E-3</x:v>
      </x:c>
      <x:c r="AA53" s="13" t="str">
        <x:f t="shared" si="3"/>
        <x:v>可回读</x:v>
      </x:c>
      <x:c r="AB53" s="13" t="s">
        <x:v>407</x:v>
      </x:c>
      <x:c r="AC53" s="13" t="s">
        <x:v>423</x:v>
      </x:c>
      <x:c r="AD53" s="13" t="s">
        <x:v>424</x:v>
      </x:c>
    </x:row>
    <x:row r="54" ht="23.100000381469727" customHeight="1">
      <x:c r="A54" s="13" t="s">
        <x:v>148</x:v>
      </x:c>
      <x:c r="B54" s="13" t="s">
        <x:v>425</x:v>
      </x:c>
      <x:c r="C54" s="13" t="s">
        <x:v>148</x:v>
      </x:c>
      <x:c r="D54" s="13" t="s">
        <x:v>426</x:v>
      </x:c>
      <x:c r="E54" s="13" t="s">
        <x:v>246</x:v>
      </x:c>
      <x:c r="F54" s="13" t="s">
        <x:v>247</x:v>
      </x:c>
      <x:c r="G54" s="7">
        <x:v>1000</x:v>
      </x:c>
      <x:c r="H54" s="7">
        <x:v>100</x:v>
      </x:c>
      <x:c r="I54" s="7">
        <x:v>50</x:v>
      </x:c>
      <x:c r="J54" s="7">
        <x:v>0</x:v>
      </x:c>
      <x:c r="K54" s="7">
        <x:v>15</x:v>
      </x:c>
      <x:c r="L54" s="7">
        <x:v>25</x:v>
      </x:c>
      <x:c r="M54" s="17">
        <x:v>50</x:v>
      </x:c>
      <x:c r="N54" s="17">
        <x:f t="shared" si="2"/>
        <x:v>0.54600000000000004</x:v>
      </x:c>
      <x:c r="O54" s="21">
        <x:v>0.02</x:v>
      </x:c>
      <x:c r="P54" s="21">
        <x:v>2E-3</x:v>
      </x:c>
      <x:c r="Q54" s="21">
        <x:v>0.01</x:v>
      </x:c>
      <x:c r="R54" s="21">
        <x:v>0</x:v>
      </x:c>
      <x:c r="S54" s="21">
        <x:v>0</x:v>
      </x:c>
      <x:c r="T54" s="21">
        <x:v>0</x:v>
      </x:c>
      <x:c r="U54" s="21">
        <x:v>0.5</x:v>
      </x:c>
      <x:c r="V54" s="22">
        <x:v>4.0000000000000001E-3</x:v>
      </x:c>
      <x:c r="W54" s="22">
        <x:v>4.0000000000000001E-3</x:v>
      </x:c>
      <x:c r="X54" s="22">
        <x:v>4.0000000000000001E-3</x:v>
      </x:c>
      <x:c r="Y54" s="22">
        <x:v>0</x:v>
      </x:c>
      <x:c r="Z54" s="22">
        <x:v>2E-3</x:v>
      </x:c>
      <x:c r="AA54" s="13" t="str">
        <x:f t="shared" si="3"/>
        <x:v>可回读</x:v>
      </x:c>
      <x:c r="AB54" s="13" t="s">
        <x:v>427</x:v>
      </x:c>
      <x:c r="AC54" s="13" t="s">
        <x:v>428</x:v>
      </x:c>
      <x:c r="AD54" s="13" t="s">
        <x:v>429</x:v>
      </x:c>
    </x:row>
    <x:row r="55" ht="23.100000381469727" customHeight="1">
      <x:c r="A55" s="25" t="s">
        <x:v>171</x:v>
      </x:c>
      <x:c r="B55" s="25" t="s">
        <x:v>430</x:v>
      </x:c>
      <x:c r="C55" s="25" t="s">
        <x:v>171</x:v>
      </x:c>
      <x:c r="D55" s="25" t="s">
        <x:v>426</x:v>
      </x:c>
      <x:c r="E55" s="25" t="s">
        <x:v>350</x:v>
      </x:c>
      <x:c r="F55" s="25" t="s">
        <x:v>274</x:v>
      </x:c>
      <x:c r="G55" s="26">
        <x:v>1800</x:v>
      </x:c>
      <x:c r="H55" s="26">
        <x:v>150</x:v>
      </x:c>
      <x:c r="I55" s="26">
        <x:v>75</x:v>
      </x:c>
      <x:c r="J55" s="26">
        <x:v>0</x:v>
      </x:c>
      <x:c r="K55" s="26">
        <x:v>15</x:v>
      </x:c>
      <x:c r="L55" s="26">
        <x:v>25</x:v>
      </x:c>
      <x:c r="M55" s="27">
        <x:v>50</x:v>
      </x:c>
      <x:c r="N55" s="27">
        <x:f t="shared" si="2"/>
        <x:v>0.54600000000000004</x:v>
      </x:c>
      <x:c r="O55" s="28">
        <x:v>0.02</x:v>
      </x:c>
      <x:c r="P55" s="28">
        <x:v>2E-3</x:v>
      </x:c>
      <x:c r="Q55" s="28">
        <x:v>0.01</x:v>
      </x:c>
      <x:c r="R55" s="28">
        <x:v>0</x:v>
      </x:c>
      <x:c r="S55" s="28">
        <x:v>0</x:v>
      </x:c>
      <x:c r="T55" s="28">
        <x:v>0</x:v>
      </x:c>
      <x:c r="U55" s="28">
        <x:v>0.5</x:v>
      </x:c>
      <x:c r="V55" s="29">
        <x:v>4.0000000000000001E-3</x:v>
      </x:c>
      <x:c r="W55" s="29">
        <x:v>4.0000000000000001E-3</x:v>
      </x:c>
      <x:c r="X55" s="29">
        <x:v>4.0000000000000001E-3</x:v>
      </x:c>
      <x:c r="Y55" s="29">
        <x:v>0</x:v>
      </x:c>
      <x:c r="Z55" s="29">
        <x:v>2E-3</x:v>
      </x:c>
      <x:c r="AA55" s="25" t="str">
        <x:f t="shared" si="3"/>
        <x:v>可回读</x:v>
      </x:c>
      <x:c r="AB55" s="25" t="s">
        <x:v>427</x:v>
      </x:c>
      <x:c r="AC55" s="25" t="s">
        <x:v>431</x:v>
      </x:c>
      <x:c r="AD55" s="25" t="s">
        <x:v>432</x:v>
      </x:c>
    </x:row>
    <x:row r="56" ht="23.100000381469727" customHeight="1">
      <x:c r="A56" s="25" t="s">
        <x:v>174</x:v>
      </x:c>
      <x:c r="B56" s="25" t="s">
        <x:v>433</x:v>
      </x:c>
      <x:c r="C56" s="25" t="s">
        <x:v>174</x:v>
      </x:c>
      <x:c r="D56" s="25" t="s">
        <x:v>426</x:v>
      </x:c>
      <x:c r="E56" s="25" t="s">
        <x:v>246</x:v>
      </x:c>
      <x:c r="F56" s="25" t="s">
        <x:v>274</x:v>
      </x:c>
      <x:c r="G56" s="26">
        <x:v>6</x:v>
      </x:c>
      <x:c r="H56" s="26">
        <x:v>25</x:v>
      </x:c>
      <x:c r="I56" s="26">
        <x:v>0</x:v>
      </x:c>
      <x:c r="J56" s="26">
        <x:v>0</x:v>
      </x:c>
      <x:c r="K56" s="26">
        <x:v>32</x:v>
      </x:c>
      <x:c r="L56" s="26">
        <x:v>1</x:v>
      </x:c>
      <x:c r="M56" s="27">
        <x:v>3</x:v>
      </x:c>
      <x:c r="N56" s="27">
        <x:f t="shared" si="2"/>
        <x:v>4.6000000000000013E-2</x:v>
      </x:c>
      <x:c r="O56" s="28">
        <x:v>0.02</x:v>
      </x:c>
      <x:c r="P56" s="28">
        <x:v>2E-3</x:v>
      </x:c>
      <x:c r="Q56" s="28">
        <x:v>0.01</x:v>
      </x:c>
      <x:c r="R56" s="28">
        <x:v>0</x:v>
      </x:c>
      <x:c r="S56" s="28">
        <x:v>0</x:v>
      </x:c>
      <x:c r="T56" s="28">
        <x:v>0</x:v>
      </x:c>
      <x:c r="U56" s="28">
        <x:v>0</x:v>
      </x:c>
      <x:c r="V56" s="29">
        <x:v>4.0000000000000001E-3</x:v>
      </x:c>
      <x:c r="W56" s="29">
        <x:v>4.0000000000000001E-3</x:v>
      </x:c>
      <x:c r="X56" s="29">
        <x:v>4.0000000000000001E-3</x:v>
      </x:c>
      <x:c r="Y56" s="29">
        <x:v>0</x:v>
      </x:c>
      <x:c r="Z56" s="29">
        <x:v>2E-3</x:v>
      </x:c>
      <x:c r="AA56" s="25" t="str">
        <x:f t="shared" si="3"/>
        <x:v>可回读</x:v>
      </x:c>
      <x:c r="AB56" s="25" t="s">
        <x:v>427</x:v>
      </x:c>
      <x:c r="AC56" s="25" t="s">
        <x:v>434</x:v>
      </x:c>
      <x:c r="AD56" s="25" t="s">
        <x:v>435</x:v>
      </x:c>
    </x:row>
    <x:row r="57" ht="23.100000381469727" customHeight="1">
      <x:c r="A57" s="25" t="s">
        <x:v>182</x:v>
      </x:c>
      <x:c r="B57" s="25" t="s">
        <x:v>436</x:v>
      </x:c>
      <x:c r="C57" s="25" t="s">
        <x:v>182</x:v>
      </x:c>
      <x:c r="D57" s="25" t="s">
        <x:v>426</x:v>
      </x:c>
      <x:c r="E57" s="25" t="s">
        <x:v>246</x:v>
      </x:c>
      <x:c r="F57" s="25" t="s">
        <x:v>274</x:v>
      </x:c>
      <x:c r="G57" s="26">
        <x:v>15</x:v>
      </x:c>
      <x:c r="H57" s="26">
        <x:v>40</x:v>
      </x:c>
      <x:c r="I57" s="26">
        <x:v>0</x:v>
      </x:c>
      <x:c r="J57" s="26">
        <x:v>0</x:v>
      </x:c>
      <x:c r="K57" s="26">
        <x:v>22</x:v>
      </x:c>
      <x:c r="L57" s="26">
        <x:v>2</x:v>
      </x:c>
      <x:c r="M57" s="27">
        <x:v>6</x:v>
      </x:c>
      <x:c r="N57" s="27">
        <x:f t="shared" si="2"/>
        <x:v>4.6000000000000013E-2</x:v>
      </x:c>
      <x:c r="O57" s="28">
        <x:v>0.02</x:v>
      </x:c>
      <x:c r="P57" s="28">
        <x:v>2E-3</x:v>
      </x:c>
      <x:c r="Q57" s="28">
        <x:v>0.01</x:v>
      </x:c>
      <x:c r="R57" s="28">
        <x:v>0</x:v>
      </x:c>
      <x:c r="S57" s="28">
        <x:v>0</x:v>
      </x:c>
      <x:c r="T57" s="28">
        <x:v>0</x:v>
      </x:c>
      <x:c r="U57" s="28">
        <x:v>0</x:v>
      </x:c>
      <x:c r="V57" s="29">
        <x:v>4.0000000000000001E-3</x:v>
      </x:c>
      <x:c r="W57" s="29">
        <x:v>4.0000000000000001E-3</x:v>
      </x:c>
      <x:c r="X57" s="29">
        <x:v>4.0000000000000001E-3</x:v>
      </x:c>
      <x:c r="Y57" s="29">
        <x:v>0</x:v>
      </x:c>
      <x:c r="Z57" s="29">
        <x:v>2E-3</x:v>
      </x:c>
      <x:c r="AA57" s="25" t="str">
        <x:f t="shared" si="3"/>
        <x:v>可回读</x:v>
      </x:c>
      <x:c r="AB57" s="25" t="s">
        <x:v>427</x:v>
      </x:c>
      <x:c r="AC57" s="25" t="s">
        <x:v>437</x:v>
      </x:c>
      <x:c r="AD57" s="25" t="s">
        <x:v>438</x:v>
      </x:c>
    </x:row>
    <x:row r="58" ht="23.100000381469727" customHeight="1">
      <x:c r="A58" s="25" t="s">
        <x:v>144</x:v>
      </x:c>
      <x:c r="B58" s="25" t="s">
        <x:v>439</x:v>
      </x:c>
      <x:c r="C58" s="25" t="s">
        <x:v>144</x:v>
      </x:c>
      <x:c r="D58" s="25" t="s">
        <x:v>440</x:v>
      </x:c>
      <x:c r="E58" s="25" t="s">
        <x:v>246</x:v>
      </x:c>
      <x:c r="F58" s="25" t="s">
        <x:v>274</x:v>
      </x:c>
      <x:c r="G58" s="26">
        <x:v>180</x:v>
      </x:c>
      <x:c r="H58" s="26">
        <x:v>35</x:v>
      </x:c>
      <x:c r="I58" s="26">
        <x:v>15</x:v>
      </x:c>
      <x:c r="J58" s="26">
        <x:v>20</x:v>
      </x:c>
      <x:c r="K58" s="26">
        <x:v>30</x:v>
      </x:c>
      <x:c r="L58" s="26">
        <x:v>2</x:v>
      </x:c>
      <x:c r="M58" s="27">
        <x:v>10</x:v>
      </x:c>
      <x:c r="N58" s="27">
        <x:f t="shared" si="2"/>
        <x:v>4.6000000000000013E-2</x:v>
      </x:c>
      <x:c r="O58" s="28">
        <x:v>0.02</x:v>
      </x:c>
      <x:c r="P58" s="28">
        <x:v>2E-3</x:v>
      </x:c>
      <x:c r="Q58" s="28">
        <x:v>0.01</x:v>
      </x:c>
      <x:c r="R58" s="28">
        <x:v>0</x:v>
      </x:c>
      <x:c r="S58" s="28">
        <x:v>0</x:v>
      </x:c>
      <x:c r="T58" s="28">
        <x:v>0</x:v>
      </x:c>
      <x:c r="U58" s="28">
        <x:v>0</x:v>
      </x:c>
      <x:c r="V58" s="29">
        <x:v>4.0000000000000001E-3</x:v>
      </x:c>
      <x:c r="W58" s="29">
        <x:v>4.0000000000000001E-3</x:v>
      </x:c>
      <x:c r="X58" s="29">
        <x:v>4.0000000000000001E-3</x:v>
      </x:c>
      <x:c r="Y58" s="29">
        <x:v>0</x:v>
      </x:c>
      <x:c r="Z58" s="29">
        <x:v>2E-3</x:v>
      </x:c>
      <x:c r="AA58" s="25" t="str">
        <x:f t="shared" si="3"/>
        <x:v>可回读</x:v>
      </x:c>
      <x:c r="AB58" s="25" t="s">
        <x:v>441</x:v>
      </x:c>
      <x:c r="AC58" s="25" t="s">
        <x:v>442</x:v>
      </x:c>
      <x:c r="AD58" s="25" t="s">
        <x:v>443</x:v>
      </x:c>
    </x:row>
    <x:row r="59" ht="23.100000381469727" customHeight="1">
      <x:c r="A59" s="25" t="s">
        <x:v>157</x:v>
      </x:c>
      <x:c r="B59" s="25" t="s">
        <x:v>444</x:v>
      </x:c>
      <x:c r="C59" s="25" t="s">
        <x:v>157</x:v>
      </x:c>
      <x:c r="D59" s="25" t="s">
        <x:v>440</x:v>
      </x:c>
      <x:c r="E59" s="25" t="s">
        <x:v>350</x:v>
      </x:c>
      <x:c r="F59" s="25" t="s">
        <x:v>274</x:v>
      </x:c>
      <x:c r="G59" s="26">
        <x:v>360</x:v>
      </x:c>
      <x:c r="H59" s="26">
        <x:v>70</x:v>
      </x:c>
      <x:c r="I59" s="26">
        <x:v>15</x:v>
      </x:c>
      <x:c r="J59" s="26">
        <x:v>20</x:v>
      </x:c>
      <x:c r="K59" s="26">
        <x:v>40</x:v>
      </x:c>
      <x:c r="L59" s="26">
        <x:v>2</x:v>
      </x:c>
      <x:c r="M59" s="27">
        <x:v>10</x:v>
      </x:c>
      <x:c r="N59" s="27">
        <x:f t="shared" si="2"/>
        <x:v>4.6000000000000013E-2</x:v>
      </x:c>
      <x:c r="O59" s="28">
        <x:v>0.02</x:v>
      </x:c>
      <x:c r="P59" s="28">
        <x:v>2E-3</x:v>
      </x:c>
      <x:c r="Q59" s="28">
        <x:v>0.01</x:v>
      </x:c>
      <x:c r="R59" s="28">
        <x:v>0</x:v>
      </x:c>
      <x:c r="S59" s="28">
        <x:v>0</x:v>
      </x:c>
      <x:c r="T59" s="28">
        <x:v>0</x:v>
      </x:c>
      <x:c r="U59" s="28">
        <x:v>0</x:v>
      </x:c>
      <x:c r="V59" s="29">
        <x:v>4.0000000000000001E-3</x:v>
      </x:c>
      <x:c r="W59" s="29">
        <x:v>4.0000000000000001E-3</x:v>
      </x:c>
      <x:c r="X59" s="29">
        <x:v>4.0000000000000001E-3</x:v>
      </x:c>
      <x:c r="Y59" s="29">
        <x:v>0</x:v>
      </x:c>
      <x:c r="Z59" s="29">
        <x:v>2E-3</x:v>
      </x:c>
      <x:c r="AA59" s="25" t="str">
        <x:f t="shared" si="3"/>
        <x:v>可回读</x:v>
      </x:c>
      <x:c r="AB59" s="25" t="s">
        <x:v>441</x:v>
      </x:c>
      <x:c r="AC59" s="25" t="s">
        <x:v>445</x:v>
      </x:c>
      <x:c r="AD59" s="25" t="s">
        <x:v>446</x:v>
      </x:c>
    </x:row>
    <x:row r="60" ht="23.100000381469727" customHeight="1">
      <x:c r="A60" s="25" t="s">
        <x:v>145</x:v>
      </x:c>
      <x:c r="B60" s="25" t="s">
        <x:v>447</x:v>
      </x:c>
      <x:c r="C60" s="25" t="s">
        <x:v>145</x:v>
      </x:c>
      <x:c r="D60" s="25" t="s">
        <x:v>440</x:v>
      </x:c>
      <x:c r="E60" s="25" t="s">
        <x:v>246</x:v>
      </x:c>
      <x:c r="F60" s="25" t="s">
        <x:v>274</x:v>
      </x:c>
      <x:c r="G60" s="26">
        <x:v>180</x:v>
      </x:c>
      <x:c r="H60" s="26">
        <x:v>35</x:v>
      </x:c>
      <x:c r="I60" s="26">
        <x:v>10</x:v>
      </x:c>
      <x:c r="J60" s="26">
        <x:v>15</x:v>
      </x:c>
      <x:c r="K60" s="26">
        <x:v>30</x:v>
      </x:c>
      <x:c r="L60" s="26">
        <x:v>2</x:v>
      </x:c>
      <x:c r="M60" s="27">
        <x:v>10</x:v>
      </x:c>
      <x:c r="N60" s="27">
        <x:f t="shared" si="2"/>
        <x:v>4.6000000000000013E-2</x:v>
      </x:c>
      <x:c r="O60" s="28">
        <x:v>0.02</x:v>
      </x:c>
      <x:c r="P60" s="28">
        <x:v>2E-3</x:v>
      </x:c>
      <x:c r="Q60" s="28">
        <x:v>0.01</x:v>
      </x:c>
      <x:c r="R60" s="28">
        <x:v>0</x:v>
      </x:c>
      <x:c r="S60" s="28">
        <x:v>0</x:v>
      </x:c>
      <x:c r="T60" s="28">
        <x:v>0</x:v>
      </x:c>
      <x:c r="U60" s="28">
        <x:v>0</x:v>
      </x:c>
      <x:c r="V60" s="29">
        <x:v>4.0000000000000001E-3</x:v>
      </x:c>
      <x:c r="W60" s="29">
        <x:v>4.0000000000000001E-3</x:v>
      </x:c>
      <x:c r="X60" s="29">
        <x:v>4.0000000000000001E-3</x:v>
      </x:c>
      <x:c r="Y60" s="29">
        <x:v>0</x:v>
      </x:c>
      <x:c r="Z60" s="29">
        <x:v>2E-3</x:v>
      </x:c>
      <x:c r="AA60" s="25" t="str">
        <x:f t="shared" si="3"/>
        <x:v>可回读</x:v>
      </x:c>
      <x:c r="AB60" s="25" t="s">
        <x:v>441</x:v>
      </x:c>
      <x:c r="AC60" s="25" t="s">
        <x:v>448</x:v>
      </x:c>
      <x:c r="AD60" s="25" t="s">
        <x:v>449</x:v>
      </x:c>
    </x:row>
    <x:row r="61" ht="23.100000381469727" customHeight="1">
      <x:c r="A61" s="25" t="s">
        <x:v>158</x:v>
      </x:c>
      <x:c r="B61" s="25" t="s">
        <x:v>450</x:v>
      </x:c>
      <x:c r="C61" s="25" t="s">
        <x:v>158</x:v>
      </x:c>
      <x:c r="D61" s="25" t="s">
        <x:v>440</x:v>
      </x:c>
      <x:c r="E61" s="25" t="s">
        <x:v>350</x:v>
      </x:c>
      <x:c r="F61" s="25" t="s">
        <x:v>274</x:v>
      </x:c>
      <x:c r="G61" s="26">
        <x:v>360</x:v>
      </x:c>
      <x:c r="H61" s="26">
        <x:v>50</x:v>
      </x:c>
      <x:c r="I61" s="26">
        <x:v>20</x:v>
      </x:c>
      <x:c r="J61" s="26">
        <x:v>15</x:v>
      </x:c>
      <x:c r="K61" s="26">
        <x:v>50</x:v>
      </x:c>
      <x:c r="L61" s="26">
        <x:v>2</x:v>
      </x:c>
      <x:c r="M61" s="27">
        <x:v>10</x:v>
      </x:c>
      <x:c r="N61" s="27">
        <x:f t="shared" si="2"/>
        <x:v>4.6000000000000013E-2</x:v>
      </x:c>
      <x:c r="O61" s="28">
        <x:v>0.02</x:v>
      </x:c>
      <x:c r="P61" s="28">
        <x:v>2E-3</x:v>
      </x:c>
      <x:c r="Q61" s="28">
        <x:v>0.01</x:v>
      </x:c>
      <x:c r="R61" s="28">
        <x:v>0</x:v>
      </x:c>
      <x:c r="S61" s="28">
        <x:v>0</x:v>
      </x:c>
      <x:c r="T61" s="28">
        <x:v>0</x:v>
      </x:c>
      <x:c r="U61" s="28">
        <x:v>0</x:v>
      </x:c>
      <x:c r="V61" s="29">
        <x:v>4.0000000000000001E-3</x:v>
      </x:c>
      <x:c r="W61" s="29">
        <x:v>4.0000000000000001E-3</x:v>
      </x:c>
      <x:c r="X61" s="29">
        <x:v>4.0000000000000001E-3</x:v>
      </x:c>
      <x:c r="Y61" s="29">
        <x:v>0</x:v>
      </x:c>
      <x:c r="Z61" s="29">
        <x:v>2E-3</x:v>
      </x:c>
      <x:c r="AA61" s="25" t="str">
        <x:f t="shared" si="3"/>
        <x:v>可回读</x:v>
      </x:c>
      <x:c r="AB61" s="25" t="s">
        <x:v>441</x:v>
      </x:c>
      <x:c r="AC61" s="25" t="s">
        <x:v>451</x:v>
      </x:c>
      <x:c r="AD61" s="25" t="s">
        <x:v>452</x:v>
      </x:c>
    </x:row>
    <x:row r="62" ht="23.100000381469727" customHeight="1">
      <x:c r="A62" s="25" t="s">
        <x:v>152</x:v>
      </x:c>
      <x:c r="B62" s="25" t="s">
        <x:v>453</x:v>
      </x:c>
      <x:c r="C62" s="25" t="s">
        <x:v>152</x:v>
      </x:c>
      <x:c r="D62" s="25" t="s">
        <x:v>440</x:v>
      </x:c>
      <x:c r="E62" s="25" t="s">
        <x:v>246</x:v>
      </x:c>
      <x:c r="F62" s="25" t="s">
        <x:v>274</x:v>
      </x:c>
      <x:c r="G62" s="26">
        <x:v>180</x:v>
      </x:c>
      <x:c r="H62" s="26">
        <x:v>50</x:v>
      </x:c>
      <x:c r="I62" s="26">
        <x:v>15</x:v>
      </x:c>
      <x:c r="J62" s="26">
        <x:v>15</x:v>
      </x:c>
      <x:c r="K62" s="26">
        <x:v>30</x:v>
      </x:c>
      <x:c r="L62" s="26">
        <x:v>2</x:v>
      </x:c>
      <x:c r="M62" s="27">
        <x:v>10</x:v>
      </x:c>
      <x:c r="N62" s="27">
        <x:f t="shared" si="2"/>
        <x:v>4.6000000000000013E-2</x:v>
      </x:c>
      <x:c r="O62" s="28">
        <x:v>0.02</x:v>
      </x:c>
      <x:c r="P62" s="28">
        <x:v>2E-3</x:v>
      </x:c>
      <x:c r="Q62" s="28">
        <x:v>0.01</x:v>
      </x:c>
      <x:c r="R62" s="28">
        <x:v>0</x:v>
      </x:c>
      <x:c r="S62" s="28">
        <x:v>0</x:v>
      </x:c>
      <x:c r="T62" s="28">
        <x:v>0</x:v>
      </x:c>
      <x:c r="U62" s="28">
        <x:v>0</x:v>
      </x:c>
      <x:c r="V62" s="29">
        <x:v>4.0000000000000001E-3</x:v>
      </x:c>
      <x:c r="W62" s="29">
        <x:v>4.0000000000000001E-3</x:v>
      </x:c>
      <x:c r="X62" s="29">
        <x:v>4.0000000000000001E-3</x:v>
      </x:c>
      <x:c r="Y62" s="29">
        <x:v>0</x:v>
      </x:c>
      <x:c r="Z62" s="29">
        <x:v>2E-3</x:v>
      </x:c>
      <x:c r="AA62" s="25" t="str">
        <x:f t="shared" si="3"/>
        <x:v>可回读</x:v>
      </x:c>
      <x:c r="AB62" s="25" t="s">
        <x:v>441</x:v>
      </x:c>
      <x:c r="AC62" s="25" t="s">
        <x:v>454</x:v>
      </x:c>
      <x:c r="AD62" s="25" t="s">
        <x:v>455</x:v>
      </x:c>
    </x:row>
    <x:row r="63" ht="23.100000381469727" customHeight="1">
      <x:c r="A63" s="25" t="s">
        <x:v>159</x:v>
      </x:c>
      <x:c r="B63" s="25" t="s">
        <x:v>456</x:v>
      </x:c>
      <x:c r="C63" s="25" t="s">
        <x:v>159</x:v>
      </x:c>
      <x:c r="D63" s="25" t="s">
        <x:v>440</x:v>
      </x:c>
      <x:c r="E63" s="25" t="s">
        <x:v>350</x:v>
      </x:c>
      <x:c r="F63" s="25" t="s">
        <x:v>274</x:v>
      </x:c>
      <x:c r="G63" s="26">
        <x:v>360</x:v>
      </x:c>
      <x:c r="H63" s="26">
        <x:v>100</x:v>
      </x:c>
      <x:c r="I63" s="26">
        <x:v>20</x:v>
      </x:c>
      <x:c r="J63" s="26">
        <x:v>15</x:v>
      </x:c>
      <x:c r="K63" s="26">
        <x:v>40</x:v>
      </x:c>
      <x:c r="L63" s="26">
        <x:v>2</x:v>
      </x:c>
      <x:c r="M63" s="27">
        <x:v>10</x:v>
      </x:c>
      <x:c r="N63" s="27">
        <x:f t="shared" si="2"/>
        <x:v>4.6000000000000013E-2</x:v>
      </x:c>
      <x:c r="O63" s="28">
        <x:v>0.02</x:v>
      </x:c>
      <x:c r="P63" s="28">
        <x:v>2E-3</x:v>
      </x:c>
      <x:c r="Q63" s="28">
        <x:v>0.01</x:v>
      </x:c>
      <x:c r="R63" s="28">
        <x:v>0</x:v>
      </x:c>
      <x:c r="S63" s="28">
        <x:v>0</x:v>
      </x:c>
      <x:c r="T63" s="28">
        <x:v>0</x:v>
      </x:c>
      <x:c r="U63" s="28">
        <x:v>0</x:v>
      </x:c>
      <x:c r="V63" s="29">
        <x:v>4.0000000000000001E-3</x:v>
      </x:c>
      <x:c r="W63" s="29">
        <x:v>4.0000000000000001E-3</x:v>
      </x:c>
      <x:c r="X63" s="29">
        <x:v>4.0000000000000001E-3</x:v>
      </x:c>
      <x:c r="Y63" s="29">
        <x:v>0</x:v>
      </x:c>
      <x:c r="Z63" s="29">
        <x:v>2E-3</x:v>
      </x:c>
      <x:c r="AA63" s="25" t="str">
        <x:f t="shared" si="3"/>
        <x:v>可回读</x:v>
      </x:c>
      <x:c r="AB63" s="25" t="s">
        <x:v>441</x:v>
      </x:c>
      <x:c r="AC63" s="25" t="s">
        <x:v>457</x:v>
      </x:c>
      <x:c r="AD63" s="25" t="s">
        <x:v>458</x:v>
      </x:c>
    </x:row>
    <x:row r="64" ht="23.100000381469727" customHeight="1">
      <x:c r="A64" s="25" t="s">
        <x:v>151</x:v>
      </x:c>
      <x:c r="B64" s="25" t="s">
        <x:v>459</x:v>
      </x:c>
      <x:c r="C64" s="25" t="s">
        <x:v>151</x:v>
      </x:c>
      <x:c r="D64" s="25" t="s">
        <x:v>440</x:v>
      </x:c>
      <x:c r="E64" s="25" t="s">
        <x:v>246</x:v>
      </x:c>
      <x:c r="F64" s="25" t="s">
        <x:v>274</x:v>
      </x:c>
      <x:c r="G64" s="26">
        <x:v>180</x:v>
      </x:c>
      <x:c r="H64" s="26">
        <x:v>30</x:v>
      </x:c>
      <x:c r="I64" s="26">
        <x:v>25</x:v>
      </x:c>
      <x:c r="J64" s="26">
        <x:v>10</x:v>
      </x:c>
      <x:c r="K64" s="26">
        <x:v>30</x:v>
      </x:c>
      <x:c r="L64" s="26">
        <x:v>2</x:v>
      </x:c>
      <x:c r="M64" s="27">
        <x:v>10</x:v>
      </x:c>
      <x:c r="N64" s="27">
        <x:f t="shared" si="2"/>
        <x:v>4.6000000000000013E-2</x:v>
      </x:c>
      <x:c r="O64" s="28">
        <x:v>0.02</x:v>
      </x:c>
      <x:c r="P64" s="28">
        <x:v>2E-3</x:v>
      </x:c>
      <x:c r="Q64" s="28">
        <x:v>0.01</x:v>
      </x:c>
      <x:c r="R64" s="28">
        <x:v>0</x:v>
      </x:c>
      <x:c r="S64" s="28">
        <x:v>0</x:v>
      </x:c>
      <x:c r="T64" s="28">
        <x:v>0</x:v>
      </x:c>
      <x:c r="U64" s="28">
        <x:v>0</x:v>
      </x:c>
      <x:c r="V64" s="29">
        <x:v>4.0000000000000001E-3</x:v>
      </x:c>
      <x:c r="W64" s="29">
        <x:v>4.0000000000000001E-3</x:v>
      </x:c>
      <x:c r="X64" s="29">
        <x:v>4.0000000000000001E-3</x:v>
      </x:c>
      <x:c r="Y64" s="29">
        <x:v>0</x:v>
      </x:c>
      <x:c r="Z64" s="29">
        <x:v>2E-3</x:v>
      </x:c>
      <x:c r="AA64" s="25" t="str">
        <x:f t="shared" si="3"/>
        <x:v>可回读</x:v>
      </x:c>
      <x:c r="AB64" s="25" t="s">
        <x:v>441</x:v>
      </x:c>
      <x:c r="AC64" s="25" t="s">
        <x:v>460</x:v>
      </x:c>
      <x:c r="AD64" s="25" t="s">
        <x:v>461</x:v>
      </x:c>
    </x:row>
    <x:row r="65" ht="23.100000381469727" customHeight="1">
      <x:c r="A65" s="25" t="s">
        <x:v>166</x:v>
      </x:c>
      <x:c r="B65" s="25" t="s">
        <x:v>462</x:v>
      </x:c>
      <x:c r="C65" s="25" t="s">
        <x:v>166</x:v>
      </x:c>
      <x:c r="D65" s="25" t="s">
        <x:v>440</x:v>
      </x:c>
      <x:c r="E65" s="25" t="s">
        <x:v>350</x:v>
      </x:c>
      <x:c r="F65" s="25" t="s">
        <x:v>274</x:v>
      </x:c>
      <x:c r="G65" s="26">
        <x:v>400</x:v>
      </x:c>
      <x:c r="H65" s="26">
        <x:v>60</x:v>
      </x:c>
      <x:c r="I65" s="26">
        <x:v>35</x:v>
      </x:c>
      <x:c r="J65" s="26">
        <x:v>20</x:v>
      </x:c>
      <x:c r="K65" s="26">
        <x:v>40</x:v>
      </x:c>
      <x:c r="L65" s="26">
        <x:v>2</x:v>
      </x:c>
      <x:c r="M65" s="27">
        <x:v>10</x:v>
      </x:c>
      <x:c r="N65" s="27">
        <x:f t="shared" si="2"/>
        <x:v>4.6000000000000013E-2</x:v>
      </x:c>
      <x:c r="O65" s="28">
        <x:v>0.02</x:v>
      </x:c>
      <x:c r="P65" s="28">
        <x:v>2E-3</x:v>
      </x:c>
      <x:c r="Q65" s="28">
        <x:v>0.01</x:v>
      </x:c>
      <x:c r="R65" s="28">
        <x:v>0</x:v>
      </x:c>
      <x:c r="S65" s="28">
        <x:v>0</x:v>
      </x:c>
      <x:c r="T65" s="28">
        <x:v>0</x:v>
      </x:c>
      <x:c r="U65" s="28">
        <x:v>0</x:v>
      </x:c>
      <x:c r="V65" s="29">
        <x:v>4.0000000000000001E-3</x:v>
      </x:c>
      <x:c r="W65" s="29">
        <x:v>4.0000000000000001E-3</x:v>
      </x:c>
      <x:c r="X65" s="29">
        <x:v>4.0000000000000001E-3</x:v>
      </x:c>
      <x:c r="Y65" s="29">
        <x:v>0</x:v>
      </x:c>
      <x:c r="Z65" s="29">
        <x:v>2E-3</x:v>
      </x:c>
      <x:c r="AA65" s="25" t="str">
        <x:f t="shared" si="3"/>
        <x:v>可回读</x:v>
      </x:c>
      <x:c r="AB65" s="25" t="s">
        <x:v>441</x:v>
      </x:c>
      <x:c r="AC65" s="25" t="s">
        <x:v>463</x:v>
      </x:c>
      <x:c r="AD65" s="25" t="s">
        <x:v>464</x:v>
      </x:c>
    </x:row>
    <x:row r="66" ht="23.100000381469727" customHeight="1">
      <x:c r="A66" s="25" t="s">
        <x:v>160</x:v>
      </x:c>
      <x:c r="B66" s="25" t="s">
        <x:v>465</x:v>
      </x:c>
      <x:c r="C66" s="25" t="s">
        <x:v>160</x:v>
      </x:c>
      <x:c r="D66" s="25" t="s">
        <x:v>440</x:v>
      </x:c>
      <x:c r="E66" s="25" t="s">
        <x:v>246</x:v>
      </x:c>
      <x:c r="F66" s="25" t="s">
        <x:v>274</x:v>
      </x:c>
      <x:c r="G66" s="26">
        <x:v>180</x:v>
      </x:c>
      <x:c r="H66" s="26">
        <x:v>35</x:v>
      </x:c>
      <x:c r="I66" s="26">
        <x:v>10</x:v>
      </x:c>
      <x:c r="J66" s="26">
        <x:v>15</x:v>
      </x:c>
      <x:c r="K66" s="26">
        <x:v>80</x:v>
      </x:c>
      <x:c r="L66" s="26">
        <x:v>2</x:v>
      </x:c>
      <x:c r="M66" s="27">
        <x:v>10</x:v>
      </x:c>
      <x:c r="N66" s="27">
        <x:f t="shared" si="2"/>
        <x:v>4.6000000000000013E-2</x:v>
      </x:c>
      <x:c r="O66" s="28">
        <x:v>0.02</x:v>
      </x:c>
      <x:c r="P66" s="28">
        <x:v>2E-3</x:v>
      </x:c>
      <x:c r="Q66" s="28">
        <x:v>0.01</x:v>
      </x:c>
      <x:c r="R66" s="28">
        <x:v>0</x:v>
      </x:c>
      <x:c r="S66" s="28">
        <x:v>0</x:v>
      </x:c>
      <x:c r="T66" s="28">
        <x:v>0</x:v>
      </x:c>
      <x:c r="U66" s="28">
        <x:v>0</x:v>
      </x:c>
      <x:c r="V66" s="29">
        <x:v>4.0000000000000001E-3</x:v>
      </x:c>
      <x:c r="W66" s="29">
        <x:v>4.0000000000000001E-3</x:v>
      </x:c>
      <x:c r="X66" s="29">
        <x:v>4.0000000000000001E-3</x:v>
      </x:c>
      <x:c r="Y66" s="29">
        <x:v>0</x:v>
      </x:c>
      <x:c r="Z66" s="29">
        <x:v>2E-3</x:v>
      </x:c>
      <x:c r="AA66" s="25" t="str">
        <x:f t="shared" si="3"/>
        <x:v>可回读</x:v>
      </x:c>
      <x:c r="AB66" s="25" t="s">
        <x:v>441</x:v>
      </x:c>
      <x:c r="AC66" s="25" t="s">
        <x:v>466</x:v>
      </x:c>
      <x:c r="AD66" s="25" t="s">
        <x:v>467</x:v>
      </x:c>
    </x:row>
    <x:row r="67" ht="23.100000381469727" customHeight="1">
      <x:c r="A67" s="25" t="s">
        <x:v>167</x:v>
      </x:c>
      <x:c r="B67" s="25" t="s">
        <x:v>468</x:v>
      </x:c>
      <x:c r="C67" s="25" t="s">
        <x:v>167</x:v>
      </x:c>
      <x:c r="D67" s="25" t="s">
        <x:v>440</x:v>
      </x:c>
      <x:c r="E67" s="25" t="s">
        <x:v>350</x:v>
      </x:c>
      <x:c r="F67" s="25" t="s">
        <x:v>274</x:v>
      </x:c>
      <x:c r="G67" s="26">
        <x:v>360</x:v>
      </x:c>
      <x:c r="H67" s="26">
        <x:v>70</x:v>
      </x:c>
      <x:c r="I67" s="26">
        <x:v>20</x:v>
      </x:c>
      <x:c r="J67" s="26">
        <x:v>20</x:v>
      </x:c>
      <x:c r="K67" s="26">
        <x:v>80</x:v>
      </x:c>
      <x:c r="L67" s="26">
        <x:v>2</x:v>
      </x:c>
      <x:c r="M67" s="27">
        <x:v>10</x:v>
      </x:c>
      <x:c r="N67" s="27">
        <x:f t="shared" si="2"/>
        <x:v>4.6000000000000013E-2</x:v>
      </x:c>
      <x:c r="O67" s="28">
        <x:v>0.02</x:v>
      </x:c>
      <x:c r="P67" s="28">
        <x:v>2E-3</x:v>
      </x:c>
      <x:c r="Q67" s="28">
        <x:v>0.01</x:v>
      </x:c>
      <x:c r="R67" s="28">
        <x:v>0</x:v>
      </x:c>
      <x:c r="S67" s="28">
        <x:v>0</x:v>
      </x:c>
      <x:c r="T67" s="28">
        <x:v>0</x:v>
      </x:c>
      <x:c r="U67" s="28">
        <x:v>0</x:v>
      </x:c>
      <x:c r="V67" s="29">
        <x:v>4.0000000000000001E-3</x:v>
      </x:c>
      <x:c r="W67" s="29">
        <x:v>4.0000000000000001E-3</x:v>
      </x:c>
      <x:c r="X67" s="29">
        <x:v>4.0000000000000001E-3</x:v>
      </x:c>
      <x:c r="Y67" s="29">
        <x:v>0</x:v>
      </x:c>
      <x:c r="Z67" s="29">
        <x:v>2E-3</x:v>
      </x:c>
      <x:c r="AA67" s="25" t="str">
        <x:f t="shared" si="3"/>
        <x:v>可回读</x:v>
      </x:c>
      <x:c r="AB67" s="25" t="s">
        <x:v>441</x:v>
      </x:c>
      <x:c r="AC67" s="25" t="s">
        <x:v>469</x:v>
      </x:c>
      <x:c r="AD67" s="25" t="s">
        <x:v>470</x:v>
      </x:c>
    </x:row>
    <x:row r="68" ht="23.100000381469727" customHeight="1">
      <x:c r="A68" s="25" t="s">
        <x:v>168</x:v>
      </x:c>
      <x:c r="B68" s="25" t="s">
        <x:v>471</x:v>
      </x:c>
      <x:c r="C68" s="25" t="s">
        <x:v>168</x:v>
      </x:c>
      <x:c r="D68" s="25" t="s">
        <x:v>440</x:v>
      </x:c>
      <x:c r="E68" s="25" t="s">
        <x:v>350</x:v>
      </x:c>
      <x:c r="F68" s="25" t="s">
        <x:v>274</x:v>
      </x:c>
      <x:c r="G68" s="26">
        <x:v>800</x:v>
      </x:c>
      <x:c r="H68" s="26">
        <x:v>80</x:v>
      </x:c>
      <x:c r="I68" s="26">
        <x:v>40</x:v>
      </x:c>
      <x:c r="J68" s="26">
        <x:v>35</x:v>
      </x:c>
      <x:c r="K68" s="26">
        <x:v>28</x:v>
      </x:c>
      <x:c r="L68" s="26">
        <x:v>2</x:v>
      </x:c>
      <x:c r="M68" s="27">
        <x:v>10</x:v>
      </x:c>
      <x:c r="N68" s="27">
        <x:f t="shared" si="2"/>
        <x:v>4.6000000000000013E-2</x:v>
      </x:c>
      <x:c r="O68" s="28">
        <x:v>0.02</x:v>
      </x:c>
      <x:c r="P68" s="28">
        <x:v>2E-3</x:v>
      </x:c>
      <x:c r="Q68" s="28">
        <x:v>0.01</x:v>
      </x:c>
      <x:c r="R68" s="28">
        <x:v>0</x:v>
      </x:c>
      <x:c r="S68" s="28">
        <x:v>0</x:v>
      </x:c>
      <x:c r="T68" s="28">
        <x:v>0</x:v>
      </x:c>
      <x:c r="U68" s="28">
        <x:v>0</x:v>
      </x:c>
      <x:c r="V68" s="29">
        <x:v>4.0000000000000001E-3</x:v>
      </x:c>
      <x:c r="W68" s="29">
        <x:v>4.0000000000000001E-3</x:v>
      </x:c>
      <x:c r="X68" s="29">
        <x:v>4.0000000000000001E-3</x:v>
      </x:c>
      <x:c r="Y68" s="29">
        <x:v>0</x:v>
      </x:c>
      <x:c r="Z68" s="29">
        <x:v>2E-3</x:v>
      </x:c>
      <x:c r="AA68" s="25" t="str">
        <x:f t="shared" si="3"/>
        <x:v>可回读</x:v>
      </x:c>
      <x:c r="AB68" s="25" t="s">
        <x:v>441</x:v>
      </x:c>
      <x:c r="AC68" s="25" t="s">
        <x:v>472</x:v>
      </x:c>
      <x:c r="AD68" s="25" t="s">
        <x:v>473</x:v>
      </x:c>
    </x:row>
  </x:sheetData>
  <x:mergeCells>
    <x:mergeCell ref="A1:AD1"/>
    <x:mergeCell ref="A2:AD2"/>
    <x:mergeCell ref="A4:F4"/>
    <x:mergeCell ref="G4:L4"/>
    <x:mergeCell ref="O4:U4"/>
    <x:mergeCell ref="V4:Z4"/>
    <x:mergeCell ref="AA4:AD4"/>
  </x:mergeCells>
  <x:dataValidations count="2">
    <x:dataValidation type="decimal" sqref="G6:M68">
      <x:formula1>0</x:formula1>
      <x:formula2>999999</x:formula2>
    </x:dataValidation>
    <x:dataValidation type="decimal" sqref="O6:Z68">
      <x:formula1>0</x:formula1>
      <x:formula2>1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30" customWidth="1"/>
    <x:col min="3" max="4" width="15" customWidth="1"/>
    <x:col min="5" max="6" width="16" customWidth="1"/>
    <x:col min="7" max="8" width="13" customWidth="1"/>
    <x:col min="9" max="9" width="19" customWidth="1"/>
    <x:col min="10" max="10" width="16" customWidth="1"/>
    <x:col min="11" max="11" width="21" customWidth="1"/>
    <x:col min="12" max="12" width="17" customWidth="1"/>
    <x:col min="13" max="13" width="25" customWidth="1"/>
    <x:col min="14" max="14" width="29" customWidth="1"/>
    <x:col min="15" max="15" width="16" customWidth="1"/>
    <x:col min="16" max="16" width="20" customWidth="1"/>
    <x:col min="17" max="18" width="14" customWidth="1"/>
    <x:col min="19" max="19" width="15" customWidth="1"/>
    <x:col min="20" max="21" width="14" customWidth="1"/>
    <x:col min="22" max="22" width="24" customWidth="1"/>
    <x:col min="23" max="23" width="16" customWidth="1"/>
    <x:col min="24" max="24" width="52" customWidth="1"/>
  </x:cols>
  <x:sheetData>
    <x:row r="1" ht="15">
      <x:c r="A1" s="31" t="s">
        <x:v>474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</x:row>
    <x:row r="2" ht="16.5">
      <x:c r="A2" s="13" t="s">
        <x:v>475</x:v>
      </x:c>
      <x:c r="B2" s="13">
        <x:v>3</x:v>
      </x:c>
      <x:c r="C2" s="13" t="s">
        <x:v>476</x:v>
      </x:c>
      <x:c r="D2" s="13" t="s">
        <x:v>477</x:v>
      </x:c>
      <x:c r="E2" s="13" t="s">
        <x:v>478</x:v>
      </x:c>
      <x:c r="F2" s="13">
        <x:v>63</x:v>
      </x:c>
      <x:c r="G2" s="13" t="s">
        <x:v>479</x:v>
      </x:c>
      <x:c r="H2" s="13" t="s">
        <x:v>480</x:v>
      </x:c>
    </x:row>
    <x:row r="4" ht="30">
      <x:c r="A4" s="20" t="s">
        <x:v>475</x:v>
      </x:c>
      <x:c r="B4" s="20" t="s">
        <x:v>481</x:v>
      </x:c>
      <x:c r="C4" s="20" t="s">
        <x:v>482</x:v>
      </x:c>
      <x:c r="D4" s="20" t="s">
        <x:v>483</x:v>
      </x:c>
      <x:c r="E4" s="20" t="s">
        <x:v>484</x:v>
      </x:c>
      <x:c r="F4" s="20" t="s">
        <x:v>485</x:v>
      </x:c>
      <x:c r="G4" s="20" t="s">
        <x:v>486</x:v>
      </x:c>
      <x:c r="H4" s="20" t="s">
        <x:v>487</x:v>
      </x:c>
      <x:c r="I4" s="20" t="s">
        <x:v>488</x:v>
      </x:c>
      <x:c r="J4" s="20" t="s">
        <x:v>489</x:v>
      </x:c>
      <x:c r="K4" s="20" t="s">
        <x:v>490</x:v>
      </x:c>
      <x:c r="L4" s="20" t="s">
        <x:v>491</x:v>
      </x:c>
      <x:c r="M4" s="20" t="s">
        <x:v>492</x:v>
      </x:c>
      <x:c r="N4" s="20" t="s">
        <x:v>493</x:v>
      </x:c>
      <x:c r="O4" s="20" t="s">
        <x:v>494</x:v>
      </x:c>
      <x:c r="P4" s="20" t="s">
        <x:v>495</x:v>
      </x:c>
      <x:c r="Q4" s="20" t="s">
        <x:v>496</x:v>
      </x:c>
      <x:c r="R4" s="20" t="s">
        <x:v>497</x:v>
      </x:c>
      <x:c r="S4" s="20" t="s">
        <x:v>498</x:v>
      </x:c>
      <x:c r="T4" s="20" t="s">
        <x:v>499</x:v>
      </x:c>
      <x:c r="U4" s="20" t="s">
        <x:v>500</x:v>
      </x:c>
      <x:c r="V4" s="20" t="s">
        <x:v>501</x:v>
      </x:c>
      <x:c r="W4" s="20" t="s">
        <x:v>502</x:v>
      </x:c>
      <x:c r="X4" s="20" t="s">
        <x:v>503</x:v>
      </x:c>
    </x:row>
    <x:row r="5" ht="16.5">
      <x:c r="A5" s="13">
        <x:v>3</x:v>
      </x:c>
      <x:c r="B5" s="13" t="e">
        <x:f>敌人目录!B6</x:f>
        <x:v>#NAME?</x:v>
      </x:c>
      <x:c r="C5" s="13" t="e">
        <x:f>敌人目录!G6</x:f>
        <x:v>#NAME?</x:v>
      </x:c>
      <x:c r="D5" s="13" t="e">
        <x:f>敌人目录!H6</x:f>
        <x:v>#NAME?</x:v>
      </x:c>
      <x:c r="E5" s="13" t="e">
        <x:f>敌人目录!I6</x:f>
        <x:v>#NAME?</x:v>
      </x:c>
      <x:c r="F5" s="13" t="e">
        <x:f>敌人目录!J6</x:f>
        <x:v>#NAME?</x:v>
      </x:c>
      <x:c r="G5" s="13" t="e">
        <x:f>敌人目录!K6</x:f>
        <x:v>#NAME?</x:v>
      </x:c>
      <x:c r="H5" s="13" t="e">
        <x:f>敌人目录!L6</x:f>
        <x:v>#NAME?</x:v>
      </x:c>
      <x:c r="I5" s="13" t="e">
        <x:f>敌人目录!M6</x:f>
        <x:v>#NAME?</x:v>
      </x:c>
      <x:c r="J5" s="13" t="e">
        <x:f>敌人目录!O6</x:f>
        <x:v>#NAME?</x:v>
      </x:c>
      <x:c r="K5" s="13" t="e">
        <x:f>敌人目录!P6</x:f>
        <x:v>#NAME?</x:v>
      </x:c>
      <x:c r="L5" s="13" t="e">
        <x:f>敌人目录!Q6</x:f>
        <x:v>#NAME?</x:v>
      </x:c>
      <x:c r="M5" s="13" t="e">
        <x:f>敌人目录!R6</x:f>
        <x:v>#NAME?</x:v>
      </x:c>
      <x:c r="N5" s="13" t="e">
        <x:f>敌人目录!S6</x:f>
        <x:v>#NAME?</x:v>
      </x:c>
      <x:c r="O5" s="13" t="e">
        <x:f>敌人目录!T6</x:f>
        <x:v>#NAME?</x:v>
      </x:c>
      <x:c r="P5" s="13" t="e">
        <x:f>敌人目录!U6</x:f>
        <x:v>#NAME?</x:v>
      </x:c>
      <x:c r="Q5" s="13" t="e">
        <x:f>敌人目录!V6</x:f>
        <x:v>#NAME?</x:v>
      </x:c>
      <x:c r="R5" s="13" t="e">
        <x:f>敌人目录!W6</x:f>
        <x:v>#NAME?</x:v>
      </x:c>
      <x:c r="S5" s="13" t="e">
        <x:f>敌人目录!X6</x:f>
        <x:v>#NAME?</x:v>
      </x:c>
      <x:c r="T5" s="13" t="e">
        <x:f>敌人目录!Y6</x:f>
        <x:v>#NAME?</x:v>
      </x:c>
      <x:c r="U5" s="13" t="e">
        <x:f>敌人目录!Z6</x:f>
        <x:v>#NAME?</x:v>
      </x:c>
      <x:c r="V5" s="13" t="e">
        <x:f>敌人目录!N6</x:f>
        <x:v>#NAME?</x:v>
      </x:c>
      <x:c r="W5" s="13" t="e">
        <x:f>敌人目录!AA6</x:f>
        <x:v>#NAME?</x:v>
      </x:c>
      <x:c r="X5" s="13" t="e">
        <x:f>敌人目录!AC6</x:f>
        <x:v>#NAME?</x:v>
      </x:c>
    </x:row>
    <x:row r="6" ht="16.5">
      <x:c r="A6" s="13">
        <x:v>3</x:v>
      </x:c>
      <x:c r="B6" s="13" t="e">
        <x:f>敌人目录!B7</x:f>
        <x:v>#NAME?</x:v>
      </x:c>
      <x:c r="C6" s="13" t="e">
        <x:f>敌人目录!G7</x:f>
        <x:v>#NAME?</x:v>
      </x:c>
      <x:c r="D6" s="13" t="e">
        <x:f>敌人目录!H7</x:f>
        <x:v>#NAME?</x:v>
      </x:c>
      <x:c r="E6" s="13" t="e">
        <x:f>敌人目录!I7</x:f>
        <x:v>#NAME?</x:v>
      </x:c>
      <x:c r="F6" s="13" t="e">
        <x:f>敌人目录!J7</x:f>
        <x:v>#NAME?</x:v>
      </x:c>
      <x:c r="G6" s="13" t="e">
        <x:f>敌人目录!K7</x:f>
        <x:v>#NAME?</x:v>
      </x:c>
      <x:c r="H6" s="13" t="e">
        <x:f>敌人目录!L7</x:f>
        <x:v>#NAME?</x:v>
      </x:c>
      <x:c r="I6" s="13" t="e">
        <x:f>敌人目录!M7</x:f>
        <x:v>#NAME?</x:v>
      </x:c>
      <x:c r="J6" s="13" t="e">
        <x:f>敌人目录!O7</x:f>
        <x:v>#NAME?</x:v>
      </x:c>
      <x:c r="K6" s="13" t="e">
        <x:f>敌人目录!P7</x:f>
        <x:v>#NAME?</x:v>
      </x:c>
      <x:c r="L6" s="13" t="e">
        <x:f>敌人目录!Q7</x:f>
        <x:v>#NAME?</x:v>
      </x:c>
      <x:c r="M6" s="13" t="e">
        <x:f>敌人目录!R7</x:f>
        <x:v>#NAME?</x:v>
      </x:c>
      <x:c r="N6" s="13" t="e">
        <x:f>敌人目录!S7</x:f>
        <x:v>#NAME?</x:v>
      </x:c>
      <x:c r="O6" s="13" t="e">
        <x:f>敌人目录!T7</x:f>
        <x:v>#NAME?</x:v>
      </x:c>
      <x:c r="P6" s="13" t="e">
        <x:f>敌人目录!U7</x:f>
        <x:v>#NAME?</x:v>
      </x:c>
      <x:c r="Q6" s="13" t="e">
        <x:f>敌人目录!V7</x:f>
        <x:v>#NAME?</x:v>
      </x:c>
      <x:c r="R6" s="13" t="e">
        <x:f>敌人目录!W7</x:f>
        <x:v>#NAME?</x:v>
      </x:c>
      <x:c r="S6" s="13" t="e">
        <x:f>敌人目录!X7</x:f>
        <x:v>#NAME?</x:v>
      </x:c>
      <x:c r="T6" s="13" t="e">
        <x:f>敌人目录!Y7</x:f>
        <x:v>#NAME?</x:v>
      </x:c>
      <x:c r="U6" s="13" t="e">
        <x:f>敌人目录!Z7</x:f>
        <x:v>#NAME?</x:v>
      </x:c>
      <x:c r="V6" s="13" t="e">
        <x:f>敌人目录!N7</x:f>
        <x:v>#NAME?</x:v>
      </x:c>
      <x:c r="W6" s="13" t="e">
        <x:f>敌人目录!AA7</x:f>
        <x:v>#NAME?</x:v>
      </x:c>
      <x:c r="X6" s="13" t="e">
        <x:f>敌人目录!AC7</x:f>
        <x:v>#NAME?</x:v>
      </x:c>
    </x:row>
    <x:row r="7" ht="16.5">
      <x:c r="A7" s="13">
        <x:v>3</x:v>
      </x:c>
      <x:c r="B7" s="13" t="e">
        <x:f>敌人目录!B8</x:f>
        <x:v>#NAME?</x:v>
      </x:c>
      <x:c r="C7" s="13" t="e">
        <x:f>敌人目录!G8</x:f>
        <x:v>#NAME?</x:v>
      </x:c>
      <x:c r="D7" s="13" t="e">
        <x:f>敌人目录!H8</x:f>
        <x:v>#NAME?</x:v>
      </x:c>
      <x:c r="E7" s="13" t="e">
        <x:f>敌人目录!I8</x:f>
        <x:v>#NAME?</x:v>
      </x:c>
      <x:c r="F7" s="13" t="e">
        <x:f>敌人目录!J8</x:f>
        <x:v>#NAME?</x:v>
      </x:c>
      <x:c r="G7" s="13" t="e">
        <x:f>敌人目录!K8</x:f>
        <x:v>#NAME?</x:v>
      </x:c>
      <x:c r="H7" s="13" t="e">
        <x:f>敌人目录!L8</x:f>
        <x:v>#NAME?</x:v>
      </x:c>
      <x:c r="I7" s="13" t="e">
        <x:f>敌人目录!M8</x:f>
        <x:v>#NAME?</x:v>
      </x:c>
      <x:c r="J7" s="13" t="e">
        <x:f>敌人目录!O8</x:f>
        <x:v>#NAME?</x:v>
      </x:c>
      <x:c r="K7" s="13" t="e">
        <x:f>敌人目录!P8</x:f>
        <x:v>#NAME?</x:v>
      </x:c>
      <x:c r="L7" s="13" t="e">
        <x:f>敌人目录!Q8</x:f>
        <x:v>#NAME?</x:v>
      </x:c>
      <x:c r="M7" s="13" t="e">
        <x:f>敌人目录!R8</x:f>
        <x:v>#NAME?</x:v>
      </x:c>
      <x:c r="N7" s="13" t="e">
        <x:f>敌人目录!S8</x:f>
        <x:v>#NAME?</x:v>
      </x:c>
      <x:c r="O7" s="13" t="e">
        <x:f>敌人目录!T8</x:f>
        <x:v>#NAME?</x:v>
      </x:c>
      <x:c r="P7" s="13" t="e">
        <x:f>敌人目录!U8</x:f>
        <x:v>#NAME?</x:v>
      </x:c>
      <x:c r="Q7" s="13" t="e">
        <x:f>敌人目录!V8</x:f>
        <x:v>#NAME?</x:v>
      </x:c>
      <x:c r="R7" s="13" t="e">
        <x:f>敌人目录!W8</x:f>
        <x:v>#NAME?</x:v>
      </x:c>
      <x:c r="S7" s="13" t="e">
        <x:f>敌人目录!X8</x:f>
        <x:v>#NAME?</x:v>
      </x:c>
      <x:c r="T7" s="13" t="e">
        <x:f>敌人目录!Y8</x:f>
        <x:v>#NAME?</x:v>
      </x:c>
      <x:c r="U7" s="13" t="e">
        <x:f>敌人目录!Z8</x:f>
        <x:v>#NAME?</x:v>
      </x:c>
      <x:c r="V7" s="13" t="e">
        <x:f>敌人目录!N8</x:f>
        <x:v>#NAME?</x:v>
      </x:c>
      <x:c r="W7" s="13" t="e">
        <x:f>敌人目录!AA8</x:f>
        <x:v>#NAME?</x:v>
      </x:c>
      <x:c r="X7" s="13" t="e">
        <x:f>敌人目录!AC8</x:f>
        <x:v>#NAME?</x:v>
      </x:c>
    </x:row>
    <x:row r="8" ht="16.5">
      <x:c r="A8" s="13">
        <x:v>3</x:v>
      </x:c>
      <x:c r="B8" s="13" t="e">
        <x:f>敌人目录!B9</x:f>
        <x:v>#NAME?</x:v>
      </x:c>
      <x:c r="C8" s="13" t="e">
        <x:f>敌人目录!G9</x:f>
        <x:v>#NAME?</x:v>
      </x:c>
      <x:c r="D8" s="13" t="e">
        <x:f>敌人目录!H9</x:f>
        <x:v>#NAME?</x:v>
      </x:c>
      <x:c r="E8" s="13" t="e">
        <x:f>敌人目录!I9</x:f>
        <x:v>#NAME?</x:v>
      </x:c>
      <x:c r="F8" s="13" t="e">
        <x:f>敌人目录!J9</x:f>
        <x:v>#NAME?</x:v>
      </x:c>
      <x:c r="G8" s="13" t="e">
        <x:f>敌人目录!K9</x:f>
        <x:v>#NAME?</x:v>
      </x:c>
      <x:c r="H8" s="13" t="e">
        <x:f>敌人目录!L9</x:f>
        <x:v>#NAME?</x:v>
      </x:c>
      <x:c r="I8" s="13" t="e">
        <x:f>敌人目录!M9</x:f>
        <x:v>#NAME?</x:v>
      </x:c>
      <x:c r="J8" s="13" t="e">
        <x:f>敌人目录!O9</x:f>
        <x:v>#NAME?</x:v>
      </x:c>
      <x:c r="K8" s="13" t="e">
        <x:f>敌人目录!P9</x:f>
        <x:v>#NAME?</x:v>
      </x:c>
      <x:c r="L8" s="13" t="e">
        <x:f>敌人目录!Q9</x:f>
        <x:v>#NAME?</x:v>
      </x:c>
      <x:c r="M8" s="13" t="e">
        <x:f>敌人目录!R9</x:f>
        <x:v>#NAME?</x:v>
      </x:c>
      <x:c r="N8" s="13" t="e">
        <x:f>敌人目录!S9</x:f>
        <x:v>#NAME?</x:v>
      </x:c>
      <x:c r="O8" s="13" t="e">
        <x:f>敌人目录!T9</x:f>
        <x:v>#NAME?</x:v>
      </x:c>
      <x:c r="P8" s="13" t="e">
        <x:f>敌人目录!U9</x:f>
        <x:v>#NAME?</x:v>
      </x:c>
      <x:c r="Q8" s="13" t="e">
        <x:f>敌人目录!V9</x:f>
        <x:v>#NAME?</x:v>
      </x:c>
      <x:c r="R8" s="13" t="e">
        <x:f>敌人目录!W9</x:f>
        <x:v>#NAME?</x:v>
      </x:c>
      <x:c r="S8" s="13" t="e">
        <x:f>敌人目录!X9</x:f>
        <x:v>#NAME?</x:v>
      </x:c>
      <x:c r="T8" s="13" t="e">
        <x:f>敌人目录!Y9</x:f>
        <x:v>#NAME?</x:v>
      </x:c>
      <x:c r="U8" s="13" t="e">
        <x:f>敌人目录!Z9</x:f>
        <x:v>#NAME?</x:v>
      </x:c>
      <x:c r="V8" s="13" t="e">
        <x:f>敌人目录!N9</x:f>
        <x:v>#NAME?</x:v>
      </x:c>
      <x:c r="W8" s="13" t="e">
        <x:f>敌人目录!AA9</x:f>
        <x:v>#NAME?</x:v>
      </x:c>
      <x:c r="X8" s="13" t="e">
        <x:f>敌人目录!AC9</x:f>
        <x:v>#NAME?</x:v>
      </x:c>
    </x:row>
    <x:row r="9" ht="16.5">
      <x:c r="A9" s="13">
        <x:v>3</x:v>
      </x:c>
      <x:c r="B9" s="13" t="e">
        <x:f>敌人目录!B10</x:f>
        <x:v>#NAME?</x:v>
      </x:c>
      <x:c r="C9" s="13" t="e">
        <x:f>敌人目录!G10</x:f>
        <x:v>#NAME?</x:v>
      </x:c>
      <x:c r="D9" s="13" t="e">
        <x:f>敌人目录!H10</x:f>
        <x:v>#NAME?</x:v>
      </x:c>
      <x:c r="E9" s="13" t="e">
        <x:f>敌人目录!I10</x:f>
        <x:v>#NAME?</x:v>
      </x:c>
      <x:c r="F9" s="13" t="e">
        <x:f>敌人目录!J10</x:f>
        <x:v>#NAME?</x:v>
      </x:c>
      <x:c r="G9" s="13" t="e">
        <x:f>敌人目录!K10</x:f>
        <x:v>#NAME?</x:v>
      </x:c>
      <x:c r="H9" s="13" t="e">
        <x:f>敌人目录!L10</x:f>
        <x:v>#NAME?</x:v>
      </x:c>
      <x:c r="I9" s="13" t="e">
        <x:f>敌人目录!M10</x:f>
        <x:v>#NAME?</x:v>
      </x:c>
      <x:c r="J9" s="13" t="e">
        <x:f>敌人目录!O10</x:f>
        <x:v>#NAME?</x:v>
      </x:c>
      <x:c r="K9" s="13" t="e">
        <x:f>敌人目录!P10</x:f>
        <x:v>#NAME?</x:v>
      </x:c>
      <x:c r="L9" s="13" t="e">
        <x:f>敌人目录!Q10</x:f>
        <x:v>#NAME?</x:v>
      </x:c>
      <x:c r="M9" s="13" t="e">
        <x:f>敌人目录!R10</x:f>
        <x:v>#NAME?</x:v>
      </x:c>
      <x:c r="N9" s="13" t="e">
        <x:f>敌人目录!S10</x:f>
        <x:v>#NAME?</x:v>
      </x:c>
      <x:c r="O9" s="13" t="e">
        <x:f>敌人目录!T10</x:f>
        <x:v>#NAME?</x:v>
      </x:c>
      <x:c r="P9" s="13" t="e">
        <x:f>敌人目录!U10</x:f>
        <x:v>#NAME?</x:v>
      </x:c>
      <x:c r="Q9" s="13" t="e">
        <x:f>敌人目录!V10</x:f>
        <x:v>#NAME?</x:v>
      </x:c>
      <x:c r="R9" s="13" t="e">
        <x:f>敌人目录!W10</x:f>
        <x:v>#NAME?</x:v>
      </x:c>
      <x:c r="S9" s="13" t="e">
        <x:f>敌人目录!X10</x:f>
        <x:v>#NAME?</x:v>
      </x:c>
      <x:c r="T9" s="13" t="e">
        <x:f>敌人目录!Y10</x:f>
        <x:v>#NAME?</x:v>
      </x:c>
      <x:c r="U9" s="13" t="e">
        <x:f>敌人目录!Z10</x:f>
        <x:v>#NAME?</x:v>
      </x:c>
      <x:c r="V9" s="13" t="e">
        <x:f>敌人目录!N10</x:f>
        <x:v>#NAME?</x:v>
      </x:c>
      <x:c r="W9" s="13" t="e">
        <x:f>敌人目录!AA10</x:f>
        <x:v>#NAME?</x:v>
      </x:c>
      <x:c r="X9" s="13" t="e">
        <x:f>敌人目录!AC10</x:f>
        <x:v>#NAME?</x:v>
      </x:c>
    </x:row>
    <x:row r="10" ht="16.5">
      <x:c r="A10" s="13">
        <x:v>3</x:v>
      </x:c>
      <x:c r="B10" s="13" t="e">
        <x:f>敌人目录!B11</x:f>
        <x:v>#NAME?</x:v>
      </x:c>
      <x:c r="C10" s="13" t="e">
        <x:f>敌人目录!G11</x:f>
        <x:v>#NAME?</x:v>
      </x:c>
      <x:c r="D10" s="13" t="e">
        <x:f>敌人目录!H11</x:f>
        <x:v>#NAME?</x:v>
      </x:c>
      <x:c r="E10" s="13" t="e">
        <x:f>敌人目录!I11</x:f>
        <x:v>#NAME?</x:v>
      </x:c>
      <x:c r="F10" s="13" t="e">
        <x:f>敌人目录!J11</x:f>
        <x:v>#NAME?</x:v>
      </x:c>
      <x:c r="G10" s="13" t="e">
        <x:f>敌人目录!K11</x:f>
        <x:v>#NAME?</x:v>
      </x:c>
      <x:c r="H10" s="13" t="e">
        <x:f>敌人目录!L11</x:f>
        <x:v>#NAME?</x:v>
      </x:c>
      <x:c r="I10" s="13" t="e">
        <x:f>敌人目录!M11</x:f>
        <x:v>#NAME?</x:v>
      </x:c>
      <x:c r="J10" s="13" t="e">
        <x:f>敌人目录!O11</x:f>
        <x:v>#NAME?</x:v>
      </x:c>
      <x:c r="K10" s="13" t="e">
        <x:f>敌人目录!P11</x:f>
        <x:v>#NAME?</x:v>
      </x:c>
      <x:c r="L10" s="13" t="e">
        <x:f>敌人目录!Q11</x:f>
        <x:v>#NAME?</x:v>
      </x:c>
      <x:c r="M10" s="13" t="e">
        <x:f>敌人目录!R11</x:f>
        <x:v>#NAME?</x:v>
      </x:c>
      <x:c r="N10" s="13" t="e">
        <x:f>敌人目录!S11</x:f>
        <x:v>#NAME?</x:v>
      </x:c>
      <x:c r="O10" s="13" t="e">
        <x:f>敌人目录!T11</x:f>
        <x:v>#NAME?</x:v>
      </x:c>
      <x:c r="P10" s="13" t="e">
        <x:f>敌人目录!U11</x:f>
        <x:v>#NAME?</x:v>
      </x:c>
      <x:c r="Q10" s="13" t="e">
        <x:f>敌人目录!V11</x:f>
        <x:v>#NAME?</x:v>
      </x:c>
      <x:c r="R10" s="13" t="e">
        <x:f>敌人目录!W11</x:f>
        <x:v>#NAME?</x:v>
      </x:c>
      <x:c r="S10" s="13" t="e">
        <x:f>敌人目录!X11</x:f>
        <x:v>#NAME?</x:v>
      </x:c>
      <x:c r="T10" s="13" t="e">
        <x:f>敌人目录!Y11</x:f>
        <x:v>#NAME?</x:v>
      </x:c>
      <x:c r="U10" s="13" t="e">
        <x:f>敌人目录!Z11</x:f>
        <x:v>#NAME?</x:v>
      </x:c>
      <x:c r="V10" s="13" t="e">
        <x:f>敌人目录!N11</x:f>
        <x:v>#NAME?</x:v>
      </x:c>
      <x:c r="W10" s="13" t="e">
        <x:f>敌人目录!AA11</x:f>
        <x:v>#NAME?</x:v>
      </x:c>
      <x:c r="X10" s="13" t="e">
        <x:f>敌人目录!AC11</x:f>
        <x:v>#NAME?</x:v>
      </x:c>
    </x:row>
    <x:row r="11" ht="16.5">
      <x:c r="A11" s="13">
        <x:v>3</x:v>
      </x:c>
      <x:c r="B11" s="13" t="e">
        <x:f>敌人目录!B12</x:f>
        <x:v>#NAME?</x:v>
      </x:c>
      <x:c r="C11" s="13" t="e">
        <x:f>敌人目录!G12</x:f>
        <x:v>#NAME?</x:v>
      </x:c>
      <x:c r="D11" s="13" t="e">
        <x:f>敌人目录!H12</x:f>
        <x:v>#NAME?</x:v>
      </x:c>
      <x:c r="E11" s="13" t="e">
        <x:f>敌人目录!I12</x:f>
        <x:v>#NAME?</x:v>
      </x:c>
      <x:c r="F11" s="13" t="e">
        <x:f>敌人目录!J12</x:f>
        <x:v>#NAME?</x:v>
      </x:c>
      <x:c r="G11" s="13" t="e">
        <x:f>敌人目录!K12</x:f>
        <x:v>#NAME?</x:v>
      </x:c>
      <x:c r="H11" s="13" t="e">
        <x:f>敌人目录!L12</x:f>
        <x:v>#NAME?</x:v>
      </x:c>
      <x:c r="I11" s="13" t="e">
        <x:f>敌人目录!M12</x:f>
        <x:v>#NAME?</x:v>
      </x:c>
      <x:c r="J11" s="13" t="e">
        <x:f>敌人目录!O12</x:f>
        <x:v>#NAME?</x:v>
      </x:c>
      <x:c r="K11" s="13" t="e">
        <x:f>敌人目录!P12</x:f>
        <x:v>#NAME?</x:v>
      </x:c>
      <x:c r="L11" s="13" t="e">
        <x:f>敌人目录!Q12</x:f>
        <x:v>#NAME?</x:v>
      </x:c>
      <x:c r="M11" s="13" t="e">
        <x:f>敌人目录!R12</x:f>
        <x:v>#NAME?</x:v>
      </x:c>
      <x:c r="N11" s="13" t="e">
        <x:f>敌人目录!S12</x:f>
        <x:v>#NAME?</x:v>
      </x:c>
      <x:c r="O11" s="13" t="e">
        <x:f>敌人目录!T12</x:f>
        <x:v>#NAME?</x:v>
      </x:c>
      <x:c r="P11" s="13" t="e">
        <x:f>敌人目录!U12</x:f>
        <x:v>#NAME?</x:v>
      </x:c>
      <x:c r="Q11" s="13" t="e">
        <x:f>敌人目录!V12</x:f>
        <x:v>#NAME?</x:v>
      </x:c>
      <x:c r="R11" s="13" t="e">
        <x:f>敌人目录!W12</x:f>
        <x:v>#NAME?</x:v>
      </x:c>
      <x:c r="S11" s="13" t="e">
        <x:f>敌人目录!X12</x:f>
        <x:v>#NAME?</x:v>
      </x:c>
      <x:c r="T11" s="13" t="e">
        <x:f>敌人目录!Y12</x:f>
        <x:v>#NAME?</x:v>
      </x:c>
      <x:c r="U11" s="13" t="e">
        <x:f>敌人目录!Z12</x:f>
        <x:v>#NAME?</x:v>
      </x:c>
      <x:c r="V11" s="13" t="e">
        <x:f>敌人目录!N12</x:f>
        <x:v>#NAME?</x:v>
      </x:c>
      <x:c r="W11" s="13" t="e">
        <x:f>敌人目录!AA12</x:f>
        <x:v>#NAME?</x:v>
      </x:c>
      <x:c r="X11" s="13" t="e">
        <x:f>敌人目录!AC12</x:f>
        <x:v>#NAME?</x:v>
      </x:c>
    </x:row>
    <x:row r="12" ht="16.5">
      <x:c r="A12" s="13">
        <x:v>3</x:v>
      </x:c>
      <x:c r="B12" s="13" t="e">
        <x:f>敌人目录!B13</x:f>
        <x:v>#NAME?</x:v>
      </x:c>
      <x:c r="C12" s="13" t="e">
        <x:f>敌人目录!G13</x:f>
        <x:v>#NAME?</x:v>
      </x:c>
      <x:c r="D12" s="13" t="e">
        <x:f>敌人目录!H13</x:f>
        <x:v>#NAME?</x:v>
      </x:c>
      <x:c r="E12" s="13" t="e">
        <x:f>敌人目录!I13</x:f>
        <x:v>#NAME?</x:v>
      </x:c>
      <x:c r="F12" s="13" t="e">
        <x:f>敌人目录!J13</x:f>
        <x:v>#NAME?</x:v>
      </x:c>
      <x:c r="G12" s="13" t="e">
        <x:f>敌人目录!K13</x:f>
        <x:v>#NAME?</x:v>
      </x:c>
      <x:c r="H12" s="13" t="e">
        <x:f>敌人目录!L13</x:f>
        <x:v>#NAME?</x:v>
      </x:c>
      <x:c r="I12" s="13" t="e">
        <x:f>敌人目录!M13</x:f>
        <x:v>#NAME?</x:v>
      </x:c>
      <x:c r="J12" s="13" t="e">
        <x:f>敌人目录!O13</x:f>
        <x:v>#NAME?</x:v>
      </x:c>
      <x:c r="K12" s="13" t="e">
        <x:f>敌人目录!P13</x:f>
        <x:v>#NAME?</x:v>
      </x:c>
      <x:c r="L12" s="13" t="e">
        <x:f>敌人目录!Q13</x:f>
        <x:v>#NAME?</x:v>
      </x:c>
      <x:c r="M12" s="13" t="e">
        <x:f>敌人目录!R13</x:f>
        <x:v>#NAME?</x:v>
      </x:c>
      <x:c r="N12" s="13" t="e">
        <x:f>敌人目录!S13</x:f>
        <x:v>#NAME?</x:v>
      </x:c>
      <x:c r="O12" s="13" t="e">
        <x:f>敌人目录!T13</x:f>
        <x:v>#NAME?</x:v>
      </x:c>
      <x:c r="P12" s="13" t="e">
        <x:f>敌人目录!U13</x:f>
        <x:v>#NAME?</x:v>
      </x:c>
      <x:c r="Q12" s="13" t="e">
        <x:f>敌人目录!V13</x:f>
        <x:v>#NAME?</x:v>
      </x:c>
      <x:c r="R12" s="13" t="e">
        <x:f>敌人目录!W13</x:f>
        <x:v>#NAME?</x:v>
      </x:c>
      <x:c r="S12" s="13" t="e">
        <x:f>敌人目录!X13</x:f>
        <x:v>#NAME?</x:v>
      </x:c>
      <x:c r="T12" s="13" t="e">
        <x:f>敌人目录!Y13</x:f>
        <x:v>#NAME?</x:v>
      </x:c>
      <x:c r="U12" s="13" t="e">
        <x:f>敌人目录!Z13</x:f>
        <x:v>#NAME?</x:v>
      </x:c>
      <x:c r="V12" s="13" t="e">
        <x:f>敌人目录!N13</x:f>
        <x:v>#NAME?</x:v>
      </x:c>
      <x:c r="W12" s="13" t="e">
        <x:f>敌人目录!AA13</x:f>
        <x:v>#NAME?</x:v>
      </x:c>
      <x:c r="X12" s="13" t="e">
        <x:f>敌人目录!AC13</x:f>
        <x:v>#NAME?</x:v>
      </x:c>
    </x:row>
    <x:row r="13" ht="16.5">
      <x:c r="A13" s="13">
        <x:v>3</x:v>
      </x:c>
      <x:c r="B13" s="13" t="e">
        <x:f>敌人目录!B14</x:f>
        <x:v>#NAME?</x:v>
      </x:c>
      <x:c r="C13" s="13" t="e">
        <x:f>敌人目录!G14</x:f>
        <x:v>#NAME?</x:v>
      </x:c>
      <x:c r="D13" s="13" t="e">
        <x:f>敌人目录!H14</x:f>
        <x:v>#NAME?</x:v>
      </x:c>
      <x:c r="E13" s="13" t="e">
        <x:f>敌人目录!I14</x:f>
        <x:v>#NAME?</x:v>
      </x:c>
      <x:c r="F13" s="13" t="e">
        <x:f>敌人目录!J14</x:f>
        <x:v>#NAME?</x:v>
      </x:c>
      <x:c r="G13" s="13" t="e">
        <x:f>敌人目录!K14</x:f>
        <x:v>#NAME?</x:v>
      </x:c>
      <x:c r="H13" s="13" t="e">
        <x:f>敌人目录!L14</x:f>
        <x:v>#NAME?</x:v>
      </x:c>
      <x:c r="I13" s="13" t="e">
        <x:f>敌人目录!M14</x:f>
        <x:v>#NAME?</x:v>
      </x:c>
      <x:c r="J13" s="13" t="e">
        <x:f>敌人目录!O14</x:f>
        <x:v>#NAME?</x:v>
      </x:c>
      <x:c r="K13" s="13" t="e">
        <x:f>敌人目录!P14</x:f>
        <x:v>#NAME?</x:v>
      </x:c>
      <x:c r="L13" s="13" t="e">
        <x:f>敌人目录!Q14</x:f>
        <x:v>#NAME?</x:v>
      </x:c>
      <x:c r="M13" s="13" t="e">
        <x:f>敌人目录!R14</x:f>
        <x:v>#NAME?</x:v>
      </x:c>
      <x:c r="N13" s="13" t="e">
        <x:f>敌人目录!S14</x:f>
        <x:v>#NAME?</x:v>
      </x:c>
      <x:c r="O13" s="13" t="e">
        <x:f>敌人目录!T14</x:f>
        <x:v>#NAME?</x:v>
      </x:c>
      <x:c r="P13" s="13" t="e">
        <x:f>敌人目录!U14</x:f>
        <x:v>#NAME?</x:v>
      </x:c>
      <x:c r="Q13" s="13" t="e">
        <x:f>敌人目录!V14</x:f>
        <x:v>#NAME?</x:v>
      </x:c>
      <x:c r="R13" s="13" t="e">
        <x:f>敌人目录!W14</x:f>
        <x:v>#NAME?</x:v>
      </x:c>
      <x:c r="S13" s="13" t="e">
        <x:f>敌人目录!X14</x:f>
        <x:v>#NAME?</x:v>
      </x:c>
      <x:c r="T13" s="13" t="e">
        <x:f>敌人目录!Y14</x:f>
        <x:v>#NAME?</x:v>
      </x:c>
      <x:c r="U13" s="13" t="e">
        <x:f>敌人目录!Z14</x:f>
        <x:v>#NAME?</x:v>
      </x:c>
      <x:c r="V13" s="13" t="e">
        <x:f>敌人目录!N14</x:f>
        <x:v>#NAME?</x:v>
      </x:c>
      <x:c r="W13" s="13" t="e">
        <x:f>敌人目录!AA14</x:f>
        <x:v>#NAME?</x:v>
      </x:c>
      <x:c r="X13" s="13" t="e">
        <x:f>敌人目录!AC14</x:f>
        <x:v>#NAME?</x:v>
      </x:c>
    </x:row>
    <x:row r="14" ht="16.5">
      <x:c r="A14" s="13">
        <x:v>3</x:v>
      </x:c>
      <x:c r="B14" s="13" t="e">
        <x:f>敌人目录!B15</x:f>
        <x:v>#NAME?</x:v>
      </x:c>
      <x:c r="C14" s="13" t="e">
        <x:f>敌人目录!G15</x:f>
        <x:v>#NAME?</x:v>
      </x:c>
      <x:c r="D14" s="13" t="e">
        <x:f>敌人目录!H15</x:f>
        <x:v>#NAME?</x:v>
      </x:c>
      <x:c r="E14" s="13" t="e">
        <x:f>敌人目录!I15</x:f>
        <x:v>#NAME?</x:v>
      </x:c>
      <x:c r="F14" s="13" t="e">
        <x:f>敌人目录!J15</x:f>
        <x:v>#NAME?</x:v>
      </x:c>
      <x:c r="G14" s="13" t="e">
        <x:f>敌人目录!K15</x:f>
        <x:v>#NAME?</x:v>
      </x:c>
      <x:c r="H14" s="13" t="e">
        <x:f>敌人目录!L15</x:f>
        <x:v>#NAME?</x:v>
      </x:c>
      <x:c r="I14" s="13" t="e">
        <x:f>敌人目录!M15</x:f>
        <x:v>#NAME?</x:v>
      </x:c>
      <x:c r="J14" s="13" t="e">
        <x:f>敌人目录!O15</x:f>
        <x:v>#NAME?</x:v>
      </x:c>
      <x:c r="K14" s="13" t="e">
        <x:f>敌人目录!P15</x:f>
        <x:v>#NAME?</x:v>
      </x:c>
      <x:c r="L14" s="13" t="e">
        <x:f>敌人目录!Q15</x:f>
        <x:v>#NAME?</x:v>
      </x:c>
      <x:c r="M14" s="13" t="e">
        <x:f>敌人目录!R15</x:f>
        <x:v>#NAME?</x:v>
      </x:c>
      <x:c r="N14" s="13" t="e">
        <x:f>敌人目录!S15</x:f>
        <x:v>#NAME?</x:v>
      </x:c>
      <x:c r="O14" s="13" t="e">
        <x:f>敌人目录!T15</x:f>
        <x:v>#NAME?</x:v>
      </x:c>
      <x:c r="P14" s="13" t="e">
        <x:f>敌人目录!U15</x:f>
        <x:v>#NAME?</x:v>
      </x:c>
      <x:c r="Q14" s="13" t="e">
        <x:f>敌人目录!V15</x:f>
        <x:v>#NAME?</x:v>
      </x:c>
      <x:c r="R14" s="13" t="e">
        <x:f>敌人目录!W15</x:f>
        <x:v>#NAME?</x:v>
      </x:c>
      <x:c r="S14" s="13" t="e">
        <x:f>敌人目录!X15</x:f>
        <x:v>#NAME?</x:v>
      </x:c>
      <x:c r="T14" s="13" t="e">
        <x:f>敌人目录!Y15</x:f>
        <x:v>#NAME?</x:v>
      </x:c>
      <x:c r="U14" s="13" t="e">
        <x:f>敌人目录!Z15</x:f>
        <x:v>#NAME?</x:v>
      </x:c>
      <x:c r="V14" s="13" t="e">
        <x:f>敌人目录!N15</x:f>
        <x:v>#NAME?</x:v>
      </x:c>
      <x:c r="W14" s="13" t="e">
        <x:f>敌人目录!AA15</x:f>
        <x:v>#NAME?</x:v>
      </x:c>
      <x:c r="X14" s="13" t="e">
        <x:f>敌人目录!AC15</x:f>
        <x:v>#NAME?</x:v>
      </x:c>
    </x:row>
    <x:row r="15" ht="16.5">
      <x:c r="A15" s="13">
        <x:v>3</x:v>
      </x:c>
      <x:c r="B15" s="13" t="e">
        <x:f>敌人目录!B16</x:f>
        <x:v>#NAME?</x:v>
      </x:c>
      <x:c r="C15" s="13" t="e">
        <x:f>敌人目录!G16</x:f>
        <x:v>#NAME?</x:v>
      </x:c>
      <x:c r="D15" s="13" t="e">
        <x:f>敌人目录!H16</x:f>
        <x:v>#NAME?</x:v>
      </x:c>
      <x:c r="E15" s="13" t="e">
        <x:f>敌人目录!I16</x:f>
        <x:v>#NAME?</x:v>
      </x:c>
      <x:c r="F15" s="13" t="e">
        <x:f>敌人目录!J16</x:f>
        <x:v>#NAME?</x:v>
      </x:c>
      <x:c r="G15" s="13" t="e">
        <x:f>敌人目录!K16</x:f>
        <x:v>#NAME?</x:v>
      </x:c>
      <x:c r="H15" s="13" t="e">
        <x:f>敌人目录!L16</x:f>
        <x:v>#NAME?</x:v>
      </x:c>
      <x:c r="I15" s="13" t="e">
        <x:f>敌人目录!M16</x:f>
        <x:v>#NAME?</x:v>
      </x:c>
      <x:c r="J15" s="13" t="e">
        <x:f>敌人目录!O16</x:f>
        <x:v>#NAME?</x:v>
      </x:c>
      <x:c r="K15" s="13" t="e">
        <x:f>敌人目录!P16</x:f>
        <x:v>#NAME?</x:v>
      </x:c>
      <x:c r="L15" s="13" t="e">
        <x:f>敌人目录!Q16</x:f>
        <x:v>#NAME?</x:v>
      </x:c>
      <x:c r="M15" s="13" t="e">
        <x:f>敌人目录!R16</x:f>
        <x:v>#NAME?</x:v>
      </x:c>
      <x:c r="N15" s="13" t="e">
        <x:f>敌人目录!S16</x:f>
        <x:v>#NAME?</x:v>
      </x:c>
      <x:c r="O15" s="13" t="e">
        <x:f>敌人目录!T16</x:f>
        <x:v>#NAME?</x:v>
      </x:c>
      <x:c r="P15" s="13" t="e">
        <x:f>敌人目录!U16</x:f>
        <x:v>#NAME?</x:v>
      </x:c>
      <x:c r="Q15" s="13" t="e">
        <x:f>敌人目录!V16</x:f>
        <x:v>#NAME?</x:v>
      </x:c>
      <x:c r="R15" s="13" t="e">
        <x:f>敌人目录!W16</x:f>
        <x:v>#NAME?</x:v>
      </x:c>
      <x:c r="S15" s="13" t="e">
        <x:f>敌人目录!X16</x:f>
        <x:v>#NAME?</x:v>
      </x:c>
      <x:c r="T15" s="13" t="e">
        <x:f>敌人目录!Y16</x:f>
        <x:v>#NAME?</x:v>
      </x:c>
      <x:c r="U15" s="13" t="e">
        <x:f>敌人目录!Z16</x:f>
        <x:v>#NAME?</x:v>
      </x:c>
      <x:c r="V15" s="13" t="e">
        <x:f>敌人目录!N16</x:f>
        <x:v>#NAME?</x:v>
      </x:c>
      <x:c r="W15" s="13" t="e">
        <x:f>敌人目录!AA16</x:f>
        <x:v>#NAME?</x:v>
      </x:c>
      <x:c r="X15" s="13" t="e">
        <x:f>敌人目录!AC16</x:f>
        <x:v>#NAME?</x:v>
      </x:c>
    </x:row>
    <x:row r="16" ht="16.5">
      <x:c r="A16" s="13">
        <x:v>3</x:v>
      </x:c>
      <x:c r="B16" s="13" t="e">
        <x:f>敌人目录!B17</x:f>
        <x:v>#NAME?</x:v>
      </x:c>
      <x:c r="C16" s="13" t="e">
        <x:f>敌人目录!G17</x:f>
        <x:v>#NAME?</x:v>
      </x:c>
      <x:c r="D16" s="13" t="e">
        <x:f>敌人目录!H17</x:f>
        <x:v>#NAME?</x:v>
      </x:c>
      <x:c r="E16" s="13" t="e">
        <x:f>敌人目录!I17</x:f>
        <x:v>#NAME?</x:v>
      </x:c>
      <x:c r="F16" s="13" t="e">
        <x:f>敌人目录!J17</x:f>
        <x:v>#NAME?</x:v>
      </x:c>
      <x:c r="G16" s="13" t="e">
        <x:f>敌人目录!K17</x:f>
        <x:v>#NAME?</x:v>
      </x:c>
      <x:c r="H16" s="13" t="e">
        <x:f>敌人目录!L17</x:f>
        <x:v>#NAME?</x:v>
      </x:c>
      <x:c r="I16" s="13" t="e">
        <x:f>敌人目录!M17</x:f>
        <x:v>#NAME?</x:v>
      </x:c>
      <x:c r="J16" s="13" t="e">
        <x:f>敌人目录!O17</x:f>
        <x:v>#NAME?</x:v>
      </x:c>
      <x:c r="K16" s="13" t="e">
        <x:f>敌人目录!P17</x:f>
        <x:v>#NAME?</x:v>
      </x:c>
      <x:c r="L16" s="13" t="e">
        <x:f>敌人目录!Q17</x:f>
        <x:v>#NAME?</x:v>
      </x:c>
      <x:c r="M16" s="13" t="e">
        <x:f>敌人目录!R17</x:f>
        <x:v>#NAME?</x:v>
      </x:c>
      <x:c r="N16" s="13" t="e">
        <x:f>敌人目录!S17</x:f>
        <x:v>#NAME?</x:v>
      </x:c>
      <x:c r="O16" s="13" t="e">
        <x:f>敌人目录!T17</x:f>
        <x:v>#NAME?</x:v>
      </x:c>
      <x:c r="P16" s="13" t="e">
        <x:f>敌人目录!U17</x:f>
        <x:v>#NAME?</x:v>
      </x:c>
      <x:c r="Q16" s="13" t="e">
        <x:f>敌人目录!V17</x:f>
        <x:v>#NAME?</x:v>
      </x:c>
      <x:c r="R16" s="13" t="e">
        <x:f>敌人目录!W17</x:f>
        <x:v>#NAME?</x:v>
      </x:c>
      <x:c r="S16" s="13" t="e">
        <x:f>敌人目录!X17</x:f>
        <x:v>#NAME?</x:v>
      </x:c>
      <x:c r="T16" s="13" t="e">
        <x:f>敌人目录!Y17</x:f>
        <x:v>#NAME?</x:v>
      </x:c>
      <x:c r="U16" s="13" t="e">
        <x:f>敌人目录!Z17</x:f>
        <x:v>#NAME?</x:v>
      </x:c>
      <x:c r="V16" s="13" t="e">
        <x:f>敌人目录!N17</x:f>
        <x:v>#NAME?</x:v>
      </x:c>
      <x:c r="W16" s="13" t="e">
        <x:f>敌人目录!AA17</x:f>
        <x:v>#NAME?</x:v>
      </x:c>
      <x:c r="X16" s="13" t="e">
        <x:f>敌人目录!AC17</x:f>
        <x:v>#NAME?</x:v>
      </x:c>
    </x:row>
    <x:row r="17" ht="16.5">
      <x:c r="A17" s="13">
        <x:v>3</x:v>
      </x:c>
      <x:c r="B17" s="13" t="e">
        <x:f>敌人目录!B18</x:f>
        <x:v>#NAME?</x:v>
      </x:c>
      <x:c r="C17" s="13" t="e">
        <x:f>敌人目录!G18</x:f>
        <x:v>#NAME?</x:v>
      </x:c>
      <x:c r="D17" s="13" t="e">
        <x:f>敌人目录!H18</x:f>
        <x:v>#NAME?</x:v>
      </x:c>
      <x:c r="E17" s="13" t="e">
        <x:f>敌人目录!I18</x:f>
        <x:v>#NAME?</x:v>
      </x:c>
      <x:c r="F17" s="13" t="e">
        <x:f>敌人目录!J18</x:f>
        <x:v>#NAME?</x:v>
      </x:c>
      <x:c r="G17" s="13" t="e">
        <x:f>敌人目录!K18</x:f>
        <x:v>#NAME?</x:v>
      </x:c>
      <x:c r="H17" s="13" t="e">
        <x:f>敌人目录!L18</x:f>
        <x:v>#NAME?</x:v>
      </x:c>
      <x:c r="I17" s="13" t="e">
        <x:f>敌人目录!M18</x:f>
        <x:v>#NAME?</x:v>
      </x:c>
      <x:c r="J17" s="13" t="e">
        <x:f>敌人目录!O18</x:f>
        <x:v>#NAME?</x:v>
      </x:c>
      <x:c r="K17" s="13" t="e">
        <x:f>敌人目录!P18</x:f>
        <x:v>#NAME?</x:v>
      </x:c>
      <x:c r="L17" s="13" t="e">
        <x:f>敌人目录!Q18</x:f>
        <x:v>#NAME?</x:v>
      </x:c>
      <x:c r="M17" s="13" t="e">
        <x:f>敌人目录!R18</x:f>
        <x:v>#NAME?</x:v>
      </x:c>
      <x:c r="N17" s="13" t="e">
        <x:f>敌人目录!S18</x:f>
        <x:v>#NAME?</x:v>
      </x:c>
      <x:c r="O17" s="13" t="e">
        <x:f>敌人目录!T18</x:f>
        <x:v>#NAME?</x:v>
      </x:c>
      <x:c r="P17" s="13" t="e">
        <x:f>敌人目录!U18</x:f>
        <x:v>#NAME?</x:v>
      </x:c>
      <x:c r="Q17" s="13" t="e">
        <x:f>敌人目录!V18</x:f>
        <x:v>#NAME?</x:v>
      </x:c>
      <x:c r="R17" s="13" t="e">
        <x:f>敌人目录!W18</x:f>
        <x:v>#NAME?</x:v>
      </x:c>
      <x:c r="S17" s="13" t="e">
        <x:f>敌人目录!X18</x:f>
        <x:v>#NAME?</x:v>
      </x:c>
      <x:c r="T17" s="13" t="e">
        <x:f>敌人目录!Y18</x:f>
        <x:v>#NAME?</x:v>
      </x:c>
      <x:c r="U17" s="13" t="e">
        <x:f>敌人目录!Z18</x:f>
        <x:v>#NAME?</x:v>
      </x:c>
      <x:c r="V17" s="13" t="e">
        <x:f>敌人目录!N18</x:f>
        <x:v>#NAME?</x:v>
      </x:c>
      <x:c r="W17" s="13" t="e">
        <x:f>敌人目录!AA18</x:f>
        <x:v>#NAME?</x:v>
      </x:c>
      <x:c r="X17" s="13" t="e">
        <x:f>敌人目录!AC18</x:f>
        <x:v>#NAME?</x:v>
      </x:c>
    </x:row>
    <x:row r="18" ht="16.5">
      <x:c r="A18" s="13">
        <x:v>3</x:v>
      </x:c>
      <x:c r="B18" s="13" t="e">
        <x:f>敌人目录!B19</x:f>
        <x:v>#NAME?</x:v>
      </x:c>
      <x:c r="C18" s="13" t="e">
        <x:f>敌人目录!G19</x:f>
        <x:v>#NAME?</x:v>
      </x:c>
      <x:c r="D18" s="13" t="e">
        <x:f>敌人目录!H19</x:f>
        <x:v>#NAME?</x:v>
      </x:c>
      <x:c r="E18" s="13" t="e">
        <x:f>敌人目录!I19</x:f>
        <x:v>#NAME?</x:v>
      </x:c>
      <x:c r="F18" s="13" t="e">
        <x:f>敌人目录!J19</x:f>
        <x:v>#NAME?</x:v>
      </x:c>
      <x:c r="G18" s="13" t="e">
        <x:f>敌人目录!K19</x:f>
        <x:v>#NAME?</x:v>
      </x:c>
      <x:c r="H18" s="13" t="e">
        <x:f>敌人目录!L19</x:f>
        <x:v>#NAME?</x:v>
      </x:c>
      <x:c r="I18" s="13" t="e">
        <x:f>敌人目录!M19</x:f>
        <x:v>#NAME?</x:v>
      </x:c>
      <x:c r="J18" s="13" t="e">
        <x:f>敌人目录!O19</x:f>
        <x:v>#NAME?</x:v>
      </x:c>
      <x:c r="K18" s="13" t="e">
        <x:f>敌人目录!P19</x:f>
        <x:v>#NAME?</x:v>
      </x:c>
      <x:c r="L18" s="13" t="e">
        <x:f>敌人目录!Q19</x:f>
        <x:v>#NAME?</x:v>
      </x:c>
      <x:c r="M18" s="13" t="e">
        <x:f>敌人目录!R19</x:f>
        <x:v>#NAME?</x:v>
      </x:c>
      <x:c r="N18" s="13" t="e">
        <x:f>敌人目录!S19</x:f>
        <x:v>#NAME?</x:v>
      </x:c>
      <x:c r="O18" s="13" t="e">
        <x:f>敌人目录!T19</x:f>
        <x:v>#NAME?</x:v>
      </x:c>
      <x:c r="P18" s="13" t="e">
        <x:f>敌人目录!U19</x:f>
        <x:v>#NAME?</x:v>
      </x:c>
      <x:c r="Q18" s="13" t="e">
        <x:f>敌人目录!V19</x:f>
        <x:v>#NAME?</x:v>
      </x:c>
      <x:c r="R18" s="13" t="e">
        <x:f>敌人目录!W19</x:f>
        <x:v>#NAME?</x:v>
      </x:c>
      <x:c r="S18" s="13" t="e">
        <x:f>敌人目录!X19</x:f>
        <x:v>#NAME?</x:v>
      </x:c>
      <x:c r="T18" s="13" t="e">
        <x:f>敌人目录!Y19</x:f>
        <x:v>#NAME?</x:v>
      </x:c>
      <x:c r="U18" s="13" t="e">
        <x:f>敌人目录!Z19</x:f>
        <x:v>#NAME?</x:v>
      </x:c>
      <x:c r="V18" s="13" t="e">
        <x:f>敌人目录!N19</x:f>
        <x:v>#NAME?</x:v>
      </x:c>
      <x:c r="W18" s="13" t="e">
        <x:f>敌人目录!AA19</x:f>
        <x:v>#NAME?</x:v>
      </x:c>
      <x:c r="X18" s="13" t="e">
        <x:f>敌人目录!AC19</x:f>
        <x:v>#NAME?</x:v>
      </x:c>
    </x:row>
    <x:row r="19" ht="16.5">
      <x:c r="A19" s="13">
        <x:v>3</x:v>
      </x:c>
      <x:c r="B19" s="13" t="e">
        <x:f>敌人目录!B20</x:f>
        <x:v>#NAME?</x:v>
      </x:c>
      <x:c r="C19" s="13" t="e">
        <x:f>敌人目录!G20</x:f>
        <x:v>#NAME?</x:v>
      </x:c>
      <x:c r="D19" s="13" t="e">
        <x:f>敌人目录!H20</x:f>
        <x:v>#NAME?</x:v>
      </x:c>
      <x:c r="E19" s="13" t="e">
        <x:f>敌人目录!I20</x:f>
        <x:v>#NAME?</x:v>
      </x:c>
      <x:c r="F19" s="13" t="e">
        <x:f>敌人目录!J20</x:f>
        <x:v>#NAME?</x:v>
      </x:c>
      <x:c r="G19" s="13" t="e">
        <x:f>敌人目录!K20</x:f>
        <x:v>#NAME?</x:v>
      </x:c>
      <x:c r="H19" s="13" t="e">
        <x:f>敌人目录!L20</x:f>
        <x:v>#NAME?</x:v>
      </x:c>
      <x:c r="I19" s="13" t="e">
        <x:f>敌人目录!M20</x:f>
        <x:v>#NAME?</x:v>
      </x:c>
      <x:c r="J19" s="13" t="e">
        <x:f>敌人目录!O20</x:f>
        <x:v>#NAME?</x:v>
      </x:c>
      <x:c r="K19" s="13" t="e">
        <x:f>敌人目录!P20</x:f>
        <x:v>#NAME?</x:v>
      </x:c>
      <x:c r="L19" s="13" t="e">
        <x:f>敌人目录!Q20</x:f>
        <x:v>#NAME?</x:v>
      </x:c>
      <x:c r="M19" s="13" t="e">
        <x:f>敌人目录!R20</x:f>
        <x:v>#NAME?</x:v>
      </x:c>
      <x:c r="N19" s="13" t="e">
        <x:f>敌人目录!S20</x:f>
        <x:v>#NAME?</x:v>
      </x:c>
      <x:c r="O19" s="13" t="e">
        <x:f>敌人目录!T20</x:f>
        <x:v>#NAME?</x:v>
      </x:c>
      <x:c r="P19" s="13" t="e">
        <x:f>敌人目录!U20</x:f>
        <x:v>#NAME?</x:v>
      </x:c>
      <x:c r="Q19" s="13" t="e">
        <x:f>敌人目录!V20</x:f>
        <x:v>#NAME?</x:v>
      </x:c>
      <x:c r="R19" s="13" t="e">
        <x:f>敌人目录!W20</x:f>
        <x:v>#NAME?</x:v>
      </x:c>
      <x:c r="S19" s="13" t="e">
        <x:f>敌人目录!X20</x:f>
        <x:v>#NAME?</x:v>
      </x:c>
      <x:c r="T19" s="13" t="e">
        <x:f>敌人目录!Y20</x:f>
        <x:v>#NAME?</x:v>
      </x:c>
      <x:c r="U19" s="13" t="e">
        <x:f>敌人目录!Z20</x:f>
        <x:v>#NAME?</x:v>
      </x:c>
      <x:c r="V19" s="13" t="e">
        <x:f>敌人目录!N20</x:f>
        <x:v>#NAME?</x:v>
      </x:c>
      <x:c r="W19" s="13" t="e">
        <x:f>敌人目录!AA20</x:f>
        <x:v>#NAME?</x:v>
      </x:c>
      <x:c r="X19" s="13" t="e">
        <x:f>敌人目录!AC20</x:f>
        <x:v>#NAME?</x:v>
      </x:c>
    </x:row>
    <x:row r="20" ht="16.5">
      <x:c r="A20" s="13">
        <x:v>3</x:v>
      </x:c>
      <x:c r="B20" s="13" t="e">
        <x:f>敌人目录!B21</x:f>
        <x:v>#NAME?</x:v>
      </x:c>
      <x:c r="C20" s="13" t="e">
        <x:f>敌人目录!G21</x:f>
        <x:v>#NAME?</x:v>
      </x:c>
      <x:c r="D20" s="13" t="e">
        <x:f>敌人目录!H21</x:f>
        <x:v>#NAME?</x:v>
      </x:c>
      <x:c r="E20" s="13" t="e">
        <x:f>敌人目录!I21</x:f>
        <x:v>#NAME?</x:v>
      </x:c>
      <x:c r="F20" s="13" t="e">
        <x:f>敌人目录!J21</x:f>
        <x:v>#NAME?</x:v>
      </x:c>
      <x:c r="G20" s="13" t="e">
        <x:f>敌人目录!K21</x:f>
        <x:v>#NAME?</x:v>
      </x:c>
      <x:c r="H20" s="13" t="e">
        <x:f>敌人目录!L21</x:f>
        <x:v>#NAME?</x:v>
      </x:c>
      <x:c r="I20" s="13" t="e">
        <x:f>敌人目录!M21</x:f>
        <x:v>#NAME?</x:v>
      </x:c>
      <x:c r="J20" s="13" t="e">
        <x:f>敌人目录!O21</x:f>
        <x:v>#NAME?</x:v>
      </x:c>
      <x:c r="K20" s="13" t="e">
        <x:f>敌人目录!P21</x:f>
        <x:v>#NAME?</x:v>
      </x:c>
      <x:c r="L20" s="13" t="e">
        <x:f>敌人目录!Q21</x:f>
        <x:v>#NAME?</x:v>
      </x:c>
      <x:c r="M20" s="13" t="e">
        <x:f>敌人目录!R21</x:f>
        <x:v>#NAME?</x:v>
      </x:c>
      <x:c r="N20" s="13" t="e">
        <x:f>敌人目录!S21</x:f>
        <x:v>#NAME?</x:v>
      </x:c>
      <x:c r="O20" s="13" t="e">
        <x:f>敌人目录!T21</x:f>
        <x:v>#NAME?</x:v>
      </x:c>
      <x:c r="P20" s="13" t="e">
        <x:f>敌人目录!U21</x:f>
        <x:v>#NAME?</x:v>
      </x:c>
      <x:c r="Q20" s="13" t="e">
        <x:f>敌人目录!V21</x:f>
        <x:v>#NAME?</x:v>
      </x:c>
      <x:c r="R20" s="13" t="e">
        <x:f>敌人目录!W21</x:f>
        <x:v>#NAME?</x:v>
      </x:c>
      <x:c r="S20" s="13" t="e">
        <x:f>敌人目录!X21</x:f>
        <x:v>#NAME?</x:v>
      </x:c>
      <x:c r="T20" s="13" t="e">
        <x:f>敌人目录!Y21</x:f>
        <x:v>#NAME?</x:v>
      </x:c>
      <x:c r="U20" s="13" t="e">
        <x:f>敌人目录!Z21</x:f>
        <x:v>#NAME?</x:v>
      </x:c>
      <x:c r="V20" s="13" t="e">
        <x:f>敌人目录!N21</x:f>
        <x:v>#NAME?</x:v>
      </x:c>
      <x:c r="W20" s="13" t="e">
        <x:f>敌人目录!AA21</x:f>
        <x:v>#NAME?</x:v>
      </x:c>
      <x:c r="X20" s="13" t="e">
        <x:f>敌人目录!AC21</x:f>
        <x:v>#NAME?</x:v>
      </x:c>
    </x:row>
    <x:row r="21" ht="16.5">
      <x:c r="A21" s="13">
        <x:v>3</x:v>
      </x:c>
      <x:c r="B21" s="13" t="e">
        <x:f>敌人目录!B22</x:f>
        <x:v>#NAME?</x:v>
      </x:c>
      <x:c r="C21" s="13" t="e">
        <x:f>敌人目录!G22</x:f>
        <x:v>#NAME?</x:v>
      </x:c>
      <x:c r="D21" s="13" t="e">
        <x:f>敌人目录!H22</x:f>
        <x:v>#NAME?</x:v>
      </x:c>
      <x:c r="E21" s="13" t="e">
        <x:f>敌人目录!I22</x:f>
        <x:v>#NAME?</x:v>
      </x:c>
      <x:c r="F21" s="13" t="e">
        <x:f>敌人目录!J22</x:f>
        <x:v>#NAME?</x:v>
      </x:c>
      <x:c r="G21" s="13" t="e">
        <x:f>敌人目录!K22</x:f>
        <x:v>#NAME?</x:v>
      </x:c>
      <x:c r="H21" s="13" t="e">
        <x:f>敌人目录!L22</x:f>
        <x:v>#NAME?</x:v>
      </x:c>
      <x:c r="I21" s="13" t="e">
        <x:f>敌人目录!M22</x:f>
        <x:v>#NAME?</x:v>
      </x:c>
      <x:c r="J21" s="13" t="e">
        <x:f>敌人目录!O22</x:f>
        <x:v>#NAME?</x:v>
      </x:c>
      <x:c r="K21" s="13" t="e">
        <x:f>敌人目录!P22</x:f>
        <x:v>#NAME?</x:v>
      </x:c>
      <x:c r="L21" s="13" t="e">
        <x:f>敌人目录!Q22</x:f>
        <x:v>#NAME?</x:v>
      </x:c>
      <x:c r="M21" s="13" t="e">
        <x:f>敌人目录!R22</x:f>
        <x:v>#NAME?</x:v>
      </x:c>
      <x:c r="N21" s="13" t="e">
        <x:f>敌人目录!S22</x:f>
        <x:v>#NAME?</x:v>
      </x:c>
      <x:c r="O21" s="13" t="e">
        <x:f>敌人目录!T22</x:f>
        <x:v>#NAME?</x:v>
      </x:c>
      <x:c r="P21" s="13" t="e">
        <x:f>敌人目录!U22</x:f>
        <x:v>#NAME?</x:v>
      </x:c>
      <x:c r="Q21" s="13" t="e">
        <x:f>敌人目录!V22</x:f>
        <x:v>#NAME?</x:v>
      </x:c>
      <x:c r="R21" s="13" t="e">
        <x:f>敌人目录!W22</x:f>
        <x:v>#NAME?</x:v>
      </x:c>
      <x:c r="S21" s="13" t="e">
        <x:f>敌人目录!X22</x:f>
        <x:v>#NAME?</x:v>
      </x:c>
      <x:c r="T21" s="13" t="e">
        <x:f>敌人目录!Y22</x:f>
        <x:v>#NAME?</x:v>
      </x:c>
      <x:c r="U21" s="13" t="e">
        <x:f>敌人目录!Z22</x:f>
        <x:v>#NAME?</x:v>
      </x:c>
      <x:c r="V21" s="13" t="e">
        <x:f>敌人目录!N22</x:f>
        <x:v>#NAME?</x:v>
      </x:c>
      <x:c r="W21" s="13" t="e">
        <x:f>敌人目录!AA22</x:f>
        <x:v>#NAME?</x:v>
      </x:c>
      <x:c r="X21" s="13" t="e">
        <x:f>敌人目录!AC22</x:f>
        <x:v>#NAME?</x:v>
      </x:c>
    </x:row>
    <x:row r="22" ht="16.5">
      <x:c r="A22" s="13">
        <x:v>3</x:v>
      </x:c>
      <x:c r="B22" s="13" t="e">
        <x:f>敌人目录!B23</x:f>
        <x:v>#NAME?</x:v>
      </x:c>
      <x:c r="C22" s="13" t="e">
        <x:f>敌人目录!G23</x:f>
        <x:v>#NAME?</x:v>
      </x:c>
      <x:c r="D22" s="13" t="e">
        <x:f>敌人目录!H23</x:f>
        <x:v>#NAME?</x:v>
      </x:c>
      <x:c r="E22" s="13" t="e">
        <x:f>敌人目录!I23</x:f>
        <x:v>#NAME?</x:v>
      </x:c>
      <x:c r="F22" s="13" t="e">
        <x:f>敌人目录!J23</x:f>
        <x:v>#NAME?</x:v>
      </x:c>
      <x:c r="G22" s="13" t="e">
        <x:f>敌人目录!K23</x:f>
        <x:v>#NAME?</x:v>
      </x:c>
      <x:c r="H22" s="13" t="e">
        <x:f>敌人目录!L23</x:f>
        <x:v>#NAME?</x:v>
      </x:c>
      <x:c r="I22" s="13" t="e">
        <x:f>敌人目录!M23</x:f>
        <x:v>#NAME?</x:v>
      </x:c>
      <x:c r="J22" s="13" t="e">
        <x:f>敌人目录!O23</x:f>
        <x:v>#NAME?</x:v>
      </x:c>
      <x:c r="K22" s="13" t="e">
        <x:f>敌人目录!P23</x:f>
        <x:v>#NAME?</x:v>
      </x:c>
      <x:c r="L22" s="13" t="e">
        <x:f>敌人目录!Q23</x:f>
        <x:v>#NAME?</x:v>
      </x:c>
      <x:c r="M22" s="13" t="e">
        <x:f>敌人目录!R23</x:f>
        <x:v>#NAME?</x:v>
      </x:c>
      <x:c r="N22" s="13" t="e">
        <x:f>敌人目录!S23</x:f>
        <x:v>#NAME?</x:v>
      </x:c>
      <x:c r="O22" s="13" t="e">
        <x:f>敌人目录!T23</x:f>
        <x:v>#NAME?</x:v>
      </x:c>
      <x:c r="P22" s="13" t="e">
        <x:f>敌人目录!U23</x:f>
        <x:v>#NAME?</x:v>
      </x:c>
      <x:c r="Q22" s="13" t="e">
        <x:f>敌人目录!V23</x:f>
        <x:v>#NAME?</x:v>
      </x:c>
      <x:c r="R22" s="13" t="e">
        <x:f>敌人目录!W23</x:f>
        <x:v>#NAME?</x:v>
      </x:c>
      <x:c r="S22" s="13" t="e">
        <x:f>敌人目录!X23</x:f>
        <x:v>#NAME?</x:v>
      </x:c>
      <x:c r="T22" s="13" t="e">
        <x:f>敌人目录!Y23</x:f>
        <x:v>#NAME?</x:v>
      </x:c>
      <x:c r="U22" s="13" t="e">
        <x:f>敌人目录!Z23</x:f>
        <x:v>#NAME?</x:v>
      </x:c>
      <x:c r="V22" s="13" t="e">
        <x:f>敌人目录!N23</x:f>
        <x:v>#NAME?</x:v>
      </x:c>
      <x:c r="W22" s="13" t="e">
        <x:f>敌人目录!AA23</x:f>
        <x:v>#NAME?</x:v>
      </x:c>
      <x:c r="X22" s="13" t="e">
        <x:f>敌人目录!AC23</x:f>
        <x:v>#NAME?</x:v>
      </x:c>
    </x:row>
    <x:row r="23" ht="16.5">
      <x:c r="A23" s="13">
        <x:v>3</x:v>
      </x:c>
      <x:c r="B23" s="13" t="e">
        <x:f>敌人目录!B24</x:f>
        <x:v>#NAME?</x:v>
      </x:c>
      <x:c r="C23" s="13" t="e">
        <x:f>敌人目录!G24</x:f>
        <x:v>#NAME?</x:v>
      </x:c>
      <x:c r="D23" s="13" t="e">
        <x:f>敌人目录!H24</x:f>
        <x:v>#NAME?</x:v>
      </x:c>
      <x:c r="E23" s="13" t="e">
        <x:f>敌人目录!I24</x:f>
        <x:v>#NAME?</x:v>
      </x:c>
      <x:c r="F23" s="13" t="e">
        <x:f>敌人目录!J24</x:f>
        <x:v>#NAME?</x:v>
      </x:c>
      <x:c r="G23" s="13" t="e">
        <x:f>敌人目录!K24</x:f>
        <x:v>#NAME?</x:v>
      </x:c>
      <x:c r="H23" s="13" t="e">
        <x:f>敌人目录!L24</x:f>
        <x:v>#NAME?</x:v>
      </x:c>
      <x:c r="I23" s="13" t="e">
        <x:f>敌人目录!M24</x:f>
        <x:v>#NAME?</x:v>
      </x:c>
      <x:c r="J23" s="13" t="e">
        <x:f>敌人目录!O24</x:f>
        <x:v>#NAME?</x:v>
      </x:c>
      <x:c r="K23" s="13" t="e">
        <x:f>敌人目录!P24</x:f>
        <x:v>#NAME?</x:v>
      </x:c>
      <x:c r="L23" s="13" t="e">
        <x:f>敌人目录!Q24</x:f>
        <x:v>#NAME?</x:v>
      </x:c>
      <x:c r="M23" s="13" t="e">
        <x:f>敌人目录!R24</x:f>
        <x:v>#NAME?</x:v>
      </x:c>
      <x:c r="N23" s="13" t="e">
        <x:f>敌人目录!S24</x:f>
        <x:v>#NAME?</x:v>
      </x:c>
      <x:c r="O23" s="13" t="e">
        <x:f>敌人目录!T24</x:f>
        <x:v>#NAME?</x:v>
      </x:c>
      <x:c r="P23" s="13" t="e">
        <x:f>敌人目录!U24</x:f>
        <x:v>#NAME?</x:v>
      </x:c>
      <x:c r="Q23" s="13" t="e">
        <x:f>敌人目录!V24</x:f>
        <x:v>#NAME?</x:v>
      </x:c>
      <x:c r="R23" s="13" t="e">
        <x:f>敌人目录!W24</x:f>
        <x:v>#NAME?</x:v>
      </x:c>
      <x:c r="S23" s="13" t="e">
        <x:f>敌人目录!X24</x:f>
        <x:v>#NAME?</x:v>
      </x:c>
      <x:c r="T23" s="13" t="e">
        <x:f>敌人目录!Y24</x:f>
        <x:v>#NAME?</x:v>
      </x:c>
      <x:c r="U23" s="13" t="e">
        <x:f>敌人目录!Z24</x:f>
        <x:v>#NAME?</x:v>
      </x:c>
      <x:c r="V23" s="13" t="e">
        <x:f>敌人目录!N24</x:f>
        <x:v>#NAME?</x:v>
      </x:c>
      <x:c r="W23" s="13" t="e">
        <x:f>敌人目录!AA24</x:f>
        <x:v>#NAME?</x:v>
      </x:c>
      <x:c r="X23" s="13" t="e">
        <x:f>敌人目录!AC24</x:f>
        <x:v>#NAME?</x:v>
      </x:c>
    </x:row>
    <x:row r="24" ht="16.5">
      <x:c r="A24" s="13">
        <x:v>3</x:v>
      </x:c>
      <x:c r="B24" s="13" t="e">
        <x:f>敌人目录!B25</x:f>
        <x:v>#NAME?</x:v>
      </x:c>
      <x:c r="C24" s="13" t="e">
        <x:f>敌人目录!G25</x:f>
        <x:v>#NAME?</x:v>
      </x:c>
      <x:c r="D24" s="13" t="e">
        <x:f>敌人目录!H25</x:f>
        <x:v>#NAME?</x:v>
      </x:c>
      <x:c r="E24" s="13" t="e">
        <x:f>敌人目录!I25</x:f>
        <x:v>#NAME?</x:v>
      </x:c>
      <x:c r="F24" s="13" t="e">
        <x:f>敌人目录!J25</x:f>
        <x:v>#NAME?</x:v>
      </x:c>
      <x:c r="G24" s="13" t="e">
        <x:f>敌人目录!K25</x:f>
        <x:v>#NAME?</x:v>
      </x:c>
      <x:c r="H24" s="13" t="e">
        <x:f>敌人目录!L25</x:f>
        <x:v>#NAME?</x:v>
      </x:c>
      <x:c r="I24" s="13" t="e">
        <x:f>敌人目录!M25</x:f>
        <x:v>#NAME?</x:v>
      </x:c>
      <x:c r="J24" s="13" t="e">
        <x:f>敌人目录!O25</x:f>
        <x:v>#NAME?</x:v>
      </x:c>
      <x:c r="K24" s="13" t="e">
        <x:f>敌人目录!P25</x:f>
        <x:v>#NAME?</x:v>
      </x:c>
      <x:c r="L24" s="13" t="e">
        <x:f>敌人目录!Q25</x:f>
        <x:v>#NAME?</x:v>
      </x:c>
      <x:c r="M24" s="13" t="e">
        <x:f>敌人目录!R25</x:f>
        <x:v>#NAME?</x:v>
      </x:c>
      <x:c r="N24" s="13" t="e">
        <x:f>敌人目录!S25</x:f>
        <x:v>#NAME?</x:v>
      </x:c>
      <x:c r="O24" s="13" t="e">
        <x:f>敌人目录!T25</x:f>
        <x:v>#NAME?</x:v>
      </x:c>
      <x:c r="P24" s="13" t="e">
        <x:f>敌人目录!U25</x:f>
        <x:v>#NAME?</x:v>
      </x:c>
      <x:c r="Q24" s="13" t="e">
        <x:f>敌人目录!V25</x:f>
        <x:v>#NAME?</x:v>
      </x:c>
      <x:c r="R24" s="13" t="e">
        <x:f>敌人目录!W25</x:f>
        <x:v>#NAME?</x:v>
      </x:c>
      <x:c r="S24" s="13" t="e">
        <x:f>敌人目录!X25</x:f>
        <x:v>#NAME?</x:v>
      </x:c>
      <x:c r="T24" s="13" t="e">
        <x:f>敌人目录!Y25</x:f>
        <x:v>#NAME?</x:v>
      </x:c>
      <x:c r="U24" s="13" t="e">
        <x:f>敌人目录!Z25</x:f>
        <x:v>#NAME?</x:v>
      </x:c>
      <x:c r="V24" s="13" t="e">
        <x:f>敌人目录!N25</x:f>
        <x:v>#NAME?</x:v>
      </x:c>
      <x:c r="W24" s="13" t="e">
        <x:f>敌人目录!AA25</x:f>
        <x:v>#NAME?</x:v>
      </x:c>
      <x:c r="X24" s="13" t="e">
        <x:f>敌人目录!AC25</x:f>
        <x:v>#NAME?</x:v>
      </x:c>
    </x:row>
    <x:row r="25" ht="16.5">
      <x:c r="A25" s="13">
        <x:v>3</x:v>
      </x:c>
      <x:c r="B25" s="13" t="e">
        <x:f>敌人目录!B26</x:f>
        <x:v>#NAME?</x:v>
      </x:c>
      <x:c r="C25" s="13" t="e">
        <x:f>敌人目录!G26</x:f>
        <x:v>#NAME?</x:v>
      </x:c>
      <x:c r="D25" s="13" t="e">
        <x:f>敌人目录!H26</x:f>
        <x:v>#NAME?</x:v>
      </x:c>
      <x:c r="E25" s="13" t="e">
        <x:f>敌人目录!I26</x:f>
        <x:v>#NAME?</x:v>
      </x:c>
      <x:c r="F25" s="13" t="e">
        <x:f>敌人目录!J26</x:f>
        <x:v>#NAME?</x:v>
      </x:c>
      <x:c r="G25" s="13" t="e">
        <x:f>敌人目录!K26</x:f>
        <x:v>#NAME?</x:v>
      </x:c>
      <x:c r="H25" s="13" t="e">
        <x:f>敌人目录!L26</x:f>
        <x:v>#NAME?</x:v>
      </x:c>
      <x:c r="I25" s="13" t="e">
        <x:f>敌人目录!M26</x:f>
        <x:v>#NAME?</x:v>
      </x:c>
      <x:c r="J25" s="13" t="e">
        <x:f>敌人目录!O26</x:f>
        <x:v>#NAME?</x:v>
      </x:c>
      <x:c r="K25" s="13" t="e">
        <x:f>敌人目录!P26</x:f>
        <x:v>#NAME?</x:v>
      </x:c>
      <x:c r="L25" s="13" t="e">
        <x:f>敌人目录!Q26</x:f>
        <x:v>#NAME?</x:v>
      </x:c>
      <x:c r="M25" s="13" t="e">
        <x:f>敌人目录!R26</x:f>
        <x:v>#NAME?</x:v>
      </x:c>
      <x:c r="N25" s="13" t="e">
        <x:f>敌人目录!S26</x:f>
        <x:v>#NAME?</x:v>
      </x:c>
      <x:c r="O25" s="13" t="e">
        <x:f>敌人目录!T26</x:f>
        <x:v>#NAME?</x:v>
      </x:c>
      <x:c r="P25" s="13" t="e">
        <x:f>敌人目录!U26</x:f>
        <x:v>#NAME?</x:v>
      </x:c>
      <x:c r="Q25" s="13" t="e">
        <x:f>敌人目录!V26</x:f>
        <x:v>#NAME?</x:v>
      </x:c>
      <x:c r="R25" s="13" t="e">
        <x:f>敌人目录!W26</x:f>
        <x:v>#NAME?</x:v>
      </x:c>
      <x:c r="S25" s="13" t="e">
        <x:f>敌人目录!X26</x:f>
        <x:v>#NAME?</x:v>
      </x:c>
      <x:c r="T25" s="13" t="e">
        <x:f>敌人目录!Y26</x:f>
        <x:v>#NAME?</x:v>
      </x:c>
      <x:c r="U25" s="13" t="e">
        <x:f>敌人目录!Z26</x:f>
        <x:v>#NAME?</x:v>
      </x:c>
      <x:c r="V25" s="13" t="e">
        <x:f>敌人目录!N26</x:f>
        <x:v>#NAME?</x:v>
      </x:c>
      <x:c r="W25" s="13" t="e">
        <x:f>敌人目录!AA26</x:f>
        <x:v>#NAME?</x:v>
      </x:c>
      <x:c r="X25" s="13" t="e">
        <x:f>敌人目录!AC26</x:f>
        <x:v>#NAME?</x:v>
      </x:c>
    </x:row>
    <x:row r="26" ht="16.5">
      <x:c r="A26" s="13">
        <x:v>3</x:v>
      </x:c>
      <x:c r="B26" s="13" t="e">
        <x:f>敌人目录!B27</x:f>
        <x:v>#NAME?</x:v>
      </x:c>
      <x:c r="C26" s="13" t="e">
        <x:f>敌人目录!G27</x:f>
        <x:v>#NAME?</x:v>
      </x:c>
      <x:c r="D26" s="13" t="e">
        <x:f>敌人目录!H27</x:f>
        <x:v>#NAME?</x:v>
      </x:c>
      <x:c r="E26" s="13" t="e">
        <x:f>敌人目录!I27</x:f>
        <x:v>#NAME?</x:v>
      </x:c>
      <x:c r="F26" s="13" t="e">
        <x:f>敌人目录!J27</x:f>
        <x:v>#NAME?</x:v>
      </x:c>
      <x:c r="G26" s="13" t="e">
        <x:f>敌人目录!K27</x:f>
        <x:v>#NAME?</x:v>
      </x:c>
      <x:c r="H26" s="13" t="e">
        <x:f>敌人目录!L27</x:f>
        <x:v>#NAME?</x:v>
      </x:c>
      <x:c r="I26" s="13" t="e">
        <x:f>敌人目录!M27</x:f>
        <x:v>#NAME?</x:v>
      </x:c>
      <x:c r="J26" s="13" t="e">
        <x:f>敌人目录!O27</x:f>
        <x:v>#NAME?</x:v>
      </x:c>
      <x:c r="K26" s="13" t="e">
        <x:f>敌人目录!P27</x:f>
        <x:v>#NAME?</x:v>
      </x:c>
      <x:c r="L26" s="13" t="e">
        <x:f>敌人目录!Q27</x:f>
        <x:v>#NAME?</x:v>
      </x:c>
      <x:c r="M26" s="13" t="e">
        <x:f>敌人目录!R27</x:f>
        <x:v>#NAME?</x:v>
      </x:c>
      <x:c r="N26" s="13" t="e">
        <x:f>敌人目录!S27</x:f>
        <x:v>#NAME?</x:v>
      </x:c>
      <x:c r="O26" s="13" t="e">
        <x:f>敌人目录!T27</x:f>
        <x:v>#NAME?</x:v>
      </x:c>
      <x:c r="P26" s="13" t="e">
        <x:f>敌人目录!U27</x:f>
        <x:v>#NAME?</x:v>
      </x:c>
      <x:c r="Q26" s="13" t="e">
        <x:f>敌人目录!V27</x:f>
        <x:v>#NAME?</x:v>
      </x:c>
      <x:c r="R26" s="13" t="e">
        <x:f>敌人目录!W27</x:f>
        <x:v>#NAME?</x:v>
      </x:c>
      <x:c r="S26" s="13" t="e">
        <x:f>敌人目录!X27</x:f>
        <x:v>#NAME?</x:v>
      </x:c>
      <x:c r="T26" s="13" t="e">
        <x:f>敌人目录!Y27</x:f>
        <x:v>#NAME?</x:v>
      </x:c>
      <x:c r="U26" s="13" t="e">
        <x:f>敌人目录!Z27</x:f>
        <x:v>#NAME?</x:v>
      </x:c>
      <x:c r="V26" s="13" t="e">
        <x:f>敌人目录!N27</x:f>
        <x:v>#NAME?</x:v>
      </x:c>
      <x:c r="W26" s="13" t="e">
        <x:f>敌人目录!AA27</x:f>
        <x:v>#NAME?</x:v>
      </x:c>
      <x:c r="X26" s="13" t="e">
        <x:f>敌人目录!AC27</x:f>
        <x:v>#NAME?</x:v>
      </x:c>
    </x:row>
    <x:row r="27" ht="16.5">
      <x:c r="A27" s="13">
        <x:v>3</x:v>
      </x:c>
      <x:c r="B27" s="13" t="e">
        <x:f>敌人目录!B28</x:f>
        <x:v>#NAME?</x:v>
      </x:c>
      <x:c r="C27" s="13" t="e">
        <x:f>敌人目录!G28</x:f>
        <x:v>#NAME?</x:v>
      </x:c>
      <x:c r="D27" s="13" t="e">
        <x:f>敌人目录!H28</x:f>
        <x:v>#NAME?</x:v>
      </x:c>
      <x:c r="E27" s="13" t="e">
        <x:f>敌人目录!I28</x:f>
        <x:v>#NAME?</x:v>
      </x:c>
      <x:c r="F27" s="13" t="e">
        <x:f>敌人目录!J28</x:f>
        <x:v>#NAME?</x:v>
      </x:c>
      <x:c r="G27" s="13" t="e">
        <x:f>敌人目录!K28</x:f>
        <x:v>#NAME?</x:v>
      </x:c>
      <x:c r="H27" s="13" t="e">
        <x:f>敌人目录!L28</x:f>
        <x:v>#NAME?</x:v>
      </x:c>
      <x:c r="I27" s="13" t="e">
        <x:f>敌人目录!M28</x:f>
        <x:v>#NAME?</x:v>
      </x:c>
      <x:c r="J27" s="13" t="e">
        <x:f>敌人目录!O28</x:f>
        <x:v>#NAME?</x:v>
      </x:c>
      <x:c r="K27" s="13" t="e">
        <x:f>敌人目录!P28</x:f>
        <x:v>#NAME?</x:v>
      </x:c>
      <x:c r="L27" s="13" t="e">
        <x:f>敌人目录!Q28</x:f>
        <x:v>#NAME?</x:v>
      </x:c>
      <x:c r="M27" s="13" t="e">
        <x:f>敌人目录!R28</x:f>
        <x:v>#NAME?</x:v>
      </x:c>
      <x:c r="N27" s="13" t="e">
        <x:f>敌人目录!S28</x:f>
        <x:v>#NAME?</x:v>
      </x:c>
      <x:c r="O27" s="13" t="e">
        <x:f>敌人目录!T28</x:f>
        <x:v>#NAME?</x:v>
      </x:c>
      <x:c r="P27" s="13" t="e">
        <x:f>敌人目录!U28</x:f>
        <x:v>#NAME?</x:v>
      </x:c>
      <x:c r="Q27" s="13" t="e">
        <x:f>敌人目录!V28</x:f>
        <x:v>#NAME?</x:v>
      </x:c>
      <x:c r="R27" s="13" t="e">
        <x:f>敌人目录!W28</x:f>
        <x:v>#NAME?</x:v>
      </x:c>
      <x:c r="S27" s="13" t="e">
        <x:f>敌人目录!X28</x:f>
        <x:v>#NAME?</x:v>
      </x:c>
      <x:c r="T27" s="13" t="e">
        <x:f>敌人目录!Y28</x:f>
        <x:v>#NAME?</x:v>
      </x:c>
      <x:c r="U27" s="13" t="e">
        <x:f>敌人目录!Z28</x:f>
        <x:v>#NAME?</x:v>
      </x:c>
      <x:c r="V27" s="13" t="e">
        <x:f>敌人目录!N28</x:f>
        <x:v>#NAME?</x:v>
      </x:c>
      <x:c r="W27" s="13" t="e">
        <x:f>敌人目录!AA28</x:f>
        <x:v>#NAME?</x:v>
      </x:c>
      <x:c r="X27" s="13" t="e">
        <x:f>敌人目录!AC28</x:f>
        <x:v>#NAME?</x:v>
      </x:c>
    </x:row>
    <x:row r="28" ht="16.5">
      <x:c r="A28" s="13">
        <x:v>3</x:v>
      </x:c>
      <x:c r="B28" s="13" t="e">
        <x:f>敌人目录!B29</x:f>
        <x:v>#NAME?</x:v>
      </x:c>
      <x:c r="C28" s="13" t="e">
        <x:f>敌人目录!G29</x:f>
        <x:v>#NAME?</x:v>
      </x:c>
      <x:c r="D28" s="13" t="e">
        <x:f>敌人目录!H29</x:f>
        <x:v>#NAME?</x:v>
      </x:c>
      <x:c r="E28" s="13" t="e">
        <x:f>敌人目录!I29</x:f>
        <x:v>#NAME?</x:v>
      </x:c>
      <x:c r="F28" s="13" t="e">
        <x:f>敌人目录!J29</x:f>
        <x:v>#NAME?</x:v>
      </x:c>
      <x:c r="G28" s="13" t="e">
        <x:f>敌人目录!K29</x:f>
        <x:v>#NAME?</x:v>
      </x:c>
      <x:c r="H28" s="13" t="e">
        <x:f>敌人目录!L29</x:f>
        <x:v>#NAME?</x:v>
      </x:c>
      <x:c r="I28" s="13" t="e">
        <x:f>敌人目录!M29</x:f>
        <x:v>#NAME?</x:v>
      </x:c>
      <x:c r="J28" s="13" t="e">
        <x:f>敌人目录!O29</x:f>
        <x:v>#NAME?</x:v>
      </x:c>
      <x:c r="K28" s="13" t="e">
        <x:f>敌人目录!P29</x:f>
        <x:v>#NAME?</x:v>
      </x:c>
      <x:c r="L28" s="13" t="e">
        <x:f>敌人目录!Q29</x:f>
        <x:v>#NAME?</x:v>
      </x:c>
      <x:c r="M28" s="13" t="e">
        <x:f>敌人目录!R29</x:f>
        <x:v>#NAME?</x:v>
      </x:c>
      <x:c r="N28" s="13" t="e">
        <x:f>敌人目录!S29</x:f>
        <x:v>#NAME?</x:v>
      </x:c>
      <x:c r="O28" s="13" t="e">
        <x:f>敌人目录!T29</x:f>
        <x:v>#NAME?</x:v>
      </x:c>
      <x:c r="P28" s="13" t="e">
        <x:f>敌人目录!U29</x:f>
        <x:v>#NAME?</x:v>
      </x:c>
      <x:c r="Q28" s="13" t="e">
        <x:f>敌人目录!V29</x:f>
        <x:v>#NAME?</x:v>
      </x:c>
      <x:c r="R28" s="13" t="e">
        <x:f>敌人目录!W29</x:f>
        <x:v>#NAME?</x:v>
      </x:c>
      <x:c r="S28" s="13" t="e">
        <x:f>敌人目录!X29</x:f>
        <x:v>#NAME?</x:v>
      </x:c>
      <x:c r="T28" s="13" t="e">
        <x:f>敌人目录!Y29</x:f>
        <x:v>#NAME?</x:v>
      </x:c>
      <x:c r="U28" s="13" t="e">
        <x:f>敌人目录!Z29</x:f>
        <x:v>#NAME?</x:v>
      </x:c>
      <x:c r="V28" s="13" t="e">
        <x:f>敌人目录!N29</x:f>
        <x:v>#NAME?</x:v>
      </x:c>
      <x:c r="W28" s="13" t="e">
        <x:f>敌人目录!AA29</x:f>
        <x:v>#NAME?</x:v>
      </x:c>
      <x:c r="X28" s="13" t="e">
        <x:f>敌人目录!AC29</x:f>
        <x:v>#NAME?</x:v>
      </x:c>
    </x:row>
    <x:row r="29" ht="16.5">
      <x:c r="A29" s="13">
        <x:v>3</x:v>
      </x:c>
      <x:c r="B29" s="13" t="e">
        <x:f>敌人目录!B30</x:f>
        <x:v>#NAME?</x:v>
      </x:c>
      <x:c r="C29" s="13" t="e">
        <x:f>敌人目录!G30</x:f>
        <x:v>#NAME?</x:v>
      </x:c>
      <x:c r="D29" s="13" t="e">
        <x:f>敌人目录!H30</x:f>
        <x:v>#NAME?</x:v>
      </x:c>
      <x:c r="E29" s="13" t="e">
        <x:f>敌人目录!I30</x:f>
        <x:v>#NAME?</x:v>
      </x:c>
      <x:c r="F29" s="13" t="e">
        <x:f>敌人目录!J30</x:f>
        <x:v>#NAME?</x:v>
      </x:c>
      <x:c r="G29" s="13" t="e">
        <x:f>敌人目录!K30</x:f>
        <x:v>#NAME?</x:v>
      </x:c>
      <x:c r="H29" s="13" t="e">
        <x:f>敌人目录!L30</x:f>
        <x:v>#NAME?</x:v>
      </x:c>
      <x:c r="I29" s="13" t="e">
        <x:f>敌人目录!M30</x:f>
        <x:v>#NAME?</x:v>
      </x:c>
      <x:c r="J29" s="13" t="e">
        <x:f>敌人目录!O30</x:f>
        <x:v>#NAME?</x:v>
      </x:c>
      <x:c r="K29" s="13" t="e">
        <x:f>敌人目录!P30</x:f>
        <x:v>#NAME?</x:v>
      </x:c>
      <x:c r="L29" s="13" t="e">
        <x:f>敌人目录!Q30</x:f>
        <x:v>#NAME?</x:v>
      </x:c>
      <x:c r="M29" s="13" t="e">
        <x:f>敌人目录!R30</x:f>
        <x:v>#NAME?</x:v>
      </x:c>
      <x:c r="N29" s="13" t="e">
        <x:f>敌人目录!S30</x:f>
        <x:v>#NAME?</x:v>
      </x:c>
      <x:c r="O29" s="13" t="e">
        <x:f>敌人目录!T30</x:f>
        <x:v>#NAME?</x:v>
      </x:c>
      <x:c r="P29" s="13" t="e">
        <x:f>敌人目录!U30</x:f>
        <x:v>#NAME?</x:v>
      </x:c>
      <x:c r="Q29" s="13" t="e">
        <x:f>敌人目录!V30</x:f>
        <x:v>#NAME?</x:v>
      </x:c>
      <x:c r="R29" s="13" t="e">
        <x:f>敌人目录!W30</x:f>
        <x:v>#NAME?</x:v>
      </x:c>
      <x:c r="S29" s="13" t="e">
        <x:f>敌人目录!X30</x:f>
        <x:v>#NAME?</x:v>
      </x:c>
      <x:c r="T29" s="13" t="e">
        <x:f>敌人目录!Y30</x:f>
        <x:v>#NAME?</x:v>
      </x:c>
      <x:c r="U29" s="13" t="e">
        <x:f>敌人目录!Z30</x:f>
        <x:v>#NAME?</x:v>
      </x:c>
      <x:c r="V29" s="13" t="e">
        <x:f>敌人目录!N30</x:f>
        <x:v>#NAME?</x:v>
      </x:c>
      <x:c r="W29" s="13" t="e">
        <x:f>敌人目录!AA30</x:f>
        <x:v>#NAME?</x:v>
      </x:c>
      <x:c r="X29" s="13" t="e">
        <x:f>敌人目录!AC30</x:f>
        <x:v>#NAME?</x:v>
      </x:c>
    </x:row>
    <x:row r="30" ht="16.5">
      <x:c r="A30" s="13">
        <x:v>3</x:v>
      </x:c>
      <x:c r="B30" s="13" t="e">
        <x:f>敌人目录!B31</x:f>
        <x:v>#NAME?</x:v>
      </x:c>
      <x:c r="C30" s="13" t="e">
        <x:f>敌人目录!G31</x:f>
        <x:v>#NAME?</x:v>
      </x:c>
      <x:c r="D30" s="13" t="e">
        <x:f>敌人目录!H31</x:f>
        <x:v>#NAME?</x:v>
      </x:c>
      <x:c r="E30" s="13" t="e">
        <x:f>敌人目录!I31</x:f>
        <x:v>#NAME?</x:v>
      </x:c>
      <x:c r="F30" s="13" t="e">
        <x:f>敌人目录!J31</x:f>
        <x:v>#NAME?</x:v>
      </x:c>
      <x:c r="G30" s="13" t="e">
        <x:f>敌人目录!K31</x:f>
        <x:v>#NAME?</x:v>
      </x:c>
      <x:c r="H30" s="13" t="e">
        <x:f>敌人目录!L31</x:f>
        <x:v>#NAME?</x:v>
      </x:c>
      <x:c r="I30" s="13" t="e">
        <x:f>敌人目录!M31</x:f>
        <x:v>#NAME?</x:v>
      </x:c>
      <x:c r="J30" s="13" t="e">
        <x:f>敌人目录!O31</x:f>
        <x:v>#NAME?</x:v>
      </x:c>
      <x:c r="K30" s="13" t="e">
        <x:f>敌人目录!P31</x:f>
        <x:v>#NAME?</x:v>
      </x:c>
      <x:c r="L30" s="13" t="e">
        <x:f>敌人目录!Q31</x:f>
        <x:v>#NAME?</x:v>
      </x:c>
      <x:c r="M30" s="13" t="e">
        <x:f>敌人目录!R31</x:f>
        <x:v>#NAME?</x:v>
      </x:c>
      <x:c r="N30" s="13" t="e">
        <x:f>敌人目录!S31</x:f>
        <x:v>#NAME?</x:v>
      </x:c>
      <x:c r="O30" s="13" t="e">
        <x:f>敌人目录!T31</x:f>
        <x:v>#NAME?</x:v>
      </x:c>
      <x:c r="P30" s="13" t="e">
        <x:f>敌人目录!U31</x:f>
        <x:v>#NAME?</x:v>
      </x:c>
      <x:c r="Q30" s="13" t="e">
        <x:f>敌人目录!V31</x:f>
        <x:v>#NAME?</x:v>
      </x:c>
      <x:c r="R30" s="13" t="e">
        <x:f>敌人目录!W31</x:f>
        <x:v>#NAME?</x:v>
      </x:c>
      <x:c r="S30" s="13" t="e">
        <x:f>敌人目录!X31</x:f>
        <x:v>#NAME?</x:v>
      </x:c>
      <x:c r="T30" s="13" t="e">
        <x:f>敌人目录!Y31</x:f>
        <x:v>#NAME?</x:v>
      </x:c>
      <x:c r="U30" s="13" t="e">
        <x:f>敌人目录!Z31</x:f>
        <x:v>#NAME?</x:v>
      </x:c>
      <x:c r="V30" s="13" t="e">
        <x:f>敌人目录!N31</x:f>
        <x:v>#NAME?</x:v>
      </x:c>
      <x:c r="W30" s="13" t="e">
        <x:f>敌人目录!AA31</x:f>
        <x:v>#NAME?</x:v>
      </x:c>
      <x:c r="X30" s="13" t="e">
        <x:f>敌人目录!AC31</x:f>
        <x:v>#NAME?</x:v>
      </x:c>
    </x:row>
    <x:row r="31" ht="16.5">
      <x:c r="A31" s="13">
        <x:v>3</x:v>
      </x:c>
      <x:c r="B31" s="13" t="e">
        <x:f>敌人目录!B32</x:f>
        <x:v>#NAME?</x:v>
      </x:c>
      <x:c r="C31" s="13" t="e">
        <x:f>敌人目录!G32</x:f>
        <x:v>#NAME?</x:v>
      </x:c>
      <x:c r="D31" s="13" t="e">
        <x:f>敌人目录!H32</x:f>
        <x:v>#NAME?</x:v>
      </x:c>
      <x:c r="E31" s="13" t="e">
        <x:f>敌人目录!I32</x:f>
        <x:v>#NAME?</x:v>
      </x:c>
      <x:c r="F31" s="13" t="e">
        <x:f>敌人目录!J32</x:f>
        <x:v>#NAME?</x:v>
      </x:c>
      <x:c r="G31" s="13" t="e">
        <x:f>敌人目录!K32</x:f>
        <x:v>#NAME?</x:v>
      </x:c>
      <x:c r="H31" s="13" t="e">
        <x:f>敌人目录!L32</x:f>
        <x:v>#NAME?</x:v>
      </x:c>
      <x:c r="I31" s="13" t="e">
        <x:f>敌人目录!M32</x:f>
        <x:v>#NAME?</x:v>
      </x:c>
      <x:c r="J31" s="13" t="e">
        <x:f>敌人目录!O32</x:f>
        <x:v>#NAME?</x:v>
      </x:c>
      <x:c r="K31" s="13" t="e">
        <x:f>敌人目录!P32</x:f>
        <x:v>#NAME?</x:v>
      </x:c>
      <x:c r="L31" s="13" t="e">
        <x:f>敌人目录!Q32</x:f>
        <x:v>#NAME?</x:v>
      </x:c>
      <x:c r="M31" s="13" t="e">
        <x:f>敌人目录!R32</x:f>
        <x:v>#NAME?</x:v>
      </x:c>
      <x:c r="N31" s="13" t="e">
        <x:f>敌人目录!S32</x:f>
        <x:v>#NAME?</x:v>
      </x:c>
      <x:c r="O31" s="13" t="e">
        <x:f>敌人目录!T32</x:f>
        <x:v>#NAME?</x:v>
      </x:c>
      <x:c r="P31" s="13" t="e">
        <x:f>敌人目录!U32</x:f>
        <x:v>#NAME?</x:v>
      </x:c>
      <x:c r="Q31" s="13" t="e">
        <x:f>敌人目录!V32</x:f>
        <x:v>#NAME?</x:v>
      </x:c>
      <x:c r="R31" s="13" t="e">
        <x:f>敌人目录!W32</x:f>
        <x:v>#NAME?</x:v>
      </x:c>
      <x:c r="S31" s="13" t="e">
        <x:f>敌人目录!X32</x:f>
        <x:v>#NAME?</x:v>
      </x:c>
      <x:c r="T31" s="13" t="e">
        <x:f>敌人目录!Y32</x:f>
        <x:v>#NAME?</x:v>
      </x:c>
      <x:c r="U31" s="13" t="e">
        <x:f>敌人目录!Z32</x:f>
        <x:v>#NAME?</x:v>
      </x:c>
      <x:c r="V31" s="13" t="e">
        <x:f>敌人目录!N32</x:f>
        <x:v>#NAME?</x:v>
      </x:c>
      <x:c r="W31" s="13" t="e">
        <x:f>敌人目录!AA32</x:f>
        <x:v>#NAME?</x:v>
      </x:c>
      <x:c r="X31" s="13" t="e">
        <x:f>敌人目录!AC32</x:f>
        <x:v>#NAME?</x:v>
      </x:c>
    </x:row>
    <x:row r="32" ht="16.5">
      <x:c r="A32" s="13">
        <x:v>3</x:v>
      </x:c>
      <x:c r="B32" s="13" t="e">
        <x:f>敌人目录!B33</x:f>
        <x:v>#NAME?</x:v>
      </x:c>
      <x:c r="C32" s="13" t="e">
        <x:f>敌人目录!G33</x:f>
        <x:v>#NAME?</x:v>
      </x:c>
      <x:c r="D32" s="13" t="e">
        <x:f>敌人目录!H33</x:f>
        <x:v>#NAME?</x:v>
      </x:c>
      <x:c r="E32" s="13" t="e">
        <x:f>敌人目录!I33</x:f>
        <x:v>#NAME?</x:v>
      </x:c>
      <x:c r="F32" s="13" t="e">
        <x:f>敌人目录!J33</x:f>
        <x:v>#NAME?</x:v>
      </x:c>
      <x:c r="G32" s="13" t="e">
        <x:f>敌人目录!K33</x:f>
        <x:v>#NAME?</x:v>
      </x:c>
      <x:c r="H32" s="13" t="e">
        <x:f>敌人目录!L33</x:f>
        <x:v>#NAME?</x:v>
      </x:c>
      <x:c r="I32" s="13" t="e">
        <x:f>敌人目录!M33</x:f>
        <x:v>#NAME?</x:v>
      </x:c>
      <x:c r="J32" s="13" t="e">
        <x:f>敌人目录!O33</x:f>
        <x:v>#NAME?</x:v>
      </x:c>
      <x:c r="K32" s="13" t="e">
        <x:f>敌人目录!P33</x:f>
        <x:v>#NAME?</x:v>
      </x:c>
      <x:c r="L32" s="13" t="e">
        <x:f>敌人目录!Q33</x:f>
        <x:v>#NAME?</x:v>
      </x:c>
      <x:c r="M32" s="13" t="e">
        <x:f>敌人目录!R33</x:f>
        <x:v>#NAME?</x:v>
      </x:c>
      <x:c r="N32" s="13" t="e">
        <x:f>敌人目录!S33</x:f>
        <x:v>#NAME?</x:v>
      </x:c>
      <x:c r="O32" s="13" t="e">
        <x:f>敌人目录!T33</x:f>
        <x:v>#NAME?</x:v>
      </x:c>
      <x:c r="P32" s="13" t="e">
        <x:f>敌人目录!U33</x:f>
        <x:v>#NAME?</x:v>
      </x:c>
      <x:c r="Q32" s="13" t="e">
        <x:f>敌人目录!V33</x:f>
        <x:v>#NAME?</x:v>
      </x:c>
      <x:c r="R32" s="13" t="e">
        <x:f>敌人目录!W33</x:f>
        <x:v>#NAME?</x:v>
      </x:c>
      <x:c r="S32" s="13" t="e">
        <x:f>敌人目录!X33</x:f>
        <x:v>#NAME?</x:v>
      </x:c>
      <x:c r="T32" s="13" t="e">
        <x:f>敌人目录!Y33</x:f>
        <x:v>#NAME?</x:v>
      </x:c>
      <x:c r="U32" s="13" t="e">
        <x:f>敌人目录!Z33</x:f>
        <x:v>#NAME?</x:v>
      </x:c>
      <x:c r="V32" s="13" t="e">
        <x:f>敌人目录!N33</x:f>
        <x:v>#NAME?</x:v>
      </x:c>
      <x:c r="W32" s="13" t="e">
        <x:f>敌人目录!AA33</x:f>
        <x:v>#NAME?</x:v>
      </x:c>
      <x:c r="X32" s="13" t="e">
        <x:f>敌人目录!AC33</x:f>
        <x:v>#NAME?</x:v>
      </x:c>
    </x:row>
    <x:row r="33" ht="16.5">
      <x:c r="A33" s="13">
        <x:v>3</x:v>
      </x:c>
      <x:c r="B33" s="13" t="e">
        <x:f>敌人目录!B34</x:f>
        <x:v>#NAME?</x:v>
      </x:c>
      <x:c r="C33" s="13" t="e">
        <x:f>敌人目录!G34</x:f>
        <x:v>#NAME?</x:v>
      </x:c>
      <x:c r="D33" s="13" t="e">
        <x:f>敌人目录!H34</x:f>
        <x:v>#NAME?</x:v>
      </x:c>
      <x:c r="E33" s="13" t="e">
        <x:f>敌人目录!I34</x:f>
        <x:v>#NAME?</x:v>
      </x:c>
      <x:c r="F33" s="13" t="e">
        <x:f>敌人目录!J34</x:f>
        <x:v>#NAME?</x:v>
      </x:c>
      <x:c r="G33" s="13" t="e">
        <x:f>敌人目录!K34</x:f>
        <x:v>#NAME?</x:v>
      </x:c>
      <x:c r="H33" s="13" t="e">
        <x:f>敌人目录!L34</x:f>
        <x:v>#NAME?</x:v>
      </x:c>
      <x:c r="I33" s="13" t="e">
        <x:f>敌人目录!M34</x:f>
        <x:v>#NAME?</x:v>
      </x:c>
      <x:c r="J33" s="13" t="e">
        <x:f>敌人目录!O34</x:f>
        <x:v>#NAME?</x:v>
      </x:c>
      <x:c r="K33" s="13" t="e">
        <x:f>敌人目录!P34</x:f>
        <x:v>#NAME?</x:v>
      </x:c>
      <x:c r="L33" s="13" t="e">
        <x:f>敌人目录!Q34</x:f>
        <x:v>#NAME?</x:v>
      </x:c>
      <x:c r="M33" s="13" t="e">
        <x:f>敌人目录!R34</x:f>
        <x:v>#NAME?</x:v>
      </x:c>
      <x:c r="N33" s="13" t="e">
        <x:f>敌人目录!S34</x:f>
        <x:v>#NAME?</x:v>
      </x:c>
      <x:c r="O33" s="13" t="e">
        <x:f>敌人目录!T34</x:f>
        <x:v>#NAME?</x:v>
      </x:c>
      <x:c r="P33" s="13" t="e">
        <x:f>敌人目录!U34</x:f>
        <x:v>#NAME?</x:v>
      </x:c>
      <x:c r="Q33" s="13" t="e">
        <x:f>敌人目录!V34</x:f>
        <x:v>#NAME?</x:v>
      </x:c>
      <x:c r="R33" s="13" t="e">
        <x:f>敌人目录!W34</x:f>
        <x:v>#NAME?</x:v>
      </x:c>
      <x:c r="S33" s="13" t="e">
        <x:f>敌人目录!X34</x:f>
        <x:v>#NAME?</x:v>
      </x:c>
      <x:c r="T33" s="13" t="e">
        <x:f>敌人目录!Y34</x:f>
        <x:v>#NAME?</x:v>
      </x:c>
      <x:c r="U33" s="13" t="e">
        <x:f>敌人目录!Z34</x:f>
        <x:v>#NAME?</x:v>
      </x:c>
      <x:c r="V33" s="13" t="e">
        <x:f>敌人目录!N34</x:f>
        <x:v>#NAME?</x:v>
      </x:c>
      <x:c r="W33" s="13" t="e">
        <x:f>敌人目录!AA34</x:f>
        <x:v>#NAME?</x:v>
      </x:c>
      <x:c r="X33" s="13" t="e">
        <x:f>敌人目录!AC34</x:f>
        <x:v>#NAME?</x:v>
      </x:c>
    </x:row>
    <x:row r="34" ht="16.5">
      <x:c r="A34" s="13">
        <x:v>3</x:v>
      </x:c>
      <x:c r="B34" s="13" t="e">
        <x:f>敌人目录!B35</x:f>
        <x:v>#NAME?</x:v>
      </x:c>
      <x:c r="C34" s="13" t="e">
        <x:f>敌人目录!G35</x:f>
        <x:v>#NAME?</x:v>
      </x:c>
      <x:c r="D34" s="13" t="e">
        <x:f>敌人目录!H35</x:f>
        <x:v>#NAME?</x:v>
      </x:c>
      <x:c r="E34" s="13" t="e">
        <x:f>敌人目录!I35</x:f>
        <x:v>#NAME?</x:v>
      </x:c>
      <x:c r="F34" s="13" t="e">
        <x:f>敌人目录!J35</x:f>
        <x:v>#NAME?</x:v>
      </x:c>
      <x:c r="G34" s="13" t="e">
        <x:f>敌人目录!K35</x:f>
        <x:v>#NAME?</x:v>
      </x:c>
      <x:c r="H34" s="13" t="e">
        <x:f>敌人目录!L35</x:f>
        <x:v>#NAME?</x:v>
      </x:c>
      <x:c r="I34" s="13" t="e">
        <x:f>敌人目录!M35</x:f>
        <x:v>#NAME?</x:v>
      </x:c>
      <x:c r="J34" s="13" t="e">
        <x:f>敌人目录!O35</x:f>
        <x:v>#NAME?</x:v>
      </x:c>
      <x:c r="K34" s="13" t="e">
        <x:f>敌人目录!P35</x:f>
        <x:v>#NAME?</x:v>
      </x:c>
      <x:c r="L34" s="13" t="e">
        <x:f>敌人目录!Q35</x:f>
        <x:v>#NAME?</x:v>
      </x:c>
      <x:c r="M34" s="13" t="e">
        <x:f>敌人目录!R35</x:f>
        <x:v>#NAME?</x:v>
      </x:c>
      <x:c r="N34" s="13" t="e">
        <x:f>敌人目录!S35</x:f>
        <x:v>#NAME?</x:v>
      </x:c>
      <x:c r="O34" s="13" t="e">
        <x:f>敌人目录!T35</x:f>
        <x:v>#NAME?</x:v>
      </x:c>
      <x:c r="P34" s="13" t="e">
        <x:f>敌人目录!U35</x:f>
        <x:v>#NAME?</x:v>
      </x:c>
      <x:c r="Q34" s="13" t="e">
        <x:f>敌人目录!V35</x:f>
        <x:v>#NAME?</x:v>
      </x:c>
      <x:c r="R34" s="13" t="e">
        <x:f>敌人目录!W35</x:f>
        <x:v>#NAME?</x:v>
      </x:c>
      <x:c r="S34" s="13" t="e">
        <x:f>敌人目录!X35</x:f>
        <x:v>#NAME?</x:v>
      </x:c>
      <x:c r="T34" s="13" t="e">
        <x:f>敌人目录!Y35</x:f>
        <x:v>#NAME?</x:v>
      </x:c>
      <x:c r="U34" s="13" t="e">
        <x:f>敌人目录!Z35</x:f>
        <x:v>#NAME?</x:v>
      </x:c>
      <x:c r="V34" s="13" t="e">
        <x:f>敌人目录!N35</x:f>
        <x:v>#NAME?</x:v>
      </x:c>
      <x:c r="W34" s="13" t="e">
        <x:f>敌人目录!AA35</x:f>
        <x:v>#NAME?</x:v>
      </x:c>
      <x:c r="X34" s="13" t="e">
        <x:f>敌人目录!AC35</x:f>
        <x:v>#NAME?</x:v>
      </x:c>
    </x:row>
    <x:row r="35" ht="16.5">
      <x:c r="A35" s="13">
        <x:v>3</x:v>
      </x:c>
      <x:c r="B35" s="13" t="e">
        <x:f>敌人目录!B36</x:f>
        <x:v>#NAME?</x:v>
      </x:c>
      <x:c r="C35" s="13" t="e">
        <x:f>敌人目录!G36</x:f>
        <x:v>#NAME?</x:v>
      </x:c>
      <x:c r="D35" s="13" t="e">
        <x:f>敌人目录!H36</x:f>
        <x:v>#NAME?</x:v>
      </x:c>
      <x:c r="E35" s="13" t="e">
        <x:f>敌人目录!I36</x:f>
        <x:v>#NAME?</x:v>
      </x:c>
      <x:c r="F35" s="13" t="e">
        <x:f>敌人目录!J36</x:f>
        <x:v>#NAME?</x:v>
      </x:c>
      <x:c r="G35" s="13" t="e">
        <x:f>敌人目录!K36</x:f>
        <x:v>#NAME?</x:v>
      </x:c>
      <x:c r="H35" s="13" t="e">
        <x:f>敌人目录!L36</x:f>
        <x:v>#NAME?</x:v>
      </x:c>
      <x:c r="I35" s="13" t="e">
        <x:f>敌人目录!M36</x:f>
        <x:v>#NAME?</x:v>
      </x:c>
      <x:c r="J35" s="13" t="e">
        <x:f>敌人目录!O36</x:f>
        <x:v>#NAME?</x:v>
      </x:c>
      <x:c r="K35" s="13" t="e">
        <x:f>敌人目录!P36</x:f>
        <x:v>#NAME?</x:v>
      </x:c>
      <x:c r="L35" s="13" t="e">
        <x:f>敌人目录!Q36</x:f>
        <x:v>#NAME?</x:v>
      </x:c>
      <x:c r="M35" s="13" t="e">
        <x:f>敌人目录!R36</x:f>
        <x:v>#NAME?</x:v>
      </x:c>
      <x:c r="N35" s="13" t="e">
        <x:f>敌人目录!S36</x:f>
        <x:v>#NAME?</x:v>
      </x:c>
      <x:c r="O35" s="13" t="e">
        <x:f>敌人目录!T36</x:f>
        <x:v>#NAME?</x:v>
      </x:c>
      <x:c r="P35" s="13" t="e">
        <x:f>敌人目录!U36</x:f>
        <x:v>#NAME?</x:v>
      </x:c>
      <x:c r="Q35" s="13" t="e">
        <x:f>敌人目录!V36</x:f>
        <x:v>#NAME?</x:v>
      </x:c>
      <x:c r="R35" s="13" t="e">
        <x:f>敌人目录!W36</x:f>
        <x:v>#NAME?</x:v>
      </x:c>
      <x:c r="S35" s="13" t="e">
        <x:f>敌人目录!X36</x:f>
        <x:v>#NAME?</x:v>
      </x:c>
      <x:c r="T35" s="13" t="e">
        <x:f>敌人目录!Y36</x:f>
        <x:v>#NAME?</x:v>
      </x:c>
      <x:c r="U35" s="13" t="e">
        <x:f>敌人目录!Z36</x:f>
        <x:v>#NAME?</x:v>
      </x:c>
      <x:c r="V35" s="13" t="e">
        <x:f>敌人目录!N36</x:f>
        <x:v>#NAME?</x:v>
      </x:c>
      <x:c r="W35" s="13" t="e">
        <x:f>敌人目录!AA36</x:f>
        <x:v>#NAME?</x:v>
      </x:c>
      <x:c r="X35" s="13" t="e">
        <x:f>敌人目录!AC36</x:f>
        <x:v>#NAME?</x:v>
      </x:c>
    </x:row>
    <x:row r="36" ht="16.5">
      <x:c r="A36" s="13">
        <x:v>3</x:v>
      </x:c>
      <x:c r="B36" s="13" t="e">
        <x:f>敌人目录!B37</x:f>
        <x:v>#NAME?</x:v>
      </x:c>
      <x:c r="C36" s="13" t="e">
        <x:f>敌人目录!G37</x:f>
        <x:v>#NAME?</x:v>
      </x:c>
      <x:c r="D36" s="13" t="e">
        <x:f>敌人目录!H37</x:f>
        <x:v>#NAME?</x:v>
      </x:c>
      <x:c r="E36" s="13" t="e">
        <x:f>敌人目录!I37</x:f>
        <x:v>#NAME?</x:v>
      </x:c>
      <x:c r="F36" s="13" t="e">
        <x:f>敌人目录!J37</x:f>
        <x:v>#NAME?</x:v>
      </x:c>
      <x:c r="G36" s="13" t="e">
        <x:f>敌人目录!K37</x:f>
        <x:v>#NAME?</x:v>
      </x:c>
      <x:c r="H36" s="13" t="e">
        <x:f>敌人目录!L37</x:f>
        <x:v>#NAME?</x:v>
      </x:c>
      <x:c r="I36" s="13" t="e">
        <x:f>敌人目录!M37</x:f>
        <x:v>#NAME?</x:v>
      </x:c>
      <x:c r="J36" s="13" t="e">
        <x:f>敌人目录!O37</x:f>
        <x:v>#NAME?</x:v>
      </x:c>
      <x:c r="K36" s="13" t="e">
        <x:f>敌人目录!P37</x:f>
        <x:v>#NAME?</x:v>
      </x:c>
      <x:c r="L36" s="13" t="e">
        <x:f>敌人目录!Q37</x:f>
        <x:v>#NAME?</x:v>
      </x:c>
      <x:c r="M36" s="13" t="e">
        <x:f>敌人目录!R37</x:f>
        <x:v>#NAME?</x:v>
      </x:c>
      <x:c r="N36" s="13" t="e">
        <x:f>敌人目录!S37</x:f>
        <x:v>#NAME?</x:v>
      </x:c>
      <x:c r="O36" s="13" t="e">
        <x:f>敌人目录!T37</x:f>
        <x:v>#NAME?</x:v>
      </x:c>
      <x:c r="P36" s="13" t="e">
        <x:f>敌人目录!U37</x:f>
        <x:v>#NAME?</x:v>
      </x:c>
      <x:c r="Q36" s="13" t="e">
        <x:f>敌人目录!V37</x:f>
        <x:v>#NAME?</x:v>
      </x:c>
      <x:c r="R36" s="13" t="e">
        <x:f>敌人目录!W37</x:f>
        <x:v>#NAME?</x:v>
      </x:c>
      <x:c r="S36" s="13" t="e">
        <x:f>敌人目录!X37</x:f>
        <x:v>#NAME?</x:v>
      </x:c>
      <x:c r="T36" s="13" t="e">
        <x:f>敌人目录!Y37</x:f>
        <x:v>#NAME?</x:v>
      </x:c>
      <x:c r="U36" s="13" t="e">
        <x:f>敌人目录!Z37</x:f>
        <x:v>#NAME?</x:v>
      </x:c>
      <x:c r="V36" s="13" t="e">
        <x:f>敌人目录!N37</x:f>
        <x:v>#NAME?</x:v>
      </x:c>
      <x:c r="W36" s="13" t="e">
        <x:f>敌人目录!AA37</x:f>
        <x:v>#NAME?</x:v>
      </x:c>
      <x:c r="X36" s="13" t="e">
        <x:f>敌人目录!AC37</x:f>
        <x:v>#NAME?</x:v>
      </x:c>
    </x:row>
    <x:row r="37" ht="16.5">
      <x:c r="A37" s="13">
        <x:v>3</x:v>
      </x:c>
      <x:c r="B37" s="13" t="e">
        <x:f>敌人目录!B38</x:f>
        <x:v>#NAME?</x:v>
      </x:c>
      <x:c r="C37" s="13" t="e">
        <x:f>敌人目录!G38</x:f>
        <x:v>#NAME?</x:v>
      </x:c>
      <x:c r="D37" s="13" t="e">
        <x:f>敌人目录!H38</x:f>
        <x:v>#NAME?</x:v>
      </x:c>
      <x:c r="E37" s="13" t="e">
        <x:f>敌人目录!I38</x:f>
        <x:v>#NAME?</x:v>
      </x:c>
      <x:c r="F37" s="13" t="e">
        <x:f>敌人目录!J38</x:f>
        <x:v>#NAME?</x:v>
      </x:c>
      <x:c r="G37" s="13" t="e">
        <x:f>敌人目录!K38</x:f>
        <x:v>#NAME?</x:v>
      </x:c>
      <x:c r="H37" s="13" t="e">
        <x:f>敌人目录!L38</x:f>
        <x:v>#NAME?</x:v>
      </x:c>
      <x:c r="I37" s="13" t="e">
        <x:f>敌人目录!M38</x:f>
        <x:v>#NAME?</x:v>
      </x:c>
      <x:c r="J37" s="13" t="e">
        <x:f>敌人目录!O38</x:f>
        <x:v>#NAME?</x:v>
      </x:c>
      <x:c r="K37" s="13" t="e">
        <x:f>敌人目录!P38</x:f>
        <x:v>#NAME?</x:v>
      </x:c>
      <x:c r="L37" s="13" t="e">
        <x:f>敌人目录!Q38</x:f>
        <x:v>#NAME?</x:v>
      </x:c>
      <x:c r="M37" s="13" t="e">
        <x:f>敌人目录!R38</x:f>
        <x:v>#NAME?</x:v>
      </x:c>
      <x:c r="N37" s="13" t="e">
        <x:f>敌人目录!S38</x:f>
        <x:v>#NAME?</x:v>
      </x:c>
      <x:c r="O37" s="13" t="e">
        <x:f>敌人目录!T38</x:f>
        <x:v>#NAME?</x:v>
      </x:c>
      <x:c r="P37" s="13" t="e">
        <x:f>敌人目录!U38</x:f>
        <x:v>#NAME?</x:v>
      </x:c>
      <x:c r="Q37" s="13" t="e">
        <x:f>敌人目录!V38</x:f>
        <x:v>#NAME?</x:v>
      </x:c>
      <x:c r="R37" s="13" t="e">
        <x:f>敌人目录!W38</x:f>
        <x:v>#NAME?</x:v>
      </x:c>
      <x:c r="S37" s="13" t="e">
        <x:f>敌人目录!X38</x:f>
        <x:v>#NAME?</x:v>
      </x:c>
      <x:c r="T37" s="13" t="e">
        <x:f>敌人目录!Y38</x:f>
        <x:v>#NAME?</x:v>
      </x:c>
      <x:c r="U37" s="13" t="e">
        <x:f>敌人目录!Z38</x:f>
        <x:v>#NAME?</x:v>
      </x:c>
      <x:c r="V37" s="13" t="e">
        <x:f>敌人目录!N38</x:f>
        <x:v>#NAME?</x:v>
      </x:c>
      <x:c r="W37" s="13" t="e">
        <x:f>敌人目录!AA38</x:f>
        <x:v>#NAME?</x:v>
      </x:c>
      <x:c r="X37" s="13" t="e">
        <x:f>敌人目录!AC38</x:f>
        <x:v>#NAME?</x:v>
      </x:c>
    </x:row>
    <x:row r="38" ht="16.5">
      <x:c r="A38" s="13">
        <x:v>3</x:v>
      </x:c>
      <x:c r="B38" s="13" t="e">
        <x:f>敌人目录!B39</x:f>
        <x:v>#NAME?</x:v>
      </x:c>
      <x:c r="C38" s="13" t="e">
        <x:f>敌人目录!G39</x:f>
        <x:v>#NAME?</x:v>
      </x:c>
      <x:c r="D38" s="13" t="e">
        <x:f>敌人目录!H39</x:f>
        <x:v>#NAME?</x:v>
      </x:c>
      <x:c r="E38" s="13" t="e">
        <x:f>敌人目录!I39</x:f>
        <x:v>#NAME?</x:v>
      </x:c>
      <x:c r="F38" s="13" t="e">
        <x:f>敌人目录!J39</x:f>
        <x:v>#NAME?</x:v>
      </x:c>
      <x:c r="G38" s="13" t="e">
        <x:f>敌人目录!K39</x:f>
        <x:v>#NAME?</x:v>
      </x:c>
      <x:c r="H38" s="13" t="e">
        <x:f>敌人目录!L39</x:f>
        <x:v>#NAME?</x:v>
      </x:c>
      <x:c r="I38" s="13" t="e">
        <x:f>敌人目录!M39</x:f>
        <x:v>#NAME?</x:v>
      </x:c>
      <x:c r="J38" s="13" t="e">
        <x:f>敌人目录!O39</x:f>
        <x:v>#NAME?</x:v>
      </x:c>
      <x:c r="K38" s="13" t="e">
        <x:f>敌人目录!P39</x:f>
        <x:v>#NAME?</x:v>
      </x:c>
      <x:c r="L38" s="13" t="e">
        <x:f>敌人目录!Q39</x:f>
        <x:v>#NAME?</x:v>
      </x:c>
      <x:c r="M38" s="13" t="e">
        <x:f>敌人目录!R39</x:f>
        <x:v>#NAME?</x:v>
      </x:c>
      <x:c r="N38" s="13" t="e">
        <x:f>敌人目录!S39</x:f>
        <x:v>#NAME?</x:v>
      </x:c>
      <x:c r="O38" s="13" t="e">
        <x:f>敌人目录!T39</x:f>
        <x:v>#NAME?</x:v>
      </x:c>
      <x:c r="P38" s="13" t="e">
        <x:f>敌人目录!U39</x:f>
        <x:v>#NAME?</x:v>
      </x:c>
      <x:c r="Q38" s="13" t="e">
        <x:f>敌人目录!V39</x:f>
        <x:v>#NAME?</x:v>
      </x:c>
      <x:c r="R38" s="13" t="e">
        <x:f>敌人目录!W39</x:f>
        <x:v>#NAME?</x:v>
      </x:c>
      <x:c r="S38" s="13" t="e">
        <x:f>敌人目录!X39</x:f>
        <x:v>#NAME?</x:v>
      </x:c>
      <x:c r="T38" s="13" t="e">
        <x:f>敌人目录!Y39</x:f>
        <x:v>#NAME?</x:v>
      </x:c>
      <x:c r="U38" s="13" t="e">
        <x:f>敌人目录!Z39</x:f>
        <x:v>#NAME?</x:v>
      </x:c>
      <x:c r="V38" s="13" t="e">
        <x:f>敌人目录!N39</x:f>
        <x:v>#NAME?</x:v>
      </x:c>
      <x:c r="W38" s="13" t="e">
        <x:f>敌人目录!AA39</x:f>
        <x:v>#NAME?</x:v>
      </x:c>
      <x:c r="X38" s="13" t="e">
        <x:f>敌人目录!AC39</x:f>
        <x:v>#NAME?</x:v>
      </x:c>
    </x:row>
    <x:row r="39" ht="16.5">
      <x:c r="A39" s="13">
        <x:v>3</x:v>
      </x:c>
      <x:c r="B39" s="13" t="e">
        <x:f>敌人目录!B40</x:f>
        <x:v>#NAME?</x:v>
      </x:c>
      <x:c r="C39" s="13" t="e">
        <x:f>敌人目录!G40</x:f>
        <x:v>#NAME?</x:v>
      </x:c>
      <x:c r="D39" s="13" t="e">
        <x:f>敌人目录!H40</x:f>
        <x:v>#NAME?</x:v>
      </x:c>
      <x:c r="E39" s="13" t="e">
        <x:f>敌人目录!I40</x:f>
        <x:v>#NAME?</x:v>
      </x:c>
      <x:c r="F39" s="13" t="e">
        <x:f>敌人目录!J40</x:f>
        <x:v>#NAME?</x:v>
      </x:c>
      <x:c r="G39" s="13" t="e">
        <x:f>敌人目录!K40</x:f>
        <x:v>#NAME?</x:v>
      </x:c>
      <x:c r="H39" s="13" t="e">
        <x:f>敌人目录!L40</x:f>
        <x:v>#NAME?</x:v>
      </x:c>
      <x:c r="I39" s="13" t="e">
        <x:f>敌人目录!M40</x:f>
        <x:v>#NAME?</x:v>
      </x:c>
      <x:c r="J39" s="13" t="e">
        <x:f>敌人目录!O40</x:f>
        <x:v>#NAME?</x:v>
      </x:c>
      <x:c r="K39" s="13" t="e">
        <x:f>敌人目录!P40</x:f>
        <x:v>#NAME?</x:v>
      </x:c>
      <x:c r="L39" s="13" t="e">
        <x:f>敌人目录!Q40</x:f>
        <x:v>#NAME?</x:v>
      </x:c>
      <x:c r="M39" s="13" t="e">
        <x:f>敌人目录!R40</x:f>
        <x:v>#NAME?</x:v>
      </x:c>
      <x:c r="N39" s="13" t="e">
        <x:f>敌人目录!S40</x:f>
        <x:v>#NAME?</x:v>
      </x:c>
      <x:c r="O39" s="13" t="e">
        <x:f>敌人目录!T40</x:f>
        <x:v>#NAME?</x:v>
      </x:c>
      <x:c r="P39" s="13" t="e">
        <x:f>敌人目录!U40</x:f>
        <x:v>#NAME?</x:v>
      </x:c>
      <x:c r="Q39" s="13" t="e">
        <x:f>敌人目录!V40</x:f>
        <x:v>#NAME?</x:v>
      </x:c>
      <x:c r="R39" s="13" t="e">
        <x:f>敌人目录!W40</x:f>
        <x:v>#NAME?</x:v>
      </x:c>
      <x:c r="S39" s="13" t="e">
        <x:f>敌人目录!X40</x:f>
        <x:v>#NAME?</x:v>
      </x:c>
      <x:c r="T39" s="13" t="e">
        <x:f>敌人目录!Y40</x:f>
        <x:v>#NAME?</x:v>
      </x:c>
      <x:c r="U39" s="13" t="e">
        <x:f>敌人目录!Z40</x:f>
        <x:v>#NAME?</x:v>
      </x:c>
      <x:c r="V39" s="13" t="e">
        <x:f>敌人目录!N40</x:f>
        <x:v>#NAME?</x:v>
      </x:c>
      <x:c r="W39" s="13" t="e">
        <x:f>敌人目录!AA40</x:f>
        <x:v>#NAME?</x:v>
      </x:c>
      <x:c r="X39" s="13" t="e">
        <x:f>敌人目录!AC40</x:f>
        <x:v>#NAME?</x:v>
      </x:c>
    </x:row>
    <x:row r="40" ht="16.5">
      <x:c r="A40" s="13">
        <x:v>3</x:v>
      </x:c>
      <x:c r="B40" s="13" t="e">
        <x:f>敌人目录!B41</x:f>
        <x:v>#NAME?</x:v>
      </x:c>
      <x:c r="C40" s="13" t="e">
        <x:f>敌人目录!G41</x:f>
        <x:v>#NAME?</x:v>
      </x:c>
      <x:c r="D40" s="13" t="e">
        <x:f>敌人目录!H41</x:f>
        <x:v>#NAME?</x:v>
      </x:c>
      <x:c r="E40" s="13" t="e">
        <x:f>敌人目录!I41</x:f>
        <x:v>#NAME?</x:v>
      </x:c>
      <x:c r="F40" s="13" t="e">
        <x:f>敌人目录!J41</x:f>
        <x:v>#NAME?</x:v>
      </x:c>
      <x:c r="G40" s="13" t="e">
        <x:f>敌人目录!K41</x:f>
        <x:v>#NAME?</x:v>
      </x:c>
      <x:c r="H40" s="13" t="e">
        <x:f>敌人目录!L41</x:f>
        <x:v>#NAME?</x:v>
      </x:c>
      <x:c r="I40" s="13" t="e">
        <x:f>敌人目录!M41</x:f>
        <x:v>#NAME?</x:v>
      </x:c>
      <x:c r="J40" s="13" t="e">
        <x:f>敌人目录!O41</x:f>
        <x:v>#NAME?</x:v>
      </x:c>
      <x:c r="K40" s="13" t="e">
        <x:f>敌人目录!P41</x:f>
        <x:v>#NAME?</x:v>
      </x:c>
      <x:c r="L40" s="13" t="e">
        <x:f>敌人目录!Q41</x:f>
        <x:v>#NAME?</x:v>
      </x:c>
      <x:c r="M40" s="13" t="e">
        <x:f>敌人目录!R41</x:f>
        <x:v>#NAME?</x:v>
      </x:c>
      <x:c r="N40" s="13" t="e">
        <x:f>敌人目录!S41</x:f>
        <x:v>#NAME?</x:v>
      </x:c>
      <x:c r="O40" s="13" t="e">
        <x:f>敌人目录!T41</x:f>
        <x:v>#NAME?</x:v>
      </x:c>
      <x:c r="P40" s="13" t="e">
        <x:f>敌人目录!U41</x:f>
        <x:v>#NAME?</x:v>
      </x:c>
      <x:c r="Q40" s="13" t="e">
        <x:f>敌人目录!V41</x:f>
        <x:v>#NAME?</x:v>
      </x:c>
      <x:c r="R40" s="13" t="e">
        <x:f>敌人目录!W41</x:f>
        <x:v>#NAME?</x:v>
      </x:c>
      <x:c r="S40" s="13" t="e">
        <x:f>敌人目录!X41</x:f>
        <x:v>#NAME?</x:v>
      </x:c>
      <x:c r="T40" s="13" t="e">
        <x:f>敌人目录!Y41</x:f>
        <x:v>#NAME?</x:v>
      </x:c>
      <x:c r="U40" s="13" t="e">
        <x:f>敌人目录!Z41</x:f>
        <x:v>#NAME?</x:v>
      </x:c>
      <x:c r="V40" s="13" t="e">
        <x:f>敌人目录!N41</x:f>
        <x:v>#NAME?</x:v>
      </x:c>
      <x:c r="W40" s="13" t="e">
        <x:f>敌人目录!AA41</x:f>
        <x:v>#NAME?</x:v>
      </x:c>
      <x:c r="X40" s="13" t="e">
        <x:f>敌人目录!AC41</x:f>
        <x:v>#NAME?</x:v>
      </x:c>
    </x:row>
    <x:row r="41" ht="16.5">
      <x:c r="A41" s="13">
        <x:v>3</x:v>
      </x:c>
      <x:c r="B41" s="13" t="e">
        <x:f>敌人目录!B42</x:f>
        <x:v>#NAME?</x:v>
      </x:c>
      <x:c r="C41" s="13" t="e">
        <x:f>敌人目录!G42</x:f>
        <x:v>#NAME?</x:v>
      </x:c>
      <x:c r="D41" s="13" t="e">
        <x:f>敌人目录!H42</x:f>
        <x:v>#NAME?</x:v>
      </x:c>
      <x:c r="E41" s="13" t="e">
        <x:f>敌人目录!I42</x:f>
        <x:v>#NAME?</x:v>
      </x:c>
      <x:c r="F41" s="13" t="e">
        <x:f>敌人目录!J42</x:f>
        <x:v>#NAME?</x:v>
      </x:c>
      <x:c r="G41" s="13" t="e">
        <x:f>敌人目录!K42</x:f>
        <x:v>#NAME?</x:v>
      </x:c>
      <x:c r="H41" s="13" t="e">
        <x:f>敌人目录!L42</x:f>
        <x:v>#NAME?</x:v>
      </x:c>
      <x:c r="I41" s="13" t="e">
        <x:f>敌人目录!M42</x:f>
        <x:v>#NAME?</x:v>
      </x:c>
      <x:c r="J41" s="13" t="e">
        <x:f>敌人目录!O42</x:f>
        <x:v>#NAME?</x:v>
      </x:c>
      <x:c r="K41" s="13" t="e">
        <x:f>敌人目录!P42</x:f>
        <x:v>#NAME?</x:v>
      </x:c>
      <x:c r="L41" s="13" t="e">
        <x:f>敌人目录!Q42</x:f>
        <x:v>#NAME?</x:v>
      </x:c>
      <x:c r="M41" s="13" t="e">
        <x:f>敌人目录!R42</x:f>
        <x:v>#NAME?</x:v>
      </x:c>
      <x:c r="N41" s="13" t="e">
        <x:f>敌人目录!S42</x:f>
        <x:v>#NAME?</x:v>
      </x:c>
      <x:c r="O41" s="13" t="e">
        <x:f>敌人目录!T42</x:f>
        <x:v>#NAME?</x:v>
      </x:c>
      <x:c r="P41" s="13" t="e">
        <x:f>敌人目录!U42</x:f>
        <x:v>#NAME?</x:v>
      </x:c>
      <x:c r="Q41" s="13" t="e">
        <x:f>敌人目录!V42</x:f>
        <x:v>#NAME?</x:v>
      </x:c>
      <x:c r="R41" s="13" t="e">
        <x:f>敌人目录!W42</x:f>
        <x:v>#NAME?</x:v>
      </x:c>
      <x:c r="S41" s="13" t="e">
        <x:f>敌人目录!X42</x:f>
        <x:v>#NAME?</x:v>
      </x:c>
      <x:c r="T41" s="13" t="e">
        <x:f>敌人目录!Y42</x:f>
        <x:v>#NAME?</x:v>
      </x:c>
      <x:c r="U41" s="13" t="e">
        <x:f>敌人目录!Z42</x:f>
        <x:v>#NAME?</x:v>
      </x:c>
      <x:c r="V41" s="13" t="e">
        <x:f>敌人目录!N42</x:f>
        <x:v>#NAME?</x:v>
      </x:c>
      <x:c r="W41" s="13" t="e">
        <x:f>敌人目录!AA42</x:f>
        <x:v>#NAME?</x:v>
      </x:c>
      <x:c r="X41" s="13" t="e">
        <x:f>敌人目录!AC42</x:f>
        <x:v>#NAME?</x:v>
      </x:c>
    </x:row>
    <x:row r="42" ht="16.5">
      <x:c r="A42" s="13">
        <x:v>3</x:v>
      </x:c>
      <x:c r="B42" s="13" t="e">
        <x:f>敌人目录!B43</x:f>
        <x:v>#NAME?</x:v>
      </x:c>
      <x:c r="C42" s="13" t="e">
        <x:f>敌人目录!G43</x:f>
        <x:v>#NAME?</x:v>
      </x:c>
      <x:c r="D42" s="13" t="e">
        <x:f>敌人目录!H43</x:f>
        <x:v>#NAME?</x:v>
      </x:c>
      <x:c r="E42" s="13" t="e">
        <x:f>敌人目录!I43</x:f>
        <x:v>#NAME?</x:v>
      </x:c>
      <x:c r="F42" s="13" t="e">
        <x:f>敌人目录!J43</x:f>
        <x:v>#NAME?</x:v>
      </x:c>
      <x:c r="G42" s="13" t="e">
        <x:f>敌人目录!K43</x:f>
        <x:v>#NAME?</x:v>
      </x:c>
      <x:c r="H42" s="13" t="e">
        <x:f>敌人目录!L43</x:f>
        <x:v>#NAME?</x:v>
      </x:c>
      <x:c r="I42" s="13" t="e">
        <x:f>敌人目录!M43</x:f>
        <x:v>#NAME?</x:v>
      </x:c>
      <x:c r="J42" s="13" t="e">
        <x:f>敌人目录!O43</x:f>
        <x:v>#NAME?</x:v>
      </x:c>
      <x:c r="K42" s="13" t="e">
        <x:f>敌人目录!P43</x:f>
        <x:v>#NAME?</x:v>
      </x:c>
      <x:c r="L42" s="13" t="e">
        <x:f>敌人目录!Q43</x:f>
        <x:v>#NAME?</x:v>
      </x:c>
      <x:c r="M42" s="13" t="e">
        <x:f>敌人目录!R43</x:f>
        <x:v>#NAME?</x:v>
      </x:c>
      <x:c r="N42" s="13" t="e">
        <x:f>敌人目录!S43</x:f>
        <x:v>#NAME?</x:v>
      </x:c>
      <x:c r="O42" s="13" t="e">
        <x:f>敌人目录!T43</x:f>
        <x:v>#NAME?</x:v>
      </x:c>
      <x:c r="P42" s="13" t="e">
        <x:f>敌人目录!U43</x:f>
        <x:v>#NAME?</x:v>
      </x:c>
      <x:c r="Q42" s="13" t="e">
        <x:f>敌人目录!V43</x:f>
        <x:v>#NAME?</x:v>
      </x:c>
      <x:c r="R42" s="13" t="e">
        <x:f>敌人目录!W43</x:f>
        <x:v>#NAME?</x:v>
      </x:c>
      <x:c r="S42" s="13" t="e">
        <x:f>敌人目录!X43</x:f>
        <x:v>#NAME?</x:v>
      </x:c>
      <x:c r="T42" s="13" t="e">
        <x:f>敌人目录!Y43</x:f>
        <x:v>#NAME?</x:v>
      </x:c>
      <x:c r="U42" s="13" t="e">
        <x:f>敌人目录!Z43</x:f>
        <x:v>#NAME?</x:v>
      </x:c>
      <x:c r="V42" s="13" t="e">
        <x:f>敌人目录!N43</x:f>
        <x:v>#NAME?</x:v>
      </x:c>
      <x:c r="W42" s="13" t="e">
        <x:f>敌人目录!AA43</x:f>
        <x:v>#NAME?</x:v>
      </x:c>
      <x:c r="X42" s="13" t="e">
        <x:f>敌人目录!AC43</x:f>
        <x:v>#NAME?</x:v>
      </x:c>
    </x:row>
    <x:row r="43" ht="16.5">
      <x:c r="A43" s="13">
        <x:v>3</x:v>
      </x:c>
      <x:c r="B43" s="13" t="e">
        <x:f>敌人目录!B44</x:f>
        <x:v>#NAME?</x:v>
      </x:c>
      <x:c r="C43" s="13" t="e">
        <x:f>敌人目录!G44</x:f>
        <x:v>#NAME?</x:v>
      </x:c>
      <x:c r="D43" s="13" t="e">
        <x:f>敌人目录!H44</x:f>
        <x:v>#NAME?</x:v>
      </x:c>
      <x:c r="E43" s="13" t="e">
        <x:f>敌人目录!I44</x:f>
        <x:v>#NAME?</x:v>
      </x:c>
      <x:c r="F43" s="13" t="e">
        <x:f>敌人目录!J44</x:f>
        <x:v>#NAME?</x:v>
      </x:c>
      <x:c r="G43" s="13" t="e">
        <x:f>敌人目录!K44</x:f>
        <x:v>#NAME?</x:v>
      </x:c>
      <x:c r="H43" s="13" t="e">
        <x:f>敌人目录!L44</x:f>
        <x:v>#NAME?</x:v>
      </x:c>
      <x:c r="I43" s="13" t="e">
        <x:f>敌人目录!M44</x:f>
        <x:v>#NAME?</x:v>
      </x:c>
      <x:c r="J43" s="13" t="e">
        <x:f>敌人目录!O44</x:f>
        <x:v>#NAME?</x:v>
      </x:c>
      <x:c r="K43" s="13" t="e">
        <x:f>敌人目录!P44</x:f>
        <x:v>#NAME?</x:v>
      </x:c>
      <x:c r="L43" s="13" t="e">
        <x:f>敌人目录!Q44</x:f>
        <x:v>#NAME?</x:v>
      </x:c>
      <x:c r="M43" s="13" t="e">
        <x:f>敌人目录!R44</x:f>
        <x:v>#NAME?</x:v>
      </x:c>
      <x:c r="N43" s="13" t="e">
        <x:f>敌人目录!S44</x:f>
        <x:v>#NAME?</x:v>
      </x:c>
      <x:c r="O43" s="13" t="e">
        <x:f>敌人目录!T44</x:f>
        <x:v>#NAME?</x:v>
      </x:c>
      <x:c r="P43" s="13" t="e">
        <x:f>敌人目录!U44</x:f>
        <x:v>#NAME?</x:v>
      </x:c>
      <x:c r="Q43" s="13" t="e">
        <x:f>敌人目录!V44</x:f>
        <x:v>#NAME?</x:v>
      </x:c>
      <x:c r="R43" s="13" t="e">
        <x:f>敌人目录!W44</x:f>
        <x:v>#NAME?</x:v>
      </x:c>
      <x:c r="S43" s="13" t="e">
        <x:f>敌人目录!X44</x:f>
        <x:v>#NAME?</x:v>
      </x:c>
      <x:c r="T43" s="13" t="e">
        <x:f>敌人目录!Y44</x:f>
        <x:v>#NAME?</x:v>
      </x:c>
      <x:c r="U43" s="13" t="e">
        <x:f>敌人目录!Z44</x:f>
        <x:v>#NAME?</x:v>
      </x:c>
      <x:c r="V43" s="13" t="e">
        <x:f>敌人目录!N44</x:f>
        <x:v>#NAME?</x:v>
      </x:c>
      <x:c r="W43" s="13" t="e">
        <x:f>敌人目录!AA44</x:f>
        <x:v>#NAME?</x:v>
      </x:c>
      <x:c r="X43" s="13" t="e">
        <x:f>敌人目录!AC44</x:f>
        <x:v>#NAME?</x:v>
      </x:c>
    </x:row>
    <x:row r="44" ht="16.5">
      <x:c r="A44" s="13">
        <x:v>3</x:v>
      </x:c>
      <x:c r="B44" s="13" t="e">
        <x:f>敌人目录!B45</x:f>
        <x:v>#NAME?</x:v>
      </x:c>
      <x:c r="C44" s="13" t="e">
        <x:f>敌人目录!G45</x:f>
        <x:v>#NAME?</x:v>
      </x:c>
      <x:c r="D44" s="13" t="e">
        <x:f>敌人目录!H45</x:f>
        <x:v>#NAME?</x:v>
      </x:c>
      <x:c r="E44" s="13" t="e">
        <x:f>敌人目录!I45</x:f>
        <x:v>#NAME?</x:v>
      </x:c>
      <x:c r="F44" s="13" t="e">
        <x:f>敌人目录!J45</x:f>
        <x:v>#NAME?</x:v>
      </x:c>
      <x:c r="G44" s="13" t="e">
        <x:f>敌人目录!K45</x:f>
        <x:v>#NAME?</x:v>
      </x:c>
      <x:c r="H44" s="13" t="e">
        <x:f>敌人目录!L45</x:f>
        <x:v>#NAME?</x:v>
      </x:c>
      <x:c r="I44" s="13" t="e">
        <x:f>敌人目录!M45</x:f>
        <x:v>#NAME?</x:v>
      </x:c>
      <x:c r="J44" s="13" t="e">
        <x:f>敌人目录!O45</x:f>
        <x:v>#NAME?</x:v>
      </x:c>
      <x:c r="K44" s="13" t="e">
        <x:f>敌人目录!P45</x:f>
        <x:v>#NAME?</x:v>
      </x:c>
      <x:c r="L44" s="13" t="e">
        <x:f>敌人目录!Q45</x:f>
        <x:v>#NAME?</x:v>
      </x:c>
      <x:c r="M44" s="13" t="e">
        <x:f>敌人目录!R45</x:f>
        <x:v>#NAME?</x:v>
      </x:c>
      <x:c r="N44" s="13" t="e">
        <x:f>敌人目录!S45</x:f>
        <x:v>#NAME?</x:v>
      </x:c>
      <x:c r="O44" s="13" t="e">
        <x:f>敌人目录!T45</x:f>
        <x:v>#NAME?</x:v>
      </x:c>
      <x:c r="P44" s="13" t="e">
        <x:f>敌人目录!U45</x:f>
        <x:v>#NAME?</x:v>
      </x:c>
      <x:c r="Q44" s="13" t="e">
        <x:f>敌人目录!V45</x:f>
        <x:v>#NAME?</x:v>
      </x:c>
      <x:c r="R44" s="13" t="e">
        <x:f>敌人目录!W45</x:f>
        <x:v>#NAME?</x:v>
      </x:c>
      <x:c r="S44" s="13" t="e">
        <x:f>敌人目录!X45</x:f>
        <x:v>#NAME?</x:v>
      </x:c>
      <x:c r="T44" s="13" t="e">
        <x:f>敌人目录!Y45</x:f>
        <x:v>#NAME?</x:v>
      </x:c>
      <x:c r="U44" s="13" t="e">
        <x:f>敌人目录!Z45</x:f>
        <x:v>#NAME?</x:v>
      </x:c>
      <x:c r="V44" s="13" t="e">
        <x:f>敌人目录!N45</x:f>
        <x:v>#NAME?</x:v>
      </x:c>
      <x:c r="W44" s="13" t="e">
        <x:f>敌人目录!AA45</x:f>
        <x:v>#NAME?</x:v>
      </x:c>
      <x:c r="X44" s="13" t="e">
        <x:f>敌人目录!AC45</x:f>
        <x:v>#NAME?</x:v>
      </x:c>
    </x:row>
    <x:row r="45" ht="16.5">
      <x:c r="A45" s="13">
        <x:v>3</x:v>
      </x:c>
      <x:c r="B45" s="13" t="e">
        <x:f>敌人目录!B46</x:f>
        <x:v>#NAME?</x:v>
      </x:c>
      <x:c r="C45" s="13" t="e">
        <x:f>敌人目录!G46</x:f>
        <x:v>#NAME?</x:v>
      </x:c>
      <x:c r="D45" s="13" t="e">
        <x:f>敌人目录!H46</x:f>
        <x:v>#NAME?</x:v>
      </x:c>
      <x:c r="E45" s="13" t="e">
        <x:f>敌人目录!I46</x:f>
        <x:v>#NAME?</x:v>
      </x:c>
      <x:c r="F45" s="13" t="e">
        <x:f>敌人目录!J46</x:f>
        <x:v>#NAME?</x:v>
      </x:c>
      <x:c r="G45" s="13" t="e">
        <x:f>敌人目录!K46</x:f>
        <x:v>#NAME?</x:v>
      </x:c>
      <x:c r="H45" s="13" t="e">
        <x:f>敌人目录!L46</x:f>
        <x:v>#NAME?</x:v>
      </x:c>
      <x:c r="I45" s="13" t="e">
        <x:f>敌人目录!M46</x:f>
        <x:v>#NAME?</x:v>
      </x:c>
      <x:c r="J45" s="13" t="e">
        <x:f>敌人目录!O46</x:f>
        <x:v>#NAME?</x:v>
      </x:c>
      <x:c r="K45" s="13" t="e">
        <x:f>敌人目录!P46</x:f>
        <x:v>#NAME?</x:v>
      </x:c>
      <x:c r="L45" s="13" t="e">
        <x:f>敌人目录!Q46</x:f>
        <x:v>#NAME?</x:v>
      </x:c>
      <x:c r="M45" s="13" t="e">
        <x:f>敌人目录!R46</x:f>
        <x:v>#NAME?</x:v>
      </x:c>
      <x:c r="N45" s="13" t="e">
        <x:f>敌人目录!S46</x:f>
        <x:v>#NAME?</x:v>
      </x:c>
      <x:c r="O45" s="13" t="e">
        <x:f>敌人目录!T46</x:f>
        <x:v>#NAME?</x:v>
      </x:c>
      <x:c r="P45" s="13" t="e">
        <x:f>敌人目录!U46</x:f>
        <x:v>#NAME?</x:v>
      </x:c>
      <x:c r="Q45" s="13" t="e">
        <x:f>敌人目录!V46</x:f>
        <x:v>#NAME?</x:v>
      </x:c>
      <x:c r="R45" s="13" t="e">
        <x:f>敌人目录!W46</x:f>
        <x:v>#NAME?</x:v>
      </x:c>
      <x:c r="S45" s="13" t="e">
        <x:f>敌人目录!X46</x:f>
        <x:v>#NAME?</x:v>
      </x:c>
      <x:c r="T45" s="13" t="e">
        <x:f>敌人目录!Y46</x:f>
        <x:v>#NAME?</x:v>
      </x:c>
      <x:c r="U45" s="13" t="e">
        <x:f>敌人目录!Z46</x:f>
        <x:v>#NAME?</x:v>
      </x:c>
      <x:c r="V45" s="13" t="e">
        <x:f>敌人目录!N46</x:f>
        <x:v>#NAME?</x:v>
      </x:c>
      <x:c r="W45" s="13" t="e">
        <x:f>敌人目录!AA46</x:f>
        <x:v>#NAME?</x:v>
      </x:c>
      <x:c r="X45" s="13" t="e">
        <x:f>敌人目录!AC46</x:f>
        <x:v>#NAME?</x:v>
      </x:c>
    </x:row>
    <x:row r="46" ht="16.5">
      <x:c r="A46" s="13">
        <x:v>3</x:v>
      </x:c>
      <x:c r="B46" s="13" t="e">
        <x:f>敌人目录!B47</x:f>
        <x:v>#NAME?</x:v>
      </x:c>
      <x:c r="C46" s="13" t="e">
        <x:f>敌人目录!G47</x:f>
        <x:v>#NAME?</x:v>
      </x:c>
      <x:c r="D46" s="13" t="e">
        <x:f>敌人目录!H47</x:f>
        <x:v>#NAME?</x:v>
      </x:c>
      <x:c r="E46" s="13" t="e">
        <x:f>敌人目录!I47</x:f>
        <x:v>#NAME?</x:v>
      </x:c>
      <x:c r="F46" s="13" t="e">
        <x:f>敌人目录!J47</x:f>
        <x:v>#NAME?</x:v>
      </x:c>
      <x:c r="G46" s="13" t="e">
        <x:f>敌人目录!K47</x:f>
        <x:v>#NAME?</x:v>
      </x:c>
      <x:c r="H46" s="13" t="e">
        <x:f>敌人目录!L47</x:f>
        <x:v>#NAME?</x:v>
      </x:c>
      <x:c r="I46" s="13" t="e">
        <x:f>敌人目录!M47</x:f>
        <x:v>#NAME?</x:v>
      </x:c>
      <x:c r="J46" s="13" t="e">
        <x:f>敌人目录!O47</x:f>
        <x:v>#NAME?</x:v>
      </x:c>
      <x:c r="K46" s="13" t="e">
        <x:f>敌人目录!P47</x:f>
        <x:v>#NAME?</x:v>
      </x:c>
      <x:c r="L46" s="13" t="e">
        <x:f>敌人目录!Q47</x:f>
        <x:v>#NAME?</x:v>
      </x:c>
      <x:c r="M46" s="13" t="e">
        <x:f>敌人目录!R47</x:f>
        <x:v>#NAME?</x:v>
      </x:c>
      <x:c r="N46" s="13" t="e">
        <x:f>敌人目录!S47</x:f>
        <x:v>#NAME?</x:v>
      </x:c>
      <x:c r="O46" s="13" t="e">
        <x:f>敌人目录!T47</x:f>
        <x:v>#NAME?</x:v>
      </x:c>
      <x:c r="P46" s="13" t="e">
        <x:f>敌人目录!U47</x:f>
        <x:v>#NAME?</x:v>
      </x:c>
      <x:c r="Q46" s="13" t="e">
        <x:f>敌人目录!V47</x:f>
        <x:v>#NAME?</x:v>
      </x:c>
      <x:c r="R46" s="13" t="e">
        <x:f>敌人目录!W47</x:f>
        <x:v>#NAME?</x:v>
      </x:c>
      <x:c r="S46" s="13" t="e">
        <x:f>敌人目录!X47</x:f>
        <x:v>#NAME?</x:v>
      </x:c>
      <x:c r="T46" s="13" t="e">
        <x:f>敌人目录!Y47</x:f>
        <x:v>#NAME?</x:v>
      </x:c>
      <x:c r="U46" s="13" t="e">
        <x:f>敌人目录!Z47</x:f>
        <x:v>#NAME?</x:v>
      </x:c>
      <x:c r="V46" s="13" t="e">
        <x:f>敌人目录!N47</x:f>
        <x:v>#NAME?</x:v>
      </x:c>
      <x:c r="W46" s="13" t="e">
        <x:f>敌人目录!AA47</x:f>
        <x:v>#NAME?</x:v>
      </x:c>
      <x:c r="X46" s="13" t="e">
        <x:f>敌人目录!AC47</x:f>
        <x:v>#NAME?</x:v>
      </x:c>
    </x:row>
    <x:row r="47" ht="16.5">
      <x:c r="A47" s="13">
        <x:v>3</x:v>
      </x:c>
      <x:c r="B47" s="13" t="e">
        <x:f>敌人目录!B48</x:f>
        <x:v>#NAME?</x:v>
      </x:c>
      <x:c r="C47" s="13" t="e">
        <x:f>敌人目录!G48</x:f>
        <x:v>#NAME?</x:v>
      </x:c>
      <x:c r="D47" s="13" t="e">
        <x:f>敌人目录!H48</x:f>
        <x:v>#NAME?</x:v>
      </x:c>
      <x:c r="E47" s="13" t="e">
        <x:f>敌人目录!I48</x:f>
        <x:v>#NAME?</x:v>
      </x:c>
      <x:c r="F47" s="13" t="e">
        <x:f>敌人目录!J48</x:f>
        <x:v>#NAME?</x:v>
      </x:c>
      <x:c r="G47" s="13" t="e">
        <x:f>敌人目录!K48</x:f>
        <x:v>#NAME?</x:v>
      </x:c>
      <x:c r="H47" s="13" t="e">
        <x:f>敌人目录!L48</x:f>
        <x:v>#NAME?</x:v>
      </x:c>
      <x:c r="I47" s="13" t="e">
        <x:f>敌人目录!M48</x:f>
        <x:v>#NAME?</x:v>
      </x:c>
      <x:c r="J47" s="13" t="e">
        <x:f>敌人目录!O48</x:f>
        <x:v>#NAME?</x:v>
      </x:c>
      <x:c r="K47" s="13" t="e">
        <x:f>敌人目录!P48</x:f>
        <x:v>#NAME?</x:v>
      </x:c>
      <x:c r="L47" s="13" t="e">
        <x:f>敌人目录!Q48</x:f>
        <x:v>#NAME?</x:v>
      </x:c>
      <x:c r="M47" s="13" t="e">
        <x:f>敌人目录!R48</x:f>
        <x:v>#NAME?</x:v>
      </x:c>
      <x:c r="N47" s="13" t="e">
        <x:f>敌人目录!S48</x:f>
        <x:v>#NAME?</x:v>
      </x:c>
      <x:c r="O47" s="13" t="e">
        <x:f>敌人目录!T48</x:f>
        <x:v>#NAME?</x:v>
      </x:c>
      <x:c r="P47" s="13" t="e">
        <x:f>敌人目录!U48</x:f>
        <x:v>#NAME?</x:v>
      </x:c>
      <x:c r="Q47" s="13" t="e">
        <x:f>敌人目录!V48</x:f>
        <x:v>#NAME?</x:v>
      </x:c>
      <x:c r="R47" s="13" t="e">
        <x:f>敌人目录!W48</x:f>
        <x:v>#NAME?</x:v>
      </x:c>
      <x:c r="S47" s="13" t="e">
        <x:f>敌人目录!X48</x:f>
        <x:v>#NAME?</x:v>
      </x:c>
      <x:c r="T47" s="13" t="e">
        <x:f>敌人目录!Y48</x:f>
        <x:v>#NAME?</x:v>
      </x:c>
      <x:c r="U47" s="13" t="e">
        <x:f>敌人目录!Z48</x:f>
        <x:v>#NAME?</x:v>
      </x:c>
      <x:c r="V47" s="13" t="e">
        <x:f>敌人目录!N48</x:f>
        <x:v>#NAME?</x:v>
      </x:c>
      <x:c r="W47" s="13" t="e">
        <x:f>敌人目录!AA48</x:f>
        <x:v>#NAME?</x:v>
      </x:c>
      <x:c r="X47" s="13" t="e">
        <x:f>敌人目录!AC48</x:f>
        <x:v>#NAME?</x:v>
      </x:c>
    </x:row>
    <x:row r="48" ht="16.5">
      <x:c r="A48" s="13">
        <x:v>3</x:v>
      </x:c>
      <x:c r="B48" s="13" t="e">
        <x:f>敌人目录!B49</x:f>
        <x:v>#NAME?</x:v>
      </x:c>
      <x:c r="C48" s="13" t="e">
        <x:f>敌人目录!G49</x:f>
        <x:v>#NAME?</x:v>
      </x:c>
      <x:c r="D48" s="13" t="e">
        <x:f>敌人目录!H49</x:f>
        <x:v>#NAME?</x:v>
      </x:c>
      <x:c r="E48" s="13" t="e">
        <x:f>敌人目录!I49</x:f>
        <x:v>#NAME?</x:v>
      </x:c>
      <x:c r="F48" s="13" t="e">
        <x:f>敌人目录!J49</x:f>
        <x:v>#NAME?</x:v>
      </x:c>
      <x:c r="G48" s="13" t="e">
        <x:f>敌人目录!K49</x:f>
        <x:v>#NAME?</x:v>
      </x:c>
      <x:c r="H48" s="13" t="e">
        <x:f>敌人目录!L49</x:f>
        <x:v>#NAME?</x:v>
      </x:c>
      <x:c r="I48" s="13" t="e">
        <x:f>敌人目录!M49</x:f>
        <x:v>#NAME?</x:v>
      </x:c>
      <x:c r="J48" s="13" t="e">
        <x:f>敌人目录!O49</x:f>
        <x:v>#NAME?</x:v>
      </x:c>
      <x:c r="K48" s="13" t="e">
        <x:f>敌人目录!P49</x:f>
        <x:v>#NAME?</x:v>
      </x:c>
      <x:c r="L48" s="13" t="e">
        <x:f>敌人目录!Q49</x:f>
        <x:v>#NAME?</x:v>
      </x:c>
      <x:c r="M48" s="13" t="e">
        <x:f>敌人目录!R49</x:f>
        <x:v>#NAME?</x:v>
      </x:c>
      <x:c r="N48" s="13" t="e">
        <x:f>敌人目录!S49</x:f>
        <x:v>#NAME?</x:v>
      </x:c>
      <x:c r="O48" s="13" t="e">
        <x:f>敌人目录!T49</x:f>
        <x:v>#NAME?</x:v>
      </x:c>
      <x:c r="P48" s="13" t="e">
        <x:f>敌人目录!U49</x:f>
        <x:v>#NAME?</x:v>
      </x:c>
      <x:c r="Q48" s="13" t="e">
        <x:f>敌人目录!V49</x:f>
        <x:v>#NAME?</x:v>
      </x:c>
      <x:c r="R48" s="13" t="e">
        <x:f>敌人目录!W49</x:f>
        <x:v>#NAME?</x:v>
      </x:c>
      <x:c r="S48" s="13" t="e">
        <x:f>敌人目录!X49</x:f>
        <x:v>#NAME?</x:v>
      </x:c>
      <x:c r="T48" s="13" t="e">
        <x:f>敌人目录!Y49</x:f>
        <x:v>#NAME?</x:v>
      </x:c>
      <x:c r="U48" s="13" t="e">
        <x:f>敌人目录!Z49</x:f>
        <x:v>#NAME?</x:v>
      </x:c>
      <x:c r="V48" s="13" t="e">
        <x:f>敌人目录!N49</x:f>
        <x:v>#NAME?</x:v>
      </x:c>
      <x:c r="W48" s="13" t="e">
        <x:f>敌人目录!AA49</x:f>
        <x:v>#NAME?</x:v>
      </x:c>
      <x:c r="X48" s="13" t="e">
        <x:f>敌人目录!AC49</x:f>
        <x:v>#NAME?</x:v>
      </x:c>
    </x:row>
    <x:row r="49" ht="16.5">
      <x:c r="A49" s="13">
        <x:v>3</x:v>
      </x:c>
      <x:c r="B49" s="13" t="e">
        <x:f>敌人目录!B50</x:f>
        <x:v>#NAME?</x:v>
      </x:c>
      <x:c r="C49" s="13" t="e">
        <x:f>敌人目录!G50</x:f>
        <x:v>#NAME?</x:v>
      </x:c>
      <x:c r="D49" s="13" t="e">
        <x:f>敌人目录!H50</x:f>
        <x:v>#NAME?</x:v>
      </x:c>
      <x:c r="E49" s="13" t="e">
        <x:f>敌人目录!I50</x:f>
        <x:v>#NAME?</x:v>
      </x:c>
      <x:c r="F49" s="13" t="e">
        <x:f>敌人目录!J50</x:f>
        <x:v>#NAME?</x:v>
      </x:c>
      <x:c r="G49" s="13" t="e">
        <x:f>敌人目录!K50</x:f>
        <x:v>#NAME?</x:v>
      </x:c>
      <x:c r="H49" s="13" t="e">
        <x:f>敌人目录!L50</x:f>
        <x:v>#NAME?</x:v>
      </x:c>
      <x:c r="I49" s="13" t="e">
        <x:f>敌人目录!M50</x:f>
        <x:v>#NAME?</x:v>
      </x:c>
      <x:c r="J49" s="13" t="e">
        <x:f>敌人目录!O50</x:f>
        <x:v>#NAME?</x:v>
      </x:c>
      <x:c r="K49" s="13" t="e">
        <x:f>敌人目录!P50</x:f>
        <x:v>#NAME?</x:v>
      </x:c>
      <x:c r="L49" s="13" t="e">
        <x:f>敌人目录!Q50</x:f>
        <x:v>#NAME?</x:v>
      </x:c>
      <x:c r="M49" s="13" t="e">
        <x:f>敌人目录!R50</x:f>
        <x:v>#NAME?</x:v>
      </x:c>
      <x:c r="N49" s="13" t="e">
        <x:f>敌人目录!S50</x:f>
        <x:v>#NAME?</x:v>
      </x:c>
      <x:c r="O49" s="13" t="e">
        <x:f>敌人目录!T50</x:f>
        <x:v>#NAME?</x:v>
      </x:c>
      <x:c r="P49" s="13" t="e">
        <x:f>敌人目录!U50</x:f>
        <x:v>#NAME?</x:v>
      </x:c>
      <x:c r="Q49" s="13" t="e">
        <x:f>敌人目录!V50</x:f>
        <x:v>#NAME?</x:v>
      </x:c>
      <x:c r="R49" s="13" t="e">
        <x:f>敌人目录!W50</x:f>
        <x:v>#NAME?</x:v>
      </x:c>
      <x:c r="S49" s="13" t="e">
        <x:f>敌人目录!X50</x:f>
        <x:v>#NAME?</x:v>
      </x:c>
      <x:c r="T49" s="13" t="e">
        <x:f>敌人目录!Y50</x:f>
        <x:v>#NAME?</x:v>
      </x:c>
      <x:c r="U49" s="13" t="e">
        <x:f>敌人目录!Z50</x:f>
        <x:v>#NAME?</x:v>
      </x:c>
      <x:c r="V49" s="13" t="e">
        <x:f>敌人目录!N50</x:f>
        <x:v>#NAME?</x:v>
      </x:c>
      <x:c r="W49" s="13" t="e">
        <x:f>敌人目录!AA50</x:f>
        <x:v>#NAME?</x:v>
      </x:c>
      <x:c r="X49" s="13" t="e">
        <x:f>敌人目录!AC50</x:f>
        <x:v>#NAME?</x:v>
      </x:c>
    </x:row>
    <x:row r="50" ht="16.5">
      <x:c r="A50" s="13">
        <x:v>3</x:v>
      </x:c>
      <x:c r="B50" s="13" t="e">
        <x:f>敌人目录!B51</x:f>
        <x:v>#NAME?</x:v>
      </x:c>
      <x:c r="C50" s="13" t="e">
        <x:f>敌人目录!G51</x:f>
        <x:v>#NAME?</x:v>
      </x:c>
      <x:c r="D50" s="13" t="e">
        <x:f>敌人目录!H51</x:f>
        <x:v>#NAME?</x:v>
      </x:c>
      <x:c r="E50" s="13" t="e">
        <x:f>敌人目录!I51</x:f>
        <x:v>#NAME?</x:v>
      </x:c>
      <x:c r="F50" s="13" t="e">
        <x:f>敌人目录!J51</x:f>
        <x:v>#NAME?</x:v>
      </x:c>
      <x:c r="G50" s="13" t="e">
        <x:f>敌人目录!K51</x:f>
        <x:v>#NAME?</x:v>
      </x:c>
      <x:c r="H50" s="13" t="e">
        <x:f>敌人目录!L51</x:f>
        <x:v>#NAME?</x:v>
      </x:c>
      <x:c r="I50" s="13" t="e">
        <x:f>敌人目录!M51</x:f>
        <x:v>#NAME?</x:v>
      </x:c>
      <x:c r="J50" s="13" t="e">
        <x:f>敌人目录!O51</x:f>
        <x:v>#NAME?</x:v>
      </x:c>
      <x:c r="K50" s="13" t="e">
        <x:f>敌人目录!P51</x:f>
        <x:v>#NAME?</x:v>
      </x:c>
      <x:c r="L50" s="13" t="e">
        <x:f>敌人目录!Q51</x:f>
        <x:v>#NAME?</x:v>
      </x:c>
      <x:c r="M50" s="13" t="e">
        <x:f>敌人目录!R51</x:f>
        <x:v>#NAME?</x:v>
      </x:c>
      <x:c r="N50" s="13" t="e">
        <x:f>敌人目录!S51</x:f>
        <x:v>#NAME?</x:v>
      </x:c>
      <x:c r="O50" s="13" t="e">
        <x:f>敌人目录!T51</x:f>
        <x:v>#NAME?</x:v>
      </x:c>
      <x:c r="P50" s="13" t="e">
        <x:f>敌人目录!U51</x:f>
        <x:v>#NAME?</x:v>
      </x:c>
      <x:c r="Q50" s="13" t="e">
        <x:f>敌人目录!V51</x:f>
        <x:v>#NAME?</x:v>
      </x:c>
      <x:c r="R50" s="13" t="e">
        <x:f>敌人目录!W51</x:f>
        <x:v>#NAME?</x:v>
      </x:c>
      <x:c r="S50" s="13" t="e">
        <x:f>敌人目录!X51</x:f>
        <x:v>#NAME?</x:v>
      </x:c>
      <x:c r="T50" s="13" t="e">
        <x:f>敌人目录!Y51</x:f>
        <x:v>#NAME?</x:v>
      </x:c>
      <x:c r="U50" s="13" t="e">
        <x:f>敌人目录!Z51</x:f>
        <x:v>#NAME?</x:v>
      </x:c>
      <x:c r="V50" s="13" t="e">
        <x:f>敌人目录!N51</x:f>
        <x:v>#NAME?</x:v>
      </x:c>
      <x:c r="W50" s="13" t="e">
        <x:f>敌人目录!AA51</x:f>
        <x:v>#NAME?</x:v>
      </x:c>
      <x:c r="X50" s="13" t="e">
        <x:f>敌人目录!AC51</x:f>
        <x:v>#NAME?</x:v>
      </x:c>
    </x:row>
    <x:row r="51" ht="16.5">
      <x:c r="A51" s="13">
        <x:v>3</x:v>
      </x:c>
      <x:c r="B51" s="13" t="e">
        <x:f>敌人目录!B52</x:f>
        <x:v>#NAME?</x:v>
      </x:c>
      <x:c r="C51" s="13" t="e">
        <x:f>敌人目录!G52</x:f>
        <x:v>#NAME?</x:v>
      </x:c>
      <x:c r="D51" s="13" t="e">
        <x:f>敌人目录!H52</x:f>
        <x:v>#NAME?</x:v>
      </x:c>
      <x:c r="E51" s="13" t="e">
        <x:f>敌人目录!I52</x:f>
        <x:v>#NAME?</x:v>
      </x:c>
      <x:c r="F51" s="13" t="e">
        <x:f>敌人目录!J52</x:f>
        <x:v>#NAME?</x:v>
      </x:c>
      <x:c r="G51" s="13" t="e">
        <x:f>敌人目录!K52</x:f>
        <x:v>#NAME?</x:v>
      </x:c>
      <x:c r="H51" s="13" t="e">
        <x:f>敌人目录!L52</x:f>
        <x:v>#NAME?</x:v>
      </x:c>
      <x:c r="I51" s="13" t="e">
        <x:f>敌人目录!M52</x:f>
        <x:v>#NAME?</x:v>
      </x:c>
      <x:c r="J51" s="13" t="e">
        <x:f>敌人目录!O52</x:f>
        <x:v>#NAME?</x:v>
      </x:c>
      <x:c r="K51" s="13" t="e">
        <x:f>敌人目录!P52</x:f>
        <x:v>#NAME?</x:v>
      </x:c>
      <x:c r="L51" s="13" t="e">
        <x:f>敌人目录!Q52</x:f>
        <x:v>#NAME?</x:v>
      </x:c>
      <x:c r="M51" s="13" t="e">
        <x:f>敌人目录!R52</x:f>
        <x:v>#NAME?</x:v>
      </x:c>
      <x:c r="N51" s="13" t="e">
        <x:f>敌人目录!S52</x:f>
        <x:v>#NAME?</x:v>
      </x:c>
      <x:c r="O51" s="13" t="e">
        <x:f>敌人目录!T52</x:f>
        <x:v>#NAME?</x:v>
      </x:c>
      <x:c r="P51" s="13" t="e">
        <x:f>敌人目录!U52</x:f>
        <x:v>#NAME?</x:v>
      </x:c>
      <x:c r="Q51" s="13" t="e">
        <x:f>敌人目录!V52</x:f>
        <x:v>#NAME?</x:v>
      </x:c>
      <x:c r="R51" s="13" t="e">
        <x:f>敌人目录!W52</x:f>
        <x:v>#NAME?</x:v>
      </x:c>
      <x:c r="S51" s="13" t="e">
        <x:f>敌人目录!X52</x:f>
        <x:v>#NAME?</x:v>
      </x:c>
      <x:c r="T51" s="13" t="e">
        <x:f>敌人目录!Y52</x:f>
        <x:v>#NAME?</x:v>
      </x:c>
      <x:c r="U51" s="13" t="e">
        <x:f>敌人目录!Z52</x:f>
        <x:v>#NAME?</x:v>
      </x:c>
      <x:c r="V51" s="13" t="e">
        <x:f>敌人目录!N52</x:f>
        <x:v>#NAME?</x:v>
      </x:c>
      <x:c r="W51" s="13" t="e">
        <x:f>敌人目录!AA52</x:f>
        <x:v>#NAME?</x:v>
      </x:c>
      <x:c r="X51" s="13" t="e">
        <x:f>敌人目录!AC52</x:f>
        <x:v>#NAME?</x:v>
      </x:c>
    </x:row>
    <x:row r="52" ht="16.5">
      <x:c r="A52" s="13">
        <x:v>3</x:v>
      </x:c>
      <x:c r="B52" s="13" t="e">
        <x:f>敌人目录!B53</x:f>
        <x:v>#NAME?</x:v>
      </x:c>
      <x:c r="C52" s="13" t="e">
        <x:f>敌人目录!G53</x:f>
        <x:v>#NAME?</x:v>
      </x:c>
      <x:c r="D52" s="13" t="e">
        <x:f>敌人目录!H53</x:f>
        <x:v>#NAME?</x:v>
      </x:c>
      <x:c r="E52" s="13" t="e">
        <x:f>敌人目录!I53</x:f>
        <x:v>#NAME?</x:v>
      </x:c>
      <x:c r="F52" s="13" t="e">
        <x:f>敌人目录!J53</x:f>
        <x:v>#NAME?</x:v>
      </x:c>
      <x:c r="G52" s="13" t="e">
        <x:f>敌人目录!K53</x:f>
        <x:v>#NAME?</x:v>
      </x:c>
      <x:c r="H52" s="13" t="e">
        <x:f>敌人目录!L53</x:f>
        <x:v>#NAME?</x:v>
      </x:c>
      <x:c r="I52" s="13" t="e">
        <x:f>敌人目录!M53</x:f>
        <x:v>#NAME?</x:v>
      </x:c>
      <x:c r="J52" s="13" t="e">
        <x:f>敌人目录!O53</x:f>
        <x:v>#NAME?</x:v>
      </x:c>
      <x:c r="K52" s="13" t="e">
        <x:f>敌人目录!P53</x:f>
        <x:v>#NAME?</x:v>
      </x:c>
      <x:c r="L52" s="13" t="e">
        <x:f>敌人目录!Q53</x:f>
        <x:v>#NAME?</x:v>
      </x:c>
      <x:c r="M52" s="13" t="e">
        <x:f>敌人目录!R53</x:f>
        <x:v>#NAME?</x:v>
      </x:c>
      <x:c r="N52" s="13" t="e">
        <x:f>敌人目录!S53</x:f>
        <x:v>#NAME?</x:v>
      </x:c>
      <x:c r="O52" s="13" t="e">
        <x:f>敌人目录!T53</x:f>
        <x:v>#NAME?</x:v>
      </x:c>
      <x:c r="P52" s="13" t="e">
        <x:f>敌人目录!U53</x:f>
        <x:v>#NAME?</x:v>
      </x:c>
      <x:c r="Q52" s="13" t="e">
        <x:f>敌人目录!V53</x:f>
        <x:v>#NAME?</x:v>
      </x:c>
      <x:c r="R52" s="13" t="e">
        <x:f>敌人目录!W53</x:f>
        <x:v>#NAME?</x:v>
      </x:c>
      <x:c r="S52" s="13" t="e">
        <x:f>敌人目录!X53</x:f>
        <x:v>#NAME?</x:v>
      </x:c>
      <x:c r="T52" s="13" t="e">
        <x:f>敌人目录!Y53</x:f>
        <x:v>#NAME?</x:v>
      </x:c>
      <x:c r="U52" s="13" t="e">
        <x:f>敌人目录!Z53</x:f>
        <x:v>#NAME?</x:v>
      </x:c>
      <x:c r="V52" s="13" t="e">
        <x:f>敌人目录!N53</x:f>
        <x:v>#NAME?</x:v>
      </x:c>
      <x:c r="W52" s="13" t="e">
        <x:f>敌人目录!AA53</x:f>
        <x:v>#NAME?</x:v>
      </x:c>
      <x:c r="X52" s="13" t="e">
        <x:f>敌人目录!AC53</x:f>
        <x:v>#NAME?</x:v>
      </x:c>
    </x:row>
    <x:row r="53" ht="16.5">
      <x:c r="A53" s="13">
        <x:v>3</x:v>
      </x:c>
      <x:c r="B53" s="13" t="e">
        <x:f>敌人目录!B54</x:f>
        <x:v>#NAME?</x:v>
      </x:c>
      <x:c r="C53" s="13" t="e">
        <x:f>敌人目录!G54</x:f>
        <x:v>#NAME?</x:v>
      </x:c>
      <x:c r="D53" s="13" t="e">
        <x:f>敌人目录!H54</x:f>
        <x:v>#NAME?</x:v>
      </x:c>
      <x:c r="E53" s="13" t="e">
        <x:f>敌人目录!I54</x:f>
        <x:v>#NAME?</x:v>
      </x:c>
      <x:c r="F53" s="13" t="e">
        <x:f>敌人目录!J54</x:f>
        <x:v>#NAME?</x:v>
      </x:c>
      <x:c r="G53" s="13" t="e">
        <x:f>敌人目录!K54</x:f>
        <x:v>#NAME?</x:v>
      </x:c>
      <x:c r="H53" s="13" t="e">
        <x:f>敌人目录!L54</x:f>
        <x:v>#NAME?</x:v>
      </x:c>
      <x:c r="I53" s="13" t="e">
        <x:f>敌人目录!M54</x:f>
        <x:v>#NAME?</x:v>
      </x:c>
      <x:c r="J53" s="13" t="e">
        <x:f>敌人目录!O54</x:f>
        <x:v>#NAME?</x:v>
      </x:c>
      <x:c r="K53" s="13" t="e">
        <x:f>敌人目录!P54</x:f>
        <x:v>#NAME?</x:v>
      </x:c>
      <x:c r="L53" s="13" t="e">
        <x:f>敌人目录!Q54</x:f>
        <x:v>#NAME?</x:v>
      </x:c>
      <x:c r="M53" s="13" t="e">
        <x:f>敌人目录!R54</x:f>
        <x:v>#NAME?</x:v>
      </x:c>
      <x:c r="N53" s="13" t="e">
        <x:f>敌人目录!S54</x:f>
        <x:v>#NAME?</x:v>
      </x:c>
      <x:c r="O53" s="13" t="e">
        <x:f>敌人目录!T54</x:f>
        <x:v>#NAME?</x:v>
      </x:c>
      <x:c r="P53" s="13" t="e">
        <x:f>敌人目录!U54</x:f>
        <x:v>#NAME?</x:v>
      </x:c>
      <x:c r="Q53" s="13" t="e">
        <x:f>敌人目录!V54</x:f>
        <x:v>#NAME?</x:v>
      </x:c>
      <x:c r="R53" s="13" t="e">
        <x:f>敌人目录!W54</x:f>
        <x:v>#NAME?</x:v>
      </x:c>
      <x:c r="S53" s="13" t="e">
        <x:f>敌人目录!X54</x:f>
        <x:v>#NAME?</x:v>
      </x:c>
      <x:c r="T53" s="13" t="e">
        <x:f>敌人目录!Y54</x:f>
        <x:v>#NAME?</x:v>
      </x:c>
      <x:c r="U53" s="13" t="e">
        <x:f>敌人目录!Z54</x:f>
        <x:v>#NAME?</x:v>
      </x:c>
      <x:c r="V53" s="13" t="e">
        <x:f>敌人目录!N54</x:f>
        <x:v>#NAME?</x:v>
      </x:c>
      <x:c r="W53" s="13" t="e">
        <x:f>敌人目录!AA54</x:f>
        <x:v>#NAME?</x:v>
      </x:c>
      <x:c r="X53" s="13" t="e">
        <x:f>敌人目录!AC54</x:f>
        <x:v>#NAME?</x:v>
      </x:c>
    </x:row>
    <x:row r="54" ht="16.5">
      <x:c r="A54" s="25">
        <x:v>3</x:v>
      </x:c>
      <x:c r="B54" s="25" t="e">
        <x:f>敌人目录!B55</x:f>
        <x:v>#NAME?</x:v>
      </x:c>
      <x:c r="C54" s="25" t="e">
        <x:f>敌人目录!G55</x:f>
        <x:v>#NAME?</x:v>
      </x:c>
      <x:c r="D54" s="25" t="e">
        <x:f>敌人目录!H55</x:f>
        <x:v>#NAME?</x:v>
      </x:c>
      <x:c r="E54" s="25" t="e">
        <x:f>敌人目录!I55</x:f>
        <x:v>#NAME?</x:v>
      </x:c>
      <x:c r="F54" s="25" t="e">
        <x:f>敌人目录!J55</x:f>
        <x:v>#NAME?</x:v>
      </x:c>
      <x:c r="G54" s="25" t="e">
        <x:f>敌人目录!K55</x:f>
        <x:v>#NAME?</x:v>
      </x:c>
      <x:c r="H54" s="25" t="e">
        <x:f>敌人目录!L55</x:f>
        <x:v>#NAME?</x:v>
      </x:c>
      <x:c r="I54" s="25" t="e">
        <x:f>敌人目录!M55</x:f>
        <x:v>#NAME?</x:v>
      </x:c>
      <x:c r="J54" s="25" t="e">
        <x:f>敌人目录!O55</x:f>
        <x:v>#NAME?</x:v>
      </x:c>
      <x:c r="K54" s="25" t="e">
        <x:f>敌人目录!P55</x:f>
        <x:v>#NAME?</x:v>
      </x:c>
      <x:c r="L54" s="25" t="e">
        <x:f>敌人目录!Q55</x:f>
        <x:v>#NAME?</x:v>
      </x:c>
      <x:c r="M54" s="25" t="e">
        <x:f>敌人目录!R55</x:f>
        <x:v>#NAME?</x:v>
      </x:c>
      <x:c r="N54" s="25" t="e">
        <x:f>敌人目录!S55</x:f>
        <x:v>#NAME?</x:v>
      </x:c>
      <x:c r="O54" s="25" t="e">
        <x:f>敌人目录!T55</x:f>
        <x:v>#NAME?</x:v>
      </x:c>
      <x:c r="P54" s="25" t="e">
        <x:f>敌人目录!U55</x:f>
        <x:v>#NAME?</x:v>
      </x:c>
      <x:c r="Q54" s="25" t="e">
        <x:f>敌人目录!V55</x:f>
        <x:v>#NAME?</x:v>
      </x:c>
      <x:c r="R54" s="25" t="e">
        <x:f>敌人目录!W55</x:f>
        <x:v>#NAME?</x:v>
      </x:c>
      <x:c r="S54" s="25" t="e">
        <x:f>敌人目录!X55</x:f>
        <x:v>#NAME?</x:v>
      </x:c>
      <x:c r="T54" s="25" t="e">
        <x:f>敌人目录!Y55</x:f>
        <x:v>#NAME?</x:v>
      </x:c>
      <x:c r="U54" s="25" t="e">
        <x:f>敌人目录!Z55</x:f>
        <x:v>#NAME?</x:v>
      </x:c>
      <x:c r="V54" s="25" t="e">
        <x:f>敌人目录!N55</x:f>
        <x:v>#NAME?</x:v>
      </x:c>
      <x:c r="W54" s="25" t="e">
        <x:f>敌人目录!AA55</x:f>
        <x:v>#NAME?</x:v>
      </x:c>
      <x:c r="X54" s="25" t="e">
        <x:f>敌人目录!AC55</x:f>
        <x:v>#NAME?</x:v>
      </x:c>
    </x:row>
    <x:row r="55" ht="16.5">
      <x:c r="A55" s="25">
        <x:v>3</x:v>
      </x:c>
      <x:c r="B55" s="25" t="e">
        <x:f>敌人目录!B56</x:f>
        <x:v>#NAME?</x:v>
      </x:c>
      <x:c r="C55" s="25" t="e">
        <x:f>敌人目录!G56</x:f>
        <x:v>#NAME?</x:v>
      </x:c>
      <x:c r="D55" s="25" t="e">
        <x:f>敌人目录!H56</x:f>
        <x:v>#NAME?</x:v>
      </x:c>
      <x:c r="E55" s="25" t="e">
        <x:f>敌人目录!I56</x:f>
        <x:v>#NAME?</x:v>
      </x:c>
      <x:c r="F55" s="25" t="e">
        <x:f>敌人目录!J56</x:f>
        <x:v>#NAME?</x:v>
      </x:c>
      <x:c r="G55" s="25" t="e">
        <x:f>敌人目录!K56</x:f>
        <x:v>#NAME?</x:v>
      </x:c>
      <x:c r="H55" s="25" t="e">
        <x:f>敌人目录!L56</x:f>
        <x:v>#NAME?</x:v>
      </x:c>
      <x:c r="I55" s="25" t="e">
        <x:f>敌人目录!M56</x:f>
        <x:v>#NAME?</x:v>
      </x:c>
      <x:c r="J55" s="25" t="e">
        <x:f>敌人目录!O56</x:f>
        <x:v>#NAME?</x:v>
      </x:c>
      <x:c r="K55" s="25" t="e">
        <x:f>敌人目录!P56</x:f>
        <x:v>#NAME?</x:v>
      </x:c>
      <x:c r="L55" s="25" t="e">
        <x:f>敌人目录!Q56</x:f>
        <x:v>#NAME?</x:v>
      </x:c>
      <x:c r="M55" s="25" t="e">
        <x:f>敌人目录!R56</x:f>
        <x:v>#NAME?</x:v>
      </x:c>
      <x:c r="N55" s="25" t="e">
        <x:f>敌人目录!S56</x:f>
        <x:v>#NAME?</x:v>
      </x:c>
      <x:c r="O55" s="25" t="e">
        <x:f>敌人目录!T56</x:f>
        <x:v>#NAME?</x:v>
      </x:c>
      <x:c r="P55" s="25" t="e">
        <x:f>敌人目录!U56</x:f>
        <x:v>#NAME?</x:v>
      </x:c>
      <x:c r="Q55" s="25" t="e">
        <x:f>敌人目录!V56</x:f>
        <x:v>#NAME?</x:v>
      </x:c>
      <x:c r="R55" s="25" t="e">
        <x:f>敌人目录!W56</x:f>
        <x:v>#NAME?</x:v>
      </x:c>
      <x:c r="S55" s="25" t="e">
        <x:f>敌人目录!X56</x:f>
        <x:v>#NAME?</x:v>
      </x:c>
      <x:c r="T55" s="25" t="e">
        <x:f>敌人目录!Y56</x:f>
        <x:v>#NAME?</x:v>
      </x:c>
      <x:c r="U55" s="25" t="e">
        <x:f>敌人目录!Z56</x:f>
        <x:v>#NAME?</x:v>
      </x:c>
      <x:c r="V55" s="25" t="e">
        <x:f>敌人目录!N56</x:f>
        <x:v>#NAME?</x:v>
      </x:c>
      <x:c r="W55" s="25" t="e">
        <x:f>敌人目录!AA56</x:f>
        <x:v>#NAME?</x:v>
      </x:c>
      <x:c r="X55" s="25" t="e">
        <x:f>敌人目录!AC56</x:f>
        <x:v>#NAME?</x:v>
      </x:c>
    </x:row>
    <x:row r="56" ht="16.5">
      <x:c r="A56" s="25">
        <x:v>3</x:v>
      </x:c>
      <x:c r="B56" s="25" t="e">
        <x:f>敌人目录!B57</x:f>
        <x:v>#NAME?</x:v>
      </x:c>
      <x:c r="C56" s="25" t="e">
        <x:f>敌人目录!G57</x:f>
        <x:v>#NAME?</x:v>
      </x:c>
      <x:c r="D56" s="25" t="e">
        <x:f>敌人目录!H57</x:f>
        <x:v>#NAME?</x:v>
      </x:c>
      <x:c r="E56" s="25" t="e">
        <x:f>敌人目录!I57</x:f>
        <x:v>#NAME?</x:v>
      </x:c>
      <x:c r="F56" s="25" t="e">
        <x:f>敌人目录!J57</x:f>
        <x:v>#NAME?</x:v>
      </x:c>
      <x:c r="G56" s="25" t="e">
        <x:f>敌人目录!K57</x:f>
        <x:v>#NAME?</x:v>
      </x:c>
      <x:c r="H56" s="25" t="e">
        <x:f>敌人目录!L57</x:f>
        <x:v>#NAME?</x:v>
      </x:c>
      <x:c r="I56" s="25" t="e">
        <x:f>敌人目录!M57</x:f>
        <x:v>#NAME?</x:v>
      </x:c>
      <x:c r="J56" s="25" t="e">
        <x:f>敌人目录!O57</x:f>
        <x:v>#NAME?</x:v>
      </x:c>
      <x:c r="K56" s="25" t="e">
        <x:f>敌人目录!P57</x:f>
        <x:v>#NAME?</x:v>
      </x:c>
      <x:c r="L56" s="25" t="e">
        <x:f>敌人目录!Q57</x:f>
        <x:v>#NAME?</x:v>
      </x:c>
      <x:c r="M56" s="25" t="e">
        <x:f>敌人目录!R57</x:f>
        <x:v>#NAME?</x:v>
      </x:c>
      <x:c r="N56" s="25" t="e">
        <x:f>敌人目录!S57</x:f>
        <x:v>#NAME?</x:v>
      </x:c>
      <x:c r="O56" s="25" t="e">
        <x:f>敌人目录!T57</x:f>
        <x:v>#NAME?</x:v>
      </x:c>
      <x:c r="P56" s="25" t="e">
        <x:f>敌人目录!U57</x:f>
        <x:v>#NAME?</x:v>
      </x:c>
      <x:c r="Q56" s="25" t="e">
        <x:f>敌人目录!V57</x:f>
        <x:v>#NAME?</x:v>
      </x:c>
      <x:c r="R56" s="25" t="e">
        <x:f>敌人目录!W57</x:f>
        <x:v>#NAME?</x:v>
      </x:c>
      <x:c r="S56" s="25" t="e">
        <x:f>敌人目录!X57</x:f>
        <x:v>#NAME?</x:v>
      </x:c>
      <x:c r="T56" s="25" t="e">
        <x:f>敌人目录!Y57</x:f>
        <x:v>#NAME?</x:v>
      </x:c>
      <x:c r="U56" s="25" t="e">
        <x:f>敌人目录!Z57</x:f>
        <x:v>#NAME?</x:v>
      </x:c>
      <x:c r="V56" s="25" t="e">
        <x:f>敌人目录!N57</x:f>
        <x:v>#NAME?</x:v>
      </x:c>
      <x:c r="W56" s="25" t="e">
        <x:f>敌人目录!AA57</x:f>
        <x:v>#NAME?</x:v>
      </x:c>
      <x:c r="X56" s="25" t="e">
        <x:f>敌人目录!AC57</x:f>
        <x:v>#NAME?</x:v>
      </x:c>
    </x:row>
    <x:row r="57" ht="16.5">
      <x:c r="A57" s="25">
        <x:v>3</x:v>
      </x:c>
      <x:c r="B57" s="25" t="e">
        <x:f>敌人目录!B58</x:f>
        <x:v>#NAME?</x:v>
      </x:c>
      <x:c r="C57" s="25" t="e">
        <x:f>敌人目录!G58</x:f>
        <x:v>#NAME?</x:v>
      </x:c>
      <x:c r="D57" s="25" t="e">
        <x:f>敌人目录!H58</x:f>
        <x:v>#NAME?</x:v>
      </x:c>
      <x:c r="E57" s="25" t="e">
        <x:f>敌人目录!I58</x:f>
        <x:v>#NAME?</x:v>
      </x:c>
      <x:c r="F57" s="25" t="e">
        <x:f>敌人目录!J58</x:f>
        <x:v>#NAME?</x:v>
      </x:c>
      <x:c r="G57" s="25" t="e">
        <x:f>敌人目录!K58</x:f>
        <x:v>#NAME?</x:v>
      </x:c>
      <x:c r="H57" s="25" t="e">
        <x:f>敌人目录!L58</x:f>
        <x:v>#NAME?</x:v>
      </x:c>
      <x:c r="I57" s="25" t="e">
        <x:f>敌人目录!M58</x:f>
        <x:v>#NAME?</x:v>
      </x:c>
      <x:c r="J57" s="25" t="e">
        <x:f>敌人目录!O58</x:f>
        <x:v>#NAME?</x:v>
      </x:c>
      <x:c r="K57" s="25" t="e">
        <x:f>敌人目录!P58</x:f>
        <x:v>#NAME?</x:v>
      </x:c>
      <x:c r="L57" s="25" t="e">
        <x:f>敌人目录!Q58</x:f>
        <x:v>#NAME?</x:v>
      </x:c>
      <x:c r="M57" s="25" t="e">
        <x:f>敌人目录!R58</x:f>
        <x:v>#NAME?</x:v>
      </x:c>
      <x:c r="N57" s="25" t="e">
        <x:f>敌人目录!S58</x:f>
        <x:v>#NAME?</x:v>
      </x:c>
      <x:c r="O57" s="25" t="e">
        <x:f>敌人目录!T58</x:f>
        <x:v>#NAME?</x:v>
      </x:c>
      <x:c r="P57" s="25" t="e">
        <x:f>敌人目录!U58</x:f>
        <x:v>#NAME?</x:v>
      </x:c>
      <x:c r="Q57" s="25" t="e">
        <x:f>敌人目录!V58</x:f>
        <x:v>#NAME?</x:v>
      </x:c>
      <x:c r="R57" s="25" t="e">
        <x:f>敌人目录!W58</x:f>
        <x:v>#NAME?</x:v>
      </x:c>
      <x:c r="S57" s="25" t="e">
        <x:f>敌人目录!X58</x:f>
        <x:v>#NAME?</x:v>
      </x:c>
      <x:c r="T57" s="25" t="e">
        <x:f>敌人目录!Y58</x:f>
        <x:v>#NAME?</x:v>
      </x:c>
      <x:c r="U57" s="25" t="e">
        <x:f>敌人目录!Z58</x:f>
        <x:v>#NAME?</x:v>
      </x:c>
      <x:c r="V57" s="25" t="e">
        <x:f>敌人目录!N58</x:f>
        <x:v>#NAME?</x:v>
      </x:c>
      <x:c r="W57" s="25" t="e">
        <x:f>敌人目录!AA58</x:f>
        <x:v>#NAME?</x:v>
      </x:c>
      <x:c r="X57" s="25" t="e">
        <x:f>敌人目录!AC58</x:f>
        <x:v>#NAME?</x:v>
      </x:c>
    </x:row>
    <x:row r="58" ht="16.5">
      <x:c r="A58" s="25">
        <x:v>3</x:v>
      </x:c>
      <x:c r="B58" s="25" t="e">
        <x:f>敌人目录!B59</x:f>
        <x:v>#NAME?</x:v>
      </x:c>
      <x:c r="C58" s="25" t="e">
        <x:f>敌人目录!G59</x:f>
        <x:v>#NAME?</x:v>
      </x:c>
      <x:c r="D58" s="25" t="e">
        <x:f>敌人目录!H59</x:f>
        <x:v>#NAME?</x:v>
      </x:c>
      <x:c r="E58" s="25" t="e">
        <x:f>敌人目录!I59</x:f>
        <x:v>#NAME?</x:v>
      </x:c>
      <x:c r="F58" s="25" t="e">
        <x:f>敌人目录!J59</x:f>
        <x:v>#NAME?</x:v>
      </x:c>
      <x:c r="G58" s="25" t="e">
        <x:f>敌人目录!K59</x:f>
        <x:v>#NAME?</x:v>
      </x:c>
      <x:c r="H58" s="25" t="e">
        <x:f>敌人目录!L59</x:f>
        <x:v>#NAME?</x:v>
      </x:c>
      <x:c r="I58" s="25" t="e">
        <x:f>敌人目录!M59</x:f>
        <x:v>#NAME?</x:v>
      </x:c>
      <x:c r="J58" s="25" t="e">
        <x:f>敌人目录!O59</x:f>
        <x:v>#NAME?</x:v>
      </x:c>
      <x:c r="K58" s="25" t="e">
        <x:f>敌人目录!P59</x:f>
        <x:v>#NAME?</x:v>
      </x:c>
      <x:c r="L58" s="25" t="e">
        <x:f>敌人目录!Q59</x:f>
        <x:v>#NAME?</x:v>
      </x:c>
      <x:c r="M58" s="25" t="e">
        <x:f>敌人目录!R59</x:f>
        <x:v>#NAME?</x:v>
      </x:c>
      <x:c r="N58" s="25" t="e">
        <x:f>敌人目录!S59</x:f>
        <x:v>#NAME?</x:v>
      </x:c>
      <x:c r="O58" s="25" t="e">
        <x:f>敌人目录!T59</x:f>
        <x:v>#NAME?</x:v>
      </x:c>
      <x:c r="P58" s="25" t="e">
        <x:f>敌人目录!U59</x:f>
        <x:v>#NAME?</x:v>
      </x:c>
      <x:c r="Q58" s="25" t="e">
        <x:f>敌人目录!V59</x:f>
        <x:v>#NAME?</x:v>
      </x:c>
      <x:c r="R58" s="25" t="e">
        <x:f>敌人目录!W59</x:f>
        <x:v>#NAME?</x:v>
      </x:c>
      <x:c r="S58" s="25" t="e">
        <x:f>敌人目录!X59</x:f>
        <x:v>#NAME?</x:v>
      </x:c>
      <x:c r="T58" s="25" t="e">
        <x:f>敌人目录!Y59</x:f>
        <x:v>#NAME?</x:v>
      </x:c>
      <x:c r="U58" s="25" t="e">
        <x:f>敌人目录!Z59</x:f>
        <x:v>#NAME?</x:v>
      </x:c>
      <x:c r="V58" s="25" t="e">
        <x:f>敌人目录!N59</x:f>
        <x:v>#NAME?</x:v>
      </x:c>
      <x:c r="W58" s="25" t="e">
        <x:f>敌人目录!AA59</x:f>
        <x:v>#NAME?</x:v>
      </x:c>
      <x:c r="X58" s="25" t="e">
        <x:f>敌人目录!AC59</x:f>
        <x:v>#NAME?</x:v>
      </x:c>
    </x:row>
    <x:row r="59" ht="16.5">
      <x:c r="A59" s="25">
        <x:v>3</x:v>
      </x:c>
      <x:c r="B59" s="25" t="e">
        <x:f>敌人目录!B60</x:f>
        <x:v>#NAME?</x:v>
      </x:c>
      <x:c r="C59" s="25" t="e">
        <x:f>敌人目录!G60</x:f>
        <x:v>#NAME?</x:v>
      </x:c>
      <x:c r="D59" s="25" t="e">
        <x:f>敌人目录!H60</x:f>
        <x:v>#NAME?</x:v>
      </x:c>
      <x:c r="E59" s="25" t="e">
        <x:f>敌人目录!I60</x:f>
        <x:v>#NAME?</x:v>
      </x:c>
      <x:c r="F59" s="25" t="e">
        <x:f>敌人目录!J60</x:f>
        <x:v>#NAME?</x:v>
      </x:c>
      <x:c r="G59" s="25" t="e">
        <x:f>敌人目录!K60</x:f>
        <x:v>#NAME?</x:v>
      </x:c>
      <x:c r="H59" s="25" t="e">
        <x:f>敌人目录!L60</x:f>
        <x:v>#NAME?</x:v>
      </x:c>
      <x:c r="I59" s="25" t="e">
        <x:f>敌人目录!M60</x:f>
        <x:v>#NAME?</x:v>
      </x:c>
      <x:c r="J59" s="25" t="e">
        <x:f>敌人目录!O60</x:f>
        <x:v>#NAME?</x:v>
      </x:c>
      <x:c r="K59" s="25" t="e">
        <x:f>敌人目录!P60</x:f>
        <x:v>#NAME?</x:v>
      </x:c>
      <x:c r="L59" s="25" t="e">
        <x:f>敌人目录!Q60</x:f>
        <x:v>#NAME?</x:v>
      </x:c>
      <x:c r="M59" s="25" t="e">
        <x:f>敌人目录!R60</x:f>
        <x:v>#NAME?</x:v>
      </x:c>
      <x:c r="N59" s="25" t="e">
        <x:f>敌人目录!S60</x:f>
        <x:v>#NAME?</x:v>
      </x:c>
      <x:c r="O59" s="25" t="e">
        <x:f>敌人目录!T60</x:f>
        <x:v>#NAME?</x:v>
      </x:c>
      <x:c r="P59" s="25" t="e">
        <x:f>敌人目录!U60</x:f>
        <x:v>#NAME?</x:v>
      </x:c>
      <x:c r="Q59" s="25" t="e">
        <x:f>敌人目录!V60</x:f>
        <x:v>#NAME?</x:v>
      </x:c>
      <x:c r="R59" s="25" t="e">
        <x:f>敌人目录!W60</x:f>
        <x:v>#NAME?</x:v>
      </x:c>
      <x:c r="S59" s="25" t="e">
        <x:f>敌人目录!X60</x:f>
        <x:v>#NAME?</x:v>
      </x:c>
      <x:c r="T59" s="25" t="e">
        <x:f>敌人目录!Y60</x:f>
        <x:v>#NAME?</x:v>
      </x:c>
      <x:c r="U59" s="25" t="e">
        <x:f>敌人目录!Z60</x:f>
        <x:v>#NAME?</x:v>
      </x:c>
      <x:c r="V59" s="25" t="e">
        <x:f>敌人目录!N60</x:f>
        <x:v>#NAME?</x:v>
      </x:c>
      <x:c r="W59" s="25" t="e">
        <x:f>敌人目录!AA60</x:f>
        <x:v>#NAME?</x:v>
      </x:c>
      <x:c r="X59" s="25" t="e">
        <x:f>敌人目录!AC60</x:f>
        <x:v>#NAME?</x:v>
      </x:c>
    </x:row>
    <x:row r="60" ht="16.5">
      <x:c r="A60" s="25">
        <x:v>3</x:v>
      </x:c>
      <x:c r="B60" s="25" t="e">
        <x:f>敌人目录!B61</x:f>
        <x:v>#NAME?</x:v>
      </x:c>
      <x:c r="C60" s="25" t="e">
        <x:f>敌人目录!G61</x:f>
        <x:v>#NAME?</x:v>
      </x:c>
      <x:c r="D60" s="25" t="e">
        <x:f>敌人目录!H61</x:f>
        <x:v>#NAME?</x:v>
      </x:c>
      <x:c r="E60" s="25" t="e">
        <x:f>敌人目录!I61</x:f>
        <x:v>#NAME?</x:v>
      </x:c>
      <x:c r="F60" s="25" t="e">
        <x:f>敌人目录!J61</x:f>
        <x:v>#NAME?</x:v>
      </x:c>
      <x:c r="G60" s="25" t="e">
        <x:f>敌人目录!K61</x:f>
        <x:v>#NAME?</x:v>
      </x:c>
      <x:c r="H60" s="25" t="e">
        <x:f>敌人目录!L61</x:f>
        <x:v>#NAME?</x:v>
      </x:c>
      <x:c r="I60" s="25" t="e">
        <x:f>敌人目录!M61</x:f>
        <x:v>#NAME?</x:v>
      </x:c>
      <x:c r="J60" s="25" t="e">
        <x:f>敌人目录!O61</x:f>
        <x:v>#NAME?</x:v>
      </x:c>
      <x:c r="K60" s="25" t="e">
        <x:f>敌人目录!P61</x:f>
        <x:v>#NAME?</x:v>
      </x:c>
      <x:c r="L60" s="25" t="e">
        <x:f>敌人目录!Q61</x:f>
        <x:v>#NAME?</x:v>
      </x:c>
      <x:c r="M60" s="25" t="e">
        <x:f>敌人目录!R61</x:f>
        <x:v>#NAME?</x:v>
      </x:c>
      <x:c r="N60" s="25" t="e">
        <x:f>敌人目录!S61</x:f>
        <x:v>#NAME?</x:v>
      </x:c>
      <x:c r="O60" s="25" t="e">
        <x:f>敌人目录!T61</x:f>
        <x:v>#NAME?</x:v>
      </x:c>
      <x:c r="P60" s="25" t="e">
        <x:f>敌人目录!U61</x:f>
        <x:v>#NAME?</x:v>
      </x:c>
      <x:c r="Q60" s="25" t="e">
        <x:f>敌人目录!V61</x:f>
        <x:v>#NAME?</x:v>
      </x:c>
      <x:c r="R60" s="25" t="e">
        <x:f>敌人目录!W61</x:f>
        <x:v>#NAME?</x:v>
      </x:c>
      <x:c r="S60" s="25" t="e">
        <x:f>敌人目录!X61</x:f>
        <x:v>#NAME?</x:v>
      </x:c>
      <x:c r="T60" s="25" t="e">
        <x:f>敌人目录!Y61</x:f>
        <x:v>#NAME?</x:v>
      </x:c>
      <x:c r="U60" s="25" t="e">
        <x:f>敌人目录!Z61</x:f>
        <x:v>#NAME?</x:v>
      </x:c>
      <x:c r="V60" s="25" t="e">
        <x:f>敌人目录!N61</x:f>
        <x:v>#NAME?</x:v>
      </x:c>
      <x:c r="W60" s="25" t="e">
        <x:f>敌人目录!AA61</x:f>
        <x:v>#NAME?</x:v>
      </x:c>
      <x:c r="X60" s="25" t="e">
        <x:f>敌人目录!AC61</x:f>
        <x:v>#NAME?</x:v>
      </x:c>
    </x:row>
    <x:row r="61" ht="16.5">
      <x:c r="A61" s="25">
        <x:v>3</x:v>
      </x:c>
      <x:c r="B61" s="25" t="e">
        <x:f>敌人目录!B62</x:f>
        <x:v>#NAME?</x:v>
      </x:c>
      <x:c r="C61" s="25" t="e">
        <x:f>敌人目录!G62</x:f>
        <x:v>#NAME?</x:v>
      </x:c>
      <x:c r="D61" s="25" t="e">
        <x:f>敌人目录!H62</x:f>
        <x:v>#NAME?</x:v>
      </x:c>
      <x:c r="E61" s="25" t="e">
        <x:f>敌人目录!I62</x:f>
        <x:v>#NAME?</x:v>
      </x:c>
      <x:c r="F61" s="25" t="e">
        <x:f>敌人目录!J62</x:f>
        <x:v>#NAME?</x:v>
      </x:c>
      <x:c r="G61" s="25" t="e">
        <x:f>敌人目录!K62</x:f>
        <x:v>#NAME?</x:v>
      </x:c>
      <x:c r="H61" s="25" t="e">
        <x:f>敌人目录!L62</x:f>
        <x:v>#NAME?</x:v>
      </x:c>
      <x:c r="I61" s="25" t="e">
        <x:f>敌人目录!M62</x:f>
        <x:v>#NAME?</x:v>
      </x:c>
      <x:c r="J61" s="25" t="e">
        <x:f>敌人目录!O62</x:f>
        <x:v>#NAME?</x:v>
      </x:c>
      <x:c r="K61" s="25" t="e">
        <x:f>敌人目录!P62</x:f>
        <x:v>#NAME?</x:v>
      </x:c>
      <x:c r="L61" s="25" t="e">
        <x:f>敌人目录!Q62</x:f>
        <x:v>#NAME?</x:v>
      </x:c>
      <x:c r="M61" s="25" t="e">
        <x:f>敌人目录!R62</x:f>
        <x:v>#NAME?</x:v>
      </x:c>
      <x:c r="N61" s="25" t="e">
        <x:f>敌人目录!S62</x:f>
        <x:v>#NAME?</x:v>
      </x:c>
      <x:c r="O61" s="25" t="e">
        <x:f>敌人目录!T62</x:f>
        <x:v>#NAME?</x:v>
      </x:c>
      <x:c r="P61" s="25" t="e">
        <x:f>敌人目录!U62</x:f>
        <x:v>#NAME?</x:v>
      </x:c>
      <x:c r="Q61" s="25" t="e">
        <x:f>敌人目录!V62</x:f>
        <x:v>#NAME?</x:v>
      </x:c>
      <x:c r="R61" s="25" t="e">
        <x:f>敌人目录!W62</x:f>
        <x:v>#NAME?</x:v>
      </x:c>
      <x:c r="S61" s="25" t="e">
        <x:f>敌人目录!X62</x:f>
        <x:v>#NAME?</x:v>
      </x:c>
      <x:c r="T61" s="25" t="e">
        <x:f>敌人目录!Y62</x:f>
        <x:v>#NAME?</x:v>
      </x:c>
      <x:c r="U61" s="25" t="e">
        <x:f>敌人目录!Z62</x:f>
        <x:v>#NAME?</x:v>
      </x:c>
      <x:c r="V61" s="25" t="e">
        <x:f>敌人目录!N62</x:f>
        <x:v>#NAME?</x:v>
      </x:c>
      <x:c r="W61" s="25" t="e">
        <x:f>敌人目录!AA62</x:f>
        <x:v>#NAME?</x:v>
      </x:c>
      <x:c r="X61" s="25" t="e">
        <x:f>敌人目录!AC62</x:f>
        <x:v>#NAME?</x:v>
      </x:c>
    </x:row>
    <x:row r="62" ht="16.5">
      <x:c r="A62" s="25">
        <x:v>3</x:v>
      </x:c>
      <x:c r="B62" s="25" t="e">
        <x:f>敌人目录!B63</x:f>
        <x:v>#NAME?</x:v>
      </x:c>
      <x:c r="C62" s="25" t="e">
        <x:f>敌人目录!G63</x:f>
        <x:v>#NAME?</x:v>
      </x:c>
      <x:c r="D62" s="25" t="e">
        <x:f>敌人目录!H63</x:f>
        <x:v>#NAME?</x:v>
      </x:c>
      <x:c r="E62" s="25" t="e">
        <x:f>敌人目录!I63</x:f>
        <x:v>#NAME?</x:v>
      </x:c>
      <x:c r="F62" s="25" t="e">
        <x:f>敌人目录!J63</x:f>
        <x:v>#NAME?</x:v>
      </x:c>
      <x:c r="G62" s="25" t="e">
        <x:f>敌人目录!K63</x:f>
        <x:v>#NAME?</x:v>
      </x:c>
      <x:c r="H62" s="25" t="e">
        <x:f>敌人目录!L63</x:f>
        <x:v>#NAME?</x:v>
      </x:c>
      <x:c r="I62" s="25" t="e">
        <x:f>敌人目录!M63</x:f>
        <x:v>#NAME?</x:v>
      </x:c>
      <x:c r="J62" s="25" t="e">
        <x:f>敌人目录!O63</x:f>
        <x:v>#NAME?</x:v>
      </x:c>
      <x:c r="K62" s="25" t="e">
        <x:f>敌人目录!P63</x:f>
        <x:v>#NAME?</x:v>
      </x:c>
      <x:c r="L62" s="25" t="e">
        <x:f>敌人目录!Q63</x:f>
        <x:v>#NAME?</x:v>
      </x:c>
      <x:c r="M62" s="25" t="e">
        <x:f>敌人目录!R63</x:f>
        <x:v>#NAME?</x:v>
      </x:c>
      <x:c r="N62" s="25" t="e">
        <x:f>敌人目录!S63</x:f>
        <x:v>#NAME?</x:v>
      </x:c>
      <x:c r="O62" s="25" t="e">
        <x:f>敌人目录!T63</x:f>
        <x:v>#NAME?</x:v>
      </x:c>
      <x:c r="P62" s="25" t="e">
        <x:f>敌人目录!U63</x:f>
        <x:v>#NAME?</x:v>
      </x:c>
      <x:c r="Q62" s="25" t="e">
        <x:f>敌人目录!V63</x:f>
        <x:v>#NAME?</x:v>
      </x:c>
      <x:c r="R62" s="25" t="e">
        <x:f>敌人目录!W63</x:f>
        <x:v>#NAME?</x:v>
      </x:c>
      <x:c r="S62" s="25" t="e">
        <x:f>敌人目录!X63</x:f>
        <x:v>#NAME?</x:v>
      </x:c>
      <x:c r="T62" s="25" t="e">
        <x:f>敌人目录!Y63</x:f>
        <x:v>#NAME?</x:v>
      </x:c>
      <x:c r="U62" s="25" t="e">
        <x:f>敌人目录!Z63</x:f>
        <x:v>#NAME?</x:v>
      </x:c>
      <x:c r="V62" s="25" t="e">
        <x:f>敌人目录!N63</x:f>
        <x:v>#NAME?</x:v>
      </x:c>
      <x:c r="W62" s="25" t="e">
        <x:f>敌人目录!AA63</x:f>
        <x:v>#NAME?</x:v>
      </x:c>
      <x:c r="X62" s="25" t="e">
        <x:f>敌人目录!AC63</x:f>
        <x:v>#NAME?</x:v>
      </x:c>
    </x:row>
    <x:row r="63" ht="16.5">
      <x:c r="A63" s="25">
        <x:v>3</x:v>
      </x:c>
      <x:c r="B63" s="25" t="e">
        <x:f>敌人目录!B64</x:f>
        <x:v>#NAME?</x:v>
      </x:c>
      <x:c r="C63" s="25" t="e">
        <x:f>敌人目录!G64</x:f>
        <x:v>#NAME?</x:v>
      </x:c>
      <x:c r="D63" s="25" t="e">
        <x:f>敌人目录!H64</x:f>
        <x:v>#NAME?</x:v>
      </x:c>
      <x:c r="E63" s="25" t="e">
        <x:f>敌人目录!I64</x:f>
        <x:v>#NAME?</x:v>
      </x:c>
      <x:c r="F63" s="25" t="e">
        <x:f>敌人目录!J64</x:f>
        <x:v>#NAME?</x:v>
      </x:c>
      <x:c r="G63" s="25" t="e">
        <x:f>敌人目录!K64</x:f>
        <x:v>#NAME?</x:v>
      </x:c>
      <x:c r="H63" s="25" t="e">
        <x:f>敌人目录!L64</x:f>
        <x:v>#NAME?</x:v>
      </x:c>
      <x:c r="I63" s="25" t="e">
        <x:f>敌人目录!M64</x:f>
        <x:v>#NAME?</x:v>
      </x:c>
      <x:c r="J63" s="25" t="e">
        <x:f>敌人目录!O64</x:f>
        <x:v>#NAME?</x:v>
      </x:c>
      <x:c r="K63" s="25" t="e">
        <x:f>敌人目录!P64</x:f>
        <x:v>#NAME?</x:v>
      </x:c>
      <x:c r="L63" s="25" t="e">
        <x:f>敌人目录!Q64</x:f>
        <x:v>#NAME?</x:v>
      </x:c>
      <x:c r="M63" s="25" t="e">
        <x:f>敌人目录!R64</x:f>
        <x:v>#NAME?</x:v>
      </x:c>
      <x:c r="N63" s="25" t="e">
        <x:f>敌人目录!S64</x:f>
        <x:v>#NAME?</x:v>
      </x:c>
      <x:c r="O63" s="25" t="e">
        <x:f>敌人目录!T64</x:f>
        <x:v>#NAME?</x:v>
      </x:c>
      <x:c r="P63" s="25" t="e">
        <x:f>敌人目录!U64</x:f>
        <x:v>#NAME?</x:v>
      </x:c>
      <x:c r="Q63" s="25" t="e">
        <x:f>敌人目录!V64</x:f>
        <x:v>#NAME?</x:v>
      </x:c>
      <x:c r="R63" s="25" t="e">
        <x:f>敌人目录!W64</x:f>
        <x:v>#NAME?</x:v>
      </x:c>
      <x:c r="S63" s="25" t="e">
        <x:f>敌人目录!X64</x:f>
        <x:v>#NAME?</x:v>
      </x:c>
      <x:c r="T63" s="25" t="e">
        <x:f>敌人目录!Y64</x:f>
        <x:v>#NAME?</x:v>
      </x:c>
      <x:c r="U63" s="25" t="e">
        <x:f>敌人目录!Z64</x:f>
        <x:v>#NAME?</x:v>
      </x:c>
      <x:c r="V63" s="25" t="e">
        <x:f>敌人目录!N64</x:f>
        <x:v>#NAME?</x:v>
      </x:c>
      <x:c r="W63" s="25" t="e">
        <x:f>敌人目录!AA64</x:f>
        <x:v>#NAME?</x:v>
      </x:c>
      <x:c r="X63" s="25" t="e">
        <x:f>敌人目录!AC64</x:f>
        <x:v>#NAME?</x:v>
      </x:c>
    </x:row>
    <x:row r="64" ht="16.5">
      <x:c r="A64" s="25">
        <x:v>3</x:v>
      </x:c>
      <x:c r="B64" s="25" t="e">
        <x:f>敌人目录!B65</x:f>
        <x:v>#NAME?</x:v>
      </x:c>
      <x:c r="C64" s="25" t="e">
        <x:f>敌人目录!G65</x:f>
        <x:v>#NAME?</x:v>
      </x:c>
      <x:c r="D64" s="25" t="e">
        <x:f>敌人目录!H65</x:f>
        <x:v>#NAME?</x:v>
      </x:c>
      <x:c r="E64" s="25" t="e">
        <x:f>敌人目录!I65</x:f>
        <x:v>#NAME?</x:v>
      </x:c>
      <x:c r="F64" s="25" t="e">
        <x:f>敌人目录!J65</x:f>
        <x:v>#NAME?</x:v>
      </x:c>
      <x:c r="G64" s="25" t="e">
        <x:f>敌人目录!K65</x:f>
        <x:v>#NAME?</x:v>
      </x:c>
      <x:c r="H64" s="25" t="e">
        <x:f>敌人目录!L65</x:f>
        <x:v>#NAME?</x:v>
      </x:c>
      <x:c r="I64" s="25" t="e">
        <x:f>敌人目录!M65</x:f>
        <x:v>#NAME?</x:v>
      </x:c>
      <x:c r="J64" s="25" t="e">
        <x:f>敌人目录!O65</x:f>
        <x:v>#NAME?</x:v>
      </x:c>
      <x:c r="K64" s="25" t="e">
        <x:f>敌人目录!P65</x:f>
        <x:v>#NAME?</x:v>
      </x:c>
      <x:c r="L64" s="25" t="e">
        <x:f>敌人目录!Q65</x:f>
        <x:v>#NAME?</x:v>
      </x:c>
      <x:c r="M64" s="25" t="e">
        <x:f>敌人目录!R65</x:f>
        <x:v>#NAME?</x:v>
      </x:c>
      <x:c r="N64" s="25" t="e">
        <x:f>敌人目录!S65</x:f>
        <x:v>#NAME?</x:v>
      </x:c>
      <x:c r="O64" s="25" t="e">
        <x:f>敌人目录!T65</x:f>
        <x:v>#NAME?</x:v>
      </x:c>
      <x:c r="P64" s="25" t="e">
        <x:f>敌人目录!U65</x:f>
        <x:v>#NAME?</x:v>
      </x:c>
      <x:c r="Q64" s="25" t="e">
        <x:f>敌人目录!V65</x:f>
        <x:v>#NAME?</x:v>
      </x:c>
      <x:c r="R64" s="25" t="e">
        <x:f>敌人目录!W65</x:f>
        <x:v>#NAME?</x:v>
      </x:c>
      <x:c r="S64" s="25" t="e">
        <x:f>敌人目录!X65</x:f>
        <x:v>#NAME?</x:v>
      </x:c>
      <x:c r="T64" s="25" t="e">
        <x:f>敌人目录!Y65</x:f>
        <x:v>#NAME?</x:v>
      </x:c>
      <x:c r="U64" s="25" t="e">
        <x:f>敌人目录!Z65</x:f>
        <x:v>#NAME?</x:v>
      </x:c>
      <x:c r="V64" s="25" t="e">
        <x:f>敌人目录!N65</x:f>
        <x:v>#NAME?</x:v>
      </x:c>
      <x:c r="W64" s="25" t="e">
        <x:f>敌人目录!AA65</x:f>
        <x:v>#NAME?</x:v>
      </x:c>
      <x:c r="X64" s="25" t="e">
        <x:f>敌人目录!AC65</x:f>
        <x:v>#NAME?</x:v>
      </x:c>
    </x:row>
    <x:row r="65" ht="16.5">
      <x:c r="A65" s="25">
        <x:v>3</x:v>
      </x:c>
      <x:c r="B65" s="25" t="e">
        <x:f>敌人目录!B66</x:f>
        <x:v>#NAME?</x:v>
      </x:c>
      <x:c r="C65" s="25" t="e">
        <x:f>敌人目录!G66</x:f>
        <x:v>#NAME?</x:v>
      </x:c>
      <x:c r="D65" s="25" t="e">
        <x:f>敌人目录!H66</x:f>
        <x:v>#NAME?</x:v>
      </x:c>
      <x:c r="E65" s="25" t="e">
        <x:f>敌人目录!I66</x:f>
        <x:v>#NAME?</x:v>
      </x:c>
      <x:c r="F65" s="25" t="e">
        <x:f>敌人目录!J66</x:f>
        <x:v>#NAME?</x:v>
      </x:c>
      <x:c r="G65" s="25" t="e">
        <x:f>敌人目录!K66</x:f>
        <x:v>#NAME?</x:v>
      </x:c>
      <x:c r="H65" s="25" t="e">
        <x:f>敌人目录!L66</x:f>
        <x:v>#NAME?</x:v>
      </x:c>
      <x:c r="I65" s="25" t="e">
        <x:f>敌人目录!M66</x:f>
        <x:v>#NAME?</x:v>
      </x:c>
      <x:c r="J65" s="25" t="e">
        <x:f>敌人目录!O66</x:f>
        <x:v>#NAME?</x:v>
      </x:c>
      <x:c r="K65" s="25" t="e">
        <x:f>敌人目录!P66</x:f>
        <x:v>#NAME?</x:v>
      </x:c>
      <x:c r="L65" s="25" t="e">
        <x:f>敌人目录!Q66</x:f>
        <x:v>#NAME?</x:v>
      </x:c>
      <x:c r="M65" s="25" t="e">
        <x:f>敌人目录!R66</x:f>
        <x:v>#NAME?</x:v>
      </x:c>
      <x:c r="N65" s="25" t="e">
        <x:f>敌人目录!S66</x:f>
        <x:v>#NAME?</x:v>
      </x:c>
      <x:c r="O65" s="25" t="e">
        <x:f>敌人目录!T66</x:f>
        <x:v>#NAME?</x:v>
      </x:c>
      <x:c r="P65" s="25" t="e">
        <x:f>敌人目录!U66</x:f>
        <x:v>#NAME?</x:v>
      </x:c>
      <x:c r="Q65" s="25" t="e">
        <x:f>敌人目录!V66</x:f>
        <x:v>#NAME?</x:v>
      </x:c>
      <x:c r="R65" s="25" t="e">
        <x:f>敌人目录!W66</x:f>
        <x:v>#NAME?</x:v>
      </x:c>
      <x:c r="S65" s="25" t="e">
        <x:f>敌人目录!X66</x:f>
        <x:v>#NAME?</x:v>
      </x:c>
      <x:c r="T65" s="25" t="e">
        <x:f>敌人目录!Y66</x:f>
        <x:v>#NAME?</x:v>
      </x:c>
      <x:c r="U65" s="25" t="e">
        <x:f>敌人目录!Z66</x:f>
        <x:v>#NAME?</x:v>
      </x:c>
      <x:c r="V65" s="25" t="e">
        <x:f>敌人目录!N66</x:f>
        <x:v>#NAME?</x:v>
      </x:c>
      <x:c r="W65" s="25" t="e">
        <x:f>敌人目录!AA66</x:f>
        <x:v>#NAME?</x:v>
      </x:c>
      <x:c r="X65" s="25" t="e">
        <x:f>敌人目录!AC66</x:f>
        <x:v>#NAME?</x:v>
      </x:c>
    </x:row>
    <x:row r="66" ht="16.5">
      <x:c r="A66" s="25">
        <x:v>3</x:v>
      </x:c>
      <x:c r="B66" s="25" t="e">
        <x:f>敌人目录!B67</x:f>
        <x:v>#NAME?</x:v>
      </x:c>
      <x:c r="C66" s="25" t="e">
        <x:f>敌人目录!G67</x:f>
        <x:v>#NAME?</x:v>
      </x:c>
      <x:c r="D66" s="25" t="e">
        <x:f>敌人目录!H67</x:f>
        <x:v>#NAME?</x:v>
      </x:c>
      <x:c r="E66" s="25" t="e">
        <x:f>敌人目录!I67</x:f>
        <x:v>#NAME?</x:v>
      </x:c>
      <x:c r="F66" s="25" t="e">
        <x:f>敌人目录!J67</x:f>
        <x:v>#NAME?</x:v>
      </x:c>
      <x:c r="G66" s="25" t="e">
        <x:f>敌人目录!K67</x:f>
        <x:v>#NAME?</x:v>
      </x:c>
      <x:c r="H66" s="25" t="e">
        <x:f>敌人目录!L67</x:f>
        <x:v>#NAME?</x:v>
      </x:c>
      <x:c r="I66" s="25" t="e">
        <x:f>敌人目录!M67</x:f>
        <x:v>#NAME?</x:v>
      </x:c>
      <x:c r="J66" s="25" t="e">
        <x:f>敌人目录!O67</x:f>
        <x:v>#NAME?</x:v>
      </x:c>
      <x:c r="K66" s="25" t="e">
        <x:f>敌人目录!P67</x:f>
        <x:v>#NAME?</x:v>
      </x:c>
      <x:c r="L66" s="25" t="e">
        <x:f>敌人目录!Q67</x:f>
        <x:v>#NAME?</x:v>
      </x:c>
      <x:c r="M66" s="25" t="e">
        <x:f>敌人目录!R67</x:f>
        <x:v>#NAME?</x:v>
      </x:c>
      <x:c r="N66" s="25" t="e">
        <x:f>敌人目录!S67</x:f>
        <x:v>#NAME?</x:v>
      </x:c>
      <x:c r="O66" s="25" t="e">
        <x:f>敌人目录!T67</x:f>
        <x:v>#NAME?</x:v>
      </x:c>
      <x:c r="P66" s="25" t="e">
        <x:f>敌人目录!U67</x:f>
        <x:v>#NAME?</x:v>
      </x:c>
      <x:c r="Q66" s="25" t="e">
        <x:f>敌人目录!V67</x:f>
        <x:v>#NAME?</x:v>
      </x:c>
      <x:c r="R66" s="25" t="e">
        <x:f>敌人目录!W67</x:f>
        <x:v>#NAME?</x:v>
      </x:c>
      <x:c r="S66" s="25" t="e">
        <x:f>敌人目录!X67</x:f>
        <x:v>#NAME?</x:v>
      </x:c>
      <x:c r="T66" s="25" t="e">
        <x:f>敌人目录!Y67</x:f>
        <x:v>#NAME?</x:v>
      </x:c>
      <x:c r="U66" s="25" t="e">
        <x:f>敌人目录!Z67</x:f>
        <x:v>#NAME?</x:v>
      </x:c>
      <x:c r="V66" s="25" t="e">
        <x:f>敌人目录!N67</x:f>
        <x:v>#NAME?</x:v>
      </x:c>
      <x:c r="W66" s="25" t="e">
        <x:f>敌人目录!AA67</x:f>
        <x:v>#NAME?</x:v>
      </x:c>
      <x:c r="X66" s="25" t="e">
        <x:f>敌人目录!AC67</x:f>
        <x:v>#NAME?</x:v>
      </x:c>
    </x:row>
    <x:row r="67" ht="16.5">
      <x:c r="A67" s="25">
        <x:v>3</x:v>
      </x:c>
      <x:c r="B67" s="25" t="e">
        <x:f>敌人目录!B68</x:f>
        <x:v>#NAME?</x:v>
      </x:c>
      <x:c r="C67" s="25" t="e">
        <x:f>敌人目录!G68</x:f>
        <x:v>#NAME?</x:v>
      </x:c>
      <x:c r="D67" s="25" t="e">
        <x:f>敌人目录!H68</x:f>
        <x:v>#NAME?</x:v>
      </x:c>
      <x:c r="E67" s="25" t="e">
        <x:f>敌人目录!I68</x:f>
        <x:v>#NAME?</x:v>
      </x:c>
      <x:c r="F67" s="25" t="e">
        <x:f>敌人目录!J68</x:f>
        <x:v>#NAME?</x:v>
      </x:c>
      <x:c r="G67" s="25" t="e">
        <x:f>敌人目录!K68</x:f>
        <x:v>#NAME?</x:v>
      </x:c>
      <x:c r="H67" s="25" t="e">
        <x:f>敌人目录!L68</x:f>
        <x:v>#NAME?</x:v>
      </x:c>
      <x:c r="I67" s="25" t="e">
        <x:f>敌人目录!M68</x:f>
        <x:v>#NAME?</x:v>
      </x:c>
      <x:c r="J67" s="25" t="e">
        <x:f>敌人目录!O68</x:f>
        <x:v>#NAME?</x:v>
      </x:c>
      <x:c r="K67" s="25" t="e">
        <x:f>敌人目录!P68</x:f>
        <x:v>#NAME?</x:v>
      </x:c>
      <x:c r="L67" s="25" t="e">
        <x:f>敌人目录!Q68</x:f>
        <x:v>#NAME?</x:v>
      </x:c>
      <x:c r="M67" s="25" t="e">
        <x:f>敌人目录!R68</x:f>
        <x:v>#NAME?</x:v>
      </x:c>
      <x:c r="N67" s="25" t="e">
        <x:f>敌人目录!S68</x:f>
        <x:v>#NAME?</x:v>
      </x:c>
      <x:c r="O67" s="25" t="e">
        <x:f>敌人目录!T68</x:f>
        <x:v>#NAME?</x:v>
      </x:c>
      <x:c r="P67" s="25" t="e">
        <x:f>敌人目录!U68</x:f>
        <x:v>#NAME?</x:v>
      </x:c>
      <x:c r="Q67" s="25" t="e">
        <x:f>敌人目录!V68</x:f>
        <x:v>#NAME?</x:v>
      </x:c>
      <x:c r="R67" s="25" t="e">
        <x:f>敌人目录!W68</x:f>
        <x:v>#NAME?</x:v>
      </x:c>
      <x:c r="S67" s="25" t="e">
        <x:f>敌人目录!X68</x:f>
        <x:v>#NAME?</x:v>
      </x:c>
      <x:c r="T67" s="25" t="e">
        <x:f>敌人目录!Y68</x:f>
        <x:v>#NAME?</x:v>
      </x:c>
      <x:c r="U67" s="25" t="e">
        <x:f>敌人目录!Z68</x:f>
        <x:v>#NAME?</x:v>
      </x:c>
      <x:c r="V67" s="25" t="e">
        <x:f>敌人目录!N68</x:f>
        <x:v>#NAME?</x:v>
      </x:c>
      <x:c r="W67" s="25" t="e">
        <x:f>敌人目录!AA68</x:f>
        <x:v>#NAME?</x:v>
      </x:c>
      <x:c r="X67" s="25" t="e">
        <x:f>敌人目录!AC68</x:f>
        <x:v>#NAME?</x:v>
      </x:c>
    </x:row>
  </x:sheetData>
  <x:mergeCells>
    <x:mergeCell ref="A1:X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14" customWidth="1"/>
    <x:col min="3" max="3" width="13" customWidth="1"/>
    <x:col min="4" max="4" width="9" customWidth="1"/>
    <x:col min="5" max="5" width="14" customWidth="1"/>
    <x:col min="6" max="6" width="10" customWidth="1"/>
    <x:col min="7" max="7" width="28" customWidth="1"/>
    <x:col min="8" max="8" width="19" customWidth="1"/>
    <x:col min="9" max="9" width="17" customWidth="1"/>
    <x:col min="10" max="10" width="21" customWidth="1"/>
    <x:col min="11" max="11" width="18" customWidth="1"/>
    <x:col min="12" max="13" width="52" customWidth="1"/>
    <x:col min="14" max="14" width="16" customWidth="1"/>
    <x:col min="15" max="15" width="13" customWidth="1"/>
    <x:col min="16" max="16" width="30" customWidth="1"/>
    <x:col min="17" max="17" width="12" customWidth="1"/>
    <x:col min="18" max="18" width="28" customWidth="1"/>
    <x:col min="19" max="19" width="16" customWidth="1"/>
  </x:cols>
  <x:sheetData>
    <x:row r="1" ht="15">
      <x:c r="A1" s="31" t="s">
        <x:v>504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</x:row>
    <x:row r="2" ht="16.5">
      <x:c r="A2" s="13" t="s">
        <x:v>505</x:v>
      </x:c>
      <x:c r="B2" s="13">
        <x:v>12</x:v>
      </x:c>
      <x:c r="C2" s="13" t="s">
        <x:v>506</x:v>
      </x:c>
      <x:c r="D2" s="13">
        <x:v>4</x:v>
      </x:c>
      <x:c r="E2" s="13" t="s">
        <x:v>507</x:v>
      </x:c>
      <x:c r="F2" s="13">
        <x:v>12</x:v>
      </x:c>
      <x:c r="G2" s="13" t="s">
        <x:v>508</x:v>
      </x:c>
      <x:c r="H2" s="13">
        <x:v>4</x:v>
      </x:c>
    </x:row>
    <x:row r="4" ht="30">
      <x:c r="A4" s="20" t="s">
        <x:v>475</x:v>
      </x:c>
      <x:c r="B4" s="20" t="s">
        <x:v>509</x:v>
      </x:c>
      <x:c r="C4" s="20" t="s">
        <x:v>510</x:v>
      </x:c>
      <x:c r="D4" s="20" t="s">
        <x:v>511</x:v>
      </x:c>
      <x:c r="E4" s="20" t="s">
        <x:v>512</x:v>
      </x:c>
      <x:c r="F4" s="20" t="s">
        <x:v>513</x:v>
      </x:c>
      <x:c r="G4" s="20" t="s">
        <x:v>514</x:v>
      </x:c>
      <x:c r="H4" s="20" t="s">
        <x:v>515</x:v>
      </x:c>
      <x:c r="I4" s="20" t="s">
        <x:v>516</x:v>
      </x:c>
      <x:c r="J4" s="20" t="s">
        <x:v>517</x:v>
      </x:c>
      <x:c r="K4" s="20" t="s">
        <x:v>518</x:v>
      </x:c>
      <x:c r="L4" s="20" t="s">
        <x:v>519</x:v>
      </x:c>
      <x:c r="M4" s="20" t="s">
        <x:v>520</x:v>
      </x:c>
      <x:c r="N4" s="20" t="s">
        <x:v>521</x:v>
      </x:c>
      <x:c r="O4" s="20" t="s">
        <x:v>522</x:v>
      </x:c>
      <x:c r="P4" s="20" t="s">
        <x:v>481</x:v>
      </x:c>
      <x:c r="Q4" s="20" t="s">
        <x:v>523</x:v>
      </x:c>
      <x:c r="R4" s="20" t="s">
        <x:v>524</x:v>
      </x:c>
      <x:c r="S4" s="20" t="s">
        <x:v>502</x:v>
      </x:c>
    </x:row>
    <x:row r="5" ht="16.5">
      <x:c r="A5" s="13">
        <x:v>3</x:v>
      </x:c>
      <x:c r="B5" s="13" t="s">
        <x:v>525</x:v>
      </x:c>
      <x:c r="C5" s="13">
        <x:v>1</x:v>
      </x:c>
      <x:c r="D5" s="13">
        <x:v>1</x:v>
      </x:c>
      <x:c r="E5" s="13">
        <x:v>1</x:v>
      </x:c>
      <x:c r="F5" s="13" t="s">
        <x:v>51</x:v>
      </x:c>
      <x:c r="G5" s="13" t="e">
        <x:f>第1日!B3</x:f>
        <x:v>#NAME?</x:v>
      </x:c>
      <x:c r="H5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5" s="13" t="e">
        <x:f>第1日!E3</x:f>
        <x:v>#NAME?</x:v>
      </x:c>
      <x:c r="J5" s="13" t="e">
        <x:f>第1日!G3</x:f>
        <x:v>#NAME?</x:v>
      </x:c>
      <x:c r="K5" s="13" t="e">
        <x:f>第1日!I3</x:f>
        <x:v>#NAME?</x:v>
      </x:c>
      <x:c r="L5" s="13" t="s">
        <x:v>526</x:v>
      </x:c>
      <x:c r="M5" s="13" t="s">
        <x:v>527</x:v>
      </x:c>
      <x:c r="N5" s="13" t="e">
        <x:f>第1日!I4="待设计"</x:f>
        <x:v>#NAME?</x:v>
      </x:c>
      <x:c r="O5" s="13">
        <x:v>1</x:v>
      </x:c>
      <x:c r="P5" s="13" t="e">
        <x:f>IF(第1日!B7="","",IFERROR(VLOOKUP(第1日!B7,敌人目录!$A$6:$B$68,2,FALSE),""))</x:f>
        <x:v>#NAME?</x:v>
      </x:c>
      <x:c r="Q5" s="13" t="e">
        <x:f>IF(第1日!B7="","",第1日!C7)</x:f>
        <x:v>#NAME?</x:v>
      </x:c>
      <x:c r="R5" s="13">
        <x:v>-1</x:v>
      </x:c>
      <x:c r="S5" s="13" t="e">
        <x:f>IF(第1日!B7="","",第1日!I7)</x:f>
        <x:v>#NAME?</x:v>
      </x:c>
    </x:row>
    <x:row r="6" ht="16.5">
      <x:c r="A6" s="13">
        <x:v>3</x:v>
      </x:c>
      <x:c r="B6" s="13" t="s">
        <x:v>525</x:v>
      </x:c>
      <x:c r="C6" s="13">
        <x:v>1</x:v>
      </x:c>
      <x:c r="D6" s="13">
        <x:v>1</x:v>
      </x:c>
      <x:c r="E6" s="13">
        <x:v>1</x:v>
      </x:c>
      <x:c r="F6" s="13" t="s">
        <x:v>51</x:v>
      </x:c>
      <x:c r="G6" s="13" t="e">
        <x:f>第1日!B3</x:f>
        <x:v>#NAME?</x:v>
      </x:c>
      <x:c r="H6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6" s="13" t="e">
        <x:f>第1日!E3</x:f>
        <x:v>#NAME?</x:v>
      </x:c>
      <x:c r="J6" s="13" t="e">
        <x:f>第1日!G3</x:f>
        <x:v>#NAME?</x:v>
      </x:c>
      <x:c r="K6" s="13" t="e">
        <x:f>第1日!I3</x:f>
        <x:v>#NAME?</x:v>
      </x:c>
      <x:c r="L6" s="13" t="s">
        <x:v>526</x:v>
      </x:c>
      <x:c r="M6" s="13" t="s">
        <x:v>527</x:v>
      </x:c>
      <x:c r="N6" s="13" t="e">
        <x:f>第1日!I4="待设计"</x:f>
        <x:v>#NAME?</x:v>
      </x:c>
      <x:c r="O6" s="13">
        <x:v>2</x:v>
      </x:c>
      <x:c r="P6" s="13" t="e">
        <x:f>IF(第1日!B8="","",IFERROR(VLOOKUP(第1日!B8,敌人目录!$A$6:$B$68,2,FALSE),""))</x:f>
        <x:v>#NAME?</x:v>
      </x:c>
      <x:c r="Q6" s="13" t="e">
        <x:f>IF(第1日!B8="","",第1日!C8)</x:f>
        <x:v>#NAME?</x:v>
      </x:c>
      <x:c r="R6" s="13">
        <x:v>-1</x:v>
      </x:c>
      <x:c r="S6" s="13" t="e">
        <x:f>IF(第1日!B8="","",第1日!I8)</x:f>
        <x:v>#NAME?</x:v>
      </x:c>
    </x:row>
    <x:row r="7" ht="16.5">
      <x:c r="A7" s="13">
        <x:v>3</x:v>
      </x:c>
      <x:c r="B7" s="13" t="s">
        <x:v>525</x:v>
      </x:c>
      <x:c r="C7" s="13">
        <x:v>1</x:v>
      </x:c>
      <x:c r="D7" s="13">
        <x:v>1</x:v>
      </x:c>
      <x:c r="E7" s="13">
        <x:v>1</x:v>
      </x:c>
      <x:c r="F7" s="13" t="s">
        <x:v>51</x:v>
      </x:c>
      <x:c r="G7" s="13" t="e">
        <x:f>第1日!B3</x:f>
        <x:v>#NAME?</x:v>
      </x:c>
      <x:c r="H7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7" s="13" t="e">
        <x:f>第1日!E3</x:f>
        <x:v>#NAME?</x:v>
      </x:c>
      <x:c r="J7" s="13" t="e">
        <x:f>第1日!G3</x:f>
        <x:v>#NAME?</x:v>
      </x:c>
      <x:c r="K7" s="13" t="e">
        <x:f>第1日!I3</x:f>
        <x:v>#NAME?</x:v>
      </x:c>
      <x:c r="L7" s="13" t="s">
        <x:v>526</x:v>
      </x:c>
      <x:c r="M7" s="13" t="s">
        <x:v>527</x:v>
      </x:c>
      <x:c r="N7" s="13" t="e">
        <x:f>第1日!I4="待设计"</x:f>
        <x:v>#NAME?</x:v>
      </x:c>
      <x:c r="O7" s="13">
        <x:v>3</x:v>
      </x:c>
      <x:c r="P7" s="13" t="e">
        <x:f>IF(第1日!B9="","",IFERROR(VLOOKUP(第1日!B9,敌人目录!$A$6:$B$68,2,FALSE),""))</x:f>
        <x:v>#NAME?</x:v>
      </x:c>
      <x:c r="Q7" s="13" t="e">
        <x:f>IF(第1日!B9="","",第1日!C9)</x:f>
        <x:v>#NAME?</x:v>
      </x:c>
      <x:c r="R7" s="13">
        <x:v>-1</x:v>
      </x:c>
      <x:c r="S7" s="13" t="e">
        <x:f>IF(第1日!B9="","",第1日!I9)</x:f>
        <x:v>#NAME?</x:v>
      </x:c>
    </x:row>
    <x:row r="8" ht="16.5">
      <x:c r="A8" s="13">
        <x:v>3</x:v>
      </x:c>
      <x:c r="B8" s="13" t="s">
        <x:v>525</x:v>
      </x:c>
      <x:c r="C8" s="13">
        <x:v>1</x:v>
      </x:c>
      <x:c r="D8" s="13">
        <x:v>1</x:v>
      </x:c>
      <x:c r="E8" s="13">
        <x:v>1</x:v>
      </x:c>
      <x:c r="F8" s="13" t="s">
        <x:v>51</x:v>
      </x:c>
      <x:c r="G8" s="13" t="e">
        <x:f>第1日!B3</x:f>
        <x:v>#NAME?</x:v>
      </x:c>
      <x:c r="H8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8" s="13" t="e">
        <x:f>第1日!E3</x:f>
        <x:v>#NAME?</x:v>
      </x:c>
      <x:c r="J8" s="13" t="e">
        <x:f>第1日!G3</x:f>
        <x:v>#NAME?</x:v>
      </x:c>
      <x:c r="K8" s="13" t="e">
        <x:f>第1日!I3</x:f>
        <x:v>#NAME?</x:v>
      </x:c>
      <x:c r="L8" s="13" t="s">
        <x:v>526</x:v>
      </x:c>
      <x:c r="M8" s="13" t="s">
        <x:v>527</x:v>
      </x:c>
      <x:c r="N8" s="13" t="e">
        <x:f>第1日!I4="待设计"</x:f>
        <x:v>#NAME?</x:v>
      </x:c>
      <x:c r="O8" s="13">
        <x:v>4</x:v>
      </x:c>
      <x:c r="P8" s="13" t="e">
        <x:f>IF(第1日!B10="","",IFERROR(VLOOKUP(第1日!B10,敌人目录!$A$6:$B$68,2,FALSE),""))</x:f>
        <x:v>#NAME?</x:v>
      </x:c>
      <x:c r="Q8" s="13" t="e">
        <x:f>IF(第1日!B10="","",第1日!C10)</x:f>
        <x:v>#NAME?</x:v>
      </x:c>
      <x:c r="R8" s="13">
        <x:v>-1</x:v>
      </x:c>
      <x:c r="S8" s="13" t="e">
        <x:f>IF(第1日!B10="","",第1日!I10)</x:f>
        <x:v>#NAME?</x:v>
      </x:c>
    </x:row>
    <x:row r="9" ht="16.5">
      <x:c r="A9" s="13">
        <x:v>3</x:v>
      </x:c>
      <x:c r="B9" s="13" t="s">
        <x:v>525</x:v>
      </x:c>
      <x:c r="C9" s="13">
        <x:v>1</x:v>
      </x:c>
      <x:c r="D9" s="13">
        <x:v>1</x:v>
      </x:c>
      <x:c r="E9" s="13">
        <x:v>1</x:v>
      </x:c>
      <x:c r="F9" s="13" t="s">
        <x:v>51</x:v>
      </x:c>
      <x:c r="G9" s="13" t="e">
        <x:f>第1日!B3</x:f>
        <x:v>#NAME?</x:v>
      </x:c>
      <x:c r="H9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9" s="13" t="e">
        <x:f>第1日!E3</x:f>
        <x:v>#NAME?</x:v>
      </x:c>
      <x:c r="J9" s="13" t="e">
        <x:f>第1日!G3</x:f>
        <x:v>#NAME?</x:v>
      </x:c>
      <x:c r="K9" s="13" t="e">
        <x:f>第1日!I3</x:f>
        <x:v>#NAME?</x:v>
      </x:c>
      <x:c r="L9" s="13" t="s">
        <x:v>526</x:v>
      </x:c>
      <x:c r="M9" s="13" t="s">
        <x:v>527</x:v>
      </x:c>
      <x:c r="N9" s="13" t="e">
        <x:f>第1日!I4="待设计"</x:f>
        <x:v>#NAME?</x:v>
      </x:c>
      <x:c r="O9" s="13">
        <x:v>5</x:v>
      </x:c>
      <x:c r="P9" s="13" t="e">
        <x:f>IF(第1日!B11="","",IFERROR(VLOOKUP(第1日!B11,敌人目录!$A$6:$B$68,2,FALSE),""))</x:f>
        <x:v>#NAME?</x:v>
      </x:c>
      <x:c r="Q9" s="13" t="e">
        <x:f>IF(第1日!B11="","",第1日!C11)</x:f>
        <x:v>#NAME?</x:v>
      </x:c>
      <x:c r="R9" s="13">
        <x:v>-1</x:v>
      </x:c>
      <x:c r="S9" s="13" t="e">
        <x:f>IF(第1日!B11="","",第1日!I11)</x:f>
        <x:v>#NAME?</x:v>
      </x:c>
    </x:row>
    <x:row r="10" ht="16.5">
      <x:c r="A10" s="13">
        <x:v>3</x:v>
      </x:c>
      <x:c r="B10" s="13" t="s">
        <x:v>525</x:v>
      </x:c>
      <x:c r="C10" s="13">
        <x:v>1</x:v>
      </x:c>
      <x:c r="D10" s="13">
        <x:v>1</x:v>
      </x:c>
      <x:c r="E10" s="13">
        <x:v>1</x:v>
      </x:c>
      <x:c r="F10" s="13" t="s">
        <x:v>51</x:v>
      </x:c>
      <x:c r="G10" s="13" t="e">
        <x:f>第1日!B3</x:f>
        <x:v>#NAME?</x:v>
      </x:c>
      <x:c r="H10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0" s="13" t="e">
        <x:f>第1日!E3</x:f>
        <x:v>#NAME?</x:v>
      </x:c>
      <x:c r="J10" s="13" t="e">
        <x:f>第1日!G3</x:f>
        <x:v>#NAME?</x:v>
      </x:c>
      <x:c r="K10" s="13" t="e">
        <x:f>第1日!I3</x:f>
        <x:v>#NAME?</x:v>
      </x:c>
      <x:c r="L10" s="13" t="s">
        <x:v>526</x:v>
      </x:c>
      <x:c r="M10" s="13" t="s">
        <x:v>527</x:v>
      </x:c>
      <x:c r="N10" s="13" t="e">
        <x:f>第1日!I4="待设计"</x:f>
        <x:v>#NAME?</x:v>
      </x:c>
      <x:c r="O10" s="13">
        <x:v>6</x:v>
      </x:c>
      <x:c r="P10" s="13" t="e">
        <x:f>IF(第1日!B12="","",IFERROR(VLOOKUP(第1日!B12,敌人目录!$A$6:$B$68,2,FALSE),""))</x:f>
        <x:v>#NAME?</x:v>
      </x:c>
      <x:c r="Q10" s="13" t="e">
        <x:f>IF(第1日!B12="","",第1日!C12)</x:f>
        <x:v>#NAME?</x:v>
      </x:c>
      <x:c r="R10" s="13">
        <x:v>-1</x:v>
      </x:c>
      <x:c r="S10" s="13" t="e">
        <x:f>IF(第1日!B12="","",第1日!I12)</x:f>
        <x:v>#NAME?</x:v>
      </x:c>
    </x:row>
    <x:row r="11" ht="16.5">
      <x:c r="A11" s="13">
        <x:v>3</x:v>
      </x:c>
      <x:c r="B11" s="13" t="s">
        <x:v>525</x:v>
      </x:c>
      <x:c r="C11" s="13">
        <x:v>1</x:v>
      </x:c>
      <x:c r="D11" s="13">
        <x:v>1</x:v>
      </x:c>
      <x:c r="E11" s="13">
        <x:v>1</x:v>
      </x:c>
      <x:c r="F11" s="13" t="s">
        <x:v>51</x:v>
      </x:c>
      <x:c r="G11" s="13" t="e">
        <x:f>第1日!B3</x:f>
        <x:v>#NAME?</x:v>
      </x:c>
      <x:c r="H11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1" s="13" t="e">
        <x:f>第1日!E3</x:f>
        <x:v>#NAME?</x:v>
      </x:c>
      <x:c r="J11" s="13" t="e">
        <x:f>第1日!G3</x:f>
        <x:v>#NAME?</x:v>
      </x:c>
      <x:c r="K11" s="13" t="e">
        <x:f>第1日!I3</x:f>
        <x:v>#NAME?</x:v>
      </x:c>
      <x:c r="L11" s="13" t="s">
        <x:v>526</x:v>
      </x:c>
      <x:c r="M11" s="13" t="s">
        <x:v>527</x:v>
      </x:c>
      <x:c r="N11" s="13" t="e">
        <x:f>第1日!I4="待设计"</x:f>
        <x:v>#NAME?</x:v>
      </x:c>
      <x:c r="O11" s="13">
        <x:v>7</x:v>
      </x:c>
      <x:c r="P11" s="13" t="e">
        <x:f>IF(第1日!B13="","",IFERROR(VLOOKUP(第1日!B13,敌人目录!$A$6:$B$68,2,FALSE),""))</x:f>
        <x:v>#NAME?</x:v>
      </x:c>
      <x:c r="Q11" s="13" t="e">
        <x:f>IF(第1日!B13="","",第1日!C13)</x:f>
        <x:v>#NAME?</x:v>
      </x:c>
      <x:c r="R11" s="13">
        <x:v>-1</x:v>
      </x:c>
      <x:c r="S11" s="13" t="e">
        <x:f>IF(第1日!B13="","",第1日!I13)</x:f>
        <x:v>#NAME?</x:v>
      </x:c>
    </x:row>
    <x:row r="12" ht="16.5">
      <x:c r="A12" s="13">
        <x:v>3</x:v>
      </x:c>
      <x:c r="B12" s="13" t="s">
        <x:v>525</x:v>
      </x:c>
      <x:c r="C12" s="13">
        <x:v>1</x:v>
      </x:c>
      <x:c r="D12" s="13">
        <x:v>1</x:v>
      </x:c>
      <x:c r="E12" s="13">
        <x:v>1</x:v>
      </x:c>
      <x:c r="F12" s="13" t="s">
        <x:v>51</x:v>
      </x:c>
      <x:c r="G12" s="13" t="e">
        <x:f>第1日!B3</x:f>
        <x:v>#NAME?</x:v>
      </x:c>
      <x:c r="H12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2" s="13" t="e">
        <x:f>第1日!E3</x:f>
        <x:v>#NAME?</x:v>
      </x:c>
      <x:c r="J12" s="13" t="e">
        <x:f>第1日!G3</x:f>
        <x:v>#NAME?</x:v>
      </x:c>
      <x:c r="K12" s="13" t="e">
        <x:f>第1日!I3</x:f>
        <x:v>#NAME?</x:v>
      </x:c>
      <x:c r="L12" s="13" t="s">
        <x:v>526</x:v>
      </x:c>
      <x:c r="M12" s="13" t="s">
        <x:v>527</x:v>
      </x:c>
      <x:c r="N12" s="13" t="e">
        <x:f>第1日!I4="待设计"</x:f>
        <x:v>#NAME?</x:v>
      </x:c>
      <x:c r="O12" s="13">
        <x:v>8</x:v>
      </x:c>
      <x:c r="P12" s="13" t="e">
        <x:f>IF(第1日!B14="","",IFERROR(VLOOKUP(第1日!B14,敌人目录!$A$6:$B$68,2,FALSE),""))</x:f>
        <x:v>#NAME?</x:v>
      </x:c>
      <x:c r="Q12" s="13" t="e">
        <x:f>IF(第1日!B14="","",第1日!C14)</x:f>
        <x:v>#NAME?</x:v>
      </x:c>
      <x:c r="R12" s="13">
        <x:v>-1</x:v>
      </x:c>
      <x:c r="S12" s="13" t="e">
        <x:f>IF(第1日!B14="","",第1日!I14)</x:f>
        <x:v>#NAME?</x:v>
      </x:c>
    </x:row>
    <x:row r="13" ht="16.5">
      <x:c r="A13" s="13">
        <x:v>3</x:v>
      </x:c>
      <x:c r="B13" s="13" t="s">
        <x:v>525</x:v>
      </x:c>
      <x:c r="C13" s="13">
        <x:v>1</x:v>
      </x:c>
      <x:c r="D13" s="13">
        <x:v>1</x:v>
      </x:c>
      <x:c r="E13" s="13">
        <x:v>1</x:v>
      </x:c>
      <x:c r="F13" s="13" t="s">
        <x:v>51</x:v>
      </x:c>
      <x:c r="G13" s="13" t="e">
        <x:f>第1日!B3</x:f>
        <x:v>#NAME?</x:v>
      </x:c>
      <x:c r="H13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3" s="13" t="e">
        <x:f>第1日!E3</x:f>
        <x:v>#NAME?</x:v>
      </x:c>
      <x:c r="J13" s="13" t="e">
        <x:f>第1日!G3</x:f>
        <x:v>#NAME?</x:v>
      </x:c>
      <x:c r="K13" s="13" t="e">
        <x:f>第1日!I3</x:f>
        <x:v>#NAME?</x:v>
      </x:c>
      <x:c r="L13" s="13" t="s">
        <x:v>526</x:v>
      </x:c>
      <x:c r="M13" s="13" t="s">
        <x:v>527</x:v>
      </x:c>
      <x:c r="N13" s="13" t="e">
        <x:f>第1日!I4="待设计"</x:f>
        <x:v>#NAME?</x:v>
      </x:c>
      <x:c r="O13" s="13">
        <x:v>9</x:v>
      </x:c>
      <x:c r="P13" s="13" t="e">
        <x:f>IF(第1日!B15="","",IFERROR(VLOOKUP(第1日!B15,敌人目录!$A$6:$B$68,2,FALSE),""))</x:f>
        <x:v>#NAME?</x:v>
      </x:c>
      <x:c r="Q13" s="13" t="e">
        <x:f>IF(第1日!B15="","",第1日!C15)</x:f>
        <x:v>#NAME?</x:v>
      </x:c>
      <x:c r="R13" s="13">
        <x:v>-1</x:v>
      </x:c>
      <x:c r="S13" s="13" t="e">
        <x:f>IF(第1日!B15="","",第1日!I15)</x:f>
        <x:v>#NAME?</x:v>
      </x:c>
    </x:row>
    <x:row r="14" ht="16.5">
      <x:c r="A14" s="13">
        <x:v>3</x:v>
      </x:c>
      <x:c r="B14" s="13" t="s">
        <x:v>525</x:v>
      </x:c>
      <x:c r="C14" s="13">
        <x:v>1</x:v>
      </x:c>
      <x:c r="D14" s="13">
        <x:v>1</x:v>
      </x:c>
      <x:c r="E14" s="13">
        <x:v>1</x:v>
      </x:c>
      <x:c r="F14" s="13" t="s">
        <x:v>51</x:v>
      </x:c>
      <x:c r="G14" s="13" t="e">
        <x:f>第1日!B3</x:f>
        <x:v>#NAME?</x:v>
      </x:c>
      <x:c r="H14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4" s="13" t="e">
        <x:f>第1日!E3</x:f>
        <x:v>#NAME?</x:v>
      </x:c>
      <x:c r="J14" s="13" t="e">
        <x:f>第1日!G3</x:f>
        <x:v>#NAME?</x:v>
      </x:c>
      <x:c r="K14" s="13" t="e">
        <x:f>第1日!I3</x:f>
        <x:v>#NAME?</x:v>
      </x:c>
      <x:c r="L14" s="13" t="s">
        <x:v>526</x:v>
      </x:c>
      <x:c r="M14" s="13" t="s">
        <x:v>527</x:v>
      </x:c>
      <x:c r="N14" s="13" t="e">
        <x:f>第1日!I4="待设计"</x:f>
        <x:v>#NAME?</x:v>
      </x:c>
      <x:c r="O14" s="13">
        <x:v>10</x:v>
      </x:c>
      <x:c r="P14" s="13" t="e">
        <x:f>IF(第1日!B16="","",IFERROR(VLOOKUP(第1日!B16,敌人目录!$A$6:$B$68,2,FALSE),""))</x:f>
        <x:v>#NAME?</x:v>
      </x:c>
      <x:c r="Q14" s="13" t="e">
        <x:f>IF(第1日!B16="","",第1日!C16)</x:f>
        <x:v>#NAME?</x:v>
      </x:c>
      <x:c r="R14" s="13">
        <x:v>-1</x:v>
      </x:c>
      <x:c r="S14" s="13" t="e">
        <x:f>IF(第1日!B16="","",第1日!I16)</x:f>
        <x:v>#NAME?</x:v>
      </x:c>
    </x:row>
    <x:row r="15" ht="16.5">
      <x:c r="A15" s="13">
        <x:v>3</x:v>
      </x:c>
      <x:c r="B15" s="13" t="s">
        <x:v>525</x:v>
      </x:c>
      <x:c r="C15" s="13">
        <x:v>1</x:v>
      </x:c>
      <x:c r="D15" s="13">
        <x:v>1</x:v>
      </x:c>
      <x:c r="E15" s="13">
        <x:v>1</x:v>
      </x:c>
      <x:c r="F15" s="13" t="s">
        <x:v>51</x:v>
      </x:c>
      <x:c r="G15" s="13" t="e">
        <x:f>第1日!B3</x:f>
        <x:v>#NAME?</x:v>
      </x:c>
      <x:c r="H15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5" s="13" t="e">
        <x:f>第1日!E3</x:f>
        <x:v>#NAME?</x:v>
      </x:c>
      <x:c r="J15" s="13" t="e">
        <x:f>第1日!G3</x:f>
        <x:v>#NAME?</x:v>
      </x:c>
      <x:c r="K15" s="13" t="e">
        <x:f>第1日!I3</x:f>
        <x:v>#NAME?</x:v>
      </x:c>
      <x:c r="L15" s="13" t="s">
        <x:v>526</x:v>
      </x:c>
      <x:c r="M15" s="13" t="s">
        <x:v>527</x:v>
      </x:c>
      <x:c r="N15" s="13" t="e">
        <x:f>第1日!I4="待设计"</x:f>
        <x:v>#NAME?</x:v>
      </x:c>
      <x:c r="O15" s="13">
        <x:v>11</x:v>
      </x:c>
      <x:c r="P15" s="13" t="e">
        <x:f>IF(第1日!B17="","",IFERROR(VLOOKUP(第1日!B17,敌人目录!$A$6:$B$68,2,FALSE),""))</x:f>
        <x:v>#NAME?</x:v>
      </x:c>
      <x:c r="Q15" s="13" t="e">
        <x:f>IF(第1日!B17="","",第1日!C17)</x:f>
        <x:v>#NAME?</x:v>
      </x:c>
      <x:c r="R15" s="13">
        <x:v>-1</x:v>
      </x:c>
      <x:c r="S15" s="13" t="e">
        <x:f>IF(第1日!B17="","",第1日!I17)</x:f>
        <x:v>#NAME?</x:v>
      </x:c>
    </x:row>
    <x:row r="16" ht="16.5">
      <x:c r="A16" s="13">
        <x:v>3</x:v>
      </x:c>
      <x:c r="B16" s="13" t="s">
        <x:v>525</x:v>
      </x:c>
      <x:c r="C16" s="13">
        <x:v>1</x:v>
      </x:c>
      <x:c r="D16" s="13">
        <x:v>1</x:v>
      </x:c>
      <x:c r="E16" s="13">
        <x:v>1</x:v>
      </x:c>
      <x:c r="F16" s="13" t="s">
        <x:v>51</x:v>
      </x:c>
      <x:c r="G16" s="13" t="e">
        <x:f>第1日!B3</x:f>
        <x:v>#NAME?</x:v>
      </x:c>
      <x:c r="H16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6" s="13" t="e">
        <x:f>第1日!E3</x:f>
        <x:v>#NAME?</x:v>
      </x:c>
      <x:c r="J16" s="13" t="e">
        <x:f>第1日!G3</x:f>
        <x:v>#NAME?</x:v>
      </x:c>
      <x:c r="K16" s="13" t="e">
        <x:f>第1日!I3</x:f>
        <x:v>#NAME?</x:v>
      </x:c>
      <x:c r="L16" s="13" t="s">
        <x:v>526</x:v>
      </x:c>
      <x:c r="M16" s="13" t="s">
        <x:v>527</x:v>
      </x:c>
      <x:c r="N16" s="13" t="e">
        <x:f>第1日!I4="待设计"</x:f>
        <x:v>#NAME?</x:v>
      </x:c>
      <x:c r="O16" s="13">
        <x:v>12</x:v>
      </x:c>
      <x:c r="P16" s="13" t="e">
        <x:f>IF(第1日!B18="","",IFERROR(VLOOKUP(第1日!B18,敌人目录!$A$6:$B$68,2,FALSE),""))</x:f>
        <x:v>#NAME?</x:v>
      </x:c>
      <x:c r="Q16" s="13" t="e">
        <x:f>IF(第1日!B18="","",第1日!C18)</x:f>
        <x:v>#NAME?</x:v>
      </x:c>
      <x:c r="R16" s="13">
        <x:v>-1</x:v>
      </x:c>
      <x:c r="S16" s="13" t="e">
        <x:f>IF(第1日!B18="","",第1日!I18)</x:f>
        <x:v>#NAME?</x:v>
      </x:c>
    </x:row>
    <x:row r="17" ht="16.5">
      <x:c r="A17" s="13">
        <x:v>3</x:v>
      </x:c>
      <x:c r="B17" s="13" t="s">
        <x:v>525</x:v>
      </x:c>
      <x:c r="C17" s="13">
        <x:v>1</x:v>
      </x:c>
      <x:c r="D17" s="13">
        <x:v>1</x:v>
      </x:c>
      <x:c r="E17" s="13">
        <x:v>1</x:v>
      </x:c>
      <x:c r="F17" s="13" t="s">
        <x:v>51</x:v>
      </x:c>
      <x:c r="G17" s="13" t="e">
        <x:f>第1日!B3</x:f>
        <x:v>#NAME?</x:v>
      </x:c>
      <x:c r="H17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7" s="13" t="e">
        <x:f>第1日!E3</x:f>
        <x:v>#NAME?</x:v>
      </x:c>
      <x:c r="J17" s="13" t="e">
        <x:f>第1日!G3</x:f>
        <x:v>#NAME?</x:v>
      </x:c>
      <x:c r="K17" s="13" t="e">
        <x:f>第1日!I3</x:f>
        <x:v>#NAME?</x:v>
      </x:c>
      <x:c r="L17" s="13" t="s">
        <x:v>526</x:v>
      </x:c>
      <x:c r="M17" s="13" t="s">
        <x:v>527</x:v>
      </x:c>
      <x:c r="N17" s="13" t="e">
        <x:f>第1日!I4="待设计"</x:f>
        <x:v>#NAME?</x:v>
      </x:c>
      <x:c r="O17" s="13">
        <x:v>13</x:v>
      </x:c>
      <x:c r="P17" s="13" t="e">
        <x:f>IF(第1日!B19="","",IFERROR(VLOOKUP(第1日!B19,敌人目录!$A$6:$B$68,2,FALSE),""))</x:f>
        <x:v>#NAME?</x:v>
      </x:c>
      <x:c r="Q17" s="13" t="e">
        <x:f>IF(第1日!B19="","",第1日!C19)</x:f>
        <x:v>#NAME?</x:v>
      </x:c>
      <x:c r="R17" s="13">
        <x:v>-1</x:v>
      </x:c>
      <x:c r="S17" s="13" t="e">
        <x:f>IF(第1日!B19="","",第1日!I19)</x:f>
        <x:v>#NAME?</x:v>
      </x:c>
    </x:row>
    <x:row r="18" ht="16.5">
      <x:c r="A18" s="13">
        <x:v>3</x:v>
      </x:c>
      <x:c r="B18" s="13" t="s">
        <x:v>525</x:v>
      </x:c>
      <x:c r="C18" s="13">
        <x:v>1</x:v>
      </x:c>
      <x:c r="D18" s="13">
        <x:v>1</x:v>
      </x:c>
      <x:c r="E18" s="13">
        <x:v>1</x:v>
      </x:c>
      <x:c r="F18" s="13" t="s">
        <x:v>51</x:v>
      </x:c>
      <x:c r="G18" s="13" t="e">
        <x:f>第1日!B3</x:f>
        <x:v>#NAME?</x:v>
      </x:c>
      <x:c r="H18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8" s="13" t="e">
        <x:f>第1日!E3</x:f>
        <x:v>#NAME?</x:v>
      </x:c>
      <x:c r="J18" s="13" t="e">
        <x:f>第1日!G3</x:f>
        <x:v>#NAME?</x:v>
      </x:c>
      <x:c r="K18" s="13" t="e">
        <x:f>第1日!I3</x:f>
        <x:v>#NAME?</x:v>
      </x:c>
      <x:c r="L18" s="13" t="s">
        <x:v>526</x:v>
      </x:c>
      <x:c r="M18" s="13" t="s">
        <x:v>527</x:v>
      </x:c>
      <x:c r="N18" s="13" t="e">
        <x:f>第1日!I4="待设计"</x:f>
        <x:v>#NAME?</x:v>
      </x:c>
      <x:c r="O18" s="13">
        <x:v>14</x:v>
      </x:c>
      <x:c r="P18" s="13" t="e">
        <x:f>IF(第1日!B20="","",IFERROR(VLOOKUP(第1日!B20,敌人目录!$A$6:$B$68,2,FALSE),""))</x:f>
        <x:v>#NAME?</x:v>
      </x:c>
      <x:c r="Q18" s="13" t="e">
        <x:f>IF(第1日!B20="","",第1日!C20)</x:f>
        <x:v>#NAME?</x:v>
      </x:c>
      <x:c r="R18" s="13">
        <x:v>-1</x:v>
      </x:c>
      <x:c r="S18" s="13" t="e">
        <x:f>IF(第1日!B20="","",第1日!I20)</x:f>
        <x:v>#NAME?</x:v>
      </x:c>
    </x:row>
    <x:row r="19" ht="16.5">
      <x:c r="A19" s="13">
        <x:v>3</x:v>
      </x:c>
      <x:c r="B19" s="13" t="s">
        <x:v>525</x:v>
      </x:c>
      <x:c r="C19" s="13">
        <x:v>1</x:v>
      </x:c>
      <x:c r="D19" s="13">
        <x:v>1</x:v>
      </x:c>
      <x:c r="E19" s="13">
        <x:v>1</x:v>
      </x:c>
      <x:c r="F19" s="13" t="s">
        <x:v>51</x:v>
      </x:c>
      <x:c r="G19" s="13" t="e">
        <x:f>第1日!B3</x:f>
        <x:v>#NAME?</x:v>
      </x:c>
      <x:c r="H19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9" s="13" t="e">
        <x:f>第1日!E3</x:f>
        <x:v>#NAME?</x:v>
      </x:c>
      <x:c r="J19" s="13" t="e">
        <x:f>第1日!G3</x:f>
        <x:v>#NAME?</x:v>
      </x:c>
      <x:c r="K19" s="13" t="e">
        <x:f>第1日!I3</x:f>
        <x:v>#NAME?</x:v>
      </x:c>
      <x:c r="L19" s="13" t="s">
        <x:v>526</x:v>
      </x:c>
      <x:c r="M19" s="13" t="s">
        <x:v>527</x:v>
      </x:c>
      <x:c r="N19" s="13" t="e">
        <x:f>第1日!I4="待设计"</x:f>
        <x:v>#NAME?</x:v>
      </x:c>
      <x:c r="O19" s="13">
        <x:v>15</x:v>
      </x:c>
      <x:c r="P19" s="13" t="e">
        <x:f>IF(第1日!B21="","",IFERROR(VLOOKUP(第1日!B21,敌人目录!$A$6:$B$68,2,FALSE),""))</x:f>
        <x:v>#NAME?</x:v>
      </x:c>
      <x:c r="Q19" s="13" t="e">
        <x:f>IF(第1日!B21="","",第1日!C21)</x:f>
        <x:v>#NAME?</x:v>
      </x:c>
      <x:c r="R19" s="13">
        <x:v>-1</x:v>
      </x:c>
      <x:c r="S19" s="13" t="e">
        <x:f>IF(第1日!B21="","",第1日!I21)</x:f>
        <x:v>#NAME?</x:v>
      </x:c>
    </x:row>
    <x:row r="20" ht="16.5">
      <x:c r="A20" s="13">
        <x:v>3</x:v>
      </x:c>
      <x:c r="B20" s="13" t="s">
        <x:v>525</x:v>
      </x:c>
      <x:c r="C20" s="13">
        <x:v>1</x:v>
      </x:c>
      <x:c r="D20" s="13">
        <x:v>1</x:v>
      </x:c>
      <x:c r="E20" s="13">
        <x:v>1</x:v>
      </x:c>
      <x:c r="F20" s="13" t="s">
        <x:v>51</x:v>
      </x:c>
      <x:c r="G20" s="13" t="e">
        <x:f>第1日!B3</x:f>
        <x:v>#NAME?</x:v>
      </x:c>
      <x:c r="H20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0" s="13" t="e">
        <x:f>第1日!E3</x:f>
        <x:v>#NAME?</x:v>
      </x:c>
      <x:c r="J20" s="13" t="e">
        <x:f>第1日!G3</x:f>
        <x:v>#NAME?</x:v>
      </x:c>
      <x:c r="K20" s="13" t="e">
        <x:f>第1日!I3</x:f>
        <x:v>#NAME?</x:v>
      </x:c>
      <x:c r="L20" s="13" t="s">
        <x:v>526</x:v>
      </x:c>
      <x:c r="M20" s="13" t="s">
        <x:v>527</x:v>
      </x:c>
      <x:c r="N20" s="13" t="e">
        <x:f>第1日!I4="待设计"</x:f>
        <x:v>#NAME?</x:v>
      </x:c>
      <x:c r="O20" s="13">
        <x:v>16</x:v>
      </x:c>
      <x:c r="P20" s="13" t="e">
        <x:f>IF(第1日!B22="","",IFERROR(VLOOKUP(第1日!B22,敌人目录!$A$6:$B$68,2,FALSE),""))</x:f>
        <x:v>#NAME?</x:v>
      </x:c>
      <x:c r="Q20" s="13" t="e">
        <x:f>IF(第1日!B22="","",第1日!C22)</x:f>
        <x:v>#NAME?</x:v>
      </x:c>
      <x:c r="R20" s="13">
        <x:v>-1</x:v>
      </x:c>
      <x:c r="S20" s="13" t="e">
        <x:f>IF(第1日!B22="","",第1日!I22)</x:f>
        <x:v>#NAME?</x:v>
      </x:c>
    </x:row>
    <x:row r="21" ht="16.5">
      <x:c r="A21" s="13">
        <x:v>3</x:v>
      </x:c>
      <x:c r="B21" s="13" t="s">
        <x:v>525</x:v>
      </x:c>
      <x:c r="C21" s="13">
        <x:v>1</x:v>
      </x:c>
      <x:c r="D21" s="13">
        <x:v>1</x:v>
      </x:c>
      <x:c r="E21" s="13">
        <x:v>1</x:v>
      </x:c>
      <x:c r="F21" s="13" t="s">
        <x:v>51</x:v>
      </x:c>
      <x:c r="G21" s="13" t="e">
        <x:f>第1日!B3</x:f>
        <x:v>#NAME?</x:v>
      </x:c>
      <x:c r="H21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1" s="13" t="e">
        <x:f>第1日!E3</x:f>
        <x:v>#NAME?</x:v>
      </x:c>
      <x:c r="J21" s="13" t="e">
        <x:f>第1日!G3</x:f>
        <x:v>#NAME?</x:v>
      </x:c>
      <x:c r="K21" s="13" t="e">
        <x:f>第1日!I3</x:f>
        <x:v>#NAME?</x:v>
      </x:c>
      <x:c r="L21" s="13" t="s">
        <x:v>526</x:v>
      </x:c>
      <x:c r="M21" s="13" t="s">
        <x:v>527</x:v>
      </x:c>
      <x:c r="N21" s="13" t="e">
        <x:f>第1日!I4="待设计"</x:f>
        <x:v>#NAME?</x:v>
      </x:c>
      <x:c r="O21" s="13">
        <x:v>17</x:v>
      </x:c>
      <x:c r="P21" s="13" t="e">
        <x:f>IF(第1日!B23="","",IFERROR(VLOOKUP(第1日!B23,敌人目录!$A$6:$B$68,2,FALSE),""))</x:f>
        <x:v>#NAME?</x:v>
      </x:c>
      <x:c r="Q21" s="13" t="e">
        <x:f>IF(第1日!B23="","",第1日!C23)</x:f>
        <x:v>#NAME?</x:v>
      </x:c>
      <x:c r="R21" s="13">
        <x:v>-1</x:v>
      </x:c>
      <x:c r="S21" s="13" t="e">
        <x:f>IF(第1日!B23="","",第1日!I23)</x:f>
        <x:v>#NAME?</x:v>
      </x:c>
    </x:row>
    <x:row r="22" ht="16.5">
      <x:c r="A22" s="13">
        <x:v>3</x:v>
      </x:c>
      <x:c r="B22" s="13" t="s">
        <x:v>525</x:v>
      </x:c>
      <x:c r="C22" s="13">
        <x:v>1</x:v>
      </x:c>
      <x:c r="D22" s="13">
        <x:v>1</x:v>
      </x:c>
      <x:c r="E22" s="13">
        <x:v>1</x:v>
      </x:c>
      <x:c r="F22" s="13" t="s">
        <x:v>51</x:v>
      </x:c>
      <x:c r="G22" s="13" t="e">
        <x:f>第1日!B3</x:f>
        <x:v>#NAME?</x:v>
      </x:c>
      <x:c r="H22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2" s="13" t="e">
        <x:f>第1日!E3</x:f>
        <x:v>#NAME?</x:v>
      </x:c>
      <x:c r="J22" s="13" t="e">
        <x:f>第1日!G3</x:f>
        <x:v>#NAME?</x:v>
      </x:c>
      <x:c r="K22" s="13" t="e">
        <x:f>第1日!I3</x:f>
        <x:v>#NAME?</x:v>
      </x:c>
      <x:c r="L22" s="13" t="s">
        <x:v>526</x:v>
      </x:c>
      <x:c r="M22" s="13" t="s">
        <x:v>527</x:v>
      </x:c>
      <x:c r="N22" s="13" t="e">
        <x:f>第1日!I4="待设计"</x:f>
        <x:v>#NAME?</x:v>
      </x:c>
      <x:c r="O22" s="13">
        <x:v>18</x:v>
      </x:c>
      <x:c r="P22" s="13" t="e">
        <x:f>IF(第1日!B24="","",IFERROR(VLOOKUP(第1日!B24,敌人目录!$A$6:$B$68,2,FALSE),""))</x:f>
        <x:v>#NAME?</x:v>
      </x:c>
      <x:c r="Q22" s="13" t="e">
        <x:f>IF(第1日!B24="","",第1日!C24)</x:f>
        <x:v>#NAME?</x:v>
      </x:c>
      <x:c r="R22" s="13">
        <x:v>-1</x:v>
      </x:c>
      <x:c r="S22" s="13" t="e">
        <x:f>IF(第1日!B24="","",第1日!I24)</x:f>
        <x:v>#NAME?</x:v>
      </x:c>
    </x:row>
    <x:row r="23" ht="16.5">
      <x:c r="A23" s="13">
        <x:v>3</x:v>
      </x:c>
      <x:c r="B23" s="13" t="s">
        <x:v>528</x:v>
      </x:c>
      <x:c r="C23" s="13">
        <x:v>2</x:v>
      </x:c>
      <x:c r="D23" s="13">
        <x:v>1</x:v>
      </x:c>
      <x:c r="E23" s="13">
        <x:v>2</x:v>
      </x:c>
      <x:c r="F23" s="13" t="s">
        <x:v>51</x:v>
      </x:c>
      <x:c r="G23" s="13" t="e">
        <x:f>第1日!B32</x:f>
        <x:v>#NAME?</x:v>
      </x:c>
      <x:c r="H23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3" s="13" t="e">
        <x:f>第1日!E32</x:f>
        <x:v>#NAME?</x:v>
      </x:c>
      <x:c r="J23" s="13" t="e">
        <x:f>第1日!G32</x:f>
        <x:v>#NAME?</x:v>
      </x:c>
      <x:c r="K23" s="13" t="e">
        <x:f>第1日!I32</x:f>
        <x:v>#NAME?</x:v>
      </x:c>
      <x:c r="L23" s="13" t="s">
        <x:v>526</x:v>
      </x:c>
      <x:c r="M23" s="13" t="s">
        <x:v>527</x:v>
      </x:c>
      <x:c r="N23" s="13" t="e">
        <x:f>第1日!I33="待设计"</x:f>
        <x:v>#NAME?</x:v>
      </x:c>
      <x:c r="O23" s="13">
        <x:v>1</x:v>
      </x:c>
      <x:c r="P23" s="13" t="e">
        <x:f>IF(第1日!B36="","",IFERROR(VLOOKUP(第1日!B36,敌人目录!$A$6:$B$68,2,FALSE),""))</x:f>
        <x:v>#NAME?</x:v>
      </x:c>
      <x:c r="Q23" s="13" t="e">
        <x:f>IF(第1日!B36="","",第1日!C36)</x:f>
        <x:v>#NAME?</x:v>
      </x:c>
      <x:c r="R23" s="13">
        <x:v>-1</x:v>
      </x:c>
      <x:c r="S23" s="13" t="e">
        <x:f>IF(第1日!B36="","",第1日!I36)</x:f>
        <x:v>#NAME?</x:v>
      </x:c>
    </x:row>
    <x:row r="24" ht="16.5">
      <x:c r="A24" s="13">
        <x:v>3</x:v>
      </x:c>
      <x:c r="B24" s="13" t="s">
        <x:v>528</x:v>
      </x:c>
      <x:c r="C24" s="13">
        <x:v>2</x:v>
      </x:c>
      <x:c r="D24" s="13">
        <x:v>1</x:v>
      </x:c>
      <x:c r="E24" s="13">
        <x:v>2</x:v>
      </x:c>
      <x:c r="F24" s="13" t="s">
        <x:v>51</x:v>
      </x:c>
      <x:c r="G24" s="13" t="e">
        <x:f>第1日!B32</x:f>
        <x:v>#NAME?</x:v>
      </x:c>
      <x:c r="H24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4" s="13" t="e">
        <x:f>第1日!E32</x:f>
        <x:v>#NAME?</x:v>
      </x:c>
      <x:c r="J24" s="13" t="e">
        <x:f>第1日!G32</x:f>
        <x:v>#NAME?</x:v>
      </x:c>
      <x:c r="K24" s="13" t="e">
        <x:f>第1日!I32</x:f>
        <x:v>#NAME?</x:v>
      </x:c>
      <x:c r="L24" s="13" t="s">
        <x:v>526</x:v>
      </x:c>
      <x:c r="M24" s="13" t="s">
        <x:v>527</x:v>
      </x:c>
      <x:c r="N24" s="13" t="e">
        <x:f>第1日!I33="待设计"</x:f>
        <x:v>#NAME?</x:v>
      </x:c>
      <x:c r="O24" s="13">
        <x:v>2</x:v>
      </x:c>
      <x:c r="P24" s="13" t="e">
        <x:f>IF(第1日!B37="","",IFERROR(VLOOKUP(第1日!B37,敌人目录!$A$6:$B$68,2,FALSE),""))</x:f>
        <x:v>#NAME?</x:v>
      </x:c>
      <x:c r="Q24" s="13" t="e">
        <x:f>IF(第1日!B37="","",第1日!C37)</x:f>
        <x:v>#NAME?</x:v>
      </x:c>
      <x:c r="R24" s="13">
        <x:v>-1</x:v>
      </x:c>
      <x:c r="S24" s="13" t="e">
        <x:f>IF(第1日!B37="","",第1日!I37)</x:f>
        <x:v>#NAME?</x:v>
      </x:c>
    </x:row>
    <x:row r="25" ht="16.5">
      <x:c r="A25" s="13">
        <x:v>3</x:v>
      </x:c>
      <x:c r="B25" s="13" t="s">
        <x:v>528</x:v>
      </x:c>
      <x:c r="C25" s="13">
        <x:v>2</x:v>
      </x:c>
      <x:c r="D25" s="13">
        <x:v>1</x:v>
      </x:c>
      <x:c r="E25" s="13">
        <x:v>2</x:v>
      </x:c>
      <x:c r="F25" s="13" t="s">
        <x:v>51</x:v>
      </x:c>
      <x:c r="G25" s="13" t="e">
        <x:f>第1日!B32</x:f>
        <x:v>#NAME?</x:v>
      </x:c>
      <x:c r="H25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5" s="13" t="e">
        <x:f>第1日!E32</x:f>
        <x:v>#NAME?</x:v>
      </x:c>
      <x:c r="J25" s="13" t="e">
        <x:f>第1日!G32</x:f>
        <x:v>#NAME?</x:v>
      </x:c>
      <x:c r="K25" s="13" t="e">
        <x:f>第1日!I32</x:f>
        <x:v>#NAME?</x:v>
      </x:c>
      <x:c r="L25" s="13" t="s">
        <x:v>526</x:v>
      </x:c>
      <x:c r="M25" s="13" t="s">
        <x:v>527</x:v>
      </x:c>
      <x:c r="N25" s="13" t="e">
        <x:f>第1日!I33="待设计"</x:f>
        <x:v>#NAME?</x:v>
      </x:c>
      <x:c r="O25" s="13">
        <x:v>3</x:v>
      </x:c>
      <x:c r="P25" s="13" t="e">
        <x:f>IF(第1日!B38="","",IFERROR(VLOOKUP(第1日!B38,敌人目录!$A$6:$B$68,2,FALSE),""))</x:f>
        <x:v>#NAME?</x:v>
      </x:c>
      <x:c r="Q25" s="13" t="e">
        <x:f>IF(第1日!B38="","",第1日!C38)</x:f>
        <x:v>#NAME?</x:v>
      </x:c>
      <x:c r="R25" s="13">
        <x:v>-1</x:v>
      </x:c>
      <x:c r="S25" s="13" t="e">
        <x:f>IF(第1日!B38="","",第1日!I38)</x:f>
        <x:v>#NAME?</x:v>
      </x:c>
    </x:row>
    <x:row r="26" ht="16.5">
      <x:c r="A26" s="13">
        <x:v>3</x:v>
      </x:c>
      <x:c r="B26" s="13" t="s">
        <x:v>528</x:v>
      </x:c>
      <x:c r="C26" s="13">
        <x:v>2</x:v>
      </x:c>
      <x:c r="D26" s="13">
        <x:v>1</x:v>
      </x:c>
      <x:c r="E26" s="13">
        <x:v>2</x:v>
      </x:c>
      <x:c r="F26" s="13" t="s">
        <x:v>51</x:v>
      </x:c>
      <x:c r="G26" s="13" t="e">
        <x:f>第1日!B32</x:f>
        <x:v>#NAME?</x:v>
      </x:c>
      <x:c r="H26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6" s="13" t="e">
        <x:f>第1日!E32</x:f>
        <x:v>#NAME?</x:v>
      </x:c>
      <x:c r="J26" s="13" t="e">
        <x:f>第1日!G32</x:f>
        <x:v>#NAME?</x:v>
      </x:c>
      <x:c r="K26" s="13" t="e">
        <x:f>第1日!I32</x:f>
        <x:v>#NAME?</x:v>
      </x:c>
      <x:c r="L26" s="13" t="s">
        <x:v>526</x:v>
      </x:c>
      <x:c r="M26" s="13" t="s">
        <x:v>527</x:v>
      </x:c>
      <x:c r="N26" s="13" t="e">
        <x:f>第1日!I33="待设计"</x:f>
        <x:v>#NAME?</x:v>
      </x:c>
      <x:c r="O26" s="13">
        <x:v>4</x:v>
      </x:c>
      <x:c r="P26" s="13" t="e">
        <x:f>IF(第1日!B39="","",IFERROR(VLOOKUP(第1日!B39,敌人目录!$A$6:$B$68,2,FALSE),""))</x:f>
        <x:v>#NAME?</x:v>
      </x:c>
      <x:c r="Q26" s="13" t="e">
        <x:f>IF(第1日!B39="","",第1日!C39)</x:f>
        <x:v>#NAME?</x:v>
      </x:c>
      <x:c r="R26" s="13">
        <x:v>-1</x:v>
      </x:c>
      <x:c r="S26" s="13" t="e">
        <x:f>IF(第1日!B39="","",第1日!I39)</x:f>
        <x:v>#NAME?</x:v>
      </x:c>
    </x:row>
    <x:row r="27" ht="16.5">
      <x:c r="A27" s="13">
        <x:v>3</x:v>
      </x:c>
      <x:c r="B27" s="13" t="s">
        <x:v>528</x:v>
      </x:c>
      <x:c r="C27" s="13">
        <x:v>2</x:v>
      </x:c>
      <x:c r="D27" s="13">
        <x:v>1</x:v>
      </x:c>
      <x:c r="E27" s="13">
        <x:v>2</x:v>
      </x:c>
      <x:c r="F27" s="13" t="s">
        <x:v>51</x:v>
      </x:c>
      <x:c r="G27" s="13" t="e">
        <x:f>第1日!B32</x:f>
        <x:v>#NAME?</x:v>
      </x:c>
      <x:c r="H27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7" s="13" t="e">
        <x:f>第1日!E32</x:f>
        <x:v>#NAME?</x:v>
      </x:c>
      <x:c r="J27" s="13" t="e">
        <x:f>第1日!G32</x:f>
        <x:v>#NAME?</x:v>
      </x:c>
      <x:c r="K27" s="13" t="e">
        <x:f>第1日!I32</x:f>
        <x:v>#NAME?</x:v>
      </x:c>
      <x:c r="L27" s="13" t="s">
        <x:v>526</x:v>
      </x:c>
      <x:c r="M27" s="13" t="s">
        <x:v>527</x:v>
      </x:c>
      <x:c r="N27" s="13" t="e">
        <x:f>第1日!I33="待设计"</x:f>
        <x:v>#NAME?</x:v>
      </x:c>
      <x:c r="O27" s="13">
        <x:v>5</x:v>
      </x:c>
      <x:c r="P27" s="13" t="e">
        <x:f>IF(第1日!B40="","",IFERROR(VLOOKUP(第1日!B40,敌人目录!$A$6:$B$68,2,FALSE),""))</x:f>
        <x:v>#NAME?</x:v>
      </x:c>
      <x:c r="Q27" s="13" t="e">
        <x:f>IF(第1日!B40="","",第1日!C40)</x:f>
        <x:v>#NAME?</x:v>
      </x:c>
      <x:c r="R27" s="13">
        <x:v>-1</x:v>
      </x:c>
      <x:c r="S27" s="13" t="e">
        <x:f>IF(第1日!B40="","",第1日!I40)</x:f>
        <x:v>#NAME?</x:v>
      </x:c>
    </x:row>
    <x:row r="28" ht="16.5">
      <x:c r="A28" s="13">
        <x:v>3</x:v>
      </x:c>
      <x:c r="B28" s="13" t="s">
        <x:v>528</x:v>
      </x:c>
      <x:c r="C28" s="13">
        <x:v>2</x:v>
      </x:c>
      <x:c r="D28" s="13">
        <x:v>1</x:v>
      </x:c>
      <x:c r="E28" s="13">
        <x:v>2</x:v>
      </x:c>
      <x:c r="F28" s="13" t="s">
        <x:v>51</x:v>
      </x:c>
      <x:c r="G28" s="13" t="e">
        <x:f>第1日!B32</x:f>
        <x:v>#NAME?</x:v>
      </x:c>
      <x:c r="H28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8" s="13" t="e">
        <x:f>第1日!E32</x:f>
        <x:v>#NAME?</x:v>
      </x:c>
      <x:c r="J28" s="13" t="e">
        <x:f>第1日!G32</x:f>
        <x:v>#NAME?</x:v>
      </x:c>
      <x:c r="K28" s="13" t="e">
        <x:f>第1日!I32</x:f>
        <x:v>#NAME?</x:v>
      </x:c>
      <x:c r="L28" s="13" t="s">
        <x:v>526</x:v>
      </x:c>
      <x:c r="M28" s="13" t="s">
        <x:v>527</x:v>
      </x:c>
      <x:c r="N28" s="13" t="e">
        <x:f>第1日!I33="待设计"</x:f>
        <x:v>#NAME?</x:v>
      </x:c>
      <x:c r="O28" s="13">
        <x:v>6</x:v>
      </x:c>
      <x:c r="P28" s="13" t="e">
        <x:f>IF(第1日!B41="","",IFERROR(VLOOKUP(第1日!B41,敌人目录!$A$6:$B$68,2,FALSE),""))</x:f>
        <x:v>#NAME?</x:v>
      </x:c>
      <x:c r="Q28" s="13" t="e">
        <x:f>IF(第1日!B41="","",第1日!C41)</x:f>
        <x:v>#NAME?</x:v>
      </x:c>
      <x:c r="R28" s="13">
        <x:v>-1</x:v>
      </x:c>
      <x:c r="S28" s="13" t="e">
        <x:f>IF(第1日!B41="","",第1日!I41)</x:f>
        <x:v>#NAME?</x:v>
      </x:c>
    </x:row>
    <x:row r="29" ht="16.5">
      <x:c r="A29" s="13">
        <x:v>3</x:v>
      </x:c>
      <x:c r="B29" s="13" t="s">
        <x:v>528</x:v>
      </x:c>
      <x:c r="C29" s="13">
        <x:v>2</x:v>
      </x:c>
      <x:c r="D29" s="13">
        <x:v>1</x:v>
      </x:c>
      <x:c r="E29" s="13">
        <x:v>2</x:v>
      </x:c>
      <x:c r="F29" s="13" t="s">
        <x:v>51</x:v>
      </x:c>
      <x:c r="G29" s="13" t="e">
        <x:f>第1日!B32</x:f>
        <x:v>#NAME?</x:v>
      </x:c>
      <x:c r="H29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9" s="13" t="e">
        <x:f>第1日!E32</x:f>
        <x:v>#NAME?</x:v>
      </x:c>
      <x:c r="J29" s="13" t="e">
        <x:f>第1日!G32</x:f>
        <x:v>#NAME?</x:v>
      </x:c>
      <x:c r="K29" s="13" t="e">
        <x:f>第1日!I32</x:f>
        <x:v>#NAME?</x:v>
      </x:c>
      <x:c r="L29" s="13" t="s">
        <x:v>526</x:v>
      </x:c>
      <x:c r="M29" s="13" t="s">
        <x:v>527</x:v>
      </x:c>
      <x:c r="N29" s="13" t="e">
        <x:f>第1日!I33="待设计"</x:f>
        <x:v>#NAME?</x:v>
      </x:c>
      <x:c r="O29" s="13">
        <x:v>7</x:v>
      </x:c>
      <x:c r="P29" s="13" t="e">
        <x:f>IF(第1日!B42="","",IFERROR(VLOOKUP(第1日!B42,敌人目录!$A$6:$B$68,2,FALSE),""))</x:f>
        <x:v>#NAME?</x:v>
      </x:c>
      <x:c r="Q29" s="13" t="e">
        <x:f>IF(第1日!B42="","",第1日!C42)</x:f>
        <x:v>#NAME?</x:v>
      </x:c>
      <x:c r="R29" s="13">
        <x:v>-1</x:v>
      </x:c>
      <x:c r="S29" s="13" t="e">
        <x:f>IF(第1日!B42="","",第1日!I42)</x:f>
        <x:v>#NAME?</x:v>
      </x:c>
    </x:row>
    <x:row r="30" ht="16.5">
      <x:c r="A30" s="13">
        <x:v>3</x:v>
      </x:c>
      <x:c r="B30" s="13" t="s">
        <x:v>528</x:v>
      </x:c>
      <x:c r="C30" s="13">
        <x:v>2</x:v>
      </x:c>
      <x:c r="D30" s="13">
        <x:v>1</x:v>
      </x:c>
      <x:c r="E30" s="13">
        <x:v>2</x:v>
      </x:c>
      <x:c r="F30" s="13" t="s">
        <x:v>51</x:v>
      </x:c>
      <x:c r="G30" s="13" t="e">
        <x:f>第1日!B32</x:f>
        <x:v>#NAME?</x:v>
      </x:c>
      <x:c r="H30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0" s="13" t="e">
        <x:f>第1日!E32</x:f>
        <x:v>#NAME?</x:v>
      </x:c>
      <x:c r="J30" s="13" t="e">
        <x:f>第1日!G32</x:f>
        <x:v>#NAME?</x:v>
      </x:c>
      <x:c r="K30" s="13" t="e">
        <x:f>第1日!I32</x:f>
        <x:v>#NAME?</x:v>
      </x:c>
      <x:c r="L30" s="13" t="s">
        <x:v>526</x:v>
      </x:c>
      <x:c r="M30" s="13" t="s">
        <x:v>527</x:v>
      </x:c>
      <x:c r="N30" s="13" t="e">
        <x:f>第1日!I33="待设计"</x:f>
        <x:v>#NAME?</x:v>
      </x:c>
      <x:c r="O30" s="13">
        <x:v>8</x:v>
      </x:c>
      <x:c r="P30" s="13" t="e">
        <x:f>IF(第1日!B43="","",IFERROR(VLOOKUP(第1日!B43,敌人目录!$A$6:$B$68,2,FALSE),""))</x:f>
        <x:v>#NAME?</x:v>
      </x:c>
      <x:c r="Q30" s="13" t="e">
        <x:f>IF(第1日!B43="","",第1日!C43)</x:f>
        <x:v>#NAME?</x:v>
      </x:c>
      <x:c r="R30" s="13">
        <x:v>-1</x:v>
      </x:c>
      <x:c r="S30" s="13" t="e">
        <x:f>IF(第1日!B43="","",第1日!I43)</x:f>
        <x:v>#NAME?</x:v>
      </x:c>
    </x:row>
    <x:row r="31" ht="16.5">
      <x:c r="A31" s="13">
        <x:v>3</x:v>
      </x:c>
      <x:c r="B31" s="13" t="s">
        <x:v>528</x:v>
      </x:c>
      <x:c r="C31" s="13">
        <x:v>2</x:v>
      </x:c>
      <x:c r="D31" s="13">
        <x:v>1</x:v>
      </x:c>
      <x:c r="E31" s="13">
        <x:v>2</x:v>
      </x:c>
      <x:c r="F31" s="13" t="s">
        <x:v>51</x:v>
      </x:c>
      <x:c r="G31" s="13" t="e">
        <x:f>第1日!B32</x:f>
        <x:v>#NAME?</x:v>
      </x:c>
      <x:c r="H31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1" s="13" t="e">
        <x:f>第1日!E32</x:f>
        <x:v>#NAME?</x:v>
      </x:c>
      <x:c r="J31" s="13" t="e">
        <x:f>第1日!G32</x:f>
        <x:v>#NAME?</x:v>
      </x:c>
      <x:c r="K31" s="13" t="e">
        <x:f>第1日!I32</x:f>
        <x:v>#NAME?</x:v>
      </x:c>
      <x:c r="L31" s="13" t="s">
        <x:v>526</x:v>
      </x:c>
      <x:c r="M31" s="13" t="s">
        <x:v>527</x:v>
      </x:c>
      <x:c r="N31" s="13" t="e">
        <x:f>第1日!I33="待设计"</x:f>
        <x:v>#NAME?</x:v>
      </x:c>
      <x:c r="O31" s="13">
        <x:v>9</x:v>
      </x:c>
      <x:c r="P31" s="13" t="e">
        <x:f>IF(第1日!B44="","",IFERROR(VLOOKUP(第1日!B44,敌人目录!$A$6:$B$68,2,FALSE),""))</x:f>
        <x:v>#NAME?</x:v>
      </x:c>
      <x:c r="Q31" s="13" t="e">
        <x:f>IF(第1日!B44="","",第1日!C44)</x:f>
        <x:v>#NAME?</x:v>
      </x:c>
      <x:c r="R31" s="13">
        <x:v>-1</x:v>
      </x:c>
      <x:c r="S31" s="13" t="e">
        <x:f>IF(第1日!B44="","",第1日!I44)</x:f>
        <x:v>#NAME?</x:v>
      </x:c>
    </x:row>
    <x:row r="32" ht="16.5">
      <x:c r="A32" s="13">
        <x:v>3</x:v>
      </x:c>
      <x:c r="B32" s="13" t="s">
        <x:v>528</x:v>
      </x:c>
      <x:c r="C32" s="13">
        <x:v>2</x:v>
      </x:c>
      <x:c r="D32" s="13">
        <x:v>1</x:v>
      </x:c>
      <x:c r="E32" s="13">
        <x:v>2</x:v>
      </x:c>
      <x:c r="F32" s="13" t="s">
        <x:v>51</x:v>
      </x:c>
      <x:c r="G32" s="13" t="e">
        <x:f>第1日!B32</x:f>
        <x:v>#NAME?</x:v>
      </x:c>
      <x:c r="H32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2" s="13" t="e">
        <x:f>第1日!E32</x:f>
        <x:v>#NAME?</x:v>
      </x:c>
      <x:c r="J32" s="13" t="e">
        <x:f>第1日!G32</x:f>
        <x:v>#NAME?</x:v>
      </x:c>
      <x:c r="K32" s="13" t="e">
        <x:f>第1日!I32</x:f>
        <x:v>#NAME?</x:v>
      </x:c>
      <x:c r="L32" s="13" t="s">
        <x:v>526</x:v>
      </x:c>
      <x:c r="M32" s="13" t="s">
        <x:v>527</x:v>
      </x:c>
      <x:c r="N32" s="13" t="e">
        <x:f>第1日!I33="待设计"</x:f>
        <x:v>#NAME?</x:v>
      </x:c>
      <x:c r="O32" s="13">
        <x:v>10</x:v>
      </x:c>
      <x:c r="P32" s="13" t="e">
        <x:f>IF(第1日!B45="","",IFERROR(VLOOKUP(第1日!B45,敌人目录!$A$6:$B$68,2,FALSE),""))</x:f>
        <x:v>#NAME?</x:v>
      </x:c>
      <x:c r="Q32" s="13" t="e">
        <x:f>IF(第1日!B45="","",第1日!C45)</x:f>
        <x:v>#NAME?</x:v>
      </x:c>
      <x:c r="R32" s="13">
        <x:v>-1</x:v>
      </x:c>
      <x:c r="S32" s="13" t="e">
        <x:f>IF(第1日!B45="","",第1日!I45)</x:f>
        <x:v>#NAME?</x:v>
      </x:c>
    </x:row>
    <x:row r="33" ht="16.5">
      <x:c r="A33" s="13">
        <x:v>3</x:v>
      </x:c>
      <x:c r="B33" s="13" t="s">
        <x:v>528</x:v>
      </x:c>
      <x:c r="C33" s="13">
        <x:v>2</x:v>
      </x:c>
      <x:c r="D33" s="13">
        <x:v>1</x:v>
      </x:c>
      <x:c r="E33" s="13">
        <x:v>2</x:v>
      </x:c>
      <x:c r="F33" s="13" t="s">
        <x:v>51</x:v>
      </x:c>
      <x:c r="G33" s="13" t="e">
        <x:f>第1日!B32</x:f>
        <x:v>#NAME?</x:v>
      </x:c>
      <x:c r="H33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3" s="13" t="e">
        <x:f>第1日!E32</x:f>
        <x:v>#NAME?</x:v>
      </x:c>
      <x:c r="J33" s="13" t="e">
        <x:f>第1日!G32</x:f>
        <x:v>#NAME?</x:v>
      </x:c>
      <x:c r="K33" s="13" t="e">
        <x:f>第1日!I32</x:f>
        <x:v>#NAME?</x:v>
      </x:c>
      <x:c r="L33" s="13" t="s">
        <x:v>526</x:v>
      </x:c>
      <x:c r="M33" s="13" t="s">
        <x:v>527</x:v>
      </x:c>
      <x:c r="N33" s="13" t="e">
        <x:f>第1日!I33="待设计"</x:f>
        <x:v>#NAME?</x:v>
      </x:c>
      <x:c r="O33" s="13">
        <x:v>11</x:v>
      </x:c>
      <x:c r="P33" s="13" t="e">
        <x:f>IF(第1日!B46="","",IFERROR(VLOOKUP(第1日!B46,敌人目录!$A$6:$B$68,2,FALSE),""))</x:f>
        <x:v>#NAME?</x:v>
      </x:c>
      <x:c r="Q33" s="13" t="e">
        <x:f>IF(第1日!B46="","",第1日!C46)</x:f>
        <x:v>#NAME?</x:v>
      </x:c>
      <x:c r="R33" s="13">
        <x:v>-1</x:v>
      </x:c>
      <x:c r="S33" s="13" t="e">
        <x:f>IF(第1日!B46="","",第1日!I46)</x:f>
        <x:v>#NAME?</x:v>
      </x:c>
    </x:row>
    <x:row r="34" ht="16.5">
      <x:c r="A34" s="13">
        <x:v>3</x:v>
      </x:c>
      <x:c r="B34" s="13" t="s">
        <x:v>528</x:v>
      </x:c>
      <x:c r="C34" s="13">
        <x:v>2</x:v>
      </x:c>
      <x:c r="D34" s="13">
        <x:v>1</x:v>
      </x:c>
      <x:c r="E34" s="13">
        <x:v>2</x:v>
      </x:c>
      <x:c r="F34" s="13" t="s">
        <x:v>51</x:v>
      </x:c>
      <x:c r="G34" s="13" t="e">
        <x:f>第1日!B32</x:f>
        <x:v>#NAME?</x:v>
      </x:c>
      <x:c r="H34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4" s="13" t="e">
        <x:f>第1日!E32</x:f>
        <x:v>#NAME?</x:v>
      </x:c>
      <x:c r="J34" s="13" t="e">
        <x:f>第1日!G32</x:f>
        <x:v>#NAME?</x:v>
      </x:c>
      <x:c r="K34" s="13" t="e">
        <x:f>第1日!I32</x:f>
        <x:v>#NAME?</x:v>
      </x:c>
      <x:c r="L34" s="13" t="s">
        <x:v>526</x:v>
      </x:c>
      <x:c r="M34" s="13" t="s">
        <x:v>527</x:v>
      </x:c>
      <x:c r="N34" s="13" t="e">
        <x:f>第1日!I33="待设计"</x:f>
        <x:v>#NAME?</x:v>
      </x:c>
      <x:c r="O34" s="13">
        <x:v>12</x:v>
      </x:c>
      <x:c r="P34" s="13" t="e">
        <x:f>IF(第1日!B47="","",IFERROR(VLOOKUP(第1日!B47,敌人目录!$A$6:$B$68,2,FALSE),""))</x:f>
        <x:v>#NAME?</x:v>
      </x:c>
      <x:c r="Q34" s="13" t="e">
        <x:f>IF(第1日!B47="","",第1日!C47)</x:f>
        <x:v>#NAME?</x:v>
      </x:c>
      <x:c r="R34" s="13">
        <x:v>-1</x:v>
      </x:c>
      <x:c r="S34" s="13" t="e">
        <x:f>IF(第1日!B47="","",第1日!I47)</x:f>
        <x:v>#NAME?</x:v>
      </x:c>
    </x:row>
    <x:row r="35" ht="16.5">
      <x:c r="A35" s="13">
        <x:v>3</x:v>
      </x:c>
      <x:c r="B35" s="13" t="s">
        <x:v>528</x:v>
      </x:c>
      <x:c r="C35" s="13">
        <x:v>2</x:v>
      </x:c>
      <x:c r="D35" s="13">
        <x:v>1</x:v>
      </x:c>
      <x:c r="E35" s="13">
        <x:v>2</x:v>
      </x:c>
      <x:c r="F35" s="13" t="s">
        <x:v>51</x:v>
      </x:c>
      <x:c r="G35" s="13" t="e">
        <x:f>第1日!B32</x:f>
        <x:v>#NAME?</x:v>
      </x:c>
      <x:c r="H35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5" s="13" t="e">
        <x:f>第1日!E32</x:f>
        <x:v>#NAME?</x:v>
      </x:c>
      <x:c r="J35" s="13" t="e">
        <x:f>第1日!G32</x:f>
        <x:v>#NAME?</x:v>
      </x:c>
      <x:c r="K35" s="13" t="e">
        <x:f>第1日!I32</x:f>
        <x:v>#NAME?</x:v>
      </x:c>
      <x:c r="L35" s="13" t="s">
        <x:v>526</x:v>
      </x:c>
      <x:c r="M35" s="13" t="s">
        <x:v>527</x:v>
      </x:c>
      <x:c r="N35" s="13" t="e">
        <x:f>第1日!I33="待设计"</x:f>
        <x:v>#NAME?</x:v>
      </x:c>
      <x:c r="O35" s="13">
        <x:v>13</x:v>
      </x:c>
      <x:c r="P35" s="13" t="e">
        <x:f>IF(第1日!B48="","",IFERROR(VLOOKUP(第1日!B48,敌人目录!$A$6:$B$68,2,FALSE),""))</x:f>
        <x:v>#NAME?</x:v>
      </x:c>
      <x:c r="Q35" s="13" t="e">
        <x:f>IF(第1日!B48="","",第1日!C48)</x:f>
        <x:v>#NAME?</x:v>
      </x:c>
      <x:c r="R35" s="13">
        <x:v>-1</x:v>
      </x:c>
      <x:c r="S35" s="13" t="e">
        <x:f>IF(第1日!B48="","",第1日!I48)</x:f>
        <x:v>#NAME?</x:v>
      </x:c>
    </x:row>
    <x:row r="36" ht="16.5">
      <x:c r="A36" s="13">
        <x:v>3</x:v>
      </x:c>
      <x:c r="B36" s="13" t="s">
        <x:v>528</x:v>
      </x:c>
      <x:c r="C36" s="13">
        <x:v>2</x:v>
      </x:c>
      <x:c r="D36" s="13">
        <x:v>1</x:v>
      </x:c>
      <x:c r="E36" s="13">
        <x:v>2</x:v>
      </x:c>
      <x:c r="F36" s="13" t="s">
        <x:v>51</x:v>
      </x:c>
      <x:c r="G36" s="13" t="e">
        <x:f>第1日!B32</x:f>
        <x:v>#NAME?</x:v>
      </x:c>
      <x:c r="H36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6" s="13" t="e">
        <x:f>第1日!E32</x:f>
        <x:v>#NAME?</x:v>
      </x:c>
      <x:c r="J36" s="13" t="e">
        <x:f>第1日!G32</x:f>
        <x:v>#NAME?</x:v>
      </x:c>
      <x:c r="K36" s="13" t="e">
        <x:f>第1日!I32</x:f>
        <x:v>#NAME?</x:v>
      </x:c>
      <x:c r="L36" s="13" t="s">
        <x:v>526</x:v>
      </x:c>
      <x:c r="M36" s="13" t="s">
        <x:v>527</x:v>
      </x:c>
      <x:c r="N36" s="13" t="e">
        <x:f>第1日!I33="待设计"</x:f>
        <x:v>#NAME?</x:v>
      </x:c>
      <x:c r="O36" s="13">
        <x:v>14</x:v>
      </x:c>
      <x:c r="P36" s="13" t="e">
        <x:f>IF(第1日!B49="","",IFERROR(VLOOKUP(第1日!B49,敌人目录!$A$6:$B$68,2,FALSE),""))</x:f>
        <x:v>#NAME?</x:v>
      </x:c>
      <x:c r="Q36" s="13" t="e">
        <x:f>IF(第1日!B49="","",第1日!C49)</x:f>
        <x:v>#NAME?</x:v>
      </x:c>
      <x:c r="R36" s="13">
        <x:v>-1</x:v>
      </x:c>
      <x:c r="S36" s="13" t="e">
        <x:f>IF(第1日!B49="","",第1日!I49)</x:f>
        <x:v>#NAME?</x:v>
      </x:c>
    </x:row>
    <x:row r="37" ht="16.5">
      <x:c r="A37" s="13">
        <x:v>3</x:v>
      </x:c>
      <x:c r="B37" s="13" t="s">
        <x:v>528</x:v>
      </x:c>
      <x:c r="C37" s="13">
        <x:v>2</x:v>
      </x:c>
      <x:c r="D37" s="13">
        <x:v>1</x:v>
      </x:c>
      <x:c r="E37" s="13">
        <x:v>2</x:v>
      </x:c>
      <x:c r="F37" s="13" t="s">
        <x:v>51</x:v>
      </x:c>
      <x:c r="G37" s="13" t="e">
        <x:f>第1日!B32</x:f>
        <x:v>#NAME?</x:v>
      </x:c>
      <x:c r="H37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7" s="13" t="e">
        <x:f>第1日!E32</x:f>
        <x:v>#NAME?</x:v>
      </x:c>
      <x:c r="J37" s="13" t="e">
        <x:f>第1日!G32</x:f>
        <x:v>#NAME?</x:v>
      </x:c>
      <x:c r="K37" s="13" t="e">
        <x:f>第1日!I32</x:f>
        <x:v>#NAME?</x:v>
      </x:c>
      <x:c r="L37" s="13" t="s">
        <x:v>526</x:v>
      </x:c>
      <x:c r="M37" s="13" t="s">
        <x:v>527</x:v>
      </x:c>
      <x:c r="N37" s="13" t="e">
        <x:f>第1日!I33="待设计"</x:f>
        <x:v>#NAME?</x:v>
      </x:c>
      <x:c r="O37" s="13">
        <x:v>15</x:v>
      </x:c>
      <x:c r="P37" s="13" t="e">
        <x:f>IF(第1日!B50="","",IFERROR(VLOOKUP(第1日!B50,敌人目录!$A$6:$B$68,2,FALSE),""))</x:f>
        <x:v>#NAME?</x:v>
      </x:c>
      <x:c r="Q37" s="13" t="e">
        <x:f>IF(第1日!B50="","",第1日!C50)</x:f>
        <x:v>#NAME?</x:v>
      </x:c>
      <x:c r="R37" s="13">
        <x:v>-1</x:v>
      </x:c>
      <x:c r="S37" s="13" t="e">
        <x:f>IF(第1日!B50="","",第1日!I50)</x:f>
        <x:v>#NAME?</x:v>
      </x:c>
    </x:row>
    <x:row r="38" ht="16.5">
      <x:c r="A38" s="13">
        <x:v>3</x:v>
      </x:c>
      <x:c r="B38" s="13" t="s">
        <x:v>528</x:v>
      </x:c>
      <x:c r="C38" s="13">
        <x:v>2</x:v>
      </x:c>
      <x:c r="D38" s="13">
        <x:v>1</x:v>
      </x:c>
      <x:c r="E38" s="13">
        <x:v>2</x:v>
      </x:c>
      <x:c r="F38" s="13" t="s">
        <x:v>51</x:v>
      </x:c>
      <x:c r="G38" s="13" t="e">
        <x:f>第1日!B32</x:f>
        <x:v>#NAME?</x:v>
      </x:c>
      <x:c r="H38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8" s="13" t="e">
        <x:f>第1日!E32</x:f>
        <x:v>#NAME?</x:v>
      </x:c>
      <x:c r="J38" s="13" t="e">
        <x:f>第1日!G32</x:f>
        <x:v>#NAME?</x:v>
      </x:c>
      <x:c r="K38" s="13" t="e">
        <x:f>第1日!I32</x:f>
        <x:v>#NAME?</x:v>
      </x:c>
      <x:c r="L38" s="13" t="s">
        <x:v>526</x:v>
      </x:c>
      <x:c r="M38" s="13" t="s">
        <x:v>527</x:v>
      </x:c>
      <x:c r="N38" s="13" t="e">
        <x:f>第1日!I33="待设计"</x:f>
        <x:v>#NAME?</x:v>
      </x:c>
      <x:c r="O38" s="13">
        <x:v>16</x:v>
      </x:c>
      <x:c r="P38" s="13" t="e">
        <x:f>IF(第1日!B51="","",IFERROR(VLOOKUP(第1日!B51,敌人目录!$A$6:$B$68,2,FALSE),""))</x:f>
        <x:v>#NAME?</x:v>
      </x:c>
      <x:c r="Q38" s="13" t="e">
        <x:f>IF(第1日!B51="","",第1日!C51)</x:f>
        <x:v>#NAME?</x:v>
      </x:c>
      <x:c r="R38" s="13">
        <x:v>-1</x:v>
      </x:c>
      <x:c r="S38" s="13" t="e">
        <x:f>IF(第1日!B51="","",第1日!I51)</x:f>
        <x:v>#NAME?</x:v>
      </x:c>
    </x:row>
    <x:row r="39" ht="16.5">
      <x:c r="A39" s="13">
        <x:v>3</x:v>
      </x:c>
      <x:c r="B39" s="13" t="s">
        <x:v>528</x:v>
      </x:c>
      <x:c r="C39" s="13">
        <x:v>2</x:v>
      </x:c>
      <x:c r="D39" s="13">
        <x:v>1</x:v>
      </x:c>
      <x:c r="E39" s="13">
        <x:v>2</x:v>
      </x:c>
      <x:c r="F39" s="13" t="s">
        <x:v>51</x:v>
      </x:c>
      <x:c r="G39" s="13" t="e">
        <x:f>第1日!B32</x:f>
        <x:v>#NAME?</x:v>
      </x:c>
      <x:c r="H39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9" s="13" t="e">
        <x:f>第1日!E32</x:f>
        <x:v>#NAME?</x:v>
      </x:c>
      <x:c r="J39" s="13" t="e">
        <x:f>第1日!G32</x:f>
        <x:v>#NAME?</x:v>
      </x:c>
      <x:c r="K39" s="13" t="e">
        <x:f>第1日!I32</x:f>
        <x:v>#NAME?</x:v>
      </x:c>
      <x:c r="L39" s="13" t="s">
        <x:v>526</x:v>
      </x:c>
      <x:c r="M39" s="13" t="s">
        <x:v>527</x:v>
      </x:c>
      <x:c r="N39" s="13" t="e">
        <x:f>第1日!I33="待设计"</x:f>
        <x:v>#NAME?</x:v>
      </x:c>
      <x:c r="O39" s="13">
        <x:v>17</x:v>
      </x:c>
      <x:c r="P39" s="13" t="e">
        <x:f>IF(第1日!B52="","",IFERROR(VLOOKUP(第1日!B52,敌人目录!$A$6:$B$68,2,FALSE),""))</x:f>
        <x:v>#NAME?</x:v>
      </x:c>
      <x:c r="Q39" s="13" t="e">
        <x:f>IF(第1日!B52="","",第1日!C52)</x:f>
        <x:v>#NAME?</x:v>
      </x:c>
      <x:c r="R39" s="13">
        <x:v>-1</x:v>
      </x:c>
      <x:c r="S39" s="13" t="e">
        <x:f>IF(第1日!B52="","",第1日!I52)</x:f>
        <x:v>#NAME?</x:v>
      </x:c>
    </x:row>
    <x:row r="40" ht="16.5">
      <x:c r="A40" s="13">
        <x:v>3</x:v>
      </x:c>
      <x:c r="B40" s="13" t="s">
        <x:v>528</x:v>
      </x:c>
      <x:c r="C40" s="13">
        <x:v>2</x:v>
      </x:c>
      <x:c r="D40" s="13">
        <x:v>1</x:v>
      </x:c>
      <x:c r="E40" s="13">
        <x:v>2</x:v>
      </x:c>
      <x:c r="F40" s="13" t="s">
        <x:v>51</x:v>
      </x:c>
      <x:c r="G40" s="13" t="e">
        <x:f>第1日!B32</x:f>
        <x:v>#NAME?</x:v>
      </x:c>
      <x:c r="H40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40" s="13" t="e">
        <x:f>第1日!E32</x:f>
        <x:v>#NAME?</x:v>
      </x:c>
      <x:c r="J40" s="13" t="e">
        <x:f>第1日!G32</x:f>
        <x:v>#NAME?</x:v>
      </x:c>
      <x:c r="K40" s="13" t="e">
        <x:f>第1日!I32</x:f>
        <x:v>#NAME?</x:v>
      </x:c>
      <x:c r="L40" s="13" t="s">
        <x:v>526</x:v>
      </x:c>
      <x:c r="M40" s="13" t="s">
        <x:v>527</x:v>
      </x:c>
      <x:c r="N40" s="13" t="e">
        <x:f>第1日!I33="待设计"</x:f>
        <x:v>#NAME?</x:v>
      </x:c>
      <x:c r="O40" s="13">
        <x:v>18</x:v>
      </x:c>
      <x:c r="P40" s="13" t="e">
        <x:f>IF(第1日!B53="","",IFERROR(VLOOKUP(第1日!B53,敌人目录!$A$6:$B$68,2,FALSE),""))</x:f>
        <x:v>#NAME?</x:v>
      </x:c>
      <x:c r="Q40" s="13" t="e">
        <x:f>IF(第1日!B53="","",第1日!C53)</x:f>
        <x:v>#NAME?</x:v>
      </x:c>
      <x:c r="R40" s="13">
        <x:v>-1</x:v>
      </x:c>
      <x:c r="S40" s="13" t="e">
        <x:f>IF(第1日!B53="","",第1日!I53)</x:f>
        <x:v>#NAME?</x:v>
      </x:c>
    </x:row>
    <x:row r="41" ht="16.5">
      <x:c r="A41" s="13">
        <x:v>3</x:v>
      </x:c>
      <x:c r="B41" s="13" t="s">
        <x:v>529</x:v>
      </x:c>
      <x:c r="C41" s="13">
        <x:v>3</x:v>
      </x:c>
      <x:c r="D41" s="13">
        <x:v>1</x:v>
      </x:c>
      <x:c r="E41" s="13">
        <x:v>3</x:v>
      </x:c>
      <x:c r="F41" s="13" t="s">
        <x:v>54</x:v>
      </x:c>
      <x:c r="G41" s="13" t="e">
        <x:f>第1日!B61</x:f>
        <x:v>#NAME?</x:v>
      </x:c>
      <x:c r="H41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1" s="13" t="e">
        <x:f>第1日!E61</x:f>
        <x:v>#NAME?</x:v>
      </x:c>
      <x:c r="J41" s="13" t="e">
        <x:f>第1日!G61</x:f>
        <x:v>#NAME?</x:v>
      </x:c>
      <x:c r="K41" s="13" t="e">
        <x:f>第1日!I61</x:f>
        <x:v>#NAME?</x:v>
      </x:c>
      <x:c r="L41" s="13" t="s">
        <x:v>526</x:v>
      </x:c>
      <x:c r="M41" s="13" t="s">
        <x:v>527</x:v>
      </x:c>
      <x:c r="N41" s="13" t="e">
        <x:f>第1日!I62="待设计"</x:f>
        <x:v>#NAME?</x:v>
      </x:c>
      <x:c r="O41" s="13">
        <x:v>1</x:v>
      </x:c>
      <x:c r="P41" s="13" t="e">
        <x:f>IF(第1日!B65="","",IFERROR(VLOOKUP(第1日!B65,敌人目录!$A$6:$B$68,2,FALSE),""))</x:f>
        <x:v>#NAME?</x:v>
      </x:c>
      <x:c r="Q41" s="13" t="e">
        <x:f>IF(第1日!B65="","",第1日!C65)</x:f>
        <x:v>#NAME?</x:v>
      </x:c>
      <x:c r="R41" s="13">
        <x:v>-1</x:v>
      </x:c>
      <x:c r="S41" s="13" t="e">
        <x:f>IF(第1日!B65="","",第1日!I65)</x:f>
        <x:v>#NAME?</x:v>
      </x:c>
    </x:row>
    <x:row r="42" ht="16.5">
      <x:c r="A42" s="13">
        <x:v>3</x:v>
      </x:c>
      <x:c r="B42" s="13" t="s">
        <x:v>529</x:v>
      </x:c>
      <x:c r="C42" s="13">
        <x:v>3</x:v>
      </x:c>
      <x:c r="D42" s="13">
        <x:v>1</x:v>
      </x:c>
      <x:c r="E42" s="13">
        <x:v>3</x:v>
      </x:c>
      <x:c r="F42" s="13" t="s">
        <x:v>54</x:v>
      </x:c>
      <x:c r="G42" s="13" t="e">
        <x:f>第1日!B61</x:f>
        <x:v>#NAME?</x:v>
      </x:c>
      <x:c r="H42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2" s="13" t="e">
        <x:f>第1日!E61</x:f>
        <x:v>#NAME?</x:v>
      </x:c>
      <x:c r="J42" s="13" t="e">
        <x:f>第1日!G61</x:f>
        <x:v>#NAME?</x:v>
      </x:c>
      <x:c r="K42" s="13" t="e">
        <x:f>第1日!I61</x:f>
        <x:v>#NAME?</x:v>
      </x:c>
      <x:c r="L42" s="13" t="s">
        <x:v>526</x:v>
      </x:c>
      <x:c r="M42" s="13" t="s">
        <x:v>527</x:v>
      </x:c>
      <x:c r="N42" s="13" t="e">
        <x:f>第1日!I62="待设计"</x:f>
        <x:v>#NAME?</x:v>
      </x:c>
      <x:c r="O42" s="13">
        <x:v>2</x:v>
      </x:c>
      <x:c r="P42" s="13" t="e">
        <x:f>IF(第1日!B66="","",IFERROR(VLOOKUP(第1日!B66,敌人目录!$A$6:$B$68,2,FALSE),""))</x:f>
        <x:v>#NAME?</x:v>
      </x:c>
      <x:c r="Q42" s="13" t="e">
        <x:f>IF(第1日!B66="","",第1日!C66)</x:f>
        <x:v>#NAME?</x:v>
      </x:c>
      <x:c r="R42" s="13">
        <x:v>-1</x:v>
      </x:c>
      <x:c r="S42" s="13" t="e">
        <x:f>IF(第1日!B66="","",第1日!I66)</x:f>
        <x:v>#NAME?</x:v>
      </x:c>
    </x:row>
    <x:row r="43" ht="16.5">
      <x:c r="A43" s="13">
        <x:v>3</x:v>
      </x:c>
      <x:c r="B43" s="13" t="s">
        <x:v>529</x:v>
      </x:c>
      <x:c r="C43" s="13">
        <x:v>3</x:v>
      </x:c>
      <x:c r="D43" s="13">
        <x:v>1</x:v>
      </x:c>
      <x:c r="E43" s="13">
        <x:v>3</x:v>
      </x:c>
      <x:c r="F43" s="13" t="s">
        <x:v>54</x:v>
      </x:c>
      <x:c r="G43" s="13" t="e">
        <x:f>第1日!B61</x:f>
        <x:v>#NAME?</x:v>
      </x:c>
      <x:c r="H43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3" s="13" t="e">
        <x:f>第1日!E61</x:f>
        <x:v>#NAME?</x:v>
      </x:c>
      <x:c r="J43" s="13" t="e">
        <x:f>第1日!G61</x:f>
        <x:v>#NAME?</x:v>
      </x:c>
      <x:c r="K43" s="13" t="e">
        <x:f>第1日!I61</x:f>
        <x:v>#NAME?</x:v>
      </x:c>
      <x:c r="L43" s="13" t="s">
        <x:v>526</x:v>
      </x:c>
      <x:c r="M43" s="13" t="s">
        <x:v>527</x:v>
      </x:c>
      <x:c r="N43" s="13" t="e">
        <x:f>第1日!I62="待设计"</x:f>
        <x:v>#NAME?</x:v>
      </x:c>
      <x:c r="O43" s="13">
        <x:v>3</x:v>
      </x:c>
      <x:c r="P43" s="13" t="e">
        <x:f>IF(第1日!B67="","",IFERROR(VLOOKUP(第1日!B67,敌人目录!$A$6:$B$68,2,FALSE),""))</x:f>
        <x:v>#NAME?</x:v>
      </x:c>
      <x:c r="Q43" s="13" t="e">
        <x:f>IF(第1日!B67="","",第1日!C67)</x:f>
        <x:v>#NAME?</x:v>
      </x:c>
      <x:c r="R43" s="13">
        <x:v>-1</x:v>
      </x:c>
      <x:c r="S43" s="13" t="e">
        <x:f>IF(第1日!B67="","",第1日!I67)</x:f>
        <x:v>#NAME?</x:v>
      </x:c>
    </x:row>
    <x:row r="44" ht="16.5">
      <x:c r="A44" s="13">
        <x:v>3</x:v>
      </x:c>
      <x:c r="B44" s="13" t="s">
        <x:v>529</x:v>
      </x:c>
      <x:c r="C44" s="13">
        <x:v>3</x:v>
      </x:c>
      <x:c r="D44" s="13">
        <x:v>1</x:v>
      </x:c>
      <x:c r="E44" s="13">
        <x:v>3</x:v>
      </x:c>
      <x:c r="F44" s="13" t="s">
        <x:v>54</x:v>
      </x:c>
      <x:c r="G44" s="13" t="e">
        <x:f>第1日!B61</x:f>
        <x:v>#NAME?</x:v>
      </x:c>
      <x:c r="H44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4" s="13" t="e">
        <x:f>第1日!E61</x:f>
        <x:v>#NAME?</x:v>
      </x:c>
      <x:c r="J44" s="13" t="e">
        <x:f>第1日!G61</x:f>
        <x:v>#NAME?</x:v>
      </x:c>
      <x:c r="K44" s="13" t="e">
        <x:f>第1日!I61</x:f>
        <x:v>#NAME?</x:v>
      </x:c>
      <x:c r="L44" s="13" t="s">
        <x:v>526</x:v>
      </x:c>
      <x:c r="M44" s="13" t="s">
        <x:v>527</x:v>
      </x:c>
      <x:c r="N44" s="13" t="e">
        <x:f>第1日!I62="待设计"</x:f>
        <x:v>#NAME?</x:v>
      </x:c>
      <x:c r="O44" s="13">
        <x:v>4</x:v>
      </x:c>
      <x:c r="P44" s="13" t="e">
        <x:f>IF(第1日!B68="","",IFERROR(VLOOKUP(第1日!B68,敌人目录!$A$6:$B$68,2,FALSE),""))</x:f>
        <x:v>#NAME?</x:v>
      </x:c>
      <x:c r="Q44" s="13" t="e">
        <x:f>IF(第1日!B68="","",第1日!C68)</x:f>
        <x:v>#NAME?</x:v>
      </x:c>
      <x:c r="R44" s="13">
        <x:v>-1</x:v>
      </x:c>
      <x:c r="S44" s="13" t="e">
        <x:f>IF(第1日!B68="","",第1日!I68)</x:f>
        <x:v>#NAME?</x:v>
      </x:c>
    </x:row>
    <x:row r="45" ht="16.5">
      <x:c r="A45" s="13">
        <x:v>3</x:v>
      </x:c>
      <x:c r="B45" s="13" t="s">
        <x:v>529</x:v>
      </x:c>
      <x:c r="C45" s="13">
        <x:v>3</x:v>
      </x:c>
      <x:c r="D45" s="13">
        <x:v>1</x:v>
      </x:c>
      <x:c r="E45" s="13">
        <x:v>3</x:v>
      </x:c>
      <x:c r="F45" s="13" t="s">
        <x:v>54</x:v>
      </x:c>
      <x:c r="G45" s="13" t="e">
        <x:f>第1日!B61</x:f>
        <x:v>#NAME?</x:v>
      </x:c>
      <x:c r="H45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5" s="13" t="e">
        <x:f>第1日!E61</x:f>
        <x:v>#NAME?</x:v>
      </x:c>
      <x:c r="J45" s="13" t="e">
        <x:f>第1日!G61</x:f>
        <x:v>#NAME?</x:v>
      </x:c>
      <x:c r="K45" s="13" t="e">
        <x:f>第1日!I61</x:f>
        <x:v>#NAME?</x:v>
      </x:c>
      <x:c r="L45" s="13" t="s">
        <x:v>526</x:v>
      </x:c>
      <x:c r="M45" s="13" t="s">
        <x:v>527</x:v>
      </x:c>
      <x:c r="N45" s="13" t="e">
        <x:f>第1日!I62="待设计"</x:f>
        <x:v>#NAME?</x:v>
      </x:c>
      <x:c r="O45" s="13">
        <x:v>5</x:v>
      </x:c>
      <x:c r="P45" s="13" t="e">
        <x:f>IF(第1日!B69="","",IFERROR(VLOOKUP(第1日!B69,敌人目录!$A$6:$B$68,2,FALSE),""))</x:f>
        <x:v>#NAME?</x:v>
      </x:c>
      <x:c r="Q45" s="13" t="e">
        <x:f>IF(第1日!B69="","",第1日!C69)</x:f>
        <x:v>#NAME?</x:v>
      </x:c>
      <x:c r="R45" s="13">
        <x:v>-1</x:v>
      </x:c>
      <x:c r="S45" s="13" t="e">
        <x:f>IF(第1日!B69="","",第1日!I69)</x:f>
        <x:v>#NAME?</x:v>
      </x:c>
    </x:row>
    <x:row r="46" ht="16.5">
      <x:c r="A46" s="13">
        <x:v>3</x:v>
      </x:c>
      <x:c r="B46" s="13" t="s">
        <x:v>529</x:v>
      </x:c>
      <x:c r="C46" s="13">
        <x:v>3</x:v>
      </x:c>
      <x:c r="D46" s="13">
        <x:v>1</x:v>
      </x:c>
      <x:c r="E46" s="13">
        <x:v>3</x:v>
      </x:c>
      <x:c r="F46" s="13" t="s">
        <x:v>54</x:v>
      </x:c>
      <x:c r="G46" s="13" t="e">
        <x:f>第1日!B61</x:f>
        <x:v>#NAME?</x:v>
      </x:c>
      <x:c r="H46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6" s="13" t="e">
        <x:f>第1日!E61</x:f>
        <x:v>#NAME?</x:v>
      </x:c>
      <x:c r="J46" s="13" t="e">
        <x:f>第1日!G61</x:f>
        <x:v>#NAME?</x:v>
      </x:c>
      <x:c r="K46" s="13" t="e">
        <x:f>第1日!I61</x:f>
        <x:v>#NAME?</x:v>
      </x:c>
      <x:c r="L46" s="13" t="s">
        <x:v>526</x:v>
      </x:c>
      <x:c r="M46" s="13" t="s">
        <x:v>527</x:v>
      </x:c>
      <x:c r="N46" s="13" t="e">
        <x:f>第1日!I62="待设计"</x:f>
        <x:v>#NAME?</x:v>
      </x:c>
      <x:c r="O46" s="13">
        <x:v>6</x:v>
      </x:c>
      <x:c r="P46" s="13" t="e">
        <x:f>IF(第1日!B70="","",IFERROR(VLOOKUP(第1日!B70,敌人目录!$A$6:$B$68,2,FALSE),""))</x:f>
        <x:v>#NAME?</x:v>
      </x:c>
      <x:c r="Q46" s="13" t="e">
        <x:f>IF(第1日!B70="","",第1日!C70)</x:f>
        <x:v>#NAME?</x:v>
      </x:c>
      <x:c r="R46" s="13">
        <x:v>-1</x:v>
      </x:c>
      <x:c r="S46" s="13" t="e">
        <x:f>IF(第1日!B70="","",第1日!I70)</x:f>
        <x:v>#NAME?</x:v>
      </x:c>
    </x:row>
    <x:row r="47" ht="16.5">
      <x:c r="A47" s="13">
        <x:v>3</x:v>
      </x:c>
      <x:c r="B47" s="13" t="s">
        <x:v>529</x:v>
      </x:c>
      <x:c r="C47" s="13">
        <x:v>3</x:v>
      </x:c>
      <x:c r="D47" s="13">
        <x:v>1</x:v>
      </x:c>
      <x:c r="E47" s="13">
        <x:v>3</x:v>
      </x:c>
      <x:c r="F47" s="13" t="s">
        <x:v>54</x:v>
      </x:c>
      <x:c r="G47" s="13" t="e">
        <x:f>第1日!B61</x:f>
        <x:v>#NAME?</x:v>
      </x:c>
      <x:c r="H47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7" s="13" t="e">
        <x:f>第1日!E61</x:f>
        <x:v>#NAME?</x:v>
      </x:c>
      <x:c r="J47" s="13" t="e">
        <x:f>第1日!G61</x:f>
        <x:v>#NAME?</x:v>
      </x:c>
      <x:c r="K47" s="13" t="e">
        <x:f>第1日!I61</x:f>
        <x:v>#NAME?</x:v>
      </x:c>
      <x:c r="L47" s="13" t="s">
        <x:v>526</x:v>
      </x:c>
      <x:c r="M47" s="13" t="s">
        <x:v>527</x:v>
      </x:c>
      <x:c r="N47" s="13" t="e">
        <x:f>第1日!I62="待设计"</x:f>
        <x:v>#NAME?</x:v>
      </x:c>
      <x:c r="O47" s="13">
        <x:v>7</x:v>
      </x:c>
      <x:c r="P47" s="13" t="e">
        <x:f>IF(第1日!B71="","",IFERROR(VLOOKUP(第1日!B71,敌人目录!$A$6:$B$68,2,FALSE),""))</x:f>
        <x:v>#NAME?</x:v>
      </x:c>
      <x:c r="Q47" s="13" t="e">
        <x:f>IF(第1日!B71="","",第1日!C71)</x:f>
        <x:v>#NAME?</x:v>
      </x:c>
      <x:c r="R47" s="13">
        <x:v>-1</x:v>
      </x:c>
      <x:c r="S47" s="13" t="e">
        <x:f>IF(第1日!B71="","",第1日!I71)</x:f>
        <x:v>#NAME?</x:v>
      </x:c>
    </x:row>
    <x:row r="48" ht="16.5">
      <x:c r="A48" s="13">
        <x:v>3</x:v>
      </x:c>
      <x:c r="B48" s="13" t="s">
        <x:v>529</x:v>
      </x:c>
      <x:c r="C48" s="13">
        <x:v>3</x:v>
      </x:c>
      <x:c r="D48" s="13">
        <x:v>1</x:v>
      </x:c>
      <x:c r="E48" s="13">
        <x:v>3</x:v>
      </x:c>
      <x:c r="F48" s="13" t="s">
        <x:v>54</x:v>
      </x:c>
      <x:c r="G48" s="13" t="e">
        <x:f>第1日!B61</x:f>
        <x:v>#NAME?</x:v>
      </x:c>
      <x:c r="H48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8" s="13" t="e">
        <x:f>第1日!E61</x:f>
        <x:v>#NAME?</x:v>
      </x:c>
      <x:c r="J48" s="13" t="e">
        <x:f>第1日!G61</x:f>
        <x:v>#NAME?</x:v>
      </x:c>
      <x:c r="K48" s="13" t="e">
        <x:f>第1日!I61</x:f>
        <x:v>#NAME?</x:v>
      </x:c>
      <x:c r="L48" s="13" t="s">
        <x:v>526</x:v>
      </x:c>
      <x:c r="M48" s="13" t="s">
        <x:v>527</x:v>
      </x:c>
      <x:c r="N48" s="13" t="e">
        <x:f>第1日!I62="待设计"</x:f>
        <x:v>#NAME?</x:v>
      </x:c>
      <x:c r="O48" s="13">
        <x:v>8</x:v>
      </x:c>
      <x:c r="P48" s="13" t="e">
        <x:f>IF(第1日!B72="","",IFERROR(VLOOKUP(第1日!B72,敌人目录!$A$6:$B$68,2,FALSE),""))</x:f>
        <x:v>#NAME?</x:v>
      </x:c>
      <x:c r="Q48" s="13" t="e">
        <x:f>IF(第1日!B72="","",第1日!C72)</x:f>
        <x:v>#NAME?</x:v>
      </x:c>
      <x:c r="R48" s="13">
        <x:v>-1</x:v>
      </x:c>
      <x:c r="S48" s="13" t="e">
        <x:f>IF(第1日!B72="","",第1日!I72)</x:f>
        <x:v>#NAME?</x:v>
      </x:c>
    </x:row>
    <x:row r="49" ht="16.5">
      <x:c r="A49" s="13">
        <x:v>3</x:v>
      </x:c>
      <x:c r="B49" s="13" t="s">
        <x:v>529</x:v>
      </x:c>
      <x:c r="C49" s="13">
        <x:v>3</x:v>
      </x:c>
      <x:c r="D49" s="13">
        <x:v>1</x:v>
      </x:c>
      <x:c r="E49" s="13">
        <x:v>3</x:v>
      </x:c>
      <x:c r="F49" s="13" t="s">
        <x:v>54</x:v>
      </x:c>
      <x:c r="G49" s="13" t="e">
        <x:f>第1日!B61</x:f>
        <x:v>#NAME?</x:v>
      </x:c>
      <x:c r="H49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9" s="13" t="e">
        <x:f>第1日!E61</x:f>
        <x:v>#NAME?</x:v>
      </x:c>
      <x:c r="J49" s="13" t="e">
        <x:f>第1日!G61</x:f>
        <x:v>#NAME?</x:v>
      </x:c>
      <x:c r="K49" s="13" t="e">
        <x:f>第1日!I61</x:f>
        <x:v>#NAME?</x:v>
      </x:c>
      <x:c r="L49" s="13" t="s">
        <x:v>526</x:v>
      </x:c>
      <x:c r="M49" s="13" t="s">
        <x:v>527</x:v>
      </x:c>
      <x:c r="N49" s="13" t="e">
        <x:f>第1日!I62="待设计"</x:f>
        <x:v>#NAME?</x:v>
      </x:c>
      <x:c r="O49" s="13">
        <x:v>9</x:v>
      </x:c>
      <x:c r="P49" s="13" t="e">
        <x:f>IF(第1日!B73="","",IFERROR(VLOOKUP(第1日!B73,敌人目录!$A$6:$B$68,2,FALSE),""))</x:f>
        <x:v>#NAME?</x:v>
      </x:c>
      <x:c r="Q49" s="13" t="e">
        <x:f>IF(第1日!B73="","",第1日!C73)</x:f>
        <x:v>#NAME?</x:v>
      </x:c>
      <x:c r="R49" s="13">
        <x:v>-1</x:v>
      </x:c>
      <x:c r="S49" s="13" t="e">
        <x:f>IF(第1日!B73="","",第1日!I73)</x:f>
        <x:v>#NAME?</x:v>
      </x:c>
    </x:row>
    <x:row r="50" ht="16.5">
      <x:c r="A50" s="13">
        <x:v>3</x:v>
      </x:c>
      <x:c r="B50" s="13" t="s">
        <x:v>529</x:v>
      </x:c>
      <x:c r="C50" s="13">
        <x:v>3</x:v>
      </x:c>
      <x:c r="D50" s="13">
        <x:v>1</x:v>
      </x:c>
      <x:c r="E50" s="13">
        <x:v>3</x:v>
      </x:c>
      <x:c r="F50" s="13" t="s">
        <x:v>54</x:v>
      </x:c>
      <x:c r="G50" s="13" t="e">
        <x:f>第1日!B61</x:f>
        <x:v>#NAME?</x:v>
      </x:c>
      <x:c r="H50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0" s="13" t="e">
        <x:f>第1日!E61</x:f>
        <x:v>#NAME?</x:v>
      </x:c>
      <x:c r="J50" s="13" t="e">
        <x:f>第1日!G61</x:f>
        <x:v>#NAME?</x:v>
      </x:c>
      <x:c r="K50" s="13" t="e">
        <x:f>第1日!I61</x:f>
        <x:v>#NAME?</x:v>
      </x:c>
      <x:c r="L50" s="13" t="s">
        <x:v>526</x:v>
      </x:c>
      <x:c r="M50" s="13" t="s">
        <x:v>527</x:v>
      </x:c>
      <x:c r="N50" s="13" t="e">
        <x:f>第1日!I62="待设计"</x:f>
        <x:v>#NAME?</x:v>
      </x:c>
      <x:c r="O50" s="13">
        <x:v>10</x:v>
      </x:c>
      <x:c r="P50" s="13" t="e">
        <x:f>IF(第1日!B74="","",IFERROR(VLOOKUP(第1日!B74,敌人目录!$A$6:$B$68,2,FALSE),""))</x:f>
        <x:v>#NAME?</x:v>
      </x:c>
      <x:c r="Q50" s="13" t="e">
        <x:f>IF(第1日!B74="","",第1日!C74)</x:f>
        <x:v>#NAME?</x:v>
      </x:c>
      <x:c r="R50" s="13">
        <x:v>-1</x:v>
      </x:c>
      <x:c r="S50" s="13" t="e">
        <x:f>IF(第1日!B74="","",第1日!I74)</x:f>
        <x:v>#NAME?</x:v>
      </x:c>
    </x:row>
    <x:row r="51" ht="16.5">
      <x:c r="A51" s="13">
        <x:v>3</x:v>
      </x:c>
      <x:c r="B51" s="13" t="s">
        <x:v>529</x:v>
      </x:c>
      <x:c r="C51" s="13">
        <x:v>3</x:v>
      </x:c>
      <x:c r="D51" s="13">
        <x:v>1</x:v>
      </x:c>
      <x:c r="E51" s="13">
        <x:v>3</x:v>
      </x:c>
      <x:c r="F51" s="13" t="s">
        <x:v>54</x:v>
      </x:c>
      <x:c r="G51" s="13" t="e">
        <x:f>第1日!B61</x:f>
        <x:v>#NAME?</x:v>
      </x:c>
      <x:c r="H51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1" s="13" t="e">
        <x:f>第1日!E61</x:f>
        <x:v>#NAME?</x:v>
      </x:c>
      <x:c r="J51" s="13" t="e">
        <x:f>第1日!G61</x:f>
        <x:v>#NAME?</x:v>
      </x:c>
      <x:c r="K51" s="13" t="e">
        <x:f>第1日!I61</x:f>
        <x:v>#NAME?</x:v>
      </x:c>
      <x:c r="L51" s="13" t="s">
        <x:v>526</x:v>
      </x:c>
      <x:c r="M51" s="13" t="s">
        <x:v>527</x:v>
      </x:c>
      <x:c r="N51" s="13" t="e">
        <x:f>第1日!I62="待设计"</x:f>
        <x:v>#NAME?</x:v>
      </x:c>
      <x:c r="O51" s="13">
        <x:v>11</x:v>
      </x:c>
      <x:c r="P51" s="13" t="e">
        <x:f>IF(第1日!B75="","",IFERROR(VLOOKUP(第1日!B75,敌人目录!$A$6:$B$68,2,FALSE),""))</x:f>
        <x:v>#NAME?</x:v>
      </x:c>
      <x:c r="Q51" s="13" t="e">
        <x:f>IF(第1日!B75="","",第1日!C75)</x:f>
        <x:v>#NAME?</x:v>
      </x:c>
      <x:c r="R51" s="13">
        <x:v>-1</x:v>
      </x:c>
      <x:c r="S51" s="13" t="e">
        <x:f>IF(第1日!B75="","",第1日!I75)</x:f>
        <x:v>#NAME?</x:v>
      </x:c>
    </x:row>
    <x:row r="52" ht="16.5">
      <x:c r="A52" s="13">
        <x:v>3</x:v>
      </x:c>
      <x:c r="B52" s="13" t="s">
        <x:v>529</x:v>
      </x:c>
      <x:c r="C52" s="13">
        <x:v>3</x:v>
      </x:c>
      <x:c r="D52" s="13">
        <x:v>1</x:v>
      </x:c>
      <x:c r="E52" s="13">
        <x:v>3</x:v>
      </x:c>
      <x:c r="F52" s="13" t="s">
        <x:v>54</x:v>
      </x:c>
      <x:c r="G52" s="13" t="e">
        <x:f>第1日!B61</x:f>
        <x:v>#NAME?</x:v>
      </x:c>
      <x:c r="H52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2" s="13" t="e">
        <x:f>第1日!E61</x:f>
        <x:v>#NAME?</x:v>
      </x:c>
      <x:c r="J52" s="13" t="e">
        <x:f>第1日!G61</x:f>
        <x:v>#NAME?</x:v>
      </x:c>
      <x:c r="K52" s="13" t="e">
        <x:f>第1日!I61</x:f>
        <x:v>#NAME?</x:v>
      </x:c>
      <x:c r="L52" s="13" t="s">
        <x:v>526</x:v>
      </x:c>
      <x:c r="M52" s="13" t="s">
        <x:v>527</x:v>
      </x:c>
      <x:c r="N52" s="13" t="e">
        <x:f>第1日!I62="待设计"</x:f>
        <x:v>#NAME?</x:v>
      </x:c>
      <x:c r="O52" s="13">
        <x:v>12</x:v>
      </x:c>
      <x:c r="P52" s="13" t="e">
        <x:f>IF(第1日!B76="","",IFERROR(VLOOKUP(第1日!B76,敌人目录!$A$6:$B$68,2,FALSE),""))</x:f>
        <x:v>#NAME?</x:v>
      </x:c>
      <x:c r="Q52" s="13" t="e">
        <x:f>IF(第1日!B76="","",第1日!C76)</x:f>
        <x:v>#NAME?</x:v>
      </x:c>
      <x:c r="R52" s="13">
        <x:v>-1</x:v>
      </x:c>
      <x:c r="S52" s="13" t="e">
        <x:f>IF(第1日!B76="","",第1日!I76)</x:f>
        <x:v>#NAME?</x:v>
      </x:c>
    </x:row>
    <x:row r="53" ht="16.5">
      <x:c r="A53" s="13">
        <x:v>3</x:v>
      </x:c>
      <x:c r="B53" s="13" t="s">
        <x:v>529</x:v>
      </x:c>
      <x:c r="C53" s="13">
        <x:v>3</x:v>
      </x:c>
      <x:c r="D53" s="13">
        <x:v>1</x:v>
      </x:c>
      <x:c r="E53" s="13">
        <x:v>3</x:v>
      </x:c>
      <x:c r="F53" s="13" t="s">
        <x:v>54</x:v>
      </x:c>
      <x:c r="G53" s="13" t="e">
        <x:f>第1日!B61</x:f>
        <x:v>#NAME?</x:v>
      </x:c>
      <x:c r="H53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3" s="13" t="e">
        <x:f>第1日!E61</x:f>
        <x:v>#NAME?</x:v>
      </x:c>
      <x:c r="J53" s="13" t="e">
        <x:f>第1日!G61</x:f>
        <x:v>#NAME?</x:v>
      </x:c>
      <x:c r="K53" s="13" t="e">
        <x:f>第1日!I61</x:f>
        <x:v>#NAME?</x:v>
      </x:c>
      <x:c r="L53" s="13" t="s">
        <x:v>526</x:v>
      </x:c>
      <x:c r="M53" s="13" t="s">
        <x:v>527</x:v>
      </x:c>
      <x:c r="N53" s="13" t="e">
        <x:f>第1日!I62="待设计"</x:f>
        <x:v>#NAME?</x:v>
      </x:c>
      <x:c r="O53" s="13">
        <x:v>13</x:v>
      </x:c>
      <x:c r="P53" s="13" t="e">
        <x:f>IF(第1日!B77="","",IFERROR(VLOOKUP(第1日!B77,敌人目录!$A$6:$B$68,2,FALSE),""))</x:f>
        <x:v>#NAME?</x:v>
      </x:c>
      <x:c r="Q53" s="13" t="e">
        <x:f>IF(第1日!B77="","",第1日!C77)</x:f>
        <x:v>#NAME?</x:v>
      </x:c>
      <x:c r="R53" s="13">
        <x:v>-1</x:v>
      </x:c>
      <x:c r="S53" s="13" t="e">
        <x:f>IF(第1日!B77="","",第1日!I77)</x:f>
        <x:v>#NAME?</x:v>
      </x:c>
    </x:row>
    <x:row r="54" ht="16.5">
      <x:c r="A54" s="13">
        <x:v>3</x:v>
      </x:c>
      <x:c r="B54" s="13" t="s">
        <x:v>529</x:v>
      </x:c>
      <x:c r="C54" s="13">
        <x:v>3</x:v>
      </x:c>
      <x:c r="D54" s="13">
        <x:v>1</x:v>
      </x:c>
      <x:c r="E54" s="13">
        <x:v>3</x:v>
      </x:c>
      <x:c r="F54" s="13" t="s">
        <x:v>54</x:v>
      </x:c>
      <x:c r="G54" s="13" t="e">
        <x:f>第1日!B61</x:f>
        <x:v>#NAME?</x:v>
      </x:c>
      <x:c r="H54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4" s="13" t="e">
        <x:f>第1日!E61</x:f>
        <x:v>#NAME?</x:v>
      </x:c>
      <x:c r="J54" s="13" t="e">
        <x:f>第1日!G61</x:f>
        <x:v>#NAME?</x:v>
      </x:c>
      <x:c r="K54" s="13" t="e">
        <x:f>第1日!I61</x:f>
        <x:v>#NAME?</x:v>
      </x:c>
      <x:c r="L54" s="13" t="s">
        <x:v>526</x:v>
      </x:c>
      <x:c r="M54" s="13" t="s">
        <x:v>527</x:v>
      </x:c>
      <x:c r="N54" s="13" t="e">
        <x:f>第1日!I62="待设计"</x:f>
        <x:v>#NAME?</x:v>
      </x:c>
      <x:c r="O54" s="13">
        <x:v>14</x:v>
      </x:c>
      <x:c r="P54" s="13" t="e">
        <x:f>IF(第1日!B78="","",IFERROR(VLOOKUP(第1日!B78,敌人目录!$A$6:$B$68,2,FALSE),""))</x:f>
        <x:v>#NAME?</x:v>
      </x:c>
      <x:c r="Q54" s="13" t="e">
        <x:f>IF(第1日!B78="","",第1日!C78)</x:f>
        <x:v>#NAME?</x:v>
      </x:c>
      <x:c r="R54" s="13">
        <x:v>-1</x:v>
      </x:c>
      <x:c r="S54" s="13" t="e">
        <x:f>IF(第1日!B78="","",第1日!I78)</x:f>
        <x:v>#NAME?</x:v>
      </x:c>
    </x:row>
    <x:row r="55" ht="16.5">
      <x:c r="A55" s="13">
        <x:v>3</x:v>
      </x:c>
      <x:c r="B55" s="13" t="s">
        <x:v>529</x:v>
      </x:c>
      <x:c r="C55" s="13">
        <x:v>3</x:v>
      </x:c>
      <x:c r="D55" s="13">
        <x:v>1</x:v>
      </x:c>
      <x:c r="E55" s="13">
        <x:v>3</x:v>
      </x:c>
      <x:c r="F55" s="13" t="s">
        <x:v>54</x:v>
      </x:c>
      <x:c r="G55" s="13" t="e">
        <x:f>第1日!B61</x:f>
        <x:v>#NAME?</x:v>
      </x:c>
      <x:c r="H55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5" s="13" t="e">
        <x:f>第1日!E61</x:f>
        <x:v>#NAME?</x:v>
      </x:c>
      <x:c r="J55" s="13" t="e">
        <x:f>第1日!G61</x:f>
        <x:v>#NAME?</x:v>
      </x:c>
      <x:c r="K55" s="13" t="e">
        <x:f>第1日!I61</x:f>
        <x:v>#NAME?</x:v>
      </x:c>
      <x:c r="L55" s="13" t="s">
        <x:v>526</x:v>
      </x:c>
      <x:c r="M55" s="13" t="s">
        <x:v>527</x:v>
      </x:c>
      <x:c r="N55" s="13" t="e">
        <x:f>第1日!I62="待设计"</x:f>
        <x:v>#NAME?</x:v>
      </x:c>
      <x:c r="O55" s="13">
        <x:v>15</x:v>
      </x:c>
      <x:c r="P55" s="13" t="e">
        <x:f>IF(第1日!B79="","",IFERROR(VLOOKUP(第1日!B79,敌人目录!$A$6:$B$68,2,FALSE),""))</x:f>
        <x:v>#NAME?</x:v>
      </x:c>
      <x:c r="Q55" s="13" t="e">
        <x:f>IF(第1日!B79="","",第1日!C79)</x:f>
        <x:v>#NAME?</x:v>
      </x:c>
      <x:c r="R55" s="13">
        <x:v>-1</x:v>
      </x:c>
      <x:c r="S55" s="13" t="e">
        <x:f>IF(第1日!B79="","",第1日!I79)</x:f>
        <x:v>#NAME?</x:v>
      </x:c>
    </x:row>
    <x:row r="56" ht="16.5">
      <x:c r="A56" s="13">
        <x:v>3</x:v>
      </x:c>
      <x:c r="B56" s="13" t="s">
        <x:v>529</x:v>
      </x:c>
      <x:c r="C56" s="13">
        <x:v>3</x:v>
      </x:c>
      <x:c r="D56" s="13">
        <x:v>1</x:v>
      </x:c>
      <x:c r="E56" s="13">
        <x:v>3</x:v>
      </x:c>
      <x:c r="F56" s="13" t="s">
        <x:v>54</x:v>
      </x:c>
      <x:c r="G56" s="13" t="e">
        <x:f>第1日!B61</x:f>
        <x:v>#NAME?</x:v>
      </x:c>
      <x:c r="H56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6" s="13" t="e">
        <x:f>第1日!E61</x:f>
        <x:v>#NAME?</x:v>
      </x:c>
      <x:c r="J56" s="13" t="e">
        <x:f>第1日!G61</x:f>
        <x:v>#NAME?</x:v>
      </x:c>
      <x:c r="K56" s="13" t="e">
        <x:f>第1日!I61</x:f>
        <x:v>#NAME?</x:v>
      </x:c>
      <x:c r="L56" s="13" t="s">
        <x:v>526</x:v>
      </x:c>
      <x:c r="M56" s="13" t="s">
        <x:v>527</x:v>
      </x:c>
      <x:c r="N56" s="13" t="e">
        <x:f>第1日!I62="待设计"</x:f>
        <x:v>#NAME?</x:v>
      </x:c>
      <x:c r="O56" s="13">
        <x:v>16</x:v>
      </x:c>
      <x:c r="P56" s="13" t="e">
        <x:f>IF(第1日!B80="","",IFERROR(VLOOKUP(第1日!B80,敌人目录!$A$6:$B$68,2,FALSE),""))</x:f>
        <x:v>#NAME?</x:v>
      </x:c>
      <x:c r="Q56" s="13" t="e">
        <x:f>IF(第1日!B80="","",第1日!C80)</x:f>
        <x:v>#NAME?</x:v>
      </x:c>
      <x:c r="R56" s="13">
        <x:v>-1</x:v>
      </x:c>
      <x:c r="S56" s="13" t="e">
        <x:f>IF(第1日!B80="","",第1日!I80)</x:f>
        <x:v>#NAME?</x:v>
      </x:c>
    </x:row>
    <x:row r="57" ht="16.5">
      <x:c r="A57" s="13">
        <x:v>3</x:v>
      </x:c>
      <x:c r="B57" s="13" t="s">
        <x:v>529</x:v>
      </x:c>
      <x:c r="C57" s="13">
        <x:v>3</x:v>
      </x:c>
      <x:c r="D57" s="13">
        <x:v>1</x:v>
      </x:c>
      <x:c r="E57" s="13">
        <x:v>3</x:v>
      </x:c>
      <x:c r="F57" s="13" t="s">
        <x:v>54</x:v>
      </x:c>
      <x:c r="G57" s="13" t="e">
        <x:f>第1日!B61</x:f>
        <x:v>#NAME?</x:v>
      </x:c>
      <x:c r="H57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7" s="13" t="e">
        <x:f>第1日!E61</x:f>
        <x:v>#NAME?</x:v>
      </x:c>
      <x:c r="J57" s="13" t="e">
        <x:f>第1日!G61</x:f>
        <x:v>#NAME?</x:v>
      </x:c>
      <x:c r="K57" s="13" t="e">
        <x:f>第1日!I61</x:f>
        <x:v>#NAME?</x:v>
      </x:c>
      <x:c r="L57" s="13" t="s">
        <x:v>526</x:v>
      </x:c>
      <x:c r="M57" s="13" t="s">
        <x:v>527</x:v>
      </x:c>
      <x:c r="N57" s="13" t="e">
        <x:f>第1日!I62="待设计"</x:f>
        <x:v>#NAME?</x:v>
      </x:c>
      <x:c r="O57" s="13">
        <x:v>17</x:v>
      </x:c>
      <x:c r="P57" s="13" t="e">
        <x:f>IF(第1日!B81="","",IFERROR(VLOOKUP(第1日!B81,敌人目录!$A$6:$B$68,2,FALSE),""))</x:f>
        <x:v>#NAME?</x:v>
      </x:c>
      <x:c r="Q57" s="13" t="e">
        <x:f>IF(第1日!B81="","",第1日!C81)</x:f>
        <x:v>#NAME?</x:v>
      </x:c>
      <x:c r="R57" s="13">
        <x:v>-1</x:v>
      </x:c>
      <x:c r="S57" s="13" t="e">
        <x:f>IF(第1日!B81="","",第1日!I81)</x:f>
        <x:v>#NAME?</x:v>
      </x:c>
    </x:row>
    <x:row r="58" ht="16.5">
      <x:c r="A58" s="13">
        <x:v>3</x:v>
      </x:c>
      <x:c r="B58" s="13" t="s">
        <x:v>529</x:v>
      </x:c>
      <x:c r="C58" s="13">
        <x:v>3</x:v>
      </x:c>
      <x:c r="D58" s="13">
        <x:v>1</x:v>
      </x:c>
      <x:c r="E58" s="13">
        <x:v>3</x:v>
      </x:c>
      <x:c r="F58" s="13" t="s">
        <x:v>54</x:v>
      </x:c>
      <x:c r="G58" s="13" t="e">
        <x:f>第1日!B61</x:f>
        <x:v>#NAME?</x:v>
      </x:c>
      <x:c r="H58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8" s="13" t="e">
        <x:f>第1日!E61</x:f>
        <x:v>#NAME?</x:v>
      </x:c>
      <x:c r="J58" s="13" t="e">
        <x:f>第1日!G61</x:f>
        <x:v>#NAME?</x:v>
      </x:c>
      <x:c r="K58" s="13" t="e">
        <x:f>第1日!I61</x:f>
        <x:v>#NAME?</x:v>
      </x:c>
      <x:c r="L58" s="13" t="s">
        <x:v>526</x:v>
      </x:c>
      <x:c r="M58" s="13" t="s">
        <x:v>527</x:v>
      </x:c>
      <x:c r="N58" s="13" t="e">
        <x:f>第1日!I62="待设计"</x:f>
        <x:v>#NAME?</x:v>
      </x:c>
      <x:c r="O58" s="13">
        <x:v>18</x:v>
      </x:c>
      <x:c r="P58" s="13" t="e">
        <x:f>IF(第1日!B82="","",IFERROR(VLOOKUP(第1日!B82,敌人目录!$A$6:$B$68,2,FALSE),""))</x:f>
        <x:v>#NAME?</x:v>
      </x:c>
      <x:c r="Q58" s="13" t="e">
        <x:f>IF(第1日!B82="","",第1日!C82)</x:f>
        <x:v>#NAME?</x:v>
      </x:c>
      <x:c r="R58" s="13">
        <x:v>-1</x:v>
      </x:c>
      <x:c r="S58" s="13" t="e">
        <x:f>IF(第1日!B82="","",第1日!I82)</x:f>
        <x:v>#NAME?</x:v>
      </x:c>
    </x:row>
    <x:row r="59" ht="16.5">
      <x:c r="A59" s="13">
        <x:v>3</x:v>
      </x:c>
      <x:c r="B59" s="13" t="s">
        <x:v>530</x:v>
      </x:c>
      <x:c r="C59" s="13">
        <x:v>4</x:v>
      </x:c>
      <x:c r="D59" s="13">
        <x:v>1</x:v>
      </x:c>
      <x:c r="E59" s="13">
        <x:v>4</x:v>
      </x:c>
      <x:c r="F59" s="13" t="s">
        <x:v>54</x:v>
      </x:c>
      <x:c r="G59" s="13" t="e">
        <x:f>第1日!B90</x:f>
        <x:v>#NAME?</x:v>
      </x:c>
      <x:c r="H59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59" s="13" t="e">
        <x:f>第1日!E90</x:f>
        <x:v>#NAME?</x:v>
      </x:c>
      <x:c r="J59" s="13" t="e">
        <x:f>第1日!G90</x:f>
        <x:v>#NAME?</x:v>
      </x:c>
      <x:c r="K59" s="13" t="e">
        <x:f>第1日!I90</x:f>
        <x:v>#NAME?</x:v>
      </x:c>
      <x:c r="L59" s="13" t="s">
        <x:v>526</x:v>
      </x:c>
      <x:c r="M59" s="13" t="s">
        <x:v>527</x:v>
      </x:c>
      <x:c r="N59" s="13" t="e">
        <x:f>第1日!I91="待设计"</x:f>
        <x:v>#NAME?</x:v>
      </x:c>
      <x:c r="O59" s="13">
        <x:v>1</x:v>
      </x:c>
      <x:c r="P59" s="13" t="e">
        <x:f>IF(第1日!B94="","",IFERROR(VLOOKUP(第1日!B94,敌人目录!$A$6:$B$68,2,FALSE),""))</x:f>
        <x:v>#NAME?</x:v>
      </x:c>
      <x:c r="Q59" s="13" t="e">
        <x:f>IF(第1日!B94="","",第1日!C94)</x:f>
        <x:v>#NAME?</x:v>
      </x:c>
      <x:c r="R59" s="13">
        <x:v>-1</x:v>
      </x:c>
      <x:c r="S59" s="13" t="e">
        <x:f>IF(第1日!B94="","",第1日!I94)</x:f>
        <x:v>#NAME?</x:v>
      </x:c>
    </x:row>
    <x:row r="60" ht="16.5">
      <x:c r="A60" s="13">
        <x:v>3</x:v>
      </x:c>
      <x:c r="B60" s="13" t="s">
        <x:v>530</x:v>
      </x:c>
      <x:c r="C60" s="13">
        <x:v>4</x:v>
      </x:c>
      <x:c r="D60" s="13">
        <x:v>1</x:v>
      </x:c>
      <x:c r="E60" s="13">
        <x:v>4</x:v>
      </x:c>
      <x:c r="F60" s="13" t="s">
        <x:v>54</x:v>
      </x:c>
      <x:c r="G60" s="13" t="e">
        <x:f>第1日!B90</x:f>
        <x:v>#NAME?</x:v>
      </x:c>
      <x:c r="H60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0" s="13" t="e">
        <x:f>第1日!E90</x:f>
        <x:v>#NAME?</x:v>
      </x:c>
      <x:c r="J60" s="13" t="e">
        <x:f>第1日!G90</x:f>
        <x:v>#NAME?</x:v>
      </x:c>
      <x:c r="K60" s="13" t="e">
        <x:f>第1日!I90</x:f>
        <x:v>#NAME?</x:v>
      </x:c>
      <x:c r="L60" s="13" t="s">
        <x:v>526</x:v>
      </x:c>
      <x:c r="M60" s="13" t="s">
        <x:v>527</x:v>
      </x:c>
      <x:c r="N60" s="13" t="e">
        <x:f>第1日!I91="待设计"</x:f>
        <x:v>#NAME?</x:v>
      </x:c>
      <x:c r="O60" s="13">
        <x:v>2</x:v>
      </x:c>
      <x:c r="P60" s="13" t="e">
        <x:f>IF(第1日!B95="","",IFERROR(VLOOKUP(第1日!B95,敌人目录!$A$6:$B$68,2,FALSE),""))</x:f>
        <x:v>#NAME?</x:v>
      </x:c>
      <x:c r="Q60" s="13" t="e">
        <x:f>IF(第1日!B95="","",第1日!C95)</x:f>
        <x:v>#NAME?</x:v>
      </x:c>
      <x:c r="R60" s="13">
        <x:v>-1</x:v>
      </x:c>
      <x:c r="S60" s="13" t="e">
        <x:f>IF(第1日!B95="","",第1日!I95)</x:f>
        <x:v>#NAME?</x:v>
      </x:c>
    </x:row>
    <x:row r="61" ht="16.5">
      <x:c r="A61" s="13">
        <x:v>3</x:v>
      </x:c>
      <x:c r="B61" s="13" t="s">
        <x:v>530</x:v>
      </x:c>
      <x:c r="C61" s="13">
        <x:v>4</x:v>
      </x:c>
      <x:c r="D61" s="13">
        <x:v>1</x:v>
      </x:c>
      <x:c r="E61" s="13">
        <x:v>4</x:v>
      </x:c>
      <x:c r="F61" s="13" t="s">
        <x:v>54</x:v>
      </x:c>
      <x:c r="G61" s="13" t="e">
        <x:f>第1日!B90</x:f>
        <x:v>#NAME?</x:v>
      </x:c>
      <x:c r="H61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1" s="13" t="e">
        <x:f>第1日!E90</x:f>
        <x:v>#NAME?</x:v>
      </x:c>
      <x:c r="J61" s="13" t="e">
        <x:f>第1日!G90</x:f>
        <x:v>#NAME?</x:v>
      </x:c>
      <x:c r="K61" s="13" t="e">
        <x:f>第1日!I90</x:f>
        <x:v>#NAME?</x:v>
      </x:c>
      <x:c r="L61" s="13" t="s">
        <x:v>526</x:v>
      </x:c>
      <x:c r="M61" s="13" t="s">
        <x:v>527</x:v>
      </x:c>
      <x:c r="N61" s="13" t="e">
        <x:f>第1日!I91="待设计"</x:f>
        <x:v>#NAME?</x:v>
      </x:c>
      <x:c r="O61" s="13">
        <x:v>3</x:v>
      </x:c>
      <x:c r="P61" s="13" t="e">
        <x:f>IF(第1日!B96="","",IFERROR(VLOOKUP(第1日!B96,敌人目录!$A$6:$B$68,2,FALSE),""))</x:f>
        <x:v>#NAME?</x:v>
      </x:c>
      <x:c r="Q61" s="13" t="e">
        <x:f>IF(第1日!B96="","",第1日!C96)</x:f>
        <x:v>#NAME?</x:v>
      </x:c>
      <x:c r="R61" s="13">
        <x:v>-1</x:v>
      </x:c>
      <x:c r="S61" s="13" t="e">
        <x:f>IF(第1日!B96="","",第1日!I96)</x:f>
        <x:v>#NAME?</x:v>
      </x:c>
    </x:row>
    <x:row r="62" ht="16.5">
      <x:c r="A62" s="13">
        <x:v>3</x:v>
      </x:c>
      <x:c r="B62" s="13" t="s">
        <x:v>530</x:v>
      </x:c>
      <x:c r="C62" s="13">
        <x:v>4</x:v>
      </x:c>
      <x:c r="D62" s="13">
        <x:v>1</x:v>
      </x:c>
      <x:c r="E62" s="13">
        <x:v>4</x:v>
      </x:c>
      <x:c r="F62" s="13" t="s">
        <x:v>54</x:v>
      </x:c>
      <x:c r="G62" s="13" t="e">
        <x:f>第1日!B90</x:f>
        <x:v>#NAME?</x:v>
      </x:c>
      <x:c r="H62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2" s="13" t="e">
        <x:f>第1日!E90</x:f>
        <x:v>#NAME?</x:v>
      </x:c>
      <x:c r="J62" s="13" t="e">
        <x:f>第1日!G90</x:f>
        <x:v>#NAME?</x:v>
      </x:c>
      <x:c r="K62" s="13" t="e">
        <x:f>第1日!I90</x:f>
        <x:v>#NAME?</x:v>
      </x:c>
      <x:c r="L62" s="13" t="s">
        <x:v>526</x:v>
      </x:c>
      <x:c r="M62" s="13" t="s">
        <x:v>527</x:v>
      </x:c>
      <x:c r="N62" s="13" t="e">
        <x:f>第1日!I91="待设计"</x:f>
        <x:v>#NAME?</x:v>
      </x:c>
      <x:c r="O62" s="13">
        <x:v>4</x:v>
      </x:c>
      <x:c r="P62" s="13" t="e">
        <x:f>IF(第1日!B97="","",IFERROR(VLOOKUP(第1日!B97,敌人目录!$A$6:$B$68,2,FALSE),""))</x:f>
        <x:v>#NAME?</x:v>
      </x:c>
      <x:c r="Q62" s="13" t="e">
        <x:f>IF(第1日!B97="","",第1日!C97)</x:f>
        <x:v>#NAME?</x:v>
      </x:c>
      <x:c r="R62" s="13">
        <x:v>-1</x:v>
      </x:c>
      <x:c r="S62" s="13" t="e">
        <x:f>IF(第1日!B97="","",第1日!I97)</x:f>
        <x:v>#NAME?</x:v>
      </x:c>
    </x:row>
    <x:row r="63" ht="16.5">
      <x:c r="A63" s="13">
        <x:v>3</x:v>
      </x:c>
      <x:c r="B63" s="13" t="s">
        <x:v>530</x:v>
      </x:c>
      <x:c r="C63" s="13">
        <x:v>4</x:v>
      </x:c>
      <x:c r="D63" s="13">
        <x:v>1</x:v>
      </x:c>
      <x:c r="E63" s="13">
        <x:v>4</x:v>
      </x:c>
      <x:c r="F63" s="13" t="s">
        <x:v>54</x:v>
      </x:c>
      <x:c r="G63" s="13" t="e">
        <x:f>第1日!B90</x:f>
        <x:v>#NAME?</x:v>
      </x:c>
      <x:c r="H63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3" s="13" t="e">
        <x:f>第1日!E90</x:f>
        <x:v>#NAME?</x:v>
      </x:c>
      <x:c r="J63" s="13" t="e">
        <x:f>第1日!G90</x:f>
        <x:v>#NAME?</x:v>
      </x:c>
      <x:c r="K63" s="13" t="e">
        <x:f>第1日!I90</x:f>
        <x:v>#NAME?</x:v>
      </x:c>
      <x:c r="L63" s="13" t="s">
        <x:v>526</x:v>
      </x:c>
      <x:c r="M63" s="13" t="s">
        <x:v>527</x:v>
      </x:c>
      <x:c r="N63" s="13" t="e">
        <x:f>第1日!I91="待设计"</x:f>
        <x:v>#NAME?</x:v>
      </x:c>
      <x:c r="O63" s="13">
        <x:v>5</x:v>
      </x:c>
      <x:c r="P63" s="13" t="e">
        <x:f>IF(第1日!B98="","",IFERROR(VLOOKUP(第1日!B98,敌人目录!$A$6:$B$68,2,FALSE),""))</x:f>
        <x:v>#NAME?</x:v>
      </x:c>
      <x:c r="Q63" s="13" t="e">
        <x:f>IF(第1日!B98="","",第1日!C98)</x:f>
        <x:v>#NAME?</x:v>
      </x:c>
      <x:c r="R63" s="13">
        <x:v>-1</x:v>
      </x:c>
      <x:c r="S63" s="13" t="e">
        <x:f>IF(第1日!B98="","",第1日!I98)</x:f>
        <x:v>#NAME?</x:v>
      </x:c>
    </x:row>
    <x:row r="64" ht="16.5">
      <x:c r="A64" s="13">
        <x:v>3</x:v>
      </x:c>
      <x:c r="B64" s="13" t="s">
        <x:v>530</x:v>
      </x:c>
      <x:c r="C64" s="13">
        <x:v>4</x:v>
      </x:c>
      <x:c r="D64" s="13">
        <x:v>1</x:v>
      </x:c>
      <x:c r="E64" s="13">
        <x:v>4</x:v>
      </x:c>
      <x:c r="F64" s="13" t="s">
        <x:v>54</x:v>
      </x:c>
      <x:c r="G64" s="13" t="e">
        <x:f>第1日!B90</x:f>
        <x:v>#NAME?</x:v>
      </x:c>
      <x:c r="H64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4" s="13" t="e">
        <x:f>第1日!E90</x:f>
        <x:v>#NAME?</x:v>
      </x:c>
      <x:c r="J64" s="13" t="e">
        <x:f>第1日!G90</x:f>
        <x:v>#NAME?</x:v>
      </x:c>
      <x:c r="K64" s="13" t="e">
        <x:f>第1日!I90</x:f>
        <x:v>#NAME?</x:v>
      </x:c>
      <x:c r="L64" s="13" t="s">
        <x:v>526</x:v>
      </x:c>
      <x:c r="M64" s="13" t="s">
        <x:v>527</x:v>
      </x:c>
      <x:c r="N64" s="13" t="e">
        <x:f>第1日!I91="待设计"</x:f>
        <x:v>#NAME?</x:v>
      </x:c>
      <x:c r="O64" s="13">
        <x:v>6</x:v>
      </x:c>
      <x:c r="P64" s="13" t="e">
        <x:f>IF(第1日!B99="","",IFERROR(VLOOKUP(第1日!B99,敌人目录!$A$6:$B$68,2,FALSE),""))</x:f>
        <x:v>#NAME?</x:v>
      </x:c>
      <x:c r="Q64" s="13" t="e">
        <x:f>IF(第1日!B99="","",第1日!C99)</x:f>
        <x:v>#NAME?</x:v>
      </x:c>
      <x:c r="R64" s="13">
        <x:v>-1</x:v>
      </x:c>
      <x:c r="S64" s="13" t="e">
        <x:f>IF(第1日!B99="","",第1日!I99)</x:f>
        <x:v>#NAME?</x:v>
      </x:c>
    </x:row>
    <x:row r="65" ht="16.5">
      <x:c r="A65" s="13">
        <x:v>3</x:v>
      </x:c>
      <x:c r="B65" s="13" t="s">
        <x:v>530</x:v>
      </x:c>
      <x:c r="C65" s="13">
        <x:v>4</x:v>
      </x:c>
      <x:c r="D65" s="13">
        <x:v>1</x:v>
      </x:c>
      <x:c r="E65" s="13">
        <x:v>4</x:v>
      </x:c>
      <x:c r="F65" s="13" t="s">
        <x:v>54</x:v>
      </x:c>
      <x:c r="G65" s="13" t="e">
        <x:f>第1日!B90</x:f>
        <x:v>#NAME?</x:v>
      </x:c>
      <x:c r="H65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5" s="13" t="e">
        <x:f>第1日!E90</x:f>
        <x:v>#NAME?</x:v>
      </x:c>
      <x:c r="J65" s="13" t="e">
        <x:f>第1日!G90</x:f>
        <x:v>#NAME?</x:v>
      </x:c>
      <x:c r="K65" s="13" t="e">
        <x:f>第1日!I90</x:f>
        <x:v>#NAME?</x:v>
      </x:c>
      <x:c r="L65" s="13" t="s">
        <x:v>526</x:v>
      </x:c>
      <x:c r="M65" s="13" t="s">
        <x:v>527</x:v>
      </x:c>
      <x:c r="N65" s="13" t="e">
        <x:f>第1日!I91="待设计"</x:f>
        <x:v>#NAME?</x:v>
      </x:c>
      <x:c r="O65" s="13">
        <x:v>7</x:v>
      </x:c>
      <x:c r="P65" s="13" t="e">
        <x:f>IF(第1日!B100="","",IFERROR(VLOOKUP(第1日!B100,敌人目录!$A$6:$B$68,2,FALSE),""))</x:f>
        <x:v>#NAME?</x:v>
      </x:c>
      <x:c r="Q65" s="13" t="e">
        <x:f>IF(第1日!B100="","",第1日!C100)</x:f>
        <x:v>#NAME?</x:v>
      </x:c>
      <x:c r="R65" s="13">
        <x:v>-1</x:v>
      </x:c>
      <x:c r="S65" s="13" t="e">
        <x:f>IF(第1日!B100="","",第1日!I100)</x:f>
        <x:v>#NAME?</x:v>
      </x:c>
    </x:row>
    <x:row r="66" ht="16.5">
      <x:c r="A66" s="13">
        <x:v>3</x:v>
      </x:c>
      <x:c r="B66" s="13" t="s">
        <x:v>530</x:v>
      </x:c>
      <x:c r="C66" s="13">
        <x:v>4</x:v>
      </x:c>
      <x:c r="D66" s="13">
        <x:v>1</x:v>
      </x:c>
      <x:c r="E66" s="13">
        <x:v>4</x:v>
      </x:c>
      <x:c r="F66" s="13" t="s">
        <x:v>54</x:v>
      </x:c>
      <x:c r="G66" s="13" t="e">
        <x:f>第1日!B90</x:f>
        <x:v>#NAME?</x:v>
      </x:c>
      <x:c r="H66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6" s="13" t="e">
        <x:f>第1日!E90</x:f>
        <x:v>#NAME?</x:v>
      </x:c>
      <x:c r="J66" s="13" t="e">
        <x:f>第1日!G90</x:f>
        <x:v>#NAME?</x:v>
      </x:c>
      <x:c r="K66" s="13" t="e">
        <x:f>第1日!I90</x:f>
        <x:v>#NAME?</x:v>
      </x:c>
      <x:c r="L66" s="13" t="s">
        <x:v>526</x:v>
      </x:c>
      <x:c r="M66" s="13" t="s">
        <x:v>527</x:v>
      </x:c>
      <x:c r="N66" s="13" t="e">
        <x:f>第1日!I91="待设计"</x:f>
        <x:v>#NAME?</x:v>
      </x:c>
      <x:c r="O66" s="13">
        <x:v>8</x:v>
      </x:c>
      <x:c r="P66" s="13" t="e">
        <x:f>IF(第1日!B101="","",IFERROR(VLOOKUP(第1日!B101,敌人目录!$A$6:$B$68,2,FALSE),""))</x:f>
        <x:v>#NAME?</x:v>
      </x:c>
      <x:c r="Q66" s="13" t="e">
        <x:f>IF(第1日!B101="","",第1日!C101)</x:f>
        <x:v>#NAME?</x:v>
      </x:c>
      <x:c r="R66" s="13">
        <x:v>-1</x:v>
      </x:c>
      <x:c r="S66" s="13" t="e">
        <x:f>IF(第1日!B101="","",第1日!I101)</x:f>
        <x:v>#NAME?</x:v>
      </x:c>
    </x:row>
    <x:row r="67" ht="16.5">
      <x:c r="A67" s="13">
        <x:v>3</x:v>
      </x:c>
      <x:c r="B67" s="13" t="s">
        <x:v>530</x:v>
      </x:c>
      <x:c r="C67" s="13">
        <x:v>4</x:v>
      </x:c>
      <x:c r="D67" s="13">
        <x:v>1</x:v>
      </x:c>
      <x:c r="E67" s="13">
        <x:v>4</x:v>
      </x:c>
      <x:c r="F67" s="13" t="s">
        <x:v>54</x:v>
      </x:c>
      <x:c r="G67" s="13" t="e">
        <x:f>第1日!B90</x:f>
        <x:v>#NAME?</x:v>
      </x:c>
      <x:c r="H67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7" s="13" t="e">
        <x:f>第1日!E90</x:f>
        <x:v>#NAME?</x:v>
      </x:c>
      <x:c r="J67" s="13" t="e">
        <x:f>第1日!G90</x:f>
        <x:v>#NAME?</x:v>
      </x:c>
      <x:c r="K67" s="13" t="e">
        <x:f>第1日!I90</x:f>
        <x:v>#NAME?</x:v>
      </x:c>
      <x:c r="L67" s="13" t="s">
        <x:v>526</x:v>
      </x:c>
      <x:c r="M67" s="13" t="s">
        <x:v>527</x:v>
      </x:c>
      <x:c r="N67" s="13" t="e">
        <x:f>第1日!I91="待设计"</x:f>
        <x:v>#NAME?</x:v>
      </x:c>
      <x:c r="O67" s="13">
        <x:v>9</x:v>
      </x:c>
      <x:c r="P67" s="13" t="e">
        <x:f>IF(第1日!B102="","",IFERROR(VLOOKUP(第1日!B102,敌人目录!$A$6:$B$68,2,FALSE),""))</x:f>
        <x:v>#NAME?</x:v>
      </x:c>
      <x:c r="Q67" s="13" t="e">
        <x:f>IF(第1日!B102="","",第1日!C102)</x:f>
        <x:v>#NAME?</x:v>
      </x:c>
      <x:c r="R67" s="13">
        <x:v>-1</x:v>
      </x:c>
      <x:c r="S67" s="13" t="e">
        <x:f>IF(第1日!B102="","",第1日!I102)</x:f>
        <x:v>#NAME?</x:v>
      </x:c>
    </x:row>
    <x:row r="68" ht="16.5">
      <x:c r="A68" s="13">
        <x:v>3</x:v>
      </x:c>
      <x:c r="B68" s="13" t="s">
        <x:v>530</x:v>
      </x:c>
      <x:c r="C68" s="13">
        <x:v>4</x:v>
      </x:c>
      <x:c r="D68" s="13">
        <x:v>1</x:v>
      </x:c>
      <x:c r="E68" s="13">
        <x:v>4</x:v>
      </x:c>
      <x:c r="F68" s="13" t="s">
        <x:v>54</x:v>
      </x:c>
      <x:c r="G68" s="13" t="e">
        <x:f>第1日!B90</x:f>
        <x:v>#NAME?</x:v>
      </x:c>
      <x:c r="H68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8" s="13" t="e">
        <x:f>第1日!E90</x:f>
        <x:v>#NAME?</x:v>
      </x:c>
      <x:c r="J68" s="13" t="e">
        <x:f>第1日!G90</x:f>
        <x:v>#NAME?</x:v>
      </x:c>
      <x:c r="K68" s="13" t="e">
        <x:f>第1日!I90</x:f>
        <x:v>#NAME?</x:v>
      </x:c>
      <x:c r="L68" s="13" t="s">
        <x:v>526</x:v>
      </x:c>
      <x:c r="M68" s="13" t="s">
        <x:v>527</x:v>
      </x:c>
      <x:c r="N68" s="13" t="e">
        <x:f>第1日!I91="待设计"</x:f>
        <x:v>#NAME?</x:v>
      </x:c>
      <x:c r="O68" s="13">
        <x:v>10</x:v>
      </x:c>
      <x:c r="P68" s="13" t="e">
        <x:f>IF(第1日!B103="","",IFERROR(VLOOKUP(第1日!B103,敌人目录!$A$6:$B$68,2,FALSE),""))</x:f>
        <x:v>#NAME?</x:v>
      </x:c>
      <x:c r="Q68" s="13" t="e">
        <x:f>IF(第1日!B103="","",第1日!C103)</x:f>
        <x:v>#NAME?</x:v>
      </x:c>
      <x:c r="R68" s="13">
        <x:v>-1</x:v>
      </x:c>
      <x:c r="S68" s="13" t="e">
        <x:f>IF(第1日!B103="","",第1日!I103)</x:f>
        <x:v>#NAME?</x:v>
      </x:c>
    </x:row>
    <x:row r="69" ht="16.5">
      <x:c r="A69" s="13">
        <x:v>3</x:v>
      </x:c>
      <x:c r="B69" s="13" t="s">
        <x:v>530</x:v>
      </x:c>
      <x:c r="C69" s="13">
        <x:v>4</x:v>
      </x:c>
      <x:c r="D69" s="13">
        <x:v>1</x:v>
      </x:c>
      <x:c r="E69" s="13">
        <x:v>4</x:v>
      </x:c>
      <x:c r="F69" s="13" t="s">
        <x:v>54</x:v>
      </x:c>
      <x:c r="G69" s="13" t="e">
        <x:f>第1日!B90</x:f>
        <x:v>#NAME?</x:v>
      </x:c>
      <x:c r="H69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9" s="13" t="e">
        <x:f>第1日!E90</x:f>
        <x:v>#NAME?</x:v>
      </x:c>
      <x:c r="J69" s="13" t="e">
        <x:f>第1日!G90</x:f>
        <x:v>#NAME?</x:v>
      </x:c>
      <x:c r="K69" s="13" t="e">
        <x:f>第1日!I90</x:f>
        <x:v>#NAME?</x:v>
      </x:c>
      <x:c r="L69" s="13" t="s">
        <x:v>526</x:v>
      </x:c>
      <x:c r="M69" s="13" t="s">
        <x:v>527</x:v>
      </x:c>
      <x:c r="N69" s="13" t="e">
        <x:f>第1日!I91="待设计"</x:f>
        <x:v>#NAME?</x:v>
      </x:c>
      <x:c r="O69" s="13">
        <x:v>11</x:v>
      </x:c>
      <x:c r="P69" s="13" t="e">
        <x:f>IF(第1日!B104="","",IFERROR(VLOOKUP(第1日!B104,敌人目录!$A$6:$B$68,2,FALSE),""))</x:f>
        <x:v>#NAME?</x:v>
      </x:c>
      <x:c r="Q69" s="13" t="e">
        <x:f>IF(第1日!B104="","",第1日!C104)</x:f>
        <x:v>#NAME?</x:v>
      </x:c>
      <x:c r="R69" s="13">
        <x:v>-1</x:v>
      </x:c>
      <x:c r="S69" s="13" t="e">
        <x:f>IF(第1日!B104="","",第1日!I104)</x:f>
        <x:v>#NAME?</x:v>
      </x:c>
    </x:row>
    <x:row r="70" ht="16.5">
      <x:c r="A70" s="13">
        <x:v>3</x:v>
      </x:c>
      <x:c r="B70" s="13" t="s">
        <x:v>530</x:v>
      </x:c>
      <x:c r="C70" s="13">
        <x:v>4</x:v>
      </x:c>
      <x:c r="D70" s="13">
        <x:v>1</x:v>
      </x:c>
      <x:c r="E70" s="13">
        <x:v>4</x:v>
      </x:c>
      <x:c r="F70" s="13" t="s">
        <x:v>54</x:v>
      </x:c>
      <x:c r="G70" s="13" t="e">
        <x:f>第1日!B90</x:f>
        <x:v>#NAME?</x:v>
      </x:c>
      <x:c r="H70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0" s="13" t="e">
        <x:f>第1日!E90</x:f>
        <x:v>#NAME?</x:v>
      </x:c>
      <x:c r="J70" s="13" t="e">
        <x:f>第1日!G90</x:f>
        <x:v>#NAME?</x:v>
      </x:c>
      <x:c r="K70" s="13" t="e">
        <x:f>第1日!I90</x:f>
        <x:v>#NAME?</x:v>
      </x:c>
      <x:c r="L70" s="13" t="s">
        <x:v>526</x:v>
      </x:c>
      <x:c r="M70" s="13" t="s">
        <x:v>527</x:v>
      </x:c>
      <x:c r="N70" s="13" t="e">
        <x:f>第1日!I91="待设计"</x:f>
        <x:v>#NAME?</x:v>
      </x:c>
      <x:c r="O70" s="13">
        <x:v>12</x:v>
      </x:c>
      <x:c r="P70" s="13" t="e">
        <x:f>IF(第1日!B105="","",IFERROR(VLOOKUP(第1日!B105,敌人目录!$A$6:$B$68,2,FALSE),""))</x:f>
        <x:v>#NAME?</x:v>
      </x:c>
      <x:c r="Q70" s="13" t="e">
        <x:f>IF(第1日!B105="","",第1日!C105)</x:f>
        <x:v>#NAME?</x:v>
      </x:c>
      <x:c r="R70" s="13">
        <x:v>-1</x:v>
      </x:c>
      <x:c r="S70" s="13" t="e">
        <x:f>IF(第1日!B105="","",第1日!I105)</x:f>
        <x:v>#NAME?</x:v>
      </x:c>
    </x:row>
    <x:row r="71" ht="16.5">
      <x:c r="A71" s="13">
        <x:v>3</x:v>
      </x:c>
      <x:c r="B71" s="13" t="s">
        <x:v>530</x:v>
      </x:c>
      <x:c r="C71" s="13">
        <x:v>4</x:v>
      </x:c>
      <x:c r="D71" s="13">
        <x:v>1</x:v>
      </x:c>
      <x:c r="E71" s="13">
        <x:v>4</x:v>
      </x:c>
      <x:c r="F71" s="13" t="s">
        <x:v>54</x:v>
      </x:c>
      <x:c r="G71" s="13" t="e">
        <x:f>第1日!B90</x:f>
        <x:v>#NAME?</x:v>
      </x:c>
      <x:c r="H71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1" s="13" t="e">
        <x:f>第1日!E90</x:f>
        <x:v>#NAME?</x:v>
      </x:c>
      <x:c r="J71" s="13" t="e">
        <x:f>第1日!G90</x:f>
        <x:v>#NAME?</x:v>
      </x:c>
      <x:c r="K71" s="13" t="e">
        <x:f>第1日!I90</x:f>
        <x:v>#NAME?</x:v>
      </x:c>
      <x:c r="L71" s="13" t="s">
        <x:v>526</x:v>
      </x:c>
      <x:c r="M71" s="13" t="s">
        <x:v>527</x:v>
      </x:c>
      <x:c r="N71" s="13" t="e">
        <x:f>第1日!I91="待设计"</x:f>
        <x:v>#NAME?</x:v>
      </x:c>
      <x:c r="O71" s="13">
        <x:v>13</x:v>
      </x:c>
      <x:c r="P71" s="13" t="e">
        <x:f>IF(第1日!B106="","",IFERROR(VLOOKUP(第1日!B106,敌人目录!$A$6:$B$68,2,FALSE),""))</x:f>
        <x:v>#NAME?</x:v>
      </x:c>
      <x:c r="Q71" s="13" t="e">
        <x:f>IF(第1日!B106="","",第1日!C106)</x:f>
        <x:v>#NAME?</x:v>
      </x:c>
      <x:c r="R71" s="13">
        <x:v>-1</x:v>
      </x:c>
      <x:c r="S71" s="13" t="e">
        <x:f>IF(第1日!B106="","",第1日!I106)</x:f>
        <x:v>#NAME?</x:v>
      </x:c>
    </x:row>
    <x:row r="72" ht="16.5">
      <x:c r="A72" s="13">
        <x:v>3</x:v>
      </x:c>
      <x:c r="B72" s="13" t="s">
        <x:v>530</x:v>
      </x:c>
      <x:c r="C72" s="13">
        <x:v>4</x:v>
      </x:c>
      <x:c r="D72" s="13">
        <x:v>1</x:v>
      </x:c>
      <x:c r="E72" s="13">
        <x:v>4</x:v>
      </x:c>
      <x:c r="F72" s="13" t="s">
        <x:v>54</x:v>
      </x:c>
      <x:c r="G72" s="13" t="e">
        <x:f>第1日!B90</x:f>
        <x:v>#NAME?</x:v>
      </x:c>
      <x:c r="H72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2" s="13" t="e">
        <x:f>第1日!E90</x:f>
        <x:v>#NAME?</x:v>
      </x:c>
      <x:c r="J72" s="13" t="e">
        <x:f>第1日!G90</x:f>
        <x:v>#NAME?</x:v>
      </x:c>
      <x:c r="K72" s="13" t="e">
        <x:f>第1日!I90</x:f>
        <x:v>#NAME?</x:v>
      </x:c>
      <x:c r="L72" s="13" t="s">
        <x:v>526</x:v>
      </x:c>
      <x:c r="M72" s="13" t="s">
        <x:v>527</x:v>
      </x:c>
      <x:c r="N72" s="13" t="e">
        <x:f>第1日!I91="待设计"</x:f>
        <x:v>#NAME?</x:v>
      </x:c>
      <x:c r="O72" s="13">
        <x:v>14</x:v>
      </x:c>
      <x:c r="P72" s="13" t="e">
        <x:f>IF(第1日!B107="","",IFERROR(VLOOKUP(第1日!B107,敌人目录!$A$6:$B$68,2,FALSE),""))</x:f>
        <x:v>#NAME?</x:v>
      </x:c>
      <x:c r="Q72" s="13" t="e">
        <x:f>IF(第1日!B107="","",第1日!C107)</x:f>
        <x:v>#NAME?</x:v>
      </x:c>
      <x:c r="R72" s="13">
        <x:v>-1</x:v>
      </x:c>
      <x:c r="S72" s="13" t="e">
        <x:f>IF(第1日!B107="","",第1日!I107)</x:f>
        <x:v>#NAME?</x:v>
      </x:c>
    </x:row>
    <x:row r="73" ht="16.5">
      <x:c r="A73" s="13">
        <x:v>3</x:v>
      </x:c>
      <x:c r="B73" s="13" t="s">
        <x:v>530</x:v>
      </x:c>
      <x:c r="C73" s="13">
        <x:v>4</x:v>
      </x:c>
      <x:c r="D73" s="13">
        <x:v>1</x:v>
      </x:c>
      <x:c r="E73" s="13">
        <x:v>4</x:v>
      </x:c>
      <x:c r="F73" s="13" t="s">
        <x:v>54</x:v>
      </x:c>
      <x:c r="G73" s="13" t="e">
        <x:f>第1日!B90</x:f>
        <x:v>#NAME?</x:v>
      </x:c>
      <x:c r="H73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3" s="13" t="e">
        <x:f>第1日!E90</x:f>
        <x:v>#NAME?</x:v>
      </x:c>
      <x:c r="J73" s="13" t="e">
        <x:f>第1日!G90</x:f>
        <x:v>#NAME?</x:v>
      </x:c>
      <x:c r="K73" s="13" t="e">
        <x:f>第1日!I90</x:f>
        <x:v>#NAME?</x:v>
      </x:c>
      <x:c r="L73" s="13" t="s">
        <x:v>526</x:v>
      </x:c>
      <x:c r="M73" s="13" t="s">
        <x:v>527</x:v>
      </x:c>
      <x:c r="N73" s="13" t="e">
        <x:f>第1日!I91="待设计"</x:f>
        <x:v>#NAME?</x:v>
      </x:c>
      <x:c r="O73" s="13">
        <x:v>15</x:v>
      </x:c>
      <x:c r="P73" s="13" t="e">
        <x:f>IF(第1日!B108="","",IFERROR(VLOOKUP(第1日!B108,敌人目录!$A$6:$B$68,2,FALSE),""))</x:f>
        <x:v>#NAME?</x:v>
      </x:c>
      <x:c r="Q73" s="13" t="e">
        <x:f>IF(第1日!B108="","",第1日!C108)</x:f>
        <x:v>#NAME?</x:v>
      </x:c>
      <x:c r="R73" s="13">
        <x:v>-1</x:v>
      </x:c>
      <x:c r="S73" s="13" t="e">
        <x:f>IF(第1日!B108="","",第1日!I108)</x:f>
        <x:v>#NAME?</x:v>
      </x:c>
    </x:row>
    <x:row r="74" ht="16.5">
      <x:c r="A74" s="13">
        <x:v>3</x:v>
      </x:c>
      <x:c r="B74" s="13" t="s">
        <x:v>530</x:v>
      </x:c>
      <x:c r="C74" s="13">
        <x:v>4</x:v>
      </x:c>
      <x:c r="D74" s="13">
        <x:v>1</x:v>
      </x:c>
      <x:c r="E74" s="13">
        <x:v>4</x:v>
      </x:c>
      <x:c r="F74" s="13" t="s">
        <x:v>54</x:v>
      </x:c>
      <x:c r="G74" s="13" t="e">
        <x:f>第1日!B90</x:f>
        <x:v>#NAME?</x:v>
      </x:c>
      <x:c r="H74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4" s="13" t="e">
        <x:f>第1日!E90</x:f>
        <x:v>#NAME?</x:v>
      </x:c>
      <x:c r="J74" s="13" t="e">
        <x:f>第1日!G90</x:f>
        <x:v>#NAME?</x:v>
      </x:c>
      <x:c r="K74" s="13" t="e">
        <x:f>第1日!I90</x:f>
        <x:v>#NAME?</x:v>
      </x:c>
      <x:c r="L74" s="13" t="s">
        <x:v>526</x:v>
      </x:c>
      <x:c r="M74" s="13" t="s">
        <x:v>527</x:v>
      </x:c>
      <x:c r="N74" s="13" t="e">
        <x:f>第1日!I91="待设计"</x:f>
        <x:v>#NAME?</x:v>
      </x:c>
      <x:c r="O74" s="13">
        <x:v>16</x:v>
      </x:c>
      <x:c r="P74" s="13" t="e">
        <x:f>IF(第1日!B109="","",IFERROR(VLOOKUP(第1日!B109,敌人目录!$A$6:$B$68,2,FALSE),""))</x:f>
        <x:v>#NAME?</x:v>
      </x:c>
      <x:c r="Q74" s="13" t="e">
        <x:f>IF(第1日!B109="","",第1日!C109)</x:f>
        <x:v>#NAME?</x:v>
      </x:c>
      <x:c r="R74" s="13">
        <x:v>-1</x:v>
      </x:c>
      <x:c r="S74" s="13" t="e">
        <x:f>IF(第1日!B109="","",第1日!I109)</x:f>
        <x:v>#NAME?</x:v>
      </x:c>
    </x:row>
    <x:row r="75" ht="16.5">
      <x:c r="A75" s="13">
        <x:v>3</x:v>
      </x:c>
      <x:c r="B75" s="13" t="s">
        <x:v>530</x:v>
      </x:c>
      <x:c r="C75" s="13">
        <x:v>4</x:v>
      </x:c>
      <x:c r="D75" s="13">
        <x:v>1</x:v>
      </x:c>
      <x:c r="E75" s="13">
        <x:v>4</x:v>
      </x:c>
      <x:c r="F75" s="13" t="s">
        <x:v>54</x:v>
      </x:c>
      <x:c r="G75" s="13" t="e">
        <x:f>第1日!B90</x:f>
        <x:v>#NAME?</x:v>
      </x:c>
      <x:c r="H75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5" s="13" t="e">
        <x:f>第1日!E90</x:f>
        <x:v>#NAME?</x:v>
      </x:c>
      <x:c r="J75" s="13" t="e">
        <x:f>第1日!G90</x:f>
        <x:v>#NAME?</x:v>
      </x:c>
      <x:c r="K75" s="13" t="e">
        <x:f>第1日!I90</x:f>
        <x:v>#NAME?</x:v>
      </x:c>
      <x:c r="L75" s="13" t="s">
        <x:v>526</x:v>
      </x:c>
      <x:c r="M75" s="13" t="s">
        <x:v>527</x:v>
      </x:c>
      <x:c r="N75" s="13" t="e">
        <x:f>第1日!I91="待设计"</x:f>
        <x:v>#NAME?</x:v>
      </x:c>
      <x:c r="O75" s="13">
        <x:v>17</x:v>
      </x:c>
      <x:c r="P75" s="13" t="e">
        <x:f>IF(第1日!B110="","",IFERROR(VLOOKUP(第1日!B110,敌人目录!$A$6:$B$68,2,FALSE),""))</x:f>
        <x:v>#NAME?</x:v>
      </x:c>
      <x:c r="Q75" s="13" t="e">
        <x:f>IF(第1日!B110="","",第1日!C110)</x:f>
        <x:v>#NAME?</x:v>
      </x:c>
      <x:c r="R75" s="13">
        <x:v>-1</x:v>
      </x:c>
      <x:c r="S75" s="13" t="e">
        <x:f>IF(第1日!B110="","",第1日!I110)</x:f>
        <x:v>#NAME?</x:v>
      </x:c>
    </x:row>
    <x:row r="76" ht="16.5">
      <x:c r="A76" s="13">
        <x:v>3</x:v>
      </x:c>
      <x:c r="B76" s="13" t="s">
        <x:v>530</x:v>
      </x:c>
      <x:c r="C76" s="13">
        <x:v>4</x:v>
      </x:c>
      <x:c r="D76" s="13">
        <x:v>1</x:v>
      </x:c>
      <x:c r="E76" s="13">
        <x:v>4</x:v>
      </x:c>
      <x:c r="F76" s="13" t="s">
        <x:v>54</x:v>
      </x:c>
      <x:c r="G76" s="13" t="e">
        <x:f>第1日!B90</x:f>
        <x:v>#NAME?</x:v>
      </x:c>
      <x:c r="H76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6" s="13" t="e">
        <x:f>第1日!E90</x:f>
        <x:v>#NAME?</x:v>
      </x:c>
      <x:c r="J76" s="13" t="e">
        <x:f>第1日!G90</x:f>
        <x:v>#NAME?</x:v>
      </x:c>
      <x:c r="K76" s="13" t="e">
        <x:f>第1日!I90</x:f>
        <x:v>#NAME?</x:v>
      </x:c>
      <x:c r="L76" s="13" t="s">
        <x:v>526</x:v>
      </x:c>
      <x:c r="M76" s="13" t="s">
        <x:v>527</x:v>
      </x:c>
      <x:c r="N76" s="13" t="e">
        <x:f>第1日!I91="待设计"</x:f>
        <x:v>#NAME?</x:v>
      </x:c>
      <x:c r="O76" s="13">
        <x:v>18</x:v>
      </x:c>
      <x:c r="P76" s="13" t="e">
        <x:f>IF(第1日!B111="","",IFERROR(VLOOKUP(第1日!B111,敌人目录!$A$6:$B$68,2,FALSE),""))</x:f>
        <x:v>#NAME?</x:v>
      </x:c>
      <x:c r="Q76" s="13" t="e">
        <x:f>IF(第1日!B111="","",第1日!C111)</x:f>
        <x:v>#NAME?</x:v>
      </x:c>
      <x:c r="R76" s="13">
        <x:v>-1</x:v>
      </x:c>
      <x:c r="S76" s="13" t="e">
        <x:f>IF(第1日!B111="","",第1日!I111)</x:f>
        <x:v>#NAME?</x:v>
      </x:c>
    </x:row>
    <x:row r="77" ht="16.5">
      <x:c r="A77" s="13">
        <x:v>3</x:v>
      </x:c>
      <x:c r="B77" s="13" t="s">
        <x:v>531</x:v>
      </x:c>
      <x:c r="C77" s="13">
        <x:v>5</x:v>
      </x:c>
      <x:c r="D77" s="13">
        <x:v>2</x:v>
      </x:c>
      <x:c r="E77" s="13">
        <x:v>1</x:v>
      </x:c>
      <x:c r="F77" s="13" t="s">
        <x:v>51</x:v>
      </x:c>
      <x:c r="G77" s="13" t="e">
        <x:f>第2日!B3</x:f>
        <x:v>#NAME?</x:v>
      </x:c>
      <x:c r="H77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7" s="13" t="e">
        <x:f>第2日!E3</x:f>
        <x:v>#NAME?</x:v>
      </x:c>
      <x:c r="J77" s="13" t="e">
        <x:f>第2日!G3</x:f>
        <x:v>#NAME?</x:v>
      </x:c>
      <x:c r="K77" s="13" t="e">
        <x:f>第2日!I3</x:f>
        <x:v>#NAME?</x:v>
      </x:c>
      <x:c r="L77" s="13" t="s">
        <x:v>532</x:v>
      </x:c>
      <x:c r="M77" s="13" t="s">
        <x:v>533</x:v>
      </x:c>
      <x:c r="N77" s="13" t="e">
        <x:f>第2日!I4="待设计"</x:f>
        <x:v>#NAME?</x:v>
      </x:c>
      <x:c r="O77" s="13">
        <x:v>1</x:v>
      </x:c>
      <x:c r="P77" s="13" t="e">
        <x:f>IF(第2日!B7="","",IFERROR(VLOOKUP(第2日!B7,敌人目录!$A$6:$B$68,2,FALSE),""))</x:f>
        <x:v>#NAME?</x:v>
      </x:c>
      <x:c r="Q77" s="13" t="e">
        <x:f>IF(第2日!B7="","",第2日!C7)</x:f>
        <x:v>#NAME?</x:v>
      </x:c>
      <x:c r="R77" s="13">
        <x:v>-1</x:v>
      </x:c>
      <x:c r="S77" s="13" t="e">
        <x:f>IF(第2日!B7="","",第2日!I7)</x:f>
        <x:v>#NAME?</x:v>
      </x:c>
    </x:row>
    <x:row r="78" ht="16.5">
      <x:c r="A78" s="13">
        <x:v>3</x:v>
      </x:c>
      <x:c r="B78" s="13" t="s">
        <x:v>531</x:v>
      </x:c>
      <x:c r="C78" s="13">
        <x:v>5</x:v>
      </x:c>
      <x:c r="D78" s="13">
        <x:v>2</x:v>
      </x:c>
      <x:c r="E78" s="13">
        <x:v>1</x:v>
      </x:c>
      <x:c r="F78" s="13" t="s">
        <x:v>51</x:v>
      </x:c>
      <x:c r="G78" s="13" t="e">
        <x:f>第2日!B3</x:f>
        <x:v>#NAME?</x:v>
      </x:c>
      <x:c r="H78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8" s="13" t="e">
        <x:f>第2日!E3</x:f>
        <x:v>#NAME?</x:v>
      </x:c>
      <x:c r="J78" s="13" t="e">
        <x:f>第2日!G3</x:f>
        <x:v>#NAME?</x:v>
      </x:c>
      <x:c r="K78" s="13" t="e">
        <x:f>第2日!I3</x:f>
        <x:v>#NAME?</x:v>
      </x:c>
      <x:c r="L78" s="13" t="s">
        <x:v>532</x:v>
      </x:c>
      <x:c r="M78" s="13" t="s">
        <x:v>533</x:v>
      </x:c>
      <x:c r="N78" s="13" t="e">
        <x:f>第2日!I4="待设计"</x:f>
        <x:v>#NAME?</x:v>
      </x:c>
      <x:c r="O78" s="13">
        <x:v>2</x:v>
      </x:c>
      <x:c r="P78" s="13" t="e">
        <x:f>IF(第2日!B8="","",IFERROR(VLOOKUP(第2日!B8,敌人目录!$A$6:$B$68,2,FALSE),""))</x:f>
        <x:v>#NAME?</x:v>
      </x:c>
      <x:c r="Q78" s="13" t="e">
        <x:f>IF(第2日!B8="","",第2日!C8)</x:f>
        <x:v>#NAME?</x:v>
      </x:c>
      <x:c r="R78" s="13">
        <x:v>-1</x:v>
      </x:c>
      <x:c r="S78" s="13" t="e">
        <x:f>IF(第2日!B8="","",第2日!I8)</x:f>
        <x:v>#NAME?</x:v>
      </x:c>
    </x:row>
    <x:row r="79" ht="16.5">
      <x:c r="A79" s="13">
        <x:v>3</x:v>
      </x:c>
      <x:c r="B79" s="13" t="s">
        <x:v>531</x:v>
      </x:c>
      <x:c r="C79" s="13">
        <x:v>5</x:v>
      </x:c>
      <x:c r="D79" s="13">
        <x:v>2</x:v>
      </x:c>
      <x:c r="E79" s="13">
        <x:v>1</x:v>
      </x:c>
      <x:c r="F79" s="13" t="s">
        <x:v>51</x:v>
      </x:c>
      <x:c r="G79" s="13" t="e">
        <x:f>第2日!B3</x:f>
        <x:v>#NAME?</x:v>
      </x:c>
      <x:c r="H79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9" s="13" t="e">
        <x:f>第2日!E3</x:f>
        <x:v>#NAME?</x:v>
      </x:c>
      <x:c r="J79" s="13" t="e">
        <x:f>第2日!G3</x:f>
        <x:v>#NAME?</x:v>
      </x:c>
      <x:c r="K79" s="13" t="e">
        <x:f>第2日!I3</x:f>
        <x:v>#NAME?</x:v>
      </x:c>
      <x:c r="L79" s="13" t="s">
        <x:v>532</x:v>
      </x:c>
      <x:c r="M79" s="13" t="s">
        <x:v>533</x:v>
      </x:c>
      <x:c r="N79" s="13" t="e">
        <x:f>第2日!I4="待设计"</x:f>
        <x:v>#NAME?</x:v>
      </x:c>
      <x:c r="O79" s="13">
        <x:v>3</x:v>
      </x:c>
      <x:c r="P79" s="13" t="e">
        <x:f>IF(第2日!B9="","",IFERROR(VLOOKUP(第2日!B9,敌人目录!$A$6:$B$68,2,FALSE),""))</x:f>
        <x:v>#NAME?</x:v>
      </x:c>
      <x:c r="Q79" s="13" t="e">
        <x:f>IF(第2日!B9="","",第2日!C9)</x:f>
        <x:v>#NAME?</x:v>
      </x:c>
      <x:c r="R79" s="13">
        <x:v>-1</x:v>
      </x:c>
      <x:c r="S79" s="13" t="e">
        <x:f>IF(第2日!B9="","",第2日!I9)</x:f>
        <x:v>#NAME?</x:v>
      </x:c>
    </x:row>
    <x:row r="80" ht="16.5">
      <x:c r="A80" s="13">
        <x:v>3</x:v>
      </x:c>
      <x:c r="B80" s="13" t="s">
        <x:v>531</x:v>
      </x:c>
      <x:c r="C80" s="13">
        <x:v>5</x:v>
      </x:c>
      <x:c r="D80" s="13">
        <x:v>2</x:v>
      </x:c>
      <x:c r="E80" s="13">
        <x:v>1</x:v>
      </x:c>
      <x:c r="F80" s="13" t="s">
        <x:v>51</x:v>
      </x:c>
      <x:c r="G80" s="13" t="e">
        <x:f>第2日!B3</x:f>
        <x:v>#NAME?</x:v>
      </x:c>
      <x:c r="H80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0" s="13" t="e">
        <x:f>第2日!E3</x:f>
        <x:v>#NAME?</x:v>
      </x:c>
      <x:c r="J80" s="13" t="e">
        <x:f>第2日!G3</x:f>
        <x:v>#NAME?</x:v>
      </x:c>
      <x:c r="K80" s="13" t="e">
        <x:f>第2日!I3</x:f>
        <x:v>#NAME?</x:v>
      </x:c>
      <x:c r="L80" s="13" t="s">
        <x:v>532</x:v>
      </x:c>
      <x:c r="M80" s="13" t="s">
        <x:v>533</x:v>
      </x:c>
      <x:c r="N80" s="13" t="e">
        <x:f>第2日!I4="待设计"</x:f>
        <x:v>#NAME?</x:v>
      </x:c>
      <x:c r="O80" s="13">
        <x:v>4</x:v>
      </x:c>
      <x:c r="P80" s="13" t="e">
        <x:f>IF(第2日!B10="","",IFERROR(VLOOKUP(第2日!B10,敌人目录!$A$6:$B$68,2,FALSE),""))</x:f>
        <x:v>#NAME?</x:v>
      </x:c>
      <x:c r="Q80" s="13" t="e">
        <x:f>IF(第2日!B10="","",第2日!C10)</x:f>
        <x:v>#NAME?</x:v>
      </x:c>
      <x:c r="R80" s="13">
        <x:v>-1</x:v>
      </x:c>
      <x:c r="S80" s="13" t="e">
        <x:f>IF(第2日!B10="","",第2日!I10)</x:f>
        <x:v>#NAME?</x:v>
      </x:c>
    </x:row>
    <x:row r="81" ht="16.5">
      <x:c r="A81" s="13">
        <x:v>3</x:v>
      </x:c>
      <x:c r="B81" s="13" t="s">
        <x:v>531</x:v>
      </x:c>
      <x:c r="C81" s="13">
        <x:v>5</x:v>
      </x:c>
      <x:c r="D81" s="13">
        <x:v>2</x:v>
      </x:c>
      <x:c r="E81" s="13">
        <x:v>1</x:v>
      </x:c>
      <x:c r="F81" s="13" t="s">
        <x:v>51</x:v>
      </x:c>
      <x:c r="G81" s="13" t="e">
        <x:f>第2日!B3</x:f>
        <x:v>#NAME?</x:v>
      </x:c>
      <x:c r="H81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1" s="13" t="e">
        <x:f>第2日!E3</x:f>
        <x:v>#NAME?</x:v>
      </x:c>
      <x:c r="J81" s="13" t="e">
        <x:f>第2日!G3</x:f>
        <x:v>#NAME?</x:v>
      </x:c>
      <x:c r="K81" s="13" t="e">
        <x:f>第2日!I3</x:f>
        <x:v>#NAME?</x:v>
      </x:c>
      <x:c r="L81" s="13" t="s">
        <x:v>532</x:v>
      </x:c>
      <x:c r="M81" s="13" t="s">
        <x:v>533</x:v>
      </x:c>
      <x:c r="N81" s="13" t="e">
        <x:f>第2日!I4="待设计"</x:f>
        <x:v>#NAME?</x:v>
      </x:c>
      <x:c r="O81" s="13">
        <x:v>5</x:v>
      </x:c>
      <x:c r="P81" s="13" t="e">
        <x:f>IF(第2日!B11="","",IFERROR(VLOOKUP(第2日!B11,敌人目录!$A$6:$B$68,2,FALSE),""))</x:f>
        <x:v>#NAME?</x:v>
      </x:c>
      <x:c r="Q81" s="13" t="e">
        <x:f>IF(第2日!B11="","",第2日!C11)</x:f>
        <x:v>#NAME?</x:v>
      </x:c>
      <x:c r="R81" s="13">
        <x:v>-1</x:v>
      </x:c>
      <x:c r="S81" s="13" t="e">
        <x:f>IF(第2日!B11="","",第2日!I11)</x:f>
        <x:v>#NAME?</x:v>
      </x:c>
    </x:row>
    <x:row r="82" ht="16.5">
      <x:c r="A82" s="13">
        <x:v>3</x:v>
      </x:c>
      <x:c r="B82" s="13" t="s">
        <x:v>531</x:v>
      </x:c>
      <x:c r="C82" s="13">
        <x:v>5</x:v>
      </x:c>
      <x:c r="D82" s="13">
        <x:v>2</x:v>
      </x:c>
      <x:c r="E82" s="13">
        <x:v>1</x:v>
      </x:c>
      <x:c r="F82" s="13" t="s">
        <x:v>51</x:v>
      </x:c>
      <x:c r="G82" s="13" t="e">
        <x:f>第2日!B3</x:f>
        <x:v>#NAME?</x:v>
      </x:c>
      <x:c r="H82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2" s="13" t="e">
        <x:f>第2日!E3</x:f>
        <x:v>#NAME?</x:v>
      </x:c>
      <x:c r="J82" s="13" t="e">
        <x:f>第2日!G3</x:f>
        <x:v>#NAME?</x:v>
      </x:c>
      <x:c r="K82" s="13" t="e">
        <x:f>第2日!I3</x:f>
        <x:v>#NAME?</x:v>
      </x:c>
      <x:c r="L82" s="13" t="s">
        <x:v>532</x:v>
      </x:c>
      <x:c r="M82" s="13" t="s">
        <x:v>533</x:v>
      </x:c>
      <x:c r="N82" s="13" t="e">
        <x:f>第2日!I4="待设计"</x:f>
        <x:v>#NAME?</x:v>
      </x:c>
      <x:c r="O82" s="13">
        <x:v>6</x:v>
      </x:c>
      <x:c r="P82" s="13" t="e">
        <x:f>IF(第2日!B12="","",IFERROR(VLOOKUP(第2日!B12,敌人目录!$A$6:$B$68,2,FALSE),""))</x:f>
        <x:v>#NAME?</x:v>
      </x:c>
      <x:c r="Q82" s="13" t="e">
        <x:f>IF(第2日!B12="","",第2日!C12)</x:f>
        <x:v>#NAME?</x:v>
      </x:c>
      <x:c r="R82" s="13">
        <x:v>-1</x:v>
      </x:c>
      <x:c r="S82" s="13" t="e">
        <x:f>IF(第2日!B12="","",第2日!I12)</x:f>
        <x:v>#NAME?</x:v>
      </x:c>
    </x:row>
    <x:row r="83" ht="16.5">
      <x:c r="A83" s="13">
        <x:v>3</x:v>
      </x:c>
      <x:c r="B83" s="13" t="s">
        <x:v>531</x:v>
      </x:c>
      <x:c r="C83" s="13">
        <x:v>5</x:v>
      </x:c>
      <x:c r="D83" s="13">
        <x:v>2</x:v>
      </x:c>
      <x:c r="E83" s="13">
        <x:v>1</x:v>
      </x:c>
      <x:c r="F83" s="13" t="s">
        <x:v>51</x:v>
      </x:c>
      <x:c r="G83" s="13" t="e">
        <x:f>第2日!B3</x:f>
        <x:v>#NAME?</x:v>
      </x:c>
      <x:c r="H83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3" s="13" t="e">
        <x:f>第2日!E3</x:f>
        <x:v>#NAME?</x:v>
      </x:c>
      <x:c r="J83" s="13" t="e">
        <x:f>第2日!G3</x:f>
        <x:v>#NAME?</x:v>
      </x:c>
      <x:c r="K83" s="13" t="e">
        <x:f>第2日!I3</x:f>
        <x:v>#NAME?</x:v>
      </x:c>
      <x:c r="L83" s="13" t="s">
        <x:v>532</x:v>
      </x:c>
      <x:c r="M83" s="13" t="s">
        <x:v>533</x:v>
      </x:c>
      <x:c r="N83" s="13" t="e">
        <x:f>第2日!I4="待设计"</x:f>
        <x:v>#NAME?</x:v>
      </x:c>
      <x:c r="O83" s="13">
        <x:v>7</x:v>
      </x:c>
      <x:c r="P83" s="13" t="e">
        <x:f>IF(第2日!B13="","",IFERROR(VLOOKUP(第2日!B13,敌人目录!$A$6:$B$68,2,FALSE),""))</x:f>
        <x:v>#NAME?</x:v>
      </x:c>
      <x:c r="Q83" s="13" t="e">
        <x:f>IF(第2日!B13="","",第2日!C13)</x:f>
        <x:v>#NAME?</x:v>
      </x:c>
      <x:c r="R83" s="13">
        <x:v>-1</x:v>
      </x:c>
      <x:c r="S83" s="13" t="e">
        <x:f>IF(第2日!B13="","",第2日!I13)</x:f>
        <x:v>#NAME?</x:v>
      </x:c>
    </x:row>
    <x:row r="84" ht="16.5">
      <x:c r="A84" s="13">
        <x:v>3</x:v>
      </x:c>
      <x:c r="B84" s="13" t="s">
        <x:v>531</x:v>
      </x:c>
      <x:c r="C84" s="13">
        <x:v>5</x:v>
      </x:c>
      <x:c r="D84" s="13">
        <x:v>2</x:v>
      </x:c>
      <x:c r="E84" s="13">
        <x:v>1</x:v>
      </x:c>
      <x:c r="F84" s="13" t="s">
        <x:v>51</x:v>
      </x:c>
      <x:c r="G84" s="13" t="e">
        <x:f>第2日!B3</x:f>
        <x:v>#NAME?</x:v>
      </x:c>
      <x:c r="H84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4" s="13" t="e">
        <x:f>第2日!E3</x:f>
        <x:v>#NAME?</x:v>
      </x:c>
      <x:c r="J84" s="13" t="e">
        <x:f>第2日!G3</x:f>
        <x:v>#NAME?</x:v>
      </x:c>
      <x:c r="K84" s="13" t="e">
        <x:f>第2日!I3</x:f>
        <x:v>#NAME?</x:v>
      </x:c>
      <x:c r="L84" s="13" t="s">
        <x:v>532</x:v>
      </x:c>
      <x:c r="M84" s="13" t="s">
        <x:v>533</x:v>
      </x:c>
      <x:c r="N84" s="13" t="e">
        <x:f>第2日!I4="待设计"</x:f>
        <x:v>#NAME?</x:v>
      </x:c>
      <x:c r="O84" s="13">
        <x:v>8</x:v>
      </x:c>
      <x:c r="P84" s="13" t="e">
        <x:f>IF(第2日!B14="","",IFERROR(VLOOKUP(第2日!B14,敌人目录!$A$6:$B$68,2,FALSE),""))</x:f>
        <x:v>#NAME?</x:v>
      </x:c>
      <x:c r="Q84" s="13" t="e">
        <x:f>IF(第2日!B14="","",第2日!C14)</x:f>
        <x:v>#NAME?</x:v>
      </x:c>
      <x:c r="R84" s="13">
        <x:v>-1</x:v>
      </x:c>
      <x:c r="S84" s="13" t="e">
        <x:f>IF(第2日!B14="","",第2日!I14)</x:f>
        <x:v>#NAME?</x:v>
      </x:c>
    </x:row>
    <x:row r="85" ht="16.5">
      <x:c r="A85" s="13">
        <x:v>3</x:v>
      </x:c>
      <x:c r="B85" s="13" t="s">
        <x:v>531</x:v>
      </x:c>
      <x:c r="C85" s="13">
        <x:v>5</x:v>
      </x:c>
      <x:c r="D85" s="13">
        <x:v>2</x:v>
      </x:c>
      <x:c r="E85" s="13">
        <x:v>1</x:v>
      </x:c>
      <x:c r="F85" s="13" t="s">
        <x:v>51</x:v>
      </x:c>
      <x:c r="G85" s="13" t="e">
        <x:f>第2日!B3</x:f>
        <x:v>#NAME?</x:v>
      </x:c>
      <x:c r="H85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5" s="13" t="e">
        <x:f>第2日!E3</x:f>
        <x:v>#NAME?</x:v>
      </x:c>
      <x:c r="J85" s="13" t="e">
        <x:f>第2日!G3</x:f>
        <x:v>#NAME?</x:v>
      </x:c>
      <x:c r="K85" s="13" t="e">
        <x:f>第2日!I3</x:f>
        <x:v>#NAME?</x:v>
      </x:c>
      <x:c r="L85" s="13" t="s">
        <x:v>532</x:v>
      </x:c>
      <x:c r="M85" s="13" t="s">
        <x:v>533</x:v>
      </x:c>
      <x:c r="N85" s="13" t="e">
        <x:f>第2日!I4="待设计"</x:f>
        <x:v>#NAME?</x:v>
      </x:c>
      <x:c r="O85" s="13">
        <x:v>9</x:v>
      </x:c>
      <x:c r="P85" s="13" t="e">
        <x:f>IF(第2日!B15="","",IFERROR(VLOOKUP(第2日!B15,敌人目录!$A$6:$B$68,2,FALSE),""))</x:f>
        <x:v>#NAME?</x:v>
      </x:c>
      <x:c r="Q85" s="13" t="e">
        <x:f>IF(第2日!B15="","",第2日!C15)</x:f>
        <x:v>#NAME?</x:v>
      </x:c>
      <x:c r="R85" s="13">
        <x:v>-1</x:v>
      </x:c>
      <x:c r="S85" s="13" t="e">
        <x:f>IF(第2日!B15="","",第2日!I15)</x:f>
        <x:v>#NAME?</x:v>
      </x:c>
    </x:row>
    <x:row r="86" ht="16.5">
      <x:c r="A86" s="13">
        <x:v>3</x:v>
      </x:c>
      <x:c r="B86" s="13" t="s">
        <x:v>531</x:v>
      </x:c>
      <x:c r="C86" s="13">
        <x:v>5</x:v>
      </x:c>
      <x:c r="D86" s="13">
        <x:v>2</x:v>
      </x:c>
      <x:c r="E86" s="13">
        <x:v>1</x:v>
      </x:c>
      <x:c r="F86" s="13" t="s">
        <x:v>51</x:v>
      </x:c>
      <x:c r="G86" s="13" t="e">
        <x:f>第2日!B3</x:f>
        <x:v>#NAME?</x:v>
      </x:c>
      <x:c r="H86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6" s="13" t="e">
        <x:f>第2日!E3</x:f>
        <x:v>#NAME?</x:v>
      </x:c>
      <x:c r="J86" s="13" t="e">
        <x:f>第2日!G3</x:f>
        <x:v>#NAME?</x:v>
      </x:c>
      <x:c r="K86" s="13" t="e">
        <x:f>第2日!I3</x:f>
        <x:v>#NAME?</x:v>
      </x:c>
      <x:c r="L86" s="13" t="s">
        <x:v>532</x:v>
      </x:c>
      <x:c r="M86" s="13" t="s">
        <x:v>533</x:v>
      </x:c>
      <x:c r="N86" s="13" t="e">
        <x:f>第2日!I4="待设计"</x:f>
        <x:v>#NAME?</x:v>
      </x:c>
      <x:c r="O86" s="13">
        <x:v>10</x:v>
      </x:c>
      <x:c r="P86" s="13" t="e">
        <x:f>IF(第2日!B16="","",IFERROR(VLOOKUP(第2日!B16,敌人目录!$A$6:$B$68,2,FALSE),""))</x:f>
        <x:v>#NAME?</x:v>
      </x:c>
      <x:c r="Q86" s="13" t="e">
        <x:f>IF(第2日!B16="","",第2日!C16)</x:f>
        <x:v>#NAME?</x:v>
      </x:c>
      <x:c r="R86" s="13">
        <x:v>-1</x:v>
      </x:c>
      <x:c r="S86" s="13" t="e">
        <x:f>IF(第2日!B16="","",第2日!I16)</x:f>
        <x:v>#NAME?</x:v>
      </x:c>
    </x:row>
    <x:row r="87" ht="16.5">
      <x:c r="A87" s="13">
        <x:v>3</x:v>
      </x:c>
      <x:c r="B87" s="13" t="s">
        <x:v>531</x:v>
      </x:c>
      <x:c r="C87" s="13">
        <x:v>5</x:v>
      </x:c>
      <x:c r="D87" s="13">
        <x:v>2</x:v>
      </x:c>
      <x:c r="E87" s="13">
        <x:v>1</x:v>
      </x:c>
      <x:c r="F87" s="13" t="s">
        <x:v>51</x:v>
      </x:c>
      <x:c r="G87" s="13" t="e">
        <x:f>第2日!B3</x:f>
        <x:v>#NAME?</x:v>
      </x:c>
      <x:c r="H87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7" s="13" t="e">
        <x:f>第2日!E3</x:f>
        <x:v>#NAME?</x:v>
      </x:c>
      <x:c r="J87" s="13" t="e">
        <x:f>第2日!G3</x:f>
        <x:v>#NAME?</x:v>
      </x:c>
      <x:c r="K87" s="13" t="e">
        <x:f>第2日!I3</x:f>
        <x:v>#NAME?</x:v>
      </x:c>
      <x:c r="L87" s="13" t="s">
        <x:v>532</x:v>
      </x:c>
      <x:c r="M87" s="13" t="s">
        <x:v>533</x:v>
      </x:c>
      <x:c r="N87" s="13" t="e">
        <x:f>第2日!I4="待设计"</x:f>
        <x:v>#NAME?</x:v>
      </x:c>
      <x:c r="O87" s="13">
        <x:v>11</x:v>
      </x:c>
      <x:c r="P87" s="13" t="e">
        <x:f>IF(第2日!B17="","",IFERROR(VLOOKUP(第2日!B17,敌人目录!$A$6:$B$68,2,FALSE),""))</x:f>
        <x:v>#NAME?</x:v>
      </x:c>
      <x:c r="Q87" s="13" t="e">
        <x:f>IF(第2日!B17="","",第2日!C17)</x:f>
        <x:v>#NAME?</x:v>
      </x:c>
      <x:c r="R87" s="13">
        <x:v>-1</x:v>
      </x:c>
      <x:c r="S87" s="13" t="e">
        <x:f>IF(第2日!B17="","",第2日!I17)</x:f>
        <x:v>#NAME?</x:v>
      </x:c>
    </x:row>
    <x:row r="88" ht="16.5">
      <x:c r="A88" s="13">
        <x:v>3</x:v>
      </x:c>
      <x:c r="B88" s="13" t="s">
        <x:v>531</x:v>
      </x:c>
      <x:c r="C88" s="13">
        <x:v>5</x:v>
      </x:c>
      <x:c r="D88" s="13">
        <x:v>2</x:v>
      </x:c>
      <x:c r="E88" s="13">
        <x:v>1</x:v>
      </x:c>
      <x:c r="F88" s="13" t="s">
        <x:v>51</x:v>
      </x:c>
      <x:c r="G88" s="13" t="e">
        <x:f>第2日!B3</x:f>
        <x:v>#NAME?</x:v>
      </x:c>
      <x:c r="H88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8" s="13" t="e">
        <x:f>第2日!E3</x:f>
        <x:v>#NAME?</x:v>
      </x:c>
      <x:c r="J88" s="13" t="e">
        <x:f>第2日!G3</x:f>
        <x:v>#NAME?</x:v>
      </x:c>
      <x:c r="K88" s="13" t="e">
        <x:f>第2日!I3</x:f>
        <x:v>#NAME?</x:v>
      </x:c>
      <x:c r="L88" s="13" t="s">
        <x:v>532</x:v>
      </x:c>
      <x:c r="M88" s="13" t="s">
        <x:v>533</x:v>
      </x:c>
      <x:c r="N88" s="13" t="e">
        <x:f>第2日!I4="待设计"</x:f>
        <x:v>#NAME?</x:v>
      </x:c>
      <x:c r="O88" s="13">
        <x:v>12</x:v>
      </x:c>
      <x:c r="P88" s="13" t="e">
        <x:f>IF(第2日!B18="","",IFERROR(VLOOKUP(第2日!B18,敌人目录!$A$6:$B$68,2,FALSE),""))</x:f>
        <x:v>#NAME?</x:v>
      </x:c>
      <x:c r="Q88" s="13" t="e">
        <x:f>IF(第2日!B18="","",第2日!C18)</x:f>
        <x:v>#NAME?</x:v>
      </x:c>
      <x:c r="R88" s="13">
        <x:v>-1</x:v>
      </x:c>
      <x:c r="S88" s="13" t="e">
        <x:f>IF(第2日!B18="","",第2日!I18)</x:f>
        <x:v>#NAME?</x:v>
      </x:c>
    </x:row>
    <x:row r="89" ht="16.5">
      <x:c r="A89" s="13">
        <x:v>3</x:v>
      </x:c>
      <x:c r="B89" s="13" t="s">
        <x:v>531</x:v>
      </x:c>
      <x:c r="C89" s="13">
        <x:v>5</x:v>
      </x:c>
      <x:c r="D89" s="13">
        <x:v>2</x:v>
      </x:c>
      <x:c r="E89" s="13">
        <x:v>1</x:v>
      </x:c>
      <x:c r="F89" s="13" t="s">
        <x:v>51</x:v>
      </x:c>
      <x:c r="G89" s="13" t="e">
        <x:f>第2日!B3</x:f>
        <x:v>#NAME?</x:v>
      </x:c>
      <x:c r="H89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9" s="13" t="e">
        <x:f>第2日!E3</x:f>
        <x:v>#NAME?</x:v>
      </x:c>
      <x:c r="J89" s="13" t="e">
        <x:f>第2日!G3</x:f>
        <x:v>#NAME?</x:v>
      </x:c>
      <x:c r="K89" s="13" t="e">
        <x:f>第2日!I3</x:f>
        <x:v>#NAME?</x:v>
      </x:c>
      <x:c r="L89" s="13" t="s">
        <x:v>532</x:v>
      </x:c>
      <x:c r="M89" s="13" t="s">
        <x:v>533</x:v>
      </x:c>
      <x:c r="N89" s="13" t="e">
        <x:f>第2日!I4="待设计"</x:f>
        <x:v>#NAME?</x:v>
      </x:c>
      <x:c r="O89" s="13">
        <x:v>13</x:v>
      </x:c>
      <x:c r="P89" s="13" t="e">
        <x:f>IF(第2日!B19="","",IFERROR(VLOOKUP(第2日!B19,敌人目录!$A$6:$B$68,2,FALSE),""))</x:f>
        <x:v>#NAME?</x:v>
      </x:c>
      <x:c r="Q89" s="13" t="e">
        <x:f>IF(第2日!B19="","",第2日!C19)</x:f>
        <x:v>#NAME?</x:v>
      </x:c>
      <x:c r="R89" s="13">
        <x:v>-1</x:v>
      </x:c>
      <x:c r="S89" s="13" t="e">
        <x:f>IF(第2日!B19="","",第2日!I19)</x:f>
        <x:v>#NAME?</x:v>
      </x:c>
    </x:row>
    <x:row r="90" ht="16.5">
      <x:c r="A90" s="13">
        <x:v>3</x:v>
      </x:c>
      <x:c r="B90" s="13" t="s">
        <x:v>531</x:v>
      </x:c>
      <x:c r="C90" s="13">
        <x:v>5</x:v>
      </x:c>
      <x:c r="D90" s="13">
        <x:v>2</x:v>
      </x:c>
      <x:c r="E90" s="13">
        <x:v>1</x:v>
      </x:c>
      <x:c r="F90" s="13" t="s">
        <x:v>51</x:v>
      </x:c>
      <x:c r="G90" s="13" t="e">
        <x:f>第2日!B3</x:f>
        <x:v>#NAME?</x:v>
      </x:c>
      <x:c r="H90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0" s="13" t="e">
        <x:f>第2日!E3</x:f>
        <x:v>#NAME?</x:v>
      </x:c>
      <x:c r="J90" s="13" t="e">
        <x:f>第2日!G3</x:f>
        <x:v>#NAME?</x:v>
      </x:c>
      <x:c r="K90" s="13" t="e">
        <x:f>第2日!I3</x:f>
        <x:v>#NAME?</x:v>
      </x:c>
      <x:c r="L90" s="13" t="s">
        <x:v>532</x:v>
      </x:c>
      <x:c r="M90" s="13" t="s">
        <x:v>533</x:v>
      </x:c>
      <x:c r="N90" s="13" t="e">
        <x:f>第2日!I4="待设计"</x:f>
        <x:v>#NAME?</x:v>
      </x:c>
      <x:c r="O90" s="13">
        <x:v>14</x:v>
      </x:c>
      <x:c r="P90" s="13" t="e">
        <x:f>IF(第2日!B20="","",IFERROR(VLOOKUP(第2日!B20,敌人目录!$A$6:$B$68,2,FALSE),""))</x:f>
        <x:v>#NAME?</x:v>
      </x:c>
      <x:c r="Q90" s="13" t="e">
        <x:f>IF(第2日!B20="","",第2日!C20)</x:f>
        <x:v>#NAME?</x:v>
      </x:c>
      <x:c r="R90" s="13">
        <x:v>-1</x:v>
      </x:c>
      <x:c r="S90" s="13" t="e">
        <x:f>IF(第2日!B20="","",第2日!I20)</x:f>
        <x:v>#NAME?</x:v>
      </x:c>
    </x:row>
    <x:row r="91" ht="16.5">
      <x:c r="A91" s="13">
        <x:v>3</x:v>
      </x:c>
      <x:c r="B91" s="13" t="s">
        <x:v>531</x:v>
      </x:c>
      <x:c r="C91" s="13">
        <x:v>5</x:v>
      </x:c>
      <x:c r="D91" s="13">
        <x:v>2</x:v>
      </x:c>
      <x:c r="E91" s="13">
        <x:v>1</x:v>
      </x:c>
      <x:c r="F91" s="13" t="s">
        <x:v>51</x:v>
      </x:c>
      <x:c r="G91" s="13" t="e">
        <x:f>第2日!B3</x:f>
        <x:v>#NAME?</x:v>
      </x:c>
      <x:c r="H91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1" s="13" t="e">
        <x:f>第2日!E3</x:f>
        <x:v>#NAME?</x:v>
      </x:c>
      <x:c r="J91" s="13" t="e">
        <x:f>第2日!G3</x:f>
        <x:v>#NAME?</x:v>
      </x:c>
      <x:c r="K91" s="13" t="e">
        <x:f>第2日!I3</x:f>
        <x:v>#NAME?</x:v>
      </x:c>
      <x:c r="L91" s="13" t="s">
        <x:v>532</x:v>
      </x:c>
      <x:c r="M91" s="13" t="s">
        <x:v>533</x:v>
      </x:c>
      <x:c r="N91" s="13" t="e">
        <x:f>第2日!I4="待设计"</x:f>
        <x:v>#NAME?</x:v>
      </x:c>
      <x:c r="O91" s="13">
        <x:v>15</x:v>
      </x:c>
      <x:c r="P91" s="13" t="e">
        <x:f>IF(第2日!B21="","",IFERROR(VLOOKUP(第2日!B21,敌人目录!$A$6:$B$68,2,FALSE),""))</x:f>
        <x:v>#NAME?</x:v>
      </x:c>
      <x:c r="Q91" s="13" t="e">
        <x:f>IF(第2日!B21="","",第2日!C21)</x:f>
        <x:v>#NAME?</x:v>
      </x:c>
      <x:c r="R91" s="13">
        <x:v>-1</x:v>
      </x:c>
      <x:c r="S91" s="13" t="e">
        <x:f>IF(第2日!B21="","",第2日!I21)</x:f>
        <x:v>#NAME?</x:v>
      </x:c>
    </x:row>
    <x:row r="92" ht="16.5">
      <x:c r="A92" s="13">
        <x:v>3</x:v>
      </x:c>
      <x:c r="B92" s="13" t="s">
        <x:v>531</x:v>
      </x:c>
      <x:c r="C92" s="13">
        <x:v>5</x:v>
      </x:c>
      <x:c r="D92" s="13">
        <x:v>2</x:v>
      </x:c>
      <x:c r="E92" s="13">
        <x:v>1</x:v>
      </x:c>
      <x:c r="F92" s="13" t="s">
        <x:v>51</x:v>
      </x:c>
      <x:c r="G92" s="13" t="e">
        <x:f>第2日!B3</x:f>
        <x:v>#NAME?</x:v>
      </x:c>
      <x:c r="H92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2" s="13" t="e">
        <x:f>第2日!E3</x:f>
        <x:v>#NAME?</x:v>
      </x:c>
      <x:c r="J92" s="13" t="e">
        <x:f>第2日!G3</x:f>
        <x:v>#NAME?</x:v>
      </x:c>
      <x:c r="K92" s="13" t="e">
        <x:f>第2日!I3</x:f>
        <x:v>#NAME?</x:v>
      </x:c>
      <x:c r="L92" s="13" t="s">
        <x:v>532</x:v>
      </x:c>
      <x:c r="M92" s="13" t="s">
        <x:v>533</x:v>
      </x:c>
      <x:c r="N92" s="13" t="e">
        <x:f>第2日!I4="待设计"</x:f>
        <x:v>#NAME?</x:v>
      </x:c>
      <x:c r="O92" s="13">
        <x:v>16</x:v>
      </x:c>
      <x:c r="P92" s="13" t="e">
        <x:f>IF(第2日!B22="","",IFERROR(VLOOKUP(第2日!B22,敌人目录!$A$6:$B$68,2,FALSE),""))</x:f>
        <x:v>#NAME?</x:v>
      </x:c>
      <x:c r="Q92" s="13" t="e">
        <x:f>IF(第2日!B22="","",第2日!C22)</x:f>
        <x:v>#NAME?</x:v>
      </x:c>
      <x:c r="R92" s="13">
        <x:v>-1</x:v>
      </x:c>
      <x:c r="S92" s="13" t="e">
        <x:f>IF(第2日!B22="","",第2日!I22)</x:f>
        <x:v>#NAME?</x:v>
      </x:c>
    </x:row>
    <x:row r="93" ht="16.5">
      <x:c r="A93" s="13">
        <x:v>3</x:v>
      </x:c>
      <x:c r="B93" s="13" t="s">
        <x:v>531</x:v>
      </x:c>
      <x:c r="C93" s="13">
        <x:v>5</x:v>
      </x:c>
      <x:c r="D93" s="13">
        <x:v>2</x:v>
      </x:c>
      <x:c r="E93" s="13">
        <x:v>1</x:v>
      </x:c>
      <x:c r="F93" s="13" t="s">
        <x:v>51</x:v>
      </x:c>
      <x:c r="G93" s="13" t="e">
        <x:f>第2日!B3</x:f>
        <x:v>#NAME?</x:v>
      </x:c>
      <x:c r="H93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3" s="13" t="e">
        <x:f>第2日!E3</x:f>
        <x:v>#NAME?</x:v>
      </x:c>
      <x:c r="J93" s="13" t="e">
        <x:f>第2日!G3</x:f>
        <x:v>#NAME?</x:v>
      </x:c>
      <x:c r="K93" s="13" t="e">
        <x:f>第2日!I3</x:f>
        <x:v>#NAME?</x:v>
      </x:c>
      <x:c r="L93" s="13" t="s">
        <x:v>532</x:v>
      </x:c>
      <x:c r="M93" s="13" t="s">
        <x:v>533</x:v>
      </x:c>
      <x:c r="N93" s="13" t="e">
        <x:f>第2日!I4="待设计"</x:f>
        <x:v>#NAME?</x:v>
      </x:c>
      <x:c r="O93" s="13">
        <x:v>17</x:v>
      </x:c>
      <x:c r="P93" s="13" t="e">
        <x:f>IF(第2日!B23="","",IFERROR(VLOOKUP(第2日!B23,敌人目录!$A$6:$B$68,2,FALSE),""))</x:f>
        <x:v>#NAME?</x:v>
      </x:c>
      <x:c r="Q93" s="13" t="e">
        <x:f>IF(第2日!B23="","",第2日!C23)</x:f>
        <x:v>#NAME?</x:v>
      </x:c>
      <x:c r="R93" s="13">
        <x:v>-1</x:v>
      </x:c>
      <x:c r="S93" s="13" t="e">
        <x:f>IF(第2日!B23="","",第2日!I23)</x:f>
        <x:v>#NAME?</x:v>
      </x:c>
    </x:row>
    <x:row r="94" ht="16.5">
      <x:c r="A94" s="13">
        <x:v>3</x:v>
      </x:c>
      <x:c r="B94" s="13" t="s">
        <x:v>531</x:v>
      </x:c>
      <x:c r="C94" s="13">
        <x:v>5</x:v>
      </x:c>
      <x:c r="D94" s="13">
        <x:v>2</x:v>
      </x:c>
      <x:c r="E94" s="13">
        <x:v>1</x:v>
      </x:c>
      <x:c r="F94" s="13" t="s">
        <x:v>51</x:v>
      </x:c>
      <x:c r="G94" s="13" t="e">
        <x:f>第2日!B3</x:f>
        <x:v>#NAME?</x:v>
      </x:c>
      <x:c r="H94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4" s="13" t="e">
        <x:f>第2日!E3</x:f>
        <x:v>#NAME?</x:v>
      </x:c>
      <x:c r="J94" s="13" t="e">
        <x:f>第2日!G3</x:f>
        <x:v>#NAME?</x:v>
      </x:c>
      <x:c r="K94" s="13" t="e">
        <x:f>第2日!I3</x:f>
        <x:v>#NAME?</x:v>
      </x:c>
      <x:c r="L94" s="13" t="s">
        <x:v>532</x:v>
      </x:c>
      <x:c r="M94" s="13" t="s">
        <x:v>533</x:v>
      </x:c>
      <x:c r="N94" s="13" t="e">
        <x:f>第2日!I4="待设计"</x:f>
        <x:v>#NAME?</x:v>
      </x:c>
      <x:c r="O94" s="13">
        <x:v>18</x:v>
      </x:c>
      <x:c r="P94" s="13" t="e">
        <x:f>IF(第2日!B24="","",IFERROR(VLOOKUP(第2日!B24,敌人目录!$A$6:$B$68,2,FALSE),""))</x:f>
        <x:v>#NAME?</x:v>
      </x:c>
      <x:c r="Q94" s="13" t="e">
        <x:f>IF(第2日!B24="","",第2日!C24)</x:f>
        <x:v>#NAME?</x:v>
      </x:c>
      <x:c r="R94" s="13">
        <x:v>-1</x:v>
      </x:c>
      <x:c r="S94" s="13" t="e">
        <x:f>IF(第2日!B24="","",第2日!I24)</x:f>
        <x:v>#NAME?</x:v>
      </x:c>
    </x:row>
    <x:row r="95" ht="16.5">
      <x:c r="A95" s="13">
        <x:v>3</x:v>
      </x:c>
      <x:c r="B95" s="13" t="s">
        <x:v>534</x:v>
      </x:c>
      <x:c r="C95" s="13">
        <x:v>6</x:v>
      </x:c>
      <x:c r="D95" s="13">
        <x:v>2</x:v>
      </x:c>
      <x:c r="E95" s="13">
        <x:v>2</x:v>
      </x:c>
      <x:c r="F95" s="13" t="s">
        <x:v>51</x:v>
      </x:c>
      <x:c r="G95" s="13" t="e">
        <x:f>第2日!B32</x:f>
        <x:v>#NAME?</x:v>
      </x:c>
      <x:c r="H95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5" s="13" t="e">
        <x:f>第2日!E32</x:f>
        <x:v>#NAME?</x:v>
      </x:c>
      <x:c r="J95" s="13" t="e">
        <x:f>第2日!G32</x:f>
        <x:v>#NAME?</x:v>
      </x:c>
      <x:c r="K95" s="13" t="e">
        <x:f>第2日!I32</x:f>
        <x:v>#NAME?</x:v>
      </x:c>
      <x:c r="L95" s="13" t="s">
        <x:v>532</x:v>
      </x:c>
      <x:c r="M95" s="13" t="s">
        <x:v>533</x:v>
      </x:c>
      <x:c r="N95" s="13" t="e">
        <x:f>第2日!I33="待设计"</x:f>
        <x:v>#NAME?</x:v>
      </x:c>
      <x:c r="O95" s="13">
        <x:v>1</x:v>
      </x:c>
      <x:c r="P95" s="13" t="e">
        <x:f>IF(第2日!B36="","",IFERROR(VLOOKUP(第2日!B36,敌人目录!$A$6:$B$68,2,FALSE),""))</x:f>
        <x:v>#NAME?</x:v>
      </x:c>
      <x:c r="Q95" s="13" t="e">
        <x:f>IF(第2日!B36="","",第2日!C36)</x:f>
        <x:v>#NAME?</x:v>
      </x:c>
      <x:c r="R95" s="13">
        <x:v>-1</x:v>
      </x:c>
      <x:c r="S95" s="13" t="e">
        <x:f>IF(第2日!B36="","",第2日!I36)</x:f>
        <x:v>#NAME?</x:v>
      </x:c>
    </x:row>
    <x:row r="96" ht="16.5">
      <x:c r="A96" s="13">
        <x:v>3</x:v>
      </x:c>
      <x:c r="B96" s="13" t="s">
        <x:v>534</x:v>
      </x:c>
      <x:c r="C96" s="13">
        <x:v>6</x:v>
      </x:c>
      <x:c r="D96" s="13">
        <x:v>2</x:v>
      </x:c>
      <x:c r="E96" s="13">
        <x:v>2</x:v>
      </x:c>
      <x:c r="F96" s="13" t="s">
        <x:v>51</x:v>
      </x:c>
      <x:c r="G96" s="13" t="e">
        <x:f>第2日!B32</x:f>
        <x:v>#NAME?</x:v>
      </x:c>
      <x:c r="H96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6" s="13" t="e">
        <x:f>第2日!E32</x:f>
        <x:v>#NAME?</x:v>
      </x:c>
      <x:c r="J96" s="13" t="e">
        <x:f>第2日!G32</x:f>
        <x:v>#NAME?</x:v>
      </x:c>
      <x:c r="K96" s="13" t="e">
        <x:f>第2日!I32</x:f>
        <x:v>#NAME?</x:v>
      </x:c>
      <x:c r="L96" s="13" t="s">
        <x:v>532</x:v>
      </x:c>
      <x:c r="M96" s="13" t="s">
        <x:v>533</x:v>
      </x:c>
      <x:c r="N96" s="13" t="e">
        <x:f>第2日!I33="待设计"</x:f>
        <x:v>#NAME?</x:v>
      </x:c>
      <x:c r="O96" s="13">
        <x:v>2</x:v>
      </x:c>
      <x:c r="P96" s="13" t="e">
        <x:f>IF(第2日!B37="","",IFERROR(VLOOKUP(第2日!B37,敌人目录!$A$6:$B$68,2,FALSE),""))</x:f>
        <x:v>#NAME?</x:v>
      </x:c>
      <x:c r="Q96" s="13" t="e">
        <x:f>IF(第2日!B37="","",第2日!C37)</x:f>
        <x:v>#NAME?</x:v>
      </x:c>
      <x:c r="R96" s="13">
        <x:v>-1</x:v>
      </x:c>
      <x:c r="S96" s="13" t="e">
        <x:f>IF(第2日!B37="","",第2日!I37)</x:f>
        <x:v>#NAME?</x:v>
      </x:c>
    </x:row>
    <x:row r="97" ht="16.5">
      <x:c r="A97" s="13">
        <x:v>3</x:v>
      </x:c>
      <x:c r="B97" s="13" t="s">
        <x:v>534</x:v>
      </x:c>
      <x:c r="C97" s="13">
        <x:v>6</x:v>
      </x:c>
      <x:c r="D97" s="13">
        <x:v>2</x:v>
      </x:c>
      <x:c r="E97" s="13">
        <x:v>2</x:v>
      </x:c>
      <x:c r="F97" s="13" t="s">
        <x:v>51</x:v>
      </x:c>
      <x:c r="G97" s="13" t="e">
        <x:f>第2日!B32</x:f>
        <x:v>#NAME?</x:v>
      </x:c>
      <x:c r="H97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7" s="13" t="e">
        <x:f>第2日!E32</x:f>
        <x:v>#NAME?</x:v>
      </x:c>
      <x:c r="J97" s="13" t="e">
        <x:f>第2日!G32</x:f>
        <x:v>#NAME?</x:v>
      </x:c>
      <x:c r="K97" s="13" t="e">
        <x:f>第2日!I32</x:f>
        <x:v>#NAME?</x:v>
      </x:c>
      <x:c r="L97" s="13" t="s">
        <x:v>532</x:v>
      </x:c>
      <x:c r="M97" s="13" t="s">
        <x:v>533</x:v>
      </x:c>
      <x:c r="N97" s="13" t="e">
        <x:f>第2日!I33="待设计"</x:f>
        <x:v>#NAME?</x:v>
      </x:c>
      <x:c r="O97" s="13">
        <x:v>3</x:v>
      </x:c>
      <x:c r="P97" s="13" t="e">
        <x:f>IF(第2日!B38="","",IFERROR(VLOOKUP(第2日!B38,敌人目录!$A$6:$B$68,2,FALSE),""))</x:f>
        <x:v>#NAME?</x:v>
      </x:c>
      <x:c r="Q97" s="13" t="e">
        <x:f>IF(第2日!B38="","",第2日!C38)</x:f>
        <x:v>#NAME?</x:v>
      </x:c>
      <x:c r="R97" s="13">
        <x:v>-1</x:v>
      </x:c>
      <x:c r="S97" s="13" t="e">
        <x:f>IF(第2日!B38="","",第2日!I38)</x:f>
        <x:v>#NAME?</x:v>
      </x:c>
    </x:row>
    <x:row r="98" ht="16.5">
      <x:c r="A98" s="13">
        <x:v>3</x:v>
      </x:c>
      <x:c r="B98" s="13" t="s">
        <x:v>534</x:v>
      </x:c>
      <x:c r="C98" s="13">
        <x:v>6</x:v>
      </x:c>
      <x:c r="D98" s="13">
        <x:v>2</x:v>
      </x:c>
      <x:c r="E98" s="13">
        <x:v>2</x:v>
      </x:c>
      <x:c r="F98" s="13" t="s">
        <x:v>51</x:v>
      </x:c>
      <x:c r="G98" s="13" t="e">
        <x:f>第2日!B32</x:f>
        <x:v>#NAME?</x:v>
      </x:c>
      <x:c r="H98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8" s="13" t="e">
        <x:f>第2日!E32</x:f>
        <x:v>#NAME?</x:v>
      </x:c>
      <x:c r="J98" s="13" t="e">
        <x:f>第2日!G32</x:f>
        <x:v>#NAME?</x:v>
      </x:c>
      <x:c r="K98" s="13" t="e">
        <x:f>第2日!I32</x:f>
        <x:v>#NAME?</x:v>
      </x:c>
      <x:c r="L98" s="13" t="s">
        <x:v>532</x:v>
      </x:c>
      <x:c r="M98" s="13" t="s">
        <x:v>533</x:v>
      </x:c>
      <x:c r="N98" s="13" t="e">
        <x:f>第2日!I33="待设计"</x:f>
        <x:v>#NAME?</x:v>
      </x:c>
      <x:c r="O98" s="13">
        <x:v>4</x:v>
      </x:c>
      <x:c r="P98" s="13" t="e">
        <x:f>IF(第2日!B39="","",IFERROR(VLOOKUP(第2日!B39,敌人目录!$A$6:$B$68,2,FALSE),""))</x:f>
        <x:v>#NAME?</x:v>
      </x:c>
      <x:c r="Q98" s="13" t="e">
        <x:f>IF(第2日!B39="","",第2日!C39)</x:f>
        <x:v>#NAME?</x:v>
      </x:c>
      <x:c r="R98" s="13">
        <x:v>-1</x:v>
      </x:c>
      <x:c r="S98" s="13" t="e">
        <x:f>IF(第2日!B39="","",第2日!I39)</x:f>
        <x:v>#NAME?</x:v>
      </x:c>
    </x:row>
    <x:row r="99" ht="16.5">
      <x:c r="A99" s="13">
        <x:v>3</x:v>
      </x:c>
      <x:c r="B99" s="13" t="s">
        <x:v>534</x:v>
      </x:c>
      <x:c r="C99" s="13">
        <x:v>6</x:v>
      </x:c>
      <x:c r="D99" s="13">
        <x:v>2</x:v>
      </x:c>
      <x:c r="E99" s="13">
        <x:v>2</x:v>
      </x:c>
      <x:c r="F99" s="13" t="s">
        <x:v>51</x:v>
      </x:c>
      <x:c r="G99" s="13" t="e">
        <x:f>第2日!B32</x:f>
        <x:v>#NAME?</x:v>
      </x:c>
      <x:c r="H99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9" s="13" t="e">
        <x:f>第2日!E32</x:f>
        <x:v>#NAME?</x:v>
      </x:c>
      <x:c r="J99" s="13" t="e">
        <x:f>第2日!G32</x:f>
        <x:v>#NAME?</x:v>
      </x:c>
      <x:c r="K99" s="13" t="e">
        <x:f>第2日!I32</x:f>
        <x:v>#NAME?</x:v>
      </x:c>
      <x:c r="L99" s="13" t="s">
        <x:v>532</x:v>
      </x:c>
      <x:c r="M99" s="13" t="s">
        <x:v>533</x:v>
      </x:c>
      <x:c r="N99" s="13" t="e">
        <x:f>第2日!I33="待设计"</x:f>
        <x:v>#NAME?</x:v>
      </x:c>
      <x:c r="O99" s="13">
        <x:v>5</x:v>
      </x:c>
      <x:c r="P99" s="13" t="e">
        <x:f>IF(第2日!B40="","",IFERROR(VLOOKUP(第2日!B40,敌人目录!$A$6:$B$68,2,FALSE),""))</x:f>
        <x:v>#NAME?</x:v>
      </x:c>
      <x:c r="Q99" s="13" t="e">
        <x:f>IF(第2日!B40="","",第2日!C40)</x:f>
        <x:v>#NAME?</x:v>
      </x:c>
      <x:c r="R99" s="13">
        <x:v>-1</x:v>
      </x:c>
      <x:c r="S99" s="13" t="e">
        <x:f>IF(第2日!B40="","",第2日!I40)</x:f>
        <x:v>#NAME?</x:v>
      </x:c>
    </x:row>
    <x:row r="100" ht="16.5">
      <x:c r="A100" s="13">
        <x:v>3</x:v>
      </x:c>
      <x:c r="B100" s="13" t="s">
        <x:v>534</x:v>
      </x:c>
      <x:c r="C100" s="13">
        <x:v>6</x:v>
      </x:c>
      <x:c r="D100" s="13">
        <x:v>2</x:v>
      </x:c>
      <x:c r="E100" s="13">
        <x:v>2</x:v>
      </x:c>
      <x:c r="F100" s="13" t="s">
        <x:v>51</x:v>
      </x:c>
      <x:c r="G100" s="13" t="e">
        <x:f>第2日!B32</x:f>
        <x:v>#NAME?</x:v>
      </x:c>
      <x:c r="H100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0" s="13" t="e">
        <x:f>第2日!E32</x:f>
        <x:v>#NAME?</x:v>
      </x:c>
      <x:c r="J100" s="13" t="e">
        <x:f>第2日!G32</x:f>
        <x:v>#NAME?</x:v>
      </x:c>
      <x:c r="K100" s="13" t="e">
        <x:f>第2日!I32</x:f>
        <x:v>#NAME?</x:v>
      </x:c>
      <x:c r="L100" s="13" t="s">
        <x:v>532</x:v>
      </x:c>
      <x:c r="M100" s="13" t="s">
        <x:v>533</x:v>
      </x:c>
      <x:c r="N100" s="13" t="e">
        <x:f>第2日!I33="待设计"</x:f>
        <x:v>#NAME?</x:v>
      </x:c>
      <x:c r="O100" s="13">
        <x:v>6</x:v>
      </x:c>
      <x:c r="P100" s="13" t="e">
        <x:f>IF(第2日!B41="","",IFERROR(VLOOKUP(第2日!B41,敌人目录!$A$6:$B$68,2,FALSE),""))</x:f>
        <x:v>#NAME?</x:v>
      </x:c>
      <x:c r="Q100" s="13" t="e">
        <x:f>IF(第2日!B41="","",第2日!C41)</x:f>
        <x:v>#NAME?</x:v>
      </x:c>
      <x:c r="R100" s="13">
        <x:v>-1</x:v>
      </x:c>
      <x:c r="S100" s="13" t="e">
        <x:f>IF(第2日!B41="","",第2日!I41)</x:f>
        <x:v>#NAME?</x:v>
      </x:c>
    </x:row>
    <x:row r="101" ht="16.5">
      <x:c r="A101" s="13">
        <x:v>3</x:v>
      </x:c>
      <x:c r="B101" s="13" t="s">
        <x:v>534</x:v>
      </x:c>
      <x:c r="C101" s="13">
        <x:v>6</x:v>
      </x:c>
      <x:c r="D101" s="13">
        <x:v>2</x:v>
      </x:c>
      <x:c r="E101" s="13">
        <x:v>2</x:v>
      </x:c>
      <x:c r="F101" s="13" t="s">
        <x:v>51</x:v>
      </x:c>
      <x:c r="G101" s="13" t="e">
        <x:f>第2日!B32</x:f>
        <x:v>#NAME?</x:v>
      </x:c>
      <x:c r="H101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1" s="13" t="e">
        <x:f>第2日!E32</x:f>
        <x:v>#NAME?</x:v>
      </x:c>
      <x:c r="J101" s="13" t="e">
        <x:f>第2日!G32</x:f>
        <x:v>#NAME?</x:v>
      </x:c>
      <x:c r="K101" s="13" t="e">
        <x:f>第2日!I32</x:f>
        <x:v>#NAME?</x:v>
      </x:c>
      <x:c r="L101" s="13" t="s">
        <x:v>532</x:v>
      </x:c>
      <x:c r="M101" s="13" t="s">
        <x:v>533</x:v>
      </x:c>
      <x:c r="N101" s="13" t="e">
        <x:f>第2日!I33="待设计"</x:f>
        <x:v>#NAME?</x:v>
      </x:c>
      <x:c r="O101" s="13">
        <x:v>7</x:v>
      </x:c>
      <x:c r="P101" s="13" t="e">
        <x:f>IF(第2日!B42="","",IFERROR(VLOOKUP(第2日!B42,敌人目录!$A$6:$B$68,2,FALSE),""))</x:f>
        <x:v>#NAME?</x:v>
      </x:c>
      <x:c r="Q101" s="13" t="e">
        <x:f>IF(第2日!B42="","",第2日!C42)</x:f>
        <x:v>#NAME?</x:v>
      </x:c>
      <x:c r="R101" s="13">
        <x:v>-1</x:v>
      </x:c>
      <x:c r="S101" s="13" t="e">
        <x:f>IF(第2日!B42="","",第2日!I42)</x:f>
        <x:v>#NAME?</x:v>
      </x:c>
    </x:row>
    <x:row r="102" ht="16.5">
      <x:c r="A102" s="13">
        <x:v>3</x:v>
      </x:c>
      <x:c r="B102" s="13" t="s">
        <x:v>534</x:v>
      </x:c>
      <x:c r="C102" s="13">
        <x:v>6</x:v>
      </x:c>
      <x:c r="D102" s="13">
        <x:v>2</x:v>
      </x:c>
      <x:c r="E102" s="13">
        <x:v>2</x:v>
      </x:c>
      <x:c r="F102" s="13" t="s">
        <x:v>51</x:v>
      </x:c>
      <x:c r="G102" s="13" t="e">
        <x:f>第2日!B32</x:f>
        <x:v>#NAME?</x:v>
      </x:c>
      <x:c r="H102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2" s="13" t="e">
        <x:f>第2日!E32</x:f>
        <x:v>#NAME?</x:v>
      </x:c>
      <x:c r="J102" s="13" t="e">
        <x:f>第2日!G32</x:f>
        <x:v>#NAME?</x:v>
      </x:c>
      <x:c r="K102" s="13" t="e">
        <x:f>第2日!I32</x:f>
        <x:v>#NAME?</x:v>
      </x:c>
      <x:c r="L102" s="13" t="s">
        <x:v>532</x:v>
      </x:c>
      <x:c r="M102" s="13" t="s">
        <x:v>533</x:v>
      </x:c>
      <x:c r="N102" s="13" t="e">
        <x:f>第2日!I33="待设计"</x:f>
        <x:v>#NAME?</x:v>
      </x:c>
      <x:c r="O102" s="13">
        <x:v>8</x:v>
      </x:c>
      <x:c r="P102" s="13" t="e">
        <x:f>IF(第2日!B43="","",IFERROR(VLOOKUP(第2日!B43,敌人目录!$A$6:$B$68,2,FALSE),""))</x:f>
        <x:v>#NAME?</x:v>
      </x:c>
      <x:c r="Q102" s="13" t="e">
        <x:f>IF(第2日!B43="","",第2日!C43)</x:f>
        <x:v>#NAME?</x:v>
      </x:c>
      <x:c r="R102" s="13">
        <x:v>-1</x:v>
      </x:c>
      <x:c r="S102" s="13" t="e">
        <x:f>IF(第2日!B43="","",第2日!I43)</x:f>
        <x:v>#NAME?</x:v>
      </x:c>
    </x:row>
    <x:row r="103" ht="16.5">
      <x:c r="A103" s="13">
        <x:v>3</x:v>
      </x:c>
      <x:c r="B103" s="13" t="s">
        <x:v>534</x:v>
      </x:c>
      <x:c r="C103" s="13">
        <x:v>6</x:v>
      </x:c>
      <x:c r="D103" s="13">
        <x:v>2</x:v>
      </x:c>
      <x:c r="E103" s="13">
        <x:v>2</x:v>
      </x:c>
      <x:c r="F103" s="13" t="s">
        <x:v>51</x:v>
      </x:c>
      <x:c r="G103" s="13" t="e">
        <x:f>第2日!B32</x:f>
        <x:v>#NAME?</x:v>
      </x:c>
      <x:c r="H103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3" s="13" t="e">
        <x:f>第2日!E32</x:f>
        <x:v>#NAME?</x:v>
      </x:c>
      <x:c r="J103" s="13" t="e">
        <x:f>第2日!G32</x:f>
        <x:v>#NAME?</x:v>
      </x:c>
      <x:c r="K103" s="13" t="e">
        <x:f>第2日!I32</x:f>
        <x:v>#NAME?</x:v>
      </x:c>
      <x:c r="L103" s="13" t="s">
        <x:v>532</x:v>
      </x:c>
      <x:c r="M103" s="13" t="s">
        <x:v>533</x:v>
      </x:c>
      <x:c r="N103" s="13" t="e">
        <x:f>第2日!I33="待设计"</x:f>
        <x:v>#NAME?</x:v>
      </x:c>
      <x:c r="O103" s="13">
        <x:v>9</x:v>
      </x:c>
      <x:c r="P103" s="13" t="e">
        <x:f>IF(第2日!B44="","",IFERROR(VLOOKUP(第2日!B44,敌人目录!$A$6:$B$68,2,FALSE),""))</x:f>
        <x:v>#NAME?</x:v>
      </x:c>
      <x:c r="Q103" s="13" t="e">
        <x:f>IF(第2日!B44="","",第2日!C44)</x:f>
        <x:v>#NAME?</x:v>
      </x:c>
      <x:c r="R103" s="13">
        <x:v>-1</x:v>
      </x:c>
      <x:c r="S103" s="13" t="e">
        <x:f>IF(第2日!B44="","",第2日!I44)</x:f>
        <x:v>#NAME?</x:v>
      </x:c>
    </x:row>
    <x:row r="104" ht="16.5">
      <x:c r="A104" s="13">
        <x:v>3</x:v>
      </x:c>
      <x:c r="B104" s="13" t="s">
        <x:v>534</x:v>
      </x:c>
      <x:c r="C104" s="13">
        <x:v>6</x:v>
      </x:c>
      <x:c r="D104" s="13">
        <x:v>2</x:v>
      </x:c>
      <x:c r="E104" s="13">
        <x:v>2</x:v>
      </x:c>
      <x:c r="F104" s="13" t="s">
        <x:v>51</x:v>
      </x:c>
      <x:c r="G104" s="13" t="e">
        <x:f>第2日!B32</x:f>
        <x:v>#NAME?</x:v>
      </x:c>
      <x:c r="H104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4" s="13" t="e">
        <x:f>第2日!E32</x:f>
        <x:v>#NAME?</x:v>
      </x:c>
      <x:c r="J104" s="13" t="e">
        <x:f>第2日!G32</x:f>
        <x:v>#NAME?</x:v>
      </x:c>
      <x:c r="K104" s="13" t="e">
        <x:f>第2日!I32</x:f>
        <x:v>#NAME?</x:v>
      </x:c>
      <x:c r="L104" s="13" t="s">
        <x:v>532</x:v>
      </x:c>
      <x:c r="M104" s="13" t="s">
        <x:v>533</x:v>
      </x:c>
      <x:c r="N104" s="13" t="e">
        <x:f>第2日!I33="待设计"</x:f>
        <x:v>#NAME?</x:v>
      </x:c>
      <x:c r="O104" s="13">
        <x:v>10</x:v>
      </x:c>
      <x:c r="P104" s="13" t="e">
        <x:f>IF(第2日!B45="","",IFERROR(VLOOKUP(第2日!B45,敌人目录!$A$6:$B$68,2,FALSE),""))</x:f>
        <x:v>#NAME?</x:v>
      </x:c>
      <x:c r="Q104" s="13" t="e">
        <x:f>IF(第2日!B45="","",第2日!C45)</x:f>
        <x:v>#NAME?</x:v>
      </x:c>
      <x:c r="R104" s="13">
        <x:v>-1</x:v>
      </x:c>
      <x:c r="S104" s="13" t="e">
        <x:f>IF(第2日!B45="","",第2日!I45)</x:f>
        <x:v>#NAME?</x:v>
      </x:c>
    </x:row>
    <x:row r="105" ht="16.5">
      <x:c r="A105" s="13">
        <x:v>3</x:v>
      </x:c>
      <x:c r="B105" s="13" t="s">
        <x:v>534</x:v>
      </x:c>
      <x:c r="C105" s="13">
        <x:v>6</x:v>
      </x:c>
      <x:c r="D105" s="13">
        <x:v>2</x:v>
      </x:c>
      <x:c r="E105" s="13">
        <x:v>2</x:v>
      </x:c>
      <x:c r="F105" s="13" t="s">
        <x:v>51</x:v>
      </x:c>
      <x:c r="G105" s="13" t="e">
        <x:f>第2日!B32</x:f>
        <x:v>#NAME?</x:v>
      </x:c>
      <x:c r="H105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5" s="13" t="e">
        <x:f>第2日!E32</x:f>
        <x:v>#NAME?</x:v>
      </x:c>
      <x:c r="J105" s="13" t="e">
        <x:f>第2日!G32</x:f>
        <x:v>#NAME?</x:v>
      </x:c>
      <x:c r="K105" s="13" t="e">
        <x:f>第2日!I32</x:f>
        <x:v>#NAME?</x:v>
      </x:c>
      <x:c r="L105" s="13" t="s">
        <x:v>532</x:v>
      </x:c>
      <x:c r="M105" s="13" t="s">
        <x:v>533</x:v>
      </x:c>
      <x:c r="N105" s="13" t="e">
        <x:f>第2日!I33="待设计"</x:f>
        <x:v>#NAME?</x:v>
      </x:c>
      <x:c r="O105" s="13">
        <x:v>11</x:v>
      </x:c>
      <x:c r="P105" s="13" t="e">
        <x:f>IF(第2日!B46="","",IFERROR(VLOOKUP(第2日!B46,敌人目录!$A$6:$B$68,2,FALSE),""))</x:f>
        <x:v>#NAME?</x:v>
      </x:c>
      <x:c r="Q105" s="13" t="e">
        <x:f>IF(第2日!B46="","",第2日!C46)</x:f>
        <x:v>#NAME?</x:v>
      </x:c>
      <x:c r="R105" s="13">
        <x:v>-1</x:v>
      </x:c>
      <x:c r="S105" s="13" t="e">
        <x:f>IF(第2日!B46="","",第2日!I46)</x:f>
        <x:v>#NAME?</x:v>
      </x:c>
    </x:row>
    <x:row r="106" ht="16.5">
      <x:c r="A106" s="13">
        <x:v>3</x:v>
      </x:c>
      <x:c r="B106" s="13" t="s">
        <x:v>534</x:v>
      </x:c>
      <x:c r="C106" s="13">
        <x:v>6</x:v>
      </x:c>
      <x:c r="D106" s="13">
        <x:v>2</x:v>
      </x:c>
      <x:c r="E106" s="13">
        <x:v>2</x:v>
      </x:c>
      <x:c r="F106" s="13" t="s">
        <x:v>51</x:v>
      </x:c>
      <x:c r="G106" s="13" t="e">
        <x:f>第2日!B32</x:f>
        <x:v>#NAME?</x:v>
      </x:c>
      <x:c r="H106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6" s="13" t="e">
        <x:f>第2日!E32</x:f>
        <x:v>#NAME?</x:v>
      </x:c>
      <x:c r="J106" s="13" t="e">
        <x:f>第2日!G32</x:f>
        <x:v>#NAME?</x:v>
      </x:c>
      <x:c r="K106" s="13" t="e">
        <x:f>第2日!I32</x:f>
        <x:v>#NAME?</x:v>
      </x:c>
      <x:c r="L106" s="13" t="s">
        <x:v>532</x:v>
      </x:c>
      <x:c r="M106" s="13" t="s">
        <x:v>533</x:v>
      </x:c>
      <x:c r="N106" s="13" t="e">
        <x:f>第2日!I33="待设计"</x:f>
        <x:v>#NAME?</x:v>
      </x:c>
      <x:c r="O106" s="13">
        <x:v>12</x:v>
      </x:c>
      <x:c r="P106" s="13" t="e">
        <x:f>IF(第2日!B47="","",IFERROR(VLOOKUP(第2日!B47,敌人目录!$A$6:$B$68,2,FALSE),""))</x:f>
        <x:v>#NAME?</x:v>
      </x:c>
      <x:c r="Q106" s="13" t="e">
        <x:f>IF(第2日!B47="","",第2日!C47)</x:f>
        <x:v>#NAME?</x:v>
      </x:c>
      <x:c r="R106" s="13">
        <x:v>-1</x:v>
      </x:c>
      <x:c r="S106" s="13" t="e">
        <x:f>IF(第2日!B47="","",第2日!I47)</x:f>
        <x:v>#NAME?</x:v>
      </x:c>
    </x:row>
    <x:row r="107" ht="16.5">
      <x:c r="A107" s="13">
        <x:v>3</x:v>
      </x:c>
      <x:c r="B107" s="13" t="s">
        <x:v>534</x:v>
      </x:c>
      <x:c r="C107" s="13">
        <x:v>6</x:v>
      </x:c>
      <x:c r="D107" s="13">
        <x:v>2</x:v>
      </x:c>
      <x:c r="E107" s="13">
        <x:v>2</x:v>
      </x:c>
      <x:c r="F107" s="13" t="s">
        <x:v>51</x:v>
      </x:c>
      <x:c r="G107" s="13" t="e">
        <x:f>第2日!B32</x:f>
        <x:v>#NAME?</x:v>
      </x:c>
      <x:c r="H107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7" s="13" t="e">
        <x:f>第2日!E32</x:f>
        <x:v>#NAME?</x:v>
      </x:c>
      <x:c r="J107" s="13" t="e">
        <x:f>第2日!G32</x:f>
        <x:v>#NAME?</x:v>
      </x:c>
      <x:c r="K107" s="13" t="e">
        <x:f>第2日!I32</x:f>
        <x:v>#NAME?</x:v>
      </x:c>
      <x:c r="L107" s="13" t="s">
        <x:v>532</x:v>
      </x:c>
      <x:c r="M107" s="13" t="s">
        <x:v>533</x:v>
      </x:c>
      <x:c r="N107" s="13" t="e">
        <x:f>第2日!I33="待设计"</x:f>
        <x:v>#NAME?</x:v>
      </x:c>
      <x:c r="O107" s="13">
        <x:v>13</x:v>
      </x:c>
      <x:c r="P107" s="13" t="e">
        <x:f>IF(第2日!B48="","",IFERROR(VLOOKUP(第2日!B48,敌人目录!$A$6:$B$68,2,FALSE),""))</x:f>
        <x:v>#NAME?</x:v>
      </x:c>
      <x:c r="Q107" s="13" t="e">
        <x:f>IF(第2日!B48="","",第2日!C48)</x:f>
        <x:v>#NAME?</x:v>
      </x:c>
      <x:c r="R107" s="13">
        <x:v>-1</x:v>
      </x:c>
      <x:c r="S107" s="13" t="e">
        <x:f>IF(第2日!B48="","",第2日!I48)</x:f>
        <x:v>#NAME?</x:v>
      </x:c>
    </x:row>
    <x:row r="108" ht="16.5">
      <x:c r="A108" s="13">
        <x:v>3</x:v>
      </x:c>
      <x:c r="B108" s="13" t="s">
        <x:v>534</x:v>
      </x:c>
      <x:c r="C108" s="13">
        <x:v>6</x:v>
      </x:c>
      <x:c r="D108" s="13">
        <x:v>2</x:v>
      </x:c>
      <x:c r="E108" s="13">
        <x:v>2</x:v>
      </x:c>
      <x:c r="F108" s="13" t="s">
        <x:v>51</x:v>
      </x:c>
      <x:c r="G108" s="13" t="e">
        <x:f>第2日!B32</x:f>
        <x:v>#NAME?</x:v>
      </x:c>
      <x:c r="H108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8" s="13" t="e">
        <x:f>第2日!E32</x:f>
        <x:v>#NAME?</x:v>
      </x:c>
      <x:c r="J108" s="13" t="e">
        <x:f>第2日!G32</x:f>
        <x:v>#NAME?</x:v>
      </x:c>
      <x:c r="K108" s="13" t="e">
        <x:f>第2日!I32</x:f>
        <x:v>#NAME?</x:v>
      </x:c>
      <x:c r="L108" s="13" t="s">
        <x:v>532</x:v>
      </x:c>
      <x:c r="M108" s="13" t="s">
        <x:v>533</x:v>
      </x:c>
      <x:c r="N108" s="13" t="e">
        <x:f>第2日!I33="待设计"</x:f>
        <x:v>#NAME?</x:v>
      </x:c>
      <x:c r="O108" s="13">
        <x:v>14</x:v>
      </x:c>
      <x:c r="P108" s="13" t="e">
        <x:f>IF(第2日!B49="","",IFERROR(VLOOKUP(第2日!B49,敌人目录!$A$6:$B$68,2,FALSE),""))</x:f>
        <x:v>#NAME?</x:v>
      </x:c>
      <x:c r="Q108" s="13" t="e">
        <x:f>IF(第2日!B49="","",第2日!C49)</x:f>
        <x:v>#NAME?</x:v>
      </x:c>
      <x:c r="R108" s="13">
        <x:v>-1</x:v>
      </x:c>
      <x:c r="S108" s="13" t="e">
        <x:f>IF(第2日!B49="","",第2日!I49)</x:f>
        <x:v>#NAME?</x:v>
      </x:c>
    </x:row>
    <x:row r="109" ht="16.5">
      <x:c r="A109" s="13">
        <x:v>3</x:v>
      </x:c>
      <x:c r="B109" s="13" t="s">
        <x:v>534</x:v>
      </x:c>
      <x:c r="C109" s="13">
        <x:v>6</x:v>
      </x:c>
      <x:c r="D109" s="13">
        <x:v>2</x:v>
      </x:c>
      <x:c r="E109" s="13">
        <x:v>2</x:v>
      </x:c>
      <x:c r="F109" s="13" t="s">
        <x:v>51</x:v>
      </x:c>
      <x:c r="G109" s="13" t="e">
        <x:f>第2日!B32</x:f>
        <x:v>#NAME?</x:v>
      </x:c>
      <x:c r="H109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9" s="13" t="e">
        <x:f>第2日!E32</x:f>
        <x:v>#NAME?</x:v>
      </x:c>
      <x:c r="J109" s="13" t="e">
        <x:f>第2日!G32</x:f>
        <x:v>#NAME?</x:v>
      </x:c>
      <x:c r="K109" s="13" t="e">
        <x:f>第2日!I32</x:f>
        <x:v>#NAME?</x:v>
      </x:c>
      <x:c r="L109" s="13" t="s">
        <x:v>532</x:v>
      </x:c>
      <x:c r="M109" s="13" t="s">
        <x:v>533</x:v>
      </x:c>
      <x:c r="N109" s="13" t="e">
        <x:f>第2日!I33="待设计"</x:f>
        <x:v>#NAME?</x:v>
      </x:c>
      <x:c r="O109" s="13">
        <x:v>15</x:v>
      </x:c>
      <x:c r="P109" s="13" t="e">
        <x:f>IF(第2日!B50="","",IFERROR(VLOOKUP(第2日!B50,敌人目录!$A$6:$B$68,2,FALSE),""))</x:f>
        <x:v>#NAME?</x:v>
      </x:c>
      <x:c r="Q109" s="13" t="e">
        <x:f>IF(第2日!B50="","",第2日!C50)</x:f>
        <x:v>#NAME?</x:v>
      </x:c>
      <x:c r="R109" s="13">
        <x:v>-1</x:v>
      </x:c>
      <x:c r="S109" s="13" t="e">
        <x:f>IF(第2日!B50="","",第2日!I50)</x:f>
        <x:v>#NAME?</x:v>
      </x:c>
    </x:row>
    <x:row r="110" ht="16.5">
      <x:c r="A110" s="13">
        <x:v>3</x:v>
      </x:c>
      <x:c r="B110" s="13" t="s">
        <x:v>534</x:v>
      </x:c>
      <x:c r="C110" s="13">
        <x:v>6</x:v>
      </x:c>
      <x:c r="D110" s="13">
        <x:v>2</x:v>
      </x:c>
      <x:c r="E110" s="13">
        <x:v>2</x:v>
      </x:c>
      <x:c r="F110" s="13" t="s">
        <x:v>51</x:v>
      </x:c>
      <x:c r="G110" s="13" t="e">
        <x:f>第2日!B32</x:f>
        <x:v>#NAME?</x:v>
      </x:c>
      <x:c r="H110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0" s="13" t="e">
        <x:f>第2日!E32</x:f>
        <x:v>#NAME?</x:v>
      </x:c>
      <x:c r="J110" s="13" t="e">
        <x:f>第2日!G32</x:f>
        <x:v>#NAME?</x:v>
      </x:c>
      <x:c r="K110" s="13" t="e">
        <x:f>第2日!I32</x:f>
        <x:v>#NAME?</x:v>
      </x:c>
      <x:c r="L110" s="13" t="s">
        <x:v>532</x:v>
      </x:c>
      <x:c r="M110" s="13" t="s">
        <x:v>533</x:v>
      </x:c>
      <x:c r="N110" s="13" t="e">
        <x:f>第2日!I33="待设计"</x:f>
        <x:v>#NAME?</x:v>
      </x:c>
      <x:c r="O110" s="13">
        <x:v>16</x:v>
      </x:c>
      <x:c r="P110" s="13" t="e">
        <x:f>IF(第2日!B51="","",IFERROR(VLOOKUP(第2日!B51,敌人目录!$A$6:$B$68,2,FALSE),""))</x:f>
        <x:v>#NAME?</x:v>
      </x:c>
      <x:c r="Q110" s="13" t="e">
        <x:f>IF(第2日!B51="","",第2日!C51)</x:f>
        <x:v>#NAME?</x:v>
      </x:c>
      <x:c r="R110" s="13">
        <x:v>-1</x:v>
      </x:c>
      <x:c r="S110" s="13" t="e">
        <x:f>IF(第2日!B51="","",第2日!I51)</x:f>
        <x:v>#NAME?</x:v>
      </x:c>
    </x:row>
    <x:row r="111" ht="16.5">
      <x:c r="A111" s="13">
        <x:v>3</x:v>
      </x:c>
      <x:c r="B111" s="13" t="s">
        <x:v>534</x:v>
      </x:c>
      <x:c r="C111" s="13">
        <x:v>6</x:v>
      </x:c>
      <x:c r="D111" s="13">
        <x:v>2</x:v>
      </x:c>
      <x:c r="E111" s="13">
        <x:v>2</x:v>
      </x:c>
      <x:c r="F111" s="13" t="s">
        <x:v>51</x:v>
      </x:c>
      <x:c r="G111" s="13" t="e">
        <x:f>第2日!B32</x:f>
        <x:v>#NAME?</x:v>
      </x:c>
      <x:c r="H111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1" s="13" t="e">
        <x:f>第2日!E32</x:f>
        <x:v>#NAME?</x:v>
      </x:c>
      <x:c r="J111" s="13" t="e">
        <x:f>第2日!G32</x:f>
        <x:v>#NAME?</x:v>
      </x:c>
      <x:c r="K111" s="13" t="e">
        <x:f>第2日!I32</x:f>
        <x:v>#NAME?</x:v>
      </x:c>
      <x:c r="L111" s="13" t="s">
        <x:v>532</x:v>
      </x:c>
      <x:c r="M111" s="13" t="s">
        <x:v>533</x:v>
      </x:c>
      <x:c r="N111" s="13" t="e">
        <x:f>第2日!I33="待设计"</x:f>
        <x:v>#NAME?</x:v>
      </x:c>
      <x:c r="O111" s="13">
        <x:v>17</x:v>
      </x:c>
      <x:c r="P111" s="13" t="e">
        <x:f>IF(第2日!B52="","",IFERROR(VLOOKUP(第2日!B52,敌人目录!$A$6:$B$68,2,FALSE),""))</x:f>
        <x:v>#NAME?</x:v>
      </x:c>
      <x:c r="Q111" s="13" t="e">
        <x:f>IF(第2日!B52="","",第2日!C52)</x:f>
        <x:v>#NAME?</x:v>
      </x:c>
      <x:c r="R111" s="13">
        <x:v>-1</x:v>
      </x:c>
      <x:c r="S111" s="13" t="e">
        <x:f>IF(第2日!B52="","",第2日!I52)</x:f>
        <x:v>#NAME?</x:v>
      </x:c>
    </x:row>
    <x:row r="112" ht="16.5">
      <x:c r="A112" s="13">
        <x:v>3</x:v>
      </x:c>
      <x:c r="B112" s="13" t="s">
        <x:v>534</x:v>
      </x:c>
      <x:c r="C112" s="13">
        <x:v>6</x:v>
      </x:c>
      <x:c r="D112" s="13">
        <x:v>2</x:v>
      </x:c>
      <x:c r="E112" s="13">
        <x:v>2</x:v>
      </x:c>
      <x:c r="F112" s="13" t="s">
        <x:v>51</x:v>
      </x:c>
      <x:c r="G112" s="13" t="e">
        <x:f>第2日!B32</x:f>
        <x:v>#NAME?</x:v>
      </x:c>
      <x:c r="H112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2" s="13" t="e">
        <x:f>第2日!E32</x:f>
        <x:v>#NAME?</x:v>
      </x:c>
      <x:c r="J112" s="13" t="e">
        <x:f>第2日!G32</x:f>
        <x:v>#NAME?</x:v>
      </x:c>
      <x:c r="K112" s="13" t="e">
        <x:f>第2日!I32</x:f>
        <x:v>#NAME?</x:v>
      </x:c>
      <x:c r="L112" s="13" t="s">
        <x:v>532</x:v>
      </x:c>
      <x:c r="M112" s="13" t="s">
        <x:v>533</x:v>
      </x:c>
      <x:c r="N112" s="13" t="e">
        <x:f>第2日!I33="待设计"</x:f>
        <x:v>#NAME?</x:v>
      </x:c>
      <x:c r="O112" s="13">
        <x:v>18</x:v>
      </x:c>
      <x:c r="P112" s="13" t="e">
        <x:f>IF(第2日!B53="","",IFERROR(VLOOKUP(第2日!B53,敌人目录!$A$6:$B$68,2,FALSE),""))</x:f>
        <x:v>#NAME?</x:v>
      </x:c>
      <x:c r="Q112" s="13" t="e">
        <x:f>IF(第2日!B53="","",第2日!C53)</x:f>
        <x:v>#NAME?</x:v>
      </x:c>
      <x:c r="R112" s="13">
        <x:v>-1</x:v>
      </x:c>
      <x:c r="S112" s="13" t="e">
        <x:f>IF(第2日!B53="","",第2日!I53)</x:f>
        <x:v>#NAME?</x:v>
      </x:c>
    </x:row>
    <x:row r="113" ht="16.5">
      <x:c r="A113" s="13">
        <x:v>3</x:v>
      </x:c>
      <x:c r="B113" s="13" t="s">
        <x:v>535</x:v>
      </x:c>
      <x:c r="C113" s="13">
        <x:v>7</x:v>
      </x:c>
      <x:c r="D113" s="13">
        <x:v>2</x:v>
      </x:c>
      <x:c r="E113" s="13">
        <x:v>3</x:v>
      </x:c>
      <x:c r="F113" s="13" t="s">
        <x:v>54</x:v>
      </x:c>
      <x:c r="G113" s="13" t="e">
        <x:f>第2日!B61</x:f>
        <x:v>#NAME?</x:v>
      </x:c>
      <x:c r="H113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3" s="13" t="e">
        <x:f>第2日!E61</x:f>
        <x:v>#NAME?</x:v>
      </x:c>
      <x:c r="J113" s="13" t="e">
        <x:f>第2日!G61</x:f>
        <x:v>#NAME?</x:v>
      </x:c>
      <x:c r="K113" s="13" t="e">
        <x:f>第2日!I61</x:f>
        <x:v>#NAME?</x:v>
      </x:c>
      <x:c r="L113" s="13" t="s">
        <x:v>532</x:v>
      </x:c>
      <x:c r="M113" s="13" t="s">
        <x:v>533</x:v>
      </x:c>
      <x:c r="N113" s="13" t="e">
        <x:f>第2日!I62="待设计"</x:f>
        <x:v>#NAME?</x:v>
      </x:c>
      <x:c r="O113" s="13">
        <x:v>1</x:v>
      </x:c>
      <x:c r="P113" s="13" t="e">
        <x:f>IF(第2日!B65="","",IFERROR(VLOOKUP(第2日!B65,敌人目录!$A$6:$B$68,2,FALSE),""))</x:f>
        <x:v>#NAME?</x:v>
      </x:c>
      <x:c r="Q113" s="13" t="e">
        <x:f>IF(第2日!B65="","",第2日!C65)</x:f>
        <x:v>#NAME?</x:v>
      </x:c>
      <x:c r="R113" s="13">
        <x:v>-1</x:v>
      </x:c>
      <x:c r="S113" s="13" t="e">
        <x:f>IF(第2日!B65="","",第2日!I65)</x:f>
        <x:v>#NAME?</x:v>
      </x:c>
    </x:row>
    <x:row r="114" ht="16.5">
      <x:c r="A114" s="13">
        <x:v>3</x:v>
      </x:c>
      <x:c r="B114" s="13" t="s">
        <x:v>535</x:v>
      </x:c>
      <x:c r="C114" s="13">
        <x:v>7</x:v>
      </x:c>
      <x:c r="D114" s="13">
        <x:v>2</x:v>
      </x:c>
      <x:c r="E114" s="13">
        <x:v>3</x:v>
      </x:c>
      <x:c r="F114" s="13" t="s">
        <x:v>54</x:v>
      </x:c>
      <x:c r="G114" s="13" t="e">
        <x:f>第2日!B61</x:f>
        <x:v>#NAME?</x:v>
      </x:c>
      <x:c r="H114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4" s="13" t="e">
        <x:f>第2日!E61</x:f>
        <x:v>#NAME?</x:v>
      </x:c>
      <x:c r="J114" s="13" t="e">
        <x:f>第2日!G61</x:f>
        <x:v>#NAME?</x:v>
      </x:c>
      <x:c r="K114" s="13" t="e">
        <x:f>第2日!I61</x:f>
        <x:v>#NAME?</x:v>
      </x:c>
      <x:c r="L114" s="13" t="s">
        <x:v>532</x:v>
      </x:c>
      <x:c r="M114" s="13" t="s">
        <x:v>533</x:v>
      </x:c>
      <x:c r="N114" s="13" t="e">
        <x:f>第2日!I62="待设计"</x:f>
        <x:v>#NAME?</x:v>
      </x:c>
      <x:c r="O114" s="13">
        <x:v>2</x:v>
      </x:c>
      <x:c r="P114" s="13" t="e">
        <x:f>IF(第2日!B66="","",IFERROR(VLOOKUP(第2日!B66,敌人目录!$A$6:$B$68,2,FALSE),""))</x:f>
        <x:v>#NAME?</x:v>
      </x:c>
      <x:c r="Q114" s="13" t="e">
        <x:f>IF(第2日!B66="","",第2日!C66)</x:f>
        <x:v>#NAME?</x:v>
      </x:c>
      <x:c r="R114" s="13">
        <x:v>-1</x:v>
      </x:c>
      <x:c r="S114" s="13" t="e">
        <x:f>IF(第2日!B66="","",第2日!I66)</x:f>
        <x:v>#NAME?</x:v>
      </x:c>
    </x:row>
    <x:row r="115" ht="16.5">
      <x:c r="A115" s="13">
        <x:v>3</x:v>
      </x:c>
      <x:c r="B115" s="13" t="s">
        <x:v>535</x:v>
      </x:c>
      <x:c r="C115" s="13">
        <x:v>7</x:v>
      </x:c>
      <x:c r="D115" s="13">
        <x:v>2</x:v>
      </x:c>
      <x:c r="E115" s="13">
        <x:v>3</x:v>
      </x:c>
      <x:c r="F115" s="13" t="s">
        <x:v>54</x:v>
      </x:c>
      <x:c r="G115" s="13" t="e">
        <x:f>第2日!B61</x:f>
        <x:v>#NAME?</x:v>
      </x:c>
      <x:c r="H115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5" s="13" t="e">
        <x:f>第2日!E61</x:f>
        <x:v>#NAME?</x:v>
      </x:c>
      <x:c r="J115" s="13" t="e">
        <x:f>第2日!G61</x:f>
        <x:v>#NAME?</x:v>
      </x:c>
      <x:c r="K115" s="13" t="e">
        <x:f>第2日!I61</x:f>
        <x:v>#NAME?</x:v>
      </x:c>
      <x:c r="L115" s="13" t="s">
        <x:v>532</x:v>
      </x:c>
      <x:c r="M115" s="13" t="s">
        <x:v>533</x:v>
      </x:c>
      <x:c r="N115" s="13" t="e">
        <x:f>第2日!I62="待设计"</x:f>
        <x:v>#NAME?</x:v>
      </x:c>
      <x:c r="O115" s="13">
        <x:v>3</x:v>
      </x:c>
      <x:c r="P115" s="13" t="e">
        <x:f>IF(第2日!B67="","",IFERROR(VLOOKUP(第2日!B67,敌人目录!$A$6:$B$68,2,FALSE),""))</x:f>
        <x:v>#NAME?</x:v>
      </x:c>
      <x:c r="Q115" s="13" t="e">
        <x:f>IF(第2日!B67="","",第2日!C67)</x:f>
        <x:v>#NAME?</x:v>
      </x:c>
      <x:c r="R115" s="13">
        <x:v>-1</x:v>
      </x:c>
      <x:c r="S115" s="13" t="e">
        <x:f>IF(第2日!B67="","",第2日!I67)</x:f>
        <x:v>#NAME?</x:v>
      </x:c>
    </x:row>
    <x:row r="116" ht="16.5">
      <x:c r="A116" s="13">
        <x:v>3</x:v>
      </x:c>
      <x:c r="B116" s="13" t="s">
        <x:v>535</x:v>
      </x:c>
      <x:c r="C116" s="13">
        <x:v>7</x:v>
      </x:c>
      <x:c r="D116" s="13">
        <x:v>2</x:v>
      </x:c>
      <x:c r="E116" s="13">
        <x:v>3</x:v>
      </x:c>
      <x:c r="F116" s="13" t="s">
        <x:v>54</x:v>
      </x:c>
      <x:c r="G116" s="13" t="e">
        <x:f>第2日!B61</x:f>
        <x:v>#NAME?</x:v>
      </x:c>
      <x:c r="H116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6" s="13" t="e">
        <x:f>第2日!E61</x:f>
        <x:v>#NAME?</x:v>
      </x:c>
      <x:c r="J116" s="13" t="e">
        <x:f>第2日!G61</x:f>
        <x:v>#NAME?</x:v>
      </x:c>
      <x:c r="K116" s="13" t="e">
        <x:f>第2日!I61</x:f>
        <x:v>#NAME?</x:v>
      </x:c>
      <x:c r="L116" s="13" t="s">
        <x:v>532</x:v>
      </x:c>
      <x:c r="M116" s="13" t="s">
        <x:v>533</x:v>
      </x:c>
      <x:c r="N116" s="13" t="e">
        <x:f>第2日!I62="待设计"</x:f>
        <x:v>#NAME?</x:v>
      </x:c>
      <x:c r="O116" s="13">
        <x:v>4</x:v>
      </x:c>
      <x:c r="P116" s="13" t="e">
        <x:f>IF(第2日!B68="","",IFERROR(VLOOKUP(第2日!B68,敌人目录!$A$6:$B$68,2,FALSE),""))</x:f>
        <x:v>#NAME?</x:v>
      </x:c>
      <x:c r="Q116" s="13" t="e">
        <x:f>IF(第2日!B68="","",第2日!C68)</x:f>
        <x:v>#NAME?</x:v>
      </x:c>
      <x:c r="R116" s="13">
        <x:v>-1</x:v>
      </x:c>
      <x:c r="S116" s="13" t="e">
        <x:f>IF(第2日!B68="","",第2日!I68)</x:f>
        <x:v>#NAME?</x:v>
      </x:c>
    </x:row>
    <x:row r="117" ht="16.5">
      <x:c r="A117" s="13">
        <x:v>3</x:v>
      </x:c>
      <x:c r="B117" s="13" t="s">
        <x:v>535</x:v>
      </x:c>
      <x:c r="C117" s="13">
        <x:v>7</x:v>
      </x:c>
      <x:c r="D117" s="13">
        <x:v>2</x:v>
      </x:c>
      <x:c r="E117" s="13">
        <x:v>3</x:v>
      </x:c>
      <x:c r="F117" s="13" t="s">
        <x:v>54</x:v>
      </x:c>
      <x:c r="G117" s="13" t="e">
        <x:f>第2日!B61</x:f>
        <x:v>#NAME?</x:v>
      </x:c>
      <x:c r="H117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7" s="13" t="e">
        <x:f>第2日!E61</x:f>
        <x:v>#NAME?</x:v>
      </x:c>
      <x:c r="J117" s="13" t="e">
        <x:f>第2日!G61</x:f>
        <x:v>#NAME?</x:v>
      </x:c>
      <x:c r="K117" s="13" t="e">
        <x:f>第2日!I61</x:f>
        <x:v>#NAME?</x:v>
      </x:c>
      <x:c r="L117" s="13" t="s">
        <x:v>532</x:v>
      </x:c>
      <x:c r="M117" s="13" t="s">
        <x:v>533</x:v>
      </x:c>
      <x:c r="N117" s="13" t="e">
        <x:f>第2日!I62="待设计"</x:f>
        <x:v>#NAME?</x:v>
      </x:c>
      <x:c r="O117" s="13">
        <x:v>5</x:v>
      </x:c>
      <x:c r="P117" s="13" t="e">
        <x:f>IF(第2日!B69="","",IFERROR(VLOOKUP(第2日!B69,敌人目录!$A$6:$B$68,2,FALSE),""))</x:f>
        <x:v>#NAME?</x:v>
      </x:c>
      <x:c r="Q117" s="13" t="e">
        <x:f>IF(第2日!B69="","",第2日!C69)</x:f>
        <x:v>#NAME?</x:v>
      </x:c>
      <x:c r="R117" s="13">
        <x:v>-1</x:v>
      </x:c>
      <x:c r="S117" s="13" t="e">
        <x:f>IF(第2日!B69="","",第2日!I69)</x:f>
        <x:v>#NAME?</x:v>
      </x:c>
    </x:row>
    <x:row r="118" ht="16.5">
      <x:c r="A118" s="13">
        <x:v>3</x:v>
      </x:c>
      <x:c r="B118" s="13" t="s">
        <x:v>535</x:v>
      </x:c>
      <x:c r="C118" s="13">
        <x:v>7</x:v>
      </x:c>
      <x:c r="D118" s="13">
        <x:v>2</x:v>
      </x:c>
      <x:c r="E118" s="13">
        <x:v>3</x:v>
      </x:c>
      <x:c r="F118" s="13" t="s">
        <x:v>54</x:v>
      </x:c>
      <x:c r="G118" s="13" t="e">
        <x:f>第2日!B61</x:f>
        <x:v>#NAME?</x:v>
      </x:c>
      <x:c r="H118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8" s="13" t="e">
        <x:f>第2日!E61</x:f>
        <x:v>#NAME?</x:v>
      </x:c>
      <x:c r="J118" s="13" t="e">
        <x:f>第2日!G61</x:f>
        <x:v>#NAME?</x:v>
      </x:c>
      <x:c r="K118" s="13" t="e">
        <x:f>第2日!I61</x:f>
        <x:v>#NAME?</x:v>
      </x:c>
      <x:c r="L118" s="13" t="s">
        <x:v>532</x:v>
      </x:c>
      <x:c r="M118" s="13" t="s">
        <x:v>533</x:v>
      </x:c>
      <x:c r="N118" s="13" t="e">
        <x:f>第2日!I62="待设计"</x:f>
        <x:v>#NAME?</x:v>
      </x:c>
      <x:c r="O118" s="13">
        <x:v>6</x:v>
      </x:c>
      <x:c r="P118" s="13" t="e">
        <x:f>IF(第2日!B70="","",IFERROR(VLOOKUP(第2日!B70,敌人目录!$A$6:$B$68,2,FALSE),""))</x:f>
        <x:v>#NAME?</x:v>
      </x:c>
      <x:c r="Q118" s="13" t="e">
        <x:f>IF(第2日!B70="","",第2日!C70)</x:f>
        <x:v>#NAME?</x:v>
      </x:c>
      <x:c r="R118" s="13">
        <x:v>-1</x:v>
      </x:c>
      <x:c r="S118" s="13" t="e">
        <x:f>IF(第2日!B70="","",第2日!I70)</x:f>
        <x:v>#NAME?</x:v>
      </x:c>
    </x:row>
    <x:row r="119" ht="16.5">
      <x:c r="A119" s="13">
        <x:v>3</x:v>
      </x:c>
      <x:c r="B119" s="13" t="s">
        <x:v>535</x:v>
      </x:c>
      <x:c r="C119" s="13">
        <x:v>7</x:v>
      </x:c>
      <x:c r="D119" s="13">
        <x:v>2</x:v>
      </x:c>
      <x:c r="E119" s="13">
        <x:v>3</x:v>
      </x:c>
      <x:c r="F119" s="13" t="s">
        <x:v>54</x:v>
      </x:c>
      <x:c r="G119" s="13" t="e">
        <x:f>第2日!B61</x:f>
        <x:v>#NAME?</x:v>
      </x:c>
      <x:c r="H119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9" s="13" t="e">
        <x:f>第2日!E61</x:f>
        <x:v>#NAME?</x:v>
      </x:c>
      <x:c r="J119" s="13" t="e">
        <x:f>第2日!G61</x:f>
        <x:v>#NAME?</x:v>
      </x:c>
      <x:c r="K119" s="13" t="e">
        <x:f>第2日!I61</x:f>
        <x:v>#NAME?</x:v>
      </x:c>
      <x:c r="L119" s="13" t="s">
        <x:v>532</x:v>
      </x:c>
      <x:c r="M119" s="13" t="s">
        <x:v>533</x:v>
      </x:c>
      <x:c r="N119" s="13" t="e">
        <x:f>第2日!I62="待设计"</x:f>
        <x:v>#NAME?</x:v>
      </x:c>
      <x:c r="O119" s="13">
        <x:v>7</x:v>
      </x:c>
      <x:c r="P119" s="13" t="e">
        <x:f>IF(第2日!B71="","",IFERROR(VLOOKUP(第2日!B71,敌人目录!$A$6:$B$68,2,FALSE),""))</x:f>
        <x:v>#NAME?</x:v>
      </x:c>
      <x:c r="Q119" s="13" t="e">
        <x:f>IF(第2日!B71="","",第2日!C71)</x:f>
        <x:v>#NAME?</x:v>
      </x:c>
      <x:c r="R119" s="13">
        <x:v>-1</x:v>
      </x:c>
      <x:c r="S119" s="13" t="e">
        <x:f>IF(第2日!B71="","",第2日!I71)</x:f>
        <x:v>#NAME?</x:v>
      </x:c>
    </x:row>
    <x:row r="120" ht="16.5">
      <x:c r="A120" s="13">
        <x:v>3</x:v>
      </x:c>
      <x:c r="B120" s="13" t="s">
        <x:v>535</x:v>
      </x:c>
      <x:c r="C120" s="13">
        <x:v>7</x:v>
      </x:c>
      <x:c r="D120" s="13">
        <x:v>2</x:v>
      </x:c>
      <x:c r="E120" s="13">
        <x:v>3</x:v>
      </x:c>
      <x:c r="F120" s="13" t="s">
        <x:v>54</x:v>
      </x:c>
      <x:c r="G120" s="13" t="e">
        <x:f>第2日!B61</x:f>
        <x:v>#NAME?</x:v>
      </x:c>
      <x:c r="H120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0" s="13" t="e">
        <x:f>第2日!E61</x:f>
        <x:v>#NAME?</x:v>
      </x:c>
      <x:c r="J120" s="13" t="e">
        <x:f>第2日!G61</x:f>
        <x:v>#NAME?</x:v>
      </x:c>
      <x:c r="K120" s="13" t="e">
        <x:f>第2日!I61</x:f>
        <x:v>#NAME?</x:v>
      </x:c>
      <x:c r="L120" s="13" t="s">
        <x:v>532</x:v>
      </x:c>
      <x:c r="M120" s="13" t="s">
        <x:v>533</x:v>
      </x:c>
      <x:c r="N120" s="13" t="e">
        <x:f>第2日!I62="待设计"</x:f>
        <x:v>#NAME?</x:v>
      </x:c>
      <x:c r="O120" s="13">
        <x:v>8</x:v>
      </x:c>
      <x:c r="P120" s="13" t="e">
        <x:f>IF(第2日!B72="","",IFERROR(VLOOKUP(第2日!B72,敌人目录!$A$6:$B$68,2,FALSE),""))</x:f>
        <x:v>#NAME?</x:v>
      </x:c>
      <x:c r="Q120" s="13" t="e">
        <x:f>IF(第2日!B72="","",第2日!C72)</x:f>
        <x:v>#NAME?</x:v>
      </x:c>
      <x:c r="R120" s="13">
        <x:v>-1</x:v>
      </x:c>
      <x:c r="S120" s="13" t="e">
        <x:f>IF(第2日!B72="","",第2日!I72)</x:f>
        <x:v>#NAME?</x:v>
      </x:c>
    </x:row>
    <x:row r="121" ht="16.5">
      <x:c r="A121" s="13">
        <x:v>3</x:v>
      </x:c>
      <x:c r="B121" s="13" t="s">
        <x:v>535</x:v>
      </x:c>
      <x:c r="C121" s="13">
        <x:v>7</x:v>
      </x:c>
      <x:c r="D121" s="13">
        <x:v>2</x:v>
      </x:c>
      <x:c r="E121" s="13">
        <x:v>3</x:v>
      </x:c>
      <x:c r="F121" s="13" t="s">
        <x:v>54</x:v>
      </x:c>
      <x:c r="G121" s="13" t="e">
        <x:f>第2日!B61</x:f>
        <x:v>#NAME?</x:v>
      </x:c>
      <x:c r="H121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1" s="13" t="e">
        <x:f>第2日!E61</x:f>
        <x:v>#NAME?</x:v>
      </x:c>
      <x:c r="J121" s="13" t="e">
        <x:f>第2日!G61</x:f>
        <x:v>#NAME?</x:v>
      </x:c>
      <x:c r="K121" s="13" t="e">
        <x:f>第2日!I61</x:f>
        <x:v>#NAME?</x:v>
      </x:c>
      <x:c r="L121" s="13" t="s">
        <x:v>532</x:v>
      </x:c>
      <x:c r="M121" s="13" t="s">
        <x:v>533</x:v>
      </x:c>
      <x:c r="N121" s="13" t="e">
        <x:f>第2日!I62="待设计"</x:f>
        <x:v>#NAME?</x:v>
      </x:c>
      <x:c r="O121" s="13">
        <x:v>9</x:v>
      </x:c>
      <x:c r="P121" s="13" t="e">
        <x:f>IF(第2日!B73="","",IFERROR(VLOOKUP(第2日!B73,敌人目录!$A$6:$B$68,2,FALSE),""))</x:f>
        <x:v>#NAME?</x:v>
      </x:c>
      <x:c r="Q121" s="13" t="e">
        <x:f>IF(第2日!B73="","",第2日!C73)</x:f>
        <x:v>#NAME?</x:v>
      </x:c>
      <x:c r="R121" s="13">
        <x:v>-1</x:v>
      </x:c>
      <x:c r="S121" s="13" t="e">
        <x:f>IF(第2日!B73="","",第2日!I73)</x:f>
        <x:v>#NAME?</x:v>
      </x:c>
    </x:row>
    <x:row r="122" ht="16.5">
      <x:c r="A122" s="13">
        <x:v>3</x:v>
      </x:c>
      <x:c r="B122" s="13" t="s">
        <x:v>535</x:v>
      </x:c>
      <x:c r="C122" s="13">
        <x:v>7</x:v>
      </x:c>
      <x:c r="D122" s="13">
        <x:v>2</x:v>
      </x:c>
      <x:c r="E122" s="13">
        <x:v>3</x:v>
      </x:c>
      <x:c r="F122" s="13" t="s">
        <x:v>54</x:v>
      </x:c>
      <x:c r="G122" s="13" t="e">
        <x:f>第2日!B61</x:f>
        <x:v>#NAME?</x:v>
      </x:c>
      <x:c r="H122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2" s="13" t="e">
        <x:f>第2日!E61</x:f>
        <x:v>#NAME?</x:v>
      </x:c>
      <x:c r="J122" s="13" t="e">
        <x:f>第2日!G61</x:f>
        <x:v>#NAME?</x:v>
      </x:c>
      <x:c r="K122" s="13" t="e">
        <x:f>第2日!I61</x:f>
        <x:v>#NAME?</x:v>
      </x:c>
      <x:c r="L122" s="13" t="s">
        <x:v>532</x:v>
      </x:c>
      <x:c r="M122" s="13" t="s">
        <x:v>533</x:v>
      </x:c>
      <x:c r="N122" s="13" t="e">
        <x:f>第2日!I62="待设计"</x:f>
        <x:v>#NAME?</x:v>
      </x:c>
      <x:c r="O122" s="13">
        <x:v>10</x:v>
      </x:c>
      <x:c r="P122" s="13" t="e">
        <x:f>IF(第2日!B74="","",IFERROR(VLOOKUP(第2日!B74,敌人目录!$A$6:$B$68,2,FALSE),""))</x:f>
        <x:v>#NAME?</x:v>
      </x:c>
      <x:c r="Q122" s="13" t="e">
        <x:f>IF(第2日!B74="","",第2日!C74)</x:f>
        <x:v>#NAME?</x:v>
      </x:c>
      <x:c r="R122" s="13">
        <x:v>-1</x:v>
      </x:c>
      <x:c r="S122" s="13" t="e">
        <x:f>IF(第2日!B74="","",第2日!I74)</x:f>
        <x:v>#NAME?</x:v>
      </x:c>
    </x:row>
    <x:row r="123" ht="16.5">
      <x:c r="A123" s="13">
        <x:v>3</x:v>
      </x:c>
      <x:c r="B123" s="13" t="s">
        <x:v>535</x:v>
      </x:c>
      <x:c r="C123" s="13">
        <x:v>7</x:v>
      </x:c>
      <x:c r="D123" s="13">
        <x:v>2</x:v>
      </x:c>
      <x:c r="E123" s="13">
        <x:v>3</x:v>
      </x:c>
      <x:c r="F123" s="13" t="s">
        <x:v>54</x:v>
      </x:c>
      <x:c r="G123" s="13" t="e">
        <x:f>第2日!B61</x:f>
        <x:v>#NAME?</x:v>
      </x:c>
      <x:c r="H123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3" s="13" t="e">
        <x:f>第2日!E61</x:f>
        <x:v>#NAME?</x:v>
      </x:c>
      <x:c r="J123" s="13" t="e">
        <x:f>第2日!G61</x:f>
        <x:v>#NAME?</x:v>
      </x:c>
      <x:c r="K123" s="13" t="e">
        <x:f>第2日!I61</x:f>
        <x:v>#NAME?</x:v>
      </x:c>
      <x:c r="L123" s="13" t="s">
        <x:v>532</x:v>
      </x:c>
      <x:c r="M123" s="13" t="s">
        <x:v>533</x:v>
      </x:c>
      <x:c r="N123" s="13" t="e">
        <x:f>第2日!I62="待设计"</x:f>
        <x:v>#NAME?</x:v>
      </x:c>
      <x:c r="O123" s="13">
        <x:v>11</x:v>
      </x:c>
      <x:c r="P123" s="13" t="e">
        <x:f>IF(第2日!B75="","",IFERROR(VLOOKUP(第2日!B75,敌人目录!$A$6:$B$68,2,FALSE),""))</x:f>
        <x:v>#NAME?</x:v>
      </x:c>
      <x:c r="Q123" s="13" t="e">
        <x:f>IF(第2日!B75="","",第2日!C75)</x:f>
        <x:v>#NAME?</x:v>
      </x:c>
      <x:c r="R123" s="13">
        <x:v>-1</x:v>
      </x:c>
      <x:c r="S123" s="13" t="e">
        <x:f>IF(第2日!B75="","",第2日!I75)</x:f>
        <x:v>#NAME?</x:v>
      </x:c>
    </x:row>
    <x:row r="124" ht="16.5">
      <x:c r="A124" s="13">
        <x:v>3</x:v>
      </x:c>
      <x:c r="B124" s="13" t="s">
        <x:v>535</x:v>
      </x:c>
      <x:c r="C124" s="13">
        <x:v>7</x:v>
      </x:c>
      <x:c r="D124" s="13">
        <x:v>2</x:v>
      </x:c>
      <x:c r="E124" s="13">
        <x:v>3</x:v>
      </x:c>
      <x:c r="F124" s="13" t="s">
        <x:v>54</x:v>
      </x:c>
      <x:c r="G124" s="13" t="e">
        <x:f>第2日!B61</x:f>
        <x:v>#NAME?</x:v>
      </x:c>
      <x:c r="H124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4" s="13" t="e">
        <x:f>第2日!E61</x:f>
        <x:v>#NAME?</x:v>
      </x:c>
      <x:c r="J124" s="13" t="e">
        <x:f>第2日!G61</x:f>
        <x:v>#NAME?</x:v>
      </x:c>
      <x:c r="K124" s="13" t="e">
        <x:f>第2日!I61</x:f>
        <x:v>#NAME?</x:v>
      </x:c>
      <x:c r="L124" s="13" t="s">
        <x:v>532</x:v>
      </x:c>
      <x:c r="M124" s="13" t="s">
        <x:v>533</x:v>
      </x:c>
      <x:c r="N124" s="13" t="e">
        <x:f>第2日!I62="待设计"</x:f>
        <x:v>#NAME?</x:v>
      </x:c>
      <x:c r="O124" s="13">
        <x:v>12</x:v>
      </x:c>
      <x:c r="P124" s="13" t="e">
        <x:f>IF(第2日!B76="","",IFERROR(VLOOKUP(第2日!B76,敌人目录!$A$6:$B$68,2,FALSE),""))</x:f>
        <x:v>#NAME?</x:v>
      </x:c>
      <x:c r="Q124" s="13" t="e">
        <x:f>IF(第2日!B76="","",第2日!C76)</x:f>
        <x:v>#NAME?</x:v>
      </x:c>
      <x:c r="R124" s="13">
        <x:v>-1</x:v>
      </x:c>
      <x:c r="S124" s="13" t="e">
        <x:f>IF(第2日!B76="","",第2日!I76)</x:f>
        <x:v>#NAME?</x:v>
      </x:c>
    </x:row>
    <x:row r="125" ht="16.5">
      <x:c r="A125" s="13">
        <x:v>3</x:v>
      </x:c>
      <x:c r="B125" s="13" t="s">
        <x:v>535</x:v>
      </x:c>
      <x:c r="C125" s="13">
        <x:v>7</x:v>
      </x:c>
      <x:c r="D125" s="13">
        <x:v>2</x:v>
      </x:c>
      <x:c r="E125" s="13">
        <x:v>3</x:v>
      </x:c>
      <x:c r="F125" s="13" t="s">
        <x:v>54</x:v>
      </x:c>
      <x:c r="G125" s="13" t="e">
        <x:f>第2日!B61</x:f>
        <x:v>#NAME?</x:v>
      </x:c>
      <x:c r="H125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5" s="13" t="e">
        <x:f>第2日!E61</x:f>
        <x:v>#NAME?</x:v>
      </x:c>
      <x:c r="J125" s="13" t="e">
        <x:f>第2日!G61</x:f>
        <x:v>#NAME?</x:v>
      </x:c>
      <x:c r="K125" s="13" t="e">
        <x:f>第2日!I61</x:f>
        <x:v>#NAME?</x:v>
      </x:c>
      <x:c r="L125" s="13" t="s">
        <x:v>532</x:v>
      </x:c>
      <x:c r="M125" s="13" t="s">
        <x:v>533</x:v>
      </x:c>
      <x:c r="N125" s="13" t="e">
        <x:f>第2日!I62="待设计"</x:f>
        <x:v>#NAME?</x:v>
      </x:c>
      <x:c r="O125" s="13">
        <x:v>13</x:v>
      </x:c>
      <x:c r="P125" s="13" t="e">
        <x:f>IF(第2日!B77="","",IFERROR(VLOOKUP(第2日!B77,敌人目录!$A$6:$B$68,2,FALSE),""))</x:f>
        <x:v>#NAME?</x:v>
      </x:c>
      <x:c r="Q125" s="13" t="e">
        <x:f>IF(第2日!B77="","",第2日!C77)</x:f>
        <x:v>#NAME?</x:v>
      </x:c>
      <x:c r="R125" s="13">
        <x:v>-1</x:v>
      </x:c>
      <x:c r="S125" s="13" t="e">
        <x:f>IF(第2日!B77="","",第2日!I77)</x:f>
        <x:v>#NAME?</x:v>
      </x:c>
    </x:row>
    <x:row r="126" ht="16.5">
      <x:c r="A126" s="13">
        <x:v>3</x:v>
      </x:c>
      <x:c r="B126" s="13" t="s">
        <x:v>535</x:v>
      </x:c>
      <x:c r="C126" s="13">
        <x:v>7</x:v>
      </x:c>
      <x:c r="D126" s="13">
        <x:v>2</x:v>
      </x:c>
      <x:c r="E126" s="13">
        <x:v>3</x:v>
      </x:c>
      <x:c r="F126" s="13" t="s">
        <x:v>54</x:v>
      </x:c>
      <x:c r="G126" s="13" t="e">
        <x:f>第2日!B61</x:f>
        <x:v>#NAME?</x:v>
      </x:c>
      <x:c r="H126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6" s="13" t="e">
        <x:f>第2日!E61</x:f>
        <x:v>#NAME?</x:v>
      </x:c>
      <x:c r="J126" s="13" t="e">
        <x:f>第2日!G61</x:f>
        <x:v>#NAME?</x:v>
      </x:c>
      <x:c r="K126" s="13" t="e">
        <x:f>第2日!I61</x:f>
        <x:v>#NAME?</x:v>
      </x:c>
      <x:c r="L126" s="13" t="s">
        <x:v>532</x:v>
      </x:c>
      <x:c r="M126" s="13" t="s">
        <x:v>533</x:v>
      </x:c>
      <x:c r="N126" s="13" t="e">
        <x:f>第2日!I62="待设计"</x:f>
        <x:v>#NAME?</x:v>
      </x:c>
      <x:c r="O126" s="13">
        <x:v>14</x:v>
      </x:c>
      <x:c r="P126" s="13" t="e">
        <x:f>IF(第2日!B78="","",IFERROR(VLOOKUP(第2日!B78,敌人目录!$A$6:$B$68,2,FALSE),""))</x:f>
        <x:v>#NAME?</x:v>
      </x:c>
      <x:c r="Q126" s="13" t="e">
        <x:f>IF(第2日!B78="","",第2日!C78)</x:f>
        <x:v>#NAME?</x:v>
      </x:c>
      <x:c r="R126" s="13">
        <x:v>-1</x:v>
      </x:c>
      <x:c r="S126" s="13" t="e">
        <x:f>IF(第2日!B78="","",第2日!I78)</x:f>
        <x:v>#NAME?</x:v>
      </x:c>
    </x:row>
    <x:row r="127" ht="16.5">
      <x:c r="A127" s="13">
        <x:v>3</x:v>
      </x:c>
      <x:c r="B127" s="13" t="s">
        <x:v>535</x:v>
      </x:c>
      <x:c r="C127" s="13">
        <x:v>7</x:v>
      </x:c>
      <x:c r="D127" s="13">
        <x:v>2</x:v>
      </x:c>
      <x:c r="E127" s="13">
        <x:v>3</x:v>
      </x:c>
      <x:c r="F127" s="13" t="s">
        <x:v>54</x:v>
      </x:c>
      <x:c r="G127" s="13" t="e">
        <x:f>第2日!B61</x:f>
        <x:v>#NAME?</x:v>
      </x:c>
      <x:c r="H127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7" s="13" t="e">
        <x:f>第2日!E61</x:f>
        <x:v>#NAME?</x:v>
      </x:c>
      <x:c r="J127" s="13" t="e">
        <x:f>第2日!G61</x:f>
        <x:v>#NAME?</x:v>
      </x:c>
      <x:c r="K127" s="13" t="e">
        <x:f>第2日!I61</x:f>
        <x:v>#NAME?</x:v>
      </x:c>
      <x:c r="L127" s="13" t="s">
        <x:v>532</x:v>
      </x:c>
      <x:c r="M127" s="13" t="s">
        <x:v>533</x:v>
      </x:c>
      <x:c r="N127" s="13" t="e">
        <x:f>第2日!I62="待设计"</x:f>
        <x:v>#NAME?</x:v>
      </x:c>
      <x:c r="O127" s="13">
        <x:v>15</x:v>
      </x:c>
      <x:c r="P127" s="13" t="e">
        <x:f>IF(第2日!B79="","",IFERROR(VLOOKUP(第2日!B79,敌人目录!$A$6:$B$68,2,FALSE),""))</x:f>
        <x:v>#NAME?</x:v>
      </x:c>
      <x:c r="Q127" s="13" t="e">
        <x:f>IF(第2日!B79="","",第2日!C79)</x:f>
        <x:v>#NAME?</x:v>
      </x:c>
      <x:c r="R127" s="13">
        <x:v>-1</x:v>
      </x:c>
      <x:c r="S127" s="13" t="e">
        <x:f>IF(第2日!B79="","",第2日!I79)</x:f>
        <x:v>#NAME?</x:v>
      </x:c>
    </x:row>
    <x:row r="128" ht="16.5">
      <x:c r="A128" s="13">
        <x:v>3</x:v>
      </x:c>
      <x:c r="B128" s="13" t="s">
        <x:v>535</x:v>
      </x:c>
      <x:c r="C128" s="13">
        <x:v>7</x:v>
      </x:c>
      <x:c r="D128" s="13">
        <x:v>2</x:v>
      </x:c>
      <x:c r="E128" s="13">
        <x:v>3</x:v>
      </x:c>
      <x:c r="F128" s="13" t="s">
        <x:v>54</x:v>
      </x:c>
      <x:c r="G128" s="13" t="e">
        <x:f>第2日!B61</x:f>
        <x:v>#NAME?</x:v>
      </x:c>
      <x:c r="H128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8" s="13" t="e">
        <x:f>第2日!E61</x:f>
        <x:v>#NAME?</x:v>
      </x:c>
      <x:c r="J128" s="13" t="e">
        <x:f>第2日!G61</x:f>
        <x:v>#NAME?</x:v>
      </x:c>
      <x:c r="K128" s="13" t="e">
        <x:f>第2日!I61</x:f>
        <x:v>#NAME?</x:v>
      </x:c>
      <x:c r="L128" s="13" t="s">
        <x:v>532</x:v>
      </x:c>
      <x:c r="M128" s="13" t="s">
        <x:v>533</x:v>
      </x:c>
      <x:c r="N128" s="13" t="e">
        <x:f>第2日!I62="待设计"</x:f>
        <x:v>#NAME?</x:v>
      </x:c>
      <x:c r="O128" s="13">
        <x:v>16</x:v>
      </x:c>
      <x:c r="P128" s="13" t="e">
        <x:f>IF(第2日!B80="","",IFERROR(VLOOKUP(第2日!B80,敌人目录!$A$6:$B$68,2,FALSE),""))</x:f>
        <x:v>#NAME?</x:v>
      </x:c>
      <x:c r="Q128" s="13" t="e">
        <x:f>IF(第2日!B80="","",第2日!C80)</x:f>
        <x:v>#NAME?</x:v>
      </x:c>
      <x:c r="R128" s="13">
        <x:v>-1</x:v>
      </x:c>
      <x:c r="S128" s="13" t="e">
        <x:f>IF(第2日!B80="","",第2日!I80)</x:f>
        <x:v>#NAME?</x:v>
      </x:c>
    </x:row>
    <x:row r="129" ht="16.5">
      <x:c r="A129" s="13">
        <x:v>3</x:v>
      </x:c>
      <x:c r="B129" s="13" t="s">
        <x:v>535</x:v>
      </x:c>
      <x:c r="C129" s="13">
        <x:v>7</x:v>
      </x:c>
      <x:c r="D129" s="13">
        <x:v>2</x:v>
      </x:c>
      <x:c r="E129" s="13">
        <x:v>3</x:v>
      </x:c>
      <x:c r="F129" s="13" t="s">
        <x:v>54</x:v>
      </x:c>
      <x:c r="G129" s="13" t="e">
        <x:f>第2日!B61</x:f>
        <x:v>#NAME?</x:v>
      </x:c>
      <x:c r="H129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9" s="13" t="e">
        <x:f>第2日!E61</x:f>
        <x:v>#NAME?</x:v>
      </x:c>
      <x:c r="J129" s="13" t="e">
        <x:f>第2日!G61</x:f>
        <x:v>#NAME?</x:v>
      </x:c>
      <x:c r="K129" s="13" t="e">
        <x:f>第2日!I61</x:f>
        <x:v>#NAME?</x:v>
      </x:c>
      <x:c r="L129" s="13" t="s">
        <x:v>532</x:v>
      </x:c>
      <x:c r="M129" s="13" t="s">
        <x:v>533</x:v>
      </x:c>
      <x:c r="N129" s="13" t="e">
        <x:f>第2日!I62="待设计"</x:f>
        <x:v>#NAME?</x:v>
      </x:c>
      <x:c r="O129" s="13">
        <x:v>17</x:v>
      </x:c>
      <x:c r="P129" s="13" t="e">
        <x:f>IF(第2日!B81="","",IFERROR(VLOOKUP(第2日!B81,敌人目录!$A$6:$B$68,2,FALSE),""))</x:f>
        <x:v>#NAME?</x:v>
      </x:c>
      <x:c r="Q129" s="13" t="e">
        <x:f>IF(第2日!B81="","",第2日!C81)</x:f>
        <x:v>#NAME?</x:v>
      </x:c>
      <x:c r="R129" s="13">
        <x:v>-1</x:v>
      </x:c>
      <x:c r="S129" s="13" t="e">
        <x:f>IF(第2日!B81="","",第2日!I81)</x:f>
        <x:v>#NAME?</x:v>
      </x:c>
    </x:row>
    <x:row r="130" ht="16.5">
      <x:c r="A130" s="13">
        <x:v>3</x:v>
      </x:c>
      <x:c r="B130" s="13" t="s">
        <x:v>535</x:v>
      </x:c>
      <x:c r="C130" s="13">
        <x:v>7</x:v>
      </x:c>
      <x:c r="D130" s="13">
        <x:v>2</x:v>
      </x:c>
      <x:c r="E130" s="13">
        <x:v>3</x:v>
      </x:c>
      <x:c r="F130" s="13" t="s">
        <x:v>54</x:v>
      </x:c>
      <x:c r="G130" s="13" t="e">
        <x:f>第2日!B61</x:f>
        <x:v>#NAME?</x:v>
      </x:c>
      <x:c r="H130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30" s="13" t="e">
        <x:f>第2日!E61</x:f>
        <x:v>#NAME?</x:v>
      </x:c>
      <x:c r="J130" s="13" t="e">
        <x:f>第2日!G61</x:f>
        <x:v>#NAME?</x:v>
      </x:c>
      <x:c r="K130" s="13" t="e">
        <x:f>第2日!I61</x:f>
        <x:v>#NAME?</x:v>
      </x:c>
      <x:c r="L130" s="13" t="s">
        <x:v>532</x:v>
      </x:c>
      <x:c r="M130" s="13" t="s">
        <x:v>533</x:v>
      </x:c>
      <x:c r="N130" s="13" t="e">
        <x:f>第2日!I62="待设计"</x:f>
        <x:v>#NAME?</x:v>
      </x:c>
      <x:c r="O130" s="13">
        <x:v>18</x:v>
      </x:c>
      <x:c r="P130" s="13" t="e">
        <x:f>IF(第2日!B82="","",IFERROR(VLOOKUP(第2日!B82,敌人目录!$A$6:$B$68,2,FALSE),""))</x:f>
        <x:v>#NAME?</x:v>
      </x:c>
      <x:c r="Q130" s="13" t="e">
        <x:f>IF(第2日!B82="","",第2日!C82)</x:f>
        <x:v>#NAME?</x:v>
      </x:c>
      <x:c r="R130" s="13">
        <x:v>-1</x:v>
      </x:c>
      <x:c r="S130" s="13" t="e">
        <x:f>IF(第2日!B82="","",第2日!I82)</x:f>
        <x:v>#NAME?</x:v>
      </x:c>
    </x:row>
    <x:row r="131" ht="16.5">
      <x:c r="A131" s="13">
        <x:v>3</x:v>
      </x:c>
      <x:c r="B131" s="13" t="s">
        <x:v>536</x:v>
      </x:c>
      <x:c r="C131" s="13">
        <x:v>8</x:v>
      </x:c>
      <x:c r="D131" s="13">
        <x:v>2</x:v>
      </x:c>
      <x:c r="E131" s="13">
        <x:v>4</x:v>
      </x:c>
      <x:c r="F131" s="13" t="s">
        <x:v>54</x:v>
      </x:c>
      <x:c r="G131" s="13" t="e">
        <x:f>第2日!B90</x:f>
        <x:v>#NAME?</x:v>
      </x:c>
      <x:c r="H131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1" s="13" t="e">
        <x:f>第2日!E90</x:f>
        <x:v>#NAME?</x:v>
      </x:c>
      <x:c r="J131" s="13" t="e">
        <x:f>第2日!G90</x:f>
        <x:v>#NAME?</x:v>
      </x:c>
      <x:c r="K131" s="13" t="e">
        <x:f>第2日!I90</x:f>
        <x:v>#NAME?</x:v>
      </x:c>
      <x:c r="L131" s="13" t="s">
        <x:v>532</x:v>
      </x:c>
      <x:c r="M131" s="13" t="s">
        <x:v>533</x:v>
      </x:c>
      <x:c r="N131" s="13" t="e">
        <x:f>第2日!I91="待设计"</x:f>
        <x:v>#NAME?</x:v>
      </x:c>
      <x:c r="O131" s="13">
        <x:v>1</x:v>
      </x:c>
      <x:c r="P131" s="13" t="e">
        <x:f>IF(第2日!B94="","",IFERROR(VLOOKUP(第2日!B94,敌人目录!$A$6:$B$68,2,FALSE),""))</x:f>
        <x:v>#NAME?</x:v>
      </x:c>
      <x:c r="Q131" s="13" t="e">
        <x:f>IF(第2日!B94="","",第2日!C94)</x:f>
        <x:v>#NAME?</x:v>
      </x:c>
      <x:c r="R131" s="13">
        <x:v>-1</x:v>
      </x:c>
      <x:c r="S131" s="13" t="e">
        <x:f>IF(第2日!B94="","",第2日!I94)</x:f>
        <x:v>#NAME?</x:v>
      </x:c>
    </x:row>
    <x:row r="132" ht="16.5">
      <x:c r="A132" s="13">
        <x:v>3</x:v>
      </x:c>
      <x:c r="B132" s="13" t="s">
        <x:v>536</x:v>
      </x:c>
      <x:c r="C132" s="13">
        <x:v>8</x:v>
      </x:c>
      <x:c r="D132" s="13">
        <x:v>2</x:v>
      </x:c>
      <x:c r="E132" s="13">
        <x:v>4</x:v>
      </x:c>
      <x:c r="F132" s="13" t="s">
        <x:v>54</x:v>
      </x:c>
      <x:c r="G132" s="13" t="e">
        <x:f>第2日!B90</x:f>
        <x:v>#NAME?</x:v>
      </x:c>
      <x:c r="H132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2" s="13" t="e">
        <x:f>第2日!E90</x:f>
        <x:v>#NAME?</x:v>
      </x:c>
      <x:c r="J132" s="13" t="e">
        <x:f>第2日!G90</x:f>
        <x:v>#NAME?</x:v>
      </x:c>
      <x:c r="K132" s="13" t="e">
        <x:f>第2日!I90</x:f>
        <x:v>#NAME?</x:v>
      </x:c>
      <x:c r="L132" s="13" t="s">
        <x:v>532</x:v>
      </x:c>
      <x:c r="M132" s="13" t="s">
        <x:v>533</x:v>
      </x:c>
      <x:c r="N132" s="13" t="e">
        <x:f>第2日!I91="待设计"</x:f>
        <x:v>#NAME?</x:v>
      </x:c>
      <x:c r="O132" s="13">
        <x:v>2</x:v>
      </x:c>
      <x:c r="P132" s="13" t="e">
        <x:f>IF(第2日!B95="","",IFERROR(VLOOKUP(第2日!B95,敌人目录!$A$6:$B$68,2,FALSE),""))</x:f>
        <x:v>#NAME?</x:v>
      </x:c>
      <x:c r="Q132" s="13" t="e">
        <x:f>IF(第2日!B95="","",第2日!C95)</x:f>
        <x:v>#NAME?</x:v>
      </x:c>
      <x:c r="R132" s="13">
        <x:v>-1</x:v>
      </x:c>
      <x:c r="S132" s="13" t="e">
        <x:f>IF(第2日!B95="","",第2日!I95)</x:f>
        <x:v>#NAME?</x:v>
      </x:c>
    </x:row>
    <x:row r="133" ht="16.5">
      <x:c r="A133" s="13">
        <x:v>3</x:v>
      </x:c>
      <x:c r="B133" s="13" t="s">
        <x:v>536</x:v>
      </x:c>
      <x:c r="C133" s="13">
        <x:v>8</x:v>
      </x:c>
      <x:c r="D133" s="13">
        <x:v>2</x:v>
      </x:c>
      <x:c r="E133" s="13">
        <x:v>4</x:v>
      </x:c>
      <x:c r="F133" s="13" t="s">
        <x:v>54</x:v>
      </x:c>
      <x:c r="G133" s="13" t="e">
        <x:f>第2日!B90</x:f>
        <x:v>#NAME?</x:v>
      </x:c>
      <x:c r="H133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3" s="13" t="e">
        <x:f>第2日!E90</x:f>
        <x:v>#NAME?</x:v>
      </x:c>
      <x:c r="J133" s="13" t="e">
        <x:f>第2日!G90</x:f>
        <x:v>#NAME?</x:v>
      </x:c>
      <x:c r="K133" s="13" t="e">
        <x:f>第2日!I90</x:f>
        <x:v>#NAME?</x:v>
      </x:c>
      <x:c r="L133" s="13" t="s">
        <x:v>532</x:v>
      </x:c>
      <x:c r="M133" s="13" t="s">
        <x:v>533</x:v>
      </x:c>
      <x:c r="N133" s="13" t="e">
        <x:f>第2日!I91="待设计"</x:f>
        <x:v>#NAME?</x:v>
      </x:c>
      <x:c r="O133" s="13">
        <x:v>3</x:v>
      </x:c>
      <x:c r="P133" s="13" t="e">
        <x:f>IF(第2日!B96="","",IFERROR(VLOOKUP(第2日!B96,敌人目录!$A$6:$B$68,2,FALSE),""))</x:f>
        <x:v>#NAME?</x:v>
      </x:c>
      <x:c r="Q133" s="13" t="e">
        <x:f>IF(第2日!B96="","",第2日!C96)</x:f>
        <x:v>#NAME?</x:v>
      </x:c>
      <x:c r="R133" s="13">
        <x:v>-1</x:v>
      </x:c>
      <x:c r="S133" s="13" t="e">
        <x:f>IF(第2日!B96="","",第2日!I96)</x:f>
        <x:v>#NAME?</x:v>
      </x:c>
    </x:row>
    <x:row r="134" ht="16.5">
      <x:c r="A134" s="13">
        <x:v>3</x:v>
      </x:c>
      <x:c r="B134" s="13" t="s">
        <x:v>536</x:v>
      </x:c>
      <x:c r="C134" s="13">
        <x:v>8</x:v>
      </x:c>
      <x:c r="D134" s="13">
        <x:v>2</x:v>
      </x:c>
      <x:c r="E134" s="13">
        <x:v>4</x:v>
      </x:c>
      <x:c r="F134" s="13" t="s">
        <x:v>54</x:v>
      </x:c>
      <x:c r="G134" s="13" t="e">
        <x:f>第2日!B90</x:f>
        <x:v>#NAME?</x:v>
      </x:c>
      <x:c r="H134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4" s="13" t="e">
        <x:f>第2日!E90</x:f>
        <x:v>#NAME?</x:v>
      </x:c>
      <x:c r="J134" s="13" t="e">
        <x:f>第2日!G90</x:f>
        <x:v>#NAME?</x:v>
      </x:c>
      <x:c r="K134" s="13" t="e">
        <x:f>第2日!I90</x:f>
        <x:v>#NAME?</x:v>
      </x:c>
      <x:c r="L134" s="13" t="s">
        <x:v>532</x:v>
      </x:c>
      <x:c r="M134" s="13" t="s">
        <x:v>533</x:v>
      </x:c>
      <x:c r="N134" s="13" t="e">
        <x:f>第2日!I91="待设计"</x:f>
        <x:v>#NAME?</x:v>
      </x:c>
      <x:c r="O134" s="13">
        <x:v>4</x:v>
      </x:c>
      <x:c r="P134" s="13" t="e">
        <x:f>IF(第2日!B97="","",IFERROR(VLOOKUP(第2日!B97,敌人目录!$A$6:$B$68,2,FALSE),""))</x:f>
        <x:v>#NAME?</x:v>
      </x:c>
      <x:c r="Q134" s="13" t="e">
        <x:f>IF(第2日!B97="","",第2日!C97)</x:f>
        <x:v>#NAME?</x:v>
      </x:c>
      <x:c r="R134" s="13">
        <x:v>-1</x:v>
      </x:c>
      <x:c r="S134" s="13" t="e">
        <x:f>IF(第2日!B97="","",第2日!I97)</x:f>
        <x:v>#NAME?</x:v>
      </x:c>
    </x:row>
    <x:row r="135" ht="16.5">
      <x:c r="A135" s="13">
        <x:v>3</x:v>
      </x:c>
      <x:c r="B135" s="13" t="s">
        <x:v>536</x:v>
      </x:c>
      <x:c r="C135" s="13">
        <x:v>8</x:v>
      </x:c>
      <x:c r="D135" s="13">
        <x:v>2</x:v>
      </x:c>
      <x:c r="E135" s="13">
        <x:v>4</x:v>
      </x:c>
      <x:c r="F135" s="13" t="s">
        <x:v>54</x:v>
      </x:c>
      <x:c r="G135" s="13" t="e">
        <x:f>第2日!B90</x:f>
        <x:v>#NAME?</x:v>
      </x:c>
      <x:c r="H135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5" s="13" t="e">
        <x:f>第2日!E90</x:f>
        <x:v>#NAME?</x:v>
      </x:c>
      <x:c r="J135" s="13" t="e">
        <x:f>第2日!G90</x:f>
        <x:v>#NAME?</x:v>
      </x:c>
      <x:c r="K135" s="13" t="e">
        <x:f>第2日!I90</x:f>
        <x:v>#NAME?</x:v>
      </x:c>
      <x:c r="L135" s="13" t="s">
        <x:v>532</x:v>
      </x:c>
      <x:c r="M135" s="13" t="s">
        <x:v>533</x:v>
      </x:c>
      <x:c r="N135" s="13" t="e">
        <x:f>第2日!I91="待设计"</x:f>
        <x:v>#NAME?</x:v>
      </x:c>
      <x:c r="O135" s="13">
        <x:v>5</x:v>
      </x:c>
      <x:c r="P135" s="13" t="e">
        <x:f>IF(第2日!B98="","",IFERROR(VLOOKUP(第2日!B98,敌人目录!$A$6:$B$68,2,FALSE),""))</x:f>
        <x:v>#NAME?</x:v>
      </x:c>
      <x:c r="Q135" s="13" t="e">
        <x:f>IF(第2日!B98="","",第2日!C98)</x:f>
        <x:v>#NAME?</x:v>
      </x:c>
      <x:c r="R135" s="13">
        <x:v>-1</x:v>
      </x:c>
      <x:c r="S135" s="13" t="e">
        <x:f>IF(第2日!B98="","",第2日!I98)</x:f>
        <x:v>#NAME?</x:v>
      </x:c>
    </x:row>
    <x:row r="136" ht="16.5">
      <x:c r="A136" s="13">
        <x:v>3</x:v>
      </x:c>
      <x:c r="B136" s="13" t="s">
        <x:v>536</x:v>
      </x:c>
      <x:c r="C136" s="13">
        <x:v>8</x:v>
      </x:c>
      <x:c r="D136" s="13">
        <x:v>2</x:v>
      </x:c>
      <x:c r="E136" s="13">
        <x:v>4</x:v>
      </x:c>
      <x:c r="F136" s="13" t="s">
        <x:v>54</x:v>
      </x:c>
      <x:c r="G136" s="13" t="e">
        <x:f>第2日!B90</x:f>
        <x:v>#NAME?</x:v>
      </x:c>
      <x:c r="H136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6" s="13" t="e">
        <x:f>第2日!E90</x:f>
        <x:v>#NAME?</x:v>
      </x:c>
      <x:c r="J136" s="13" t="e">
        <x:f>第2日!G90</x:f>
        <x:v>#NAME?</x:v>
      </x:c>
      <x:c r="K136" s="13" t="e">
        <x:f>第2日!I90</x:f>
        <x:v>#NAME?</x:v>
      </x:c>
      <x:c r="L136" s="13" t="s">
        <x:v>532</x:v>
      </x:c>
      <x:c r="M136" s="13" t="s">
        <x:v>533</x:v>
      </x:c>
      <x:c r="N136" s="13" t="e">
        <x:f>第2日!I91="待设计"</x:f>
        <x:v>#NAME?</x:v>
      </x:c>
      <x:c r="O136" s="13">
        <x:v>6</x:v>
      </x:c>
      <x:c r="P136" s="13" t="e">
        <x:f>IF(第2日!B99="","",IFERROR(VLOOKUP(第2日!B99,敌人目录!$A$6:$B$68,2,FALSE),""))</x:f>
        <x:v>#NAME?</x:v>
      </x:c>
      <x:c r="Q136" s="13" t="e">
        <x:f>IF(第2日!B99="","",第2日!C99)</x:f>
        <x:v>#NAME?</x:v>
      </x:c>
      <x:c r="R136" s="13">
        <x:v>-1</x:v>
      </x:c>
      <x:c r="S136" s="13" t="e">
        <x:f>IF(第2日!B99="","",第2日!I99)</x:f>
        <x:v>#NAME?</x:v>
      </x:c>
    </x:row>
    <x:row r="137" ht="16.5">
      <x:c r="A137" s="13">
        <x:v>3</x:v>
      </x:c>
      <x:c r="B137" s="13" t="s">
        <x:v>536</x:v>
      </x:c>
      <x:c r="C137" s="13">
        <x:v>8</x:v>
      </x:c>
      <x:c r="D137" s="13">
        <x:v>2</x:v>
      </x:c>
      <x:c r="E137" s="13">
        <x:v>4</x:v>
      </x:c>
      <x:c r="F137" s="13" t="s">
        <x:v>54</x:v>
      </x:c>
      <x:c r="G137" s="13" t="e">
        <x:f>第2日!B90</x:f>
        <x:v>#NAME?</x:v>
      </x:c>
      <x:c r="H137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7" s="13" t="e">
        <x:f>第2日!E90</x:f>
        <x:v>#NAME?</x:v>
      </x:c>
      <x:c r="J137" s="13" t="e">
        <x:f>第2日!G90</x:f>
        <x:v>#NAME?</x:v>
      </x:c>
      <x:c r="K137" s="13" t="e">
        <x:f>第2日!I90</x:f>
        <x:v>#NAME?</x:v>
      </x:c>
      <x:c r="L137" s="13" t="s">
        <x:v>532</x:v>
      </x:c>
      <x:c r="M137" s="13" t="s">
        <x:v>533</x:v>
      </x:c>
      <x:c r="N137" s="13" t="e">
        <x:f>第2日!I91="待设计"</x:f>
        <x:v>#NAME?</x:v>
      </x:c>
      <x:c r="O137" s="13">
        <x:v>7</x:v>
      </x:c>
      <x:c r="P137" s="13" t="e">
        <x:f>IF(第2日!B100="","",IFERROR(VLOOKUP(第2日!B100,敌人目录!$A$6:$B$68,2,FALSE),""))</x:f>
        <x:v>#NAME?</x:v>
      </x:c>
      <x:c r="Q137" s="13" t="e">
        <x:f>IF(第2日!B100="","",第2日!C100)</x:f>
        <x:v>#NAME?</x:v>
      </x:c>
      <x:c r="R137" s="13">
        <x:v>-1</x:v>
      </x:c>
      <x:c r="S137" s="13" t="e">
        <x:f>IF(第2日!B100="","",第2日!I100)</x:f>
        <x:v>#NAME?</x:v>
      </x:c>
    </x:row>
    <x:row r="138" ht="16.5">
      <x:c r="A138" s="13">
        <x:v>3</x:v>
      </x:c>
      <x:c r="B138" s="13" t="s">
        <x:v>536</x:v>
      </x:c>
      <x:c r="C138" s="13">
        <x:v>8</x:v>
      </x:c>
      <x:c r="D138" s="13">
        <x:v>2</x:v>
      </x:c>
      <x:c r="E138" s="13">
        <x:v>4</x:v>
      </x:c>
      <x:c r="F138" s="13" t="s">
        <x:v>54</x:v>
      </x:c>
      <x:c r="G138" s="13" t="e">
        <x:f>第2日!B90</x:f>
        <x:v>#NAME?</x:v>
      </x:c>
      <x:c r="H138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8" s="13" t="e">
        <x:f>第2日!E90</x:f>
        <x:v>#NAME?</x:v>
      </x:c>
      <x:c r="J138" s="13" t="e">
        <x:f>第2日!G90</x:f>
        <x:v>#NAME?</x:v>
      </x:c>
      <x:c r="K138" s="13" t="e">
        <x:f>第2日!I90</x:f>
        <x:v>#NAME?</x:v>
      </x:c>
      <x:c r="L138" s="13" t="s">
        <x:v>532</x:v>
      </x:c>
      <x:c r="M138" s="13" t="s">
        <x:v>533</x:v>
      </x:c>
      <x:c r="N138" s="13" t="e">
        <x:f>第2日!I91="待设计"</x:f>
        <x:v>#NAME?</x:v>
      </x:c>
      <x:c r="O138" s="13">
        <x:v>8</x:v>
      </x:c>
      <x:c r="P138" s="13" t="e">
        <x:f>IF(第2日!B101="","",IFERROR(VLOOKUP(第2日!B101,敌人目录!$A$6:$B$68,2,FALSE),""))</x:f>
        <x:v>#NAME?</x:v>
      </x:c>
      <x:c r="Q138" s="13" t="e">
        <x:f>IF(第2日!B101="","",第2日!C101)</x:f>
        <x:v>#NAME?</x:v>
      </x:c>
      <x:c r="R138" s="13">
        <x:v>-1</x:v>
      </x:c>
      <x:c r="S138" s="13" t="e">
        <x:f>IF(第2日!B101="","",第2日!I101)</x:f>
        <x:v>#NAME?</x:v>
      </x:c>
    </x:row>
    <x:row r="139" ht="16.5">
      <x:c r="A139" s="13">
        <x:v>3</x:v>
      </x:c>
      <x:c r="B139" s="13" t="s">
        <x:v>536</x:v>
      </x:c>
      <x:c r="C139" s="13">
        <x:v>8</x:v>
      </x:c>
      <x:c r="D139" s="13">
        <x:v>2</x:v>
      </x:c>
      <x:c r="E139" s="13">
        <x:v>4</x:v>
      </x:c>
      <x:c r="F139" s="13" t="s">
        <x:v>54</x:v>
      </x:c>
      <x:c r="G139" s="13" t="e">
        <x:f>第2日!B90</x:f>
        <x:v>#NAME?</x:v>
      </x:c>
      <x:c r="H139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9" s="13" t="e">
        <x:f>第2日!E90</x:f>
        <x:v>#NAME?</x:v>
      </x:c>
      <x:c r="J139" s="13" t="e">
        <x:f>第2日!G90</x:f>
        <x:v>#NAME?</x:v>
      </x:c>
      <x:c r="K139" s="13" t="e">
        <x:f>第2日!I90</x:f>
        <x:v>#NAME?</x:v>
      </x:c>
      <x:c r="L139" s="13" t="s">
        <x:v>532</x:v>
      </x:c>
      <x:c r="M139" s="13" t="s">
        <x:v>533</x:v>
      </x:c>
      <x:c r="N139" s="13" t="e">
        <x:f>第2日!I91="待设计"</x:f>
        <x:v>#NAME?</x:v>
      </x:c>
      <x:c r="O139" s="13">
        <x:v>9</x:v>
      </x:c>
      <x:c r="P139" s="13" t="e">
        <x:f>IF(第2日!B102="","",IFERROR(VLOOKUP(第2日!B102,敌人目录!$A$6:$B$68,2,FALSE),""))</x:f>
        <x:v>#NAME?</x:v>
      </x:c>
      <x:c r="Q139" s="13" t="e">
        <x:f>IF(第2日!B102="","",第2日!C102)</x:f>
        <x:v>#NAME?</x:v>
      </x:c>
      <x:c r="R139" s="13">
        <x:v>-1</x:v>
      </x:c>
      <x:c r="S139" s="13" t="e">
        <x:f>IF(第2日!B102="","",第2日!I102)</x:f>
        <x:v>#NAME?</x:v>
      </x:c>
    </x:row>
    <x:row r="140" ht="16.5">
      <x:c r="A140" s="13">
        <x:v>3</x:v>
      </x:c>
      <x:c r="B140" s="13" t="s">
        <x:v>536</x:v>
      </x:c>
      <x:c r="C140" s="13">
        <x:v>8</x:v>
      </x:c>
      <x:c r="D140" s="13">
        <x:v>2</x:v>
      </x:c>
      <x:c r="E140" s="13">
        <x:v>4</x:v>
      </x:c>
      <x:c r="F140" s="13" t="s">
        <x:v>54</x:v>
      </x:c>
      <x:c r="G140" s="13" t="e">
        <x:f>第2日!B90</x:f>
        <x:v>#NAME?</x:v>
      </x:c>
      <x:c r="H140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0" s="13" t="e">
        <x:f>第2日!E90</x:f>
        <x:v>#NAME?</x:v>
      </x:c>
      <x:c r="J140" s="13" t="e">
        <x:f>第2日!G90</x:f>
        <x:v>#NAME?</x:v>
      </x:c>
      <x:c r="K140" s="13" t="e">
        <x:f>第2日!I90</x:f>
        <x:v>#NAME?</x:v>
      </x:c>
      <x:c r="L140" s="13" t="s">
        <x:v>532</x:v>
      </x:c>
      <x:c r="M140" s="13" t="s">
        <x:v>533</x:v>
      </x:c>
      <x:c r="N140" s="13" t="e">
        <x:f>第2日!I91="待设计"</x:f>
        <x:v>#NAME?</x:v>
      </x:c>
      <x:c r="O140" s="13">
        <x:v>10</x:v>
      </x:c>
      <x:c r="P140" s="13" t="e">
        <x:f>IF(第2日!B103="","",IFERROR(VLOOKUP(第2日!B103,敌人目录!$A$6:$B$68,2,FALSE),""))</x:f>
        <x:v>#NAME?</x:v>
      </x:c>
      <x:c r="Q140" s="13" t="e">
        <x:f>IF(第2日!B103="","",第2日!C103)</x:f>
        <x:v>#NAME?</x:v>
      </x:c>
      <x:c r="R140" s="13">
        <x:v>-1</x:v>
      </x:c>
      <x:c r="S140" s="13" t="e">
        <x:f>IF(第2日!B103="","",第2日!I103)</x:f>
        <x:v>#NAME?</x:v>
      </x:c>
    </x:row>
    <x:row r="141" ht="16.5">
      <x:c r="A141" s="13">
        <x:v>3</x:v>
      </x:c>
      <x:c r="B141" s="13" t="s">
        <x:v>536</x:v>
      </x:c>
      <x:c r="C141" s="13">
        <x:v>8</x:v>
      </x:c>
      <x:c r="D141" s="13">
        <x:v>2</x:v>
      </x:c>
      <x:c r="E141" s="13">
        <x:v>4</x:v>
      </x:c>
      <x:c r="F141" s="13" t="s">
        <x:v>54</x:v>
      </x:c>
      <x:c r="G141" s="13" t="e">
        <x:f>第2日!B90</x:f>
        <x:v>#NAME?</x:v>
      </x:c>
      <x:c r="H141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1" s="13" t="e">
        <x:f>第2日!E90</x:f>
        <x:v>#NAME?</x:v>
      </x:c>
      <x:c r="J141" s="13" t="e">
        <x:f>第2日!G90</x:f>
        <x:v>#NAME?</x:v>
      </x:c>
      <x:c r="K141" s="13" t="e">
        <x:f>第2日!I90</x:f>
        <x:v>#NAME?</x:v>
      </x:c>
      <x:c r="L141" s="13" t="s">
        <x:v>532</x:v>
      </x:c>
      <x:c r="M141" s="13" t="s">
        <x:v>533</x:v>
      </x:c>
      <x:c r="N141" s="13" t="e">
        <x:f>第2日!I91="待设计"</x:f>
        <x:v>#NAME?</x:v>
      </x:c>
      <x:c r="O141" s="13">
        <x:v>11</x:v>
      </x:c>
      <x:c r="P141" s="13" t="e">
        <x:f>IF(第2日!B104="","",IFERROR(VLOOKUP(第2日!B104,敌人目录!$A$6:$B$68,2,FALSE),""))</x:f>
        <x:v>#NAME?</x:v>
      </x:c>
      <x:c r="Q141" s="13" t="e">
        <x:f>IF(第2日!B104="","",第2日!C104)</x:f>
        <x:v>#NAME?</x:v>
      </x:c>
      <x:c r="R141" s="13">
        <x:v>-1</x:v>
      </x:c>
      <x:c r="S141" s="13" t="e">
        <x:f>IF(第2日!B104="","",第2日!I104)</x:f>
        <x:v>#NAME?</x:v>
      </x:c>
    </x:row>
    <x:row r="142" ht="16.5">
      <x:c r="A142" s="13">
        <x:v>3</x:v>
      </x:c>
      <x:c r="B142" s="13" t="s">
        <x:v>536</x:v>
      </x:c>
      <x:c r="C142" s="13">
        <x:v>8</x:v>
      </x:c>
      <x:c r="D142" s="13">
        <x:v>2</x:v>
      </x:c>
      <x:c r="E142" s="13">
        <x:v>4</x:v>
      </x:c>
      <x:c r="F142" s="13" t="s">
        <x:v>54</x:v>
      </x:c>
      <x:c r="G142" s="13" t="e">
        <x:f>第2日!B90</x:f>
        <x:v>#NAME?</x:v>
      </x:c>
      <x:c r="H142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2" s="13" t="e">
        <x:f>第2日!E90</x:f>
        <x:v>#NAME?</x:v>
      </x:c>
      <x:c r="J142" s="13" t="e">
        <x:f>第2日!G90</x:f>
        <x:v>#NAME?</x:v>
      </x:c>
      <x:c r="K142" s="13" t="e">
        <x:f>第2日!I90</x:f>
        <x:v>#NAME?</x:v>
      </x:c>
      <x:c r="L142" s="13" t="s">
        <x:v>532</x:v>
      </x:c>
      <x:c r="M142" s="13" t="s">
        <x:v>533</x:v>
      </x:c>
      <x:c r="N142" s="13" t="e">
        <x:f>第2日!I91="待设计"</x:f>
        <x:v>#NAME?</x:v>
      </x:c>
      <x:c r="O142" s="13">
        <x:v>12</x:v>
      </x:c>
      <x:c r="P142" s="13" t="e">
        <x:f>IF(第2日!B105="","",IFERROR(VLOOKUP(第2日!B105,敌人目录!$A$6:$B$68,2,FALSE),""))</x:f>
        <x:v>#NAME?</x:v>
      </x:c>
      <x:c r="Q142" s="13" t="e">
        <x:f>IF(第2日!B105="","",第2日!C105)</x:f>
        <x:v>#NAME?</x:v>
      </x:c>
      <x:c r="R142" s="13">
        <x:v>-1</x:v>
      </x:c>
      <x:c r="S142" s="13" t="e">
        <x:f>IF(第2日!B105="","",第2日!I105)</x:f>
        <x:v>#NAME?</x:v>
      </x:c>
    </x:row>
    <x:row r="143" ht="16.5">
      <x:c r="A143" s="13">
        <x:v>3</x:v>
      </x:c>
      <x:c r="B143" s="13" t="s">
        <x:v>536</x:v>
      </x:c>
      <x:c r="C143" s="13">
        <x:v>8</x:v>
      </x:c>
      <x:c r="D143" s="13">
        <x:v>2</x:v>
      </x:c>
      <x:c r="E143" s="13">
        <x:v>4</x:v>
      </x:c>
      <x:c r="F143" s="13" t="s">
        <x:v>54</x:v>
      </x:c>
      <x:c r="G143" s="13" t="e">
        <x:f>第2日!B90</x:f>
        <x:v>#NAME?</x:v>
      </x:c>
      <x:c r="H143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3" s="13" t="e">
        <x:f>第2日!E90</x:f>
        <x:v>#NAME?</x:v>
      </x:c>
      <x:c r="J143" s="13" t="e">
        <x:f>第2日!G90</x:f>
        <x:v>#NAME?</x:v>
      </x:c>
      <x:c r="K143" s="13" t="e">
        <x:f>第2日!I90</x:f>
        <x:v>#NAME?</x:v>
      </x:c>
      <x:c r="L143" s="13" t="s">
        <x:v>532</x:v>
      </x:c>
      <x:c r="M143" s="13" t="s">
        <x:v>533</x:v>
      </x:c>
      <x:c r="N143" s="13" t="e">
        <x:f>第2日!I91="待设计"</x:f>
        <x:v>#NAME?</x:v>
      </x:c>
      <x:c r="O143" s="13">
        <x:v>13</x:v>
      </x:c>
      <x:c r="P143" s="13" t="e">
        <x:f>IF(第2日!B106="","",IFERROR(VLOOKUP(第2日!B106,敌人目录!$A$6:$B$68,2,FALSE),""))</x:f>
        <x:v>#NAME?</x:v>
      </x:c>
      <x:c r="Q143" s="13" t="e">
        <x:f>IF(第2日!B106="","",第2日!C106)</x:f>
        <x:v>#NAME?</x:v>
      </x:c>
      <x:c r="R143" s="13">
        <x:v>-1</x:v>
      </x:c>
      <x:c r="S143" s="13" t="e">
        <x:f>IF(第2日!B106="","",第2日!I106)</x:f>
        <x:v>#NAME?</x:v>
      </x:c>
    </x:row>
    <x:row r="144" ht="16.5">
      <x:c r="A144" s="13">
        <x:v>3</x:v>
      </x:c>
      <x:c r="B144" s="13" t="s">
        <x:v>536</x:v>
      </x:c>
      <x:c r="C144" s="13">
        <x:v>8</x:v>
      </x:c>
      <x:c r="D144" s="13">
        <x:v>2</x:v>
      </x:c>
      <x:c r="E144" s="13">
        <x:v>4</x:v>
      </x:c>
      <x:c r="F144" s="13" t="s">
        <x:v>54</x:v>
      </x:c>
      <x:c r="G144" s="13" t="e">
        <x:f>第2日!B90</x:f>
        <x:v>#NAME?</x:v>
      </x:c>
      <x:c r="H144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4" s="13" t="e">
        <x:f>第2日!E90</x:f>
        <x:v>#NAME?</x:v>
      </x:c>
      <x:c r="J144" s="13" t="e">
        <x:f>第2日!G90</x:f>
        <x:v>#NAME?</x:v>
      </x:c>
      <x:c r="K144" s="13" t="e">
        <x:f>第2日!I90</x:f>
        <x:v>#NAME?</x:v>
      </x:c>
      <x:c r="L144" s="13" t="s">
        <x:v>532</x:v>
      </x:c>
      <x:c r="M144" s="13" t="s">
        <x:v>533</x:v>
      </x:c>
      <x:c r="N144" s="13" t="e">
        <x:f>第2日!I91="待设计"</x:f>
        <x:v>#NAME?</x:v>
      </x:c>
      <x:c r="O144" s="13">
        <x:v>14</x:v>
      </x:c>
      <x:c r="P144" s="13" t="e">
        <x:f>IF(第2日!B107="","",IFERROR(VLOOKUP(第2日!B107,敌人目录!$A$6:$B$68,2,FALSE),""))</x:f>
        <x:v>#NAME?</x:v>
      </x:c>
      <x:c r="Q144" s="13" t="e">
        <x:f>IF(第2日!B107="","",第2日!C107)</x:f>
        <x:v>#NAME?</x:v>
      </x:c>
      <x:c r="R144" s="13">
        <x:v>-1</x:v>
      </x:c>
      <x:c r="S144" s="13" t="e">
        <x:f>IF(第2日!B107="","",第2日!I107)</x:f>
        <x:v>#NAME?</x:v>
      </x:c>
    </x:row>
    <x:row r="145" ht="16.5">
      <x:c r="A145" s="13">
        <x:v>3</x:v>
      </x:c>
      <x:c r="B145" s="13" t="s">
        <x:v>536</x:v>
      </x:c>
      <x:c r="C145" s="13">
        <x:v>8</x:v>
      </x:c>
      <x:c r="D145" s="13">
        <x:v>2</x:v>
      </x:c>
      <x:c r="E145" s="13">
        <x:v>4</x:v>
      </x:c>
      <x:c r="F145" s="13" t="s">
        <x:v>54</x:v>
      </x:c>
      <x:c r="G145" s="13" t="e">
        <x:f>第2日!B90</x:f>
        <x:v>#NAME?</x:v>
      </x:c>
      <x:c r="H145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5" s="13" t="e">
        <x:f>第2日!E90</x:f>
        <x:v>#NAME?</x:v>
      </x:c>
      <x:c r="J145" s="13" t="e">
        <x:f>第2日!G90</x:f>
        <x:v>#NAME?</x:v>
      </x:c>
      <x:c r="K145" s="13" t="e">
        <x:f>第2日!I90</x:f>
        <x:v>#NAME?</x:v>
      </x:c>
      <x:c r="L145" s="13" t="s">
        <x:v>532</x:v>
      </x:c>
      <x:c r="M145" s="13" t="s">
        <x:v>533</x:v>
      </x:c>
      <x:c r="N145" s="13" t="e">
        <x:f>第2日!I91="待设计"</x:f>
        <x:v>#NAME?</x:v>
      </x:c>
      <x:c r="O145" s="13">
        <x:v>15</x:v>
      </x:c>
      <x:c r="P145" s="13" t="e">
        <x:f>IF(第2日!B108="","",IFERROR(VLOOKUP(第2日!B108,敌人目录!$A$6:$B$68,2,FALSE),""))</x:f>
        <x:v>#NAME?</x:v>
      </x:c>
      <x:c r="Q145" s="13" t="e">
        <x:f>IF(第2日!B108="","",第2日!C108)</x:f>
        <x:v>#NAME?</x:v>
      </x:c>
      <x:c r="R145" s="13">
        <x:v>-1</x:v>
      </x:c>
      <x:c r="S145" s="13" t="e">
        <x:f>IF(第2日!B108="","",第2日!I108)</x:f>
        <x:v>#NAME?</x:v>
      </x:c>
    </x:row>
    <x:row r="146" ht="16.5">
      <x:c r="A146" s="13">
        <x:v>3</x:v>
      </x:c>
      <x:c r="B146" s="13" t="s">
        <x:v>536</x:v>
      </x:c>
      <x:c r="C146" s="13">
        <x:v>8</x:v>
      </x:c>
      <x:c r="D146" s="13">
        <x:v>2</x:v>
      </x:c>
      <x:c r="E146" s="13">
        <x:v>4</x:v>
      </x:c>
      <x:c r="F146" s="13" t="s">
        <x:v>54</x:v>
      </x:c>
      <x:c r="G146" s="13" t="e">
        <x:f>第2日!B90</x:f>
        <x:v>#NAME?</x:v>
      </x:c>
      <x:c r="H146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6" s="13" t="e">
        <x:f>第2日!E90</x:f>
        <x:v>#NAME?</x:v>
      </x:c>
      <x:c r="J146" s="13" t="e">
        <x:f>第2日!G90</x:f>
        <x:v>#NAME?</x:v>
      </x:c>
      <x:c r="K146" s="13" t="e">
        <x:f>第2日!I90</x:f>
        <x:v>#NAME?</x:v>
      </x:c>
      <x:c r="L146" s="13" t="s">
        <x:v>532</x:v>
      </x:c>
      <x:c r="M146" s="13" t="s">
        <x:v>533</x:v>
      </x:c>
      <x:c r="N146" s="13" t="e">
        <x:f>第2日!I91="待设计"</x:f>
        <x:v>#NAME?</x:v>
      </x:c>
      <x:c r="O146" s="13">
        <x:v>16</x:v>
      </x:c>
      <x:c r="P146" s="13" t="e">
        <x:f>IF(第2日!B109="","",IFERROR(VLOOKUP(第2日!B109,敌人目录!$A$6:$B$68,2,FALSE),""))</x:f>
        <x:v>#NAME?</x:v>
      </x:c>
      <x:c r="Q146" s="13" t="e">
        <x:f>IF(第2日!B109="","",第2日!C109)</x:f>
        <x:v>#NAME?</x:v>
      </x:c>
      <x:c r="R146" s="13">
        <x:v>-1</x:v>
      </x:c>
      <x:c r="S146" s="13" t="e">
        <x:f>IF(第2日!B109="","",第2日!I109)</x:f>
        <x:v>#NAME?</x:v>
      </x:c>
    </x:row>
    <x:row r="147" ht="16.5">
      <x:c r="A147" s="13">
        <x:v>3</x:v>
      </x:c>
      <x:c r="B147" s="13" t="s">
        <x:v>536</x:v>
      </x:c>
      <x:c r="C147" s="13">
        <x:v>8</x:v>
      </x:c>
      <x:c r="D147" s="13">
        <x:v>2</x:v>
      </x:c>
      <x:c r="E147" s="13">
        <x:v>4</x:v>
      </x:c>
      <x:c r="F147" s="13" t="s">
        <x:v>54</x:v>
      </x:c>
      <x:c r="G147" s="13" t="e">
        <x:f>第2日!B90</x:f>
        <x:v>#NAME?</x:v>
      </x:c>
      <x:c r="H147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7" s="13" t="e">
        <x:f>第2日!E90</x:f>
        <x:v>#NAME?</x:v>
      </x:c>
      <x:c r="J147" s="13" t="e">
        <x:f>第2日!G90</x:f>
        <x:v>#NAME?</x:v>
      </x:c>
      <x:c r="K147" s="13" t="e">
        <x:f>第2日!I90</x:f>
        <x:v>#NAME?</x:v>
      </x:c>
      <x:c r="L147" s="13" t="s">
        <x:v>532</x:v>
      </x:c>
      <x:c r="M147" s="13" t="s">
        <x:v>533</x:v>
      </x:c>
      <x:c r="N147" s="13" t="e">
        <x:f>第2日!I91="待设计"</x:f>
        <x:v>#NAME?</x:v>
      </x:c>
      <x:c r="O147" s="13">
        <x:v>17</x:v>
      </x:c>
      <x:c r="P147" s="13" t="e">
        <x:f>IF(第2日!B110="","",IFERROR(VLOOKUP(第2日!B110,敌人目录!$A$6:$B$68,2,FALSE),""))</x:f>
        <x:v>#NAME?</x:v>
      </x:c>
      <x:c r="Q147" s="13" t="e">
        <x:f>IF(第2日!B110="","",第2日!C110)</x:f>
        <x:v>#NAME?</x:v>
      </x:c>
      <x:c r="R147" s="13">
        <x:v>-1</x:v>
      </x:c>
      <x:c r="S147" s="13" t="e">
        <x:f>IF(第2日!B110="","",第2日!I110)</x:f>
        <x:v>#NAME?</x:v>
      </x:c>
    </x:row>
    <x:row r="148" ht="16.5">
      <x:c r="A148" s="13">
        <x:v>3</x:v>
      </x:c>
      <x:c r="B148" s="13" t="s">
        <x:v>536</x:v>
      </x:c>
      <x:c r="C148" s="13">
        <x:v>8</x:v>
      </x:c>
      <x:c r="D148" s="13">
        <x:v>2</x:v>
      </x:c>
      <x:c r="E148" s="13">
        <x:v>4</x:v>
      </x:c>
      <x:c r="F148" s="13" t="s">
        <x:v>54</x:v>
      </x:c>
      <x:c r="G148" s="13" t="e">
        <x:f>第2日!B90</x:f>
        <x:v>#NAME?</x:v>
      </x:c>
      <x:c r="H148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8" s="13" t="e">
        <x:f>第2日!E90</x:f>
        <x:v>#NAME?</x:v>
      </x:c>
      <x:c r="J148" s="13" t="e">
        <x:f>第2日!G90</x:f>
        <x:v>#NAME?</x:v>
      </x:c>
      <x:c r="K148" s="13" t="e">
        <x:f>第2日!I90</x:f>
        <x:v>#NAME?</x:v>
      </x:c>
      <x:c r="L148" s="13" t="s">
        <x:v>532</x:v>
      </x:c>
      <x:c r="M148" s="13" t="s">
        <x:v>533</x:v>
      </x:c>
      <x:c r="N148" s="13" t="e">
        <x:f>第2日!I91="待设计"</x:f>
        <x:v>#NAME?</x:v>
      </x:c>
      <x:c r="O148" s="13">
        <x:v>18</x:v>
      </x:c>
      <x:c r="P148" s="13" t="e">
        <x:f>IF(第2日!B111="","",IFERROR(VLOOKUP(第2日!B111,敌人目录!$A$6:$B$68,2,FALSE),""))</x:f>
        <x:v>#NAME?</x:v>
      </x:c>
      <x:c r="Q148" s="13" t="e">
        <x:f>IF(第2日!B111="","",第2日!C111)</x:f>
        <x:v>#NAME?</x:v>
      </x:c>
      <x:c r="R148" s="13">
        <x:v>-1</x:v>
      </x:c>
      <x:c r="S148" s="13" t="e">
        <x:f>IF(第2日!B111="","",第2日!I111)</x:f>
        <x:v>#NAME?</x:v>
      </x:c>
    </x:row>
    <x:row r="149" ht="16.5">
      <x:c r="A149" s="13">
        <x:v>3</x:v>
      </x:c>
      <x:c r="B149" s="13" t="s">
        <x:v>537</x:v>
      </x:c>
      <x:c r="C149" s="13">
        <x:v>9</x:v>
      </x:c>
      <x:c r="D149" s="13">
        <x:v>3</x:v>
      </x:c>
      <x:c r="E149" s="13">
        <x:v>1</x:v>
      </x:c>
      <x:c r="F149" s="13" t="s">
        <x:v>51</x:v>
      </x:c>
      <x:c r="G149" s="13" t="e">
        <x:f>第3日!B3</x:f>
        <x:v>#NAME?</x:v>
      </x:c>
      <x:c r="H149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49" s="13" t="e">
        <x:f>第3日!E3</x:f>
        <x:v>#NAME?</x:v>
      </x:c>
      <x:c r="J149" s="13" t="e">
        <x:f>第3日!G3</x:f>
        <x:v>#NAME?</x:v>
      </x:c>
      <x:c r="K149" s="13" t="e">
        <x:f>第3日!I3</x:f>
        <x:v>#NAME?</x:v>
      </x:c>
      <x:c r="L149" s="13" t="s">
        <x:v>538</x:v>
      </x:c>
      <x:c r="M149" s="13" t="s">
        <x:v>539</x:v>
      </x:c>
      <x:c r="N149" s="13" t="e">
        <x:f>第3日!I4="待设计"</x:f>
        <x:v>#NAME?</x:v>
      </x:c>
      <x:c r="O149" s="13">
        <x:v>1</x:v>
      </x:c>
      <x:c r="P149" s="13" t="e">
        <x:f>IF(第3日!B7="","",IFERROR(VLOOKUP(第3日!B7,敌人目录!$A$6:$B$68,2,FALSE),""))</x:f>
        <x:v>#NAME?</x:v>
      </x:c>
      <x:c r="Q149" s="13" t="e">
        <x:f>IF(第3日!B7="","",第3日!C7)</x:f>
        <x:v>#NAME?</x:v>
      </x:c>
      <x:c r="R149" s="13">
        <x:v>-1</x:v>
      </x:c>
      <x:c r="S149" s="13" t="e">
        <x:f>IF(第3日!B7="","",第3日!I7)</x:f>
        <x:v>#NAME?</x:v>
      </x:c>
    </x:row>
    <x:row r="150" ht="16.5">
      <x:c r="A150" s="13">
        <x:v>3</x:v>
      </x:c>
      <x:c r="B150" s="13" t="s">
        <x:v>537</x:v>
      </x:c>
      <x:c r="C150" s="13">
        <x:v>9</x:v>
      </x:c>
      <x:c r="D150" s="13">
        <x:v>3</x:v>
      </x:c>
      <x:c r="E150" s="13">
        <x:v>1</x:v>
      </x:c>
      <x:c r="F150" s="13" t="s">
        <x:v>51</x:v>
      </x:c>
      <x:c r="G150" s="13" t="e">
        <x:f>第3日!B3</x:f>
        <x:v>#NAME?</x:v>
      </x:c>
      <x:c r="H150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0" s="13" t="e">
        <x:f>第3日!E3</x:f>
        <x:v>#NAME?</x:v>
      </x:c>
      <x:c r="J150" s="13" t="e">
        <x:f>第3日!G3</x:f>
        <x:v>#NAME?</x:v>
      </x:c>
      <x:c r="K150" s="13" t="e">
        <x:f>第3日!I3</x:f>
        <x:v>#NAME?</x:v>
      </x:c>
      <x:c r="L150" s="13" t="s">
        <x:v>538</x:v>
      </x:c>
      <x:c r="M150" s="13" t="s">
        <x:v>539</x:v>
      </x:c>
      <x:c r="N150" s="13" t="e">
        <x:f>第3日!I4="待设计"</x:f>
        <x:v>#NAME?</x:v>
      </x:c>
      <x:c r="O150" s="13">
        <x:v>2</x:v>
      </x:c>
      <x:c r="P150" s="13" t="e">
        <x:f>IF(第3日!B8="","",IFERROR(VLOOKUP(第3日!B8,敌人目录!$A$6:$B$68,2,FALSE),""))</x:f>
        <x:v>#NAME?</x:v>
      </x:c>
      <x:c r="Q150" s="13" t="e">
        <x:f>IF(第3日!B8="","",第3日!C8)</x:f>
        <x:v>#NAME?</x:v>
      </x:c>
      <x:c r="R150" s="13">
        <x:v>-1</x:v>
      </x:c>
      <x:c r="S150" s="13" t="e">
        <x:f>IF(第3日!B8="","",第3日!I8)</x:f>
        <x:v>#NAME?</x:v>
      </x:c>
    </x:row>
    <x:row r="151" ht="16.5">
      <x:c r="A151" s="13">
        <x:v>3</x:v>
      </x:c>
      <x:c r="B151" s="13" t="s">
        <x:v>537</x:v>
      </x:c>
      <x:c r="C151" s="13">
        <x:v>9</x:v>
      </x:c>
      <x:c r="D151" s="13">
        <x:v>3</x:v>
      </x:c>
      <x:c r="E151" s="13">
        <x:v>1</x:v>
      </x:c>
      <x:c r="F151" s="13" t="s">
        <x:v>51</x:v>
      </x:c>
      <x:c r="G151" s="13" t="e">
        <x:f>第3日!B3</x:f>
        <x:v>#NAME?</x:v>
      </x:c>
      <x:c r="H151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1" s="13" t="e">
        <x:f>第3日!E3</x:f>
        <x:v>#NAME?</x:v>
      </x:c>
      <x:c r="J151" s="13" t="e">
        <x:f>第3日!G3</x:f>
        <x:v>#NAME?</x:v>
      </x:c>
      <x:c r="K151" s="13" t="e">
        <x:f>第3日!I3</x:f>
        <x:v>#NAME?</x:v>
      </x:c>
      <x:c r="L151" s="13" t="s">
        <x:v>538</x:v>
      </x:c>
      <x:c r="M151" s="13" t="s">
        <x:v>539</x:v>
      </x:c>
      <x:c r="N151" s="13" t="e">
        <x:f>第3日!I4="待设计"</x:f>
        <x:v>#NAME?</x:v>
      </x:c>
      <x:c r="O151" s="13">
        <x:v>3</x:v>
      </x:c>
      <x:c r="P151" s="13" t="e">
        <x:f>IF(第3日!B9="","",IFERROR(VLOOKUP(第3日!B9,敌人目录!$A$6:$B$68,2,FALSE),""))</x:f>
        <x:v>#NAME?</x:v>
      </x:c>
      <x:c r="Q151" s="13" t="e">
        <x:f>IF(第3日!B9="","",第3日!C9)</x:f>
        <x:v>#NAME?</x:v>
      </x:c>
      <x:c r="R151" s="13">
        <x:v>-1</x:v>
      </x:c>
      <x:c r="S151" s="13" t="e">
        <x:f>IF(第3日!B9="","",第3日!I9)</x:f>
        <x:v>#NAME?</x:v>
      </x:c>
    </x:row>
    <x:row r="152" ht="16.5">
      <x:c r="A152" s="13">
        <x:v>3</x:v>
      </x:c>
      <x:c r="B152" s="13" t="s">
        <x:v>537</x:v>
      </x:c>
      <x:c r="C152" s="13">
        <x:v>9</x:v>
      </x:c>
      <x:c r="D152" s="13">
        <x:v>3</x:v>
      </x:c>
      <x:c r="E152" s="13">
        <x:v>1</x:v>
      </x:c>
      <x:c r="F152" s="13" t="s">
        <x:v>51</x:v>
      </x:c>
      <x:c r="G152" s="13" t="e">
        <x:f>第3日!B3</x:f>
        <x:v>#NAME?</x:v>
      </x:c>
      <x:c r="H152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2" s="13" t="e">
        <x:f>第3日!E3</x:f>
        <x:v>#NAME?</x:v>
      </x:c>
      <x:c r="J152" s="13" t="e">
        <x:f>第3日!G3</x:f>
        <x:v>#NAME?</x:v>
      </x:c>
      <x:c r="K152" s="13" t="e">
        <x:f>第3日!I3</x:f>
        <x:v>#NAME?</x:v>
      </x:c>
      <x:c r="L152" s="13" t="s">
        <x:v>538</x:v>
      </x:c>
      <x:c r="M152" s="13" t="s">
        <x:v>539</x:v>
      </x:c>
      <x:c r="N152" s="13" t="e">
        <x:f>第3日!I4="待设计"</x:f>
        <x:v>#NAME?</x:v>
      </x:c>
      <x:c r="O152" s="13">
        <x:v>4</x:v>
      </x:c>
      <x:c r="P152" s="13" t="e">
        <x:f>IF(第3日!B10="","",IFERROR(VLOOKUP(第3日!B10,敌人目录!$A$6:$B$68,2,FALSE),""))</x:f>
        <x:v>#NAME?</x:v>
      </x:c>
      <x:c r="Q152" s="13" t="e">
        <x:f>IF(第3日!B10="","",第3日!C10)</x:f>
        <x:v>#NAME?</x:v>
      </x:c>
      <x:c r="R152" s="13">
        <x:v>-1</x:v>
      </x:c>
      <x:c r="S152" s="13" t="e">
        <x:f>IF(第3日!B10="","",第3日!I10)</x:f>
        <x:v>#NAME?</x:v>
      </x:c>
    </x:row>
    <x:row r="153" ht="16.5">
      <x:c r="A153" s="13">
        <x:v>3</x:v>
      </x:c>
      <x:c r="B153" s="13" t="s">
        <x:v>537</x:v>
      </x:c>
      <x:c r="C153" s="13">
        <x:v>9</x:v>
      </x:c>
      <x:c r="D153" s="13">
        <x:v>3</x:v>
      </x:c>
      <x:c r="E153" s="13">
        <x:v>1</x:v>
      </x:c>
      <x:c r="F153" s="13" t="s">
        <x:v>51</x:v>
      </x:c>
      <x:c r="G153" s="13" t="e">
        <x:f>第3日!B3</x:f>
        <x:v>#NAME?</x:v>
      </x:c>
      <x:c r="H153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3" s="13" t="e">
        <x:f>第3日!E3</x:f>
        <x:v>#NAME?</x:v>
      </x:c>
      <x:c r="J153" s="13" t="e">
        <x:f>第3日!G3</x:f>
        <x:v>#NAME?</x:v>
      </x:c>
      <x:c r="K153" s="13" t="e">
        <x:f>第3日!I3</x:f>
        <x:v>#NAME?</x:v>
      </x:c>
      <x:c r="L153" s="13" t="s">
        <x:v>538</x:v>
      </x:c>
      <x:c r="M153" s="13" t="s">
        <x:v>539</x:v>
      </x:c>
      <x:c r="N153" s="13" t="e">
        <x:f>第3日!I4="待设计"</x:f>
        <x:v>#NAME?</x:v>
      </x:c>
      <x:c r="O153" s="13">
        <x:v>5</x:v>
      </x:c>
      <x:c r="P153" s="13" t="e">
        <x:f>IF(第3日!B11="","",IFERROR(VLOOKUP(第3日!B11,敌人目录!$A$6:$B$68,2,FALSE),""))</x:f>
        <x:v>#NAME?</x:v>
      </x:c>
      <x:c r="Q153" s="13" t="e">
        <x:f>IF(第3日!B11="","",第3日!C11)</x:f>
        <x:v>#NAME?</x:v>
      </x:c>
      <x:c r="R153" s="13">
        <x:v>-1</x:v>
      </x:c>
      <x:c r="S153" s="13" t="e">
        <x:f>IF(第3日!B11="","",第3日!I11)</x:f>
        <x:v>#NAME?</x:v>
      </x:c>
    </x:row>
    <x:row r="154" ht="16.5">
      <x:c r="A154" s="13">
        <x:v>3</x:v>
      </x:c>
      <x:c r="B154" s="13" t="s">
        <x:v>537</x:v>
      </x:c>
      <x:c r="C154" s="13">
        <x:v>9</x:v>
      </x:c>
      <x:c r="D154" s="13">
        <x:v>3</x:v>
      </x:c>
      <x:c r="E154" s="13">
        <x:v>1</x:v>
      </x:c>
      <x:c r="F154" s="13" t="s">
        <x:v>51</x:v>
      </x:c>
      <x:c r="G154" s="13" t="e">
        <x:f>第3日!B3</x:f>
        <x:v>#NAME?</x:v>
      </x:c>
      <x:c r="H154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4" s="13" t="e">
        <x:f>第3日!E3</x:f>
        <x:v>#NAME?</x:v>
      </x:c>
      <x:c r="J154" s="13" t="e">
        <x:f>第3日!G3</x:f>
        <x:v>#NAME?</x:v>
      </x:c>
      <x:c r="K154" s="13" t="e">
        <x:f>第3日!I3</x:f>
        <x:v>#NAME?</x:v>
      </x:c>
      <x:c r="L154" s="13" t="s">
        <x:v>538</x:v>
      </x:c>
      <x:c r="M154" s="13" t="s">
        <x:v>539</x:v>
      </x:c>
      <x:c r="N154" s="13" t="e">
        <x:f>第3日!I4="待设计"</x:f>
        <x:v>#NAME?</x:v>
      </x:c>
      <x:c r="O154" s="13">
        <x:v>6</x:v>
      </x:c>
      <x:c r="P154" s="13" t="e">
        <x:f>IF(第3日!B12="","",IFERROR(VLOOKUP(第3日!B12,敌人目录!$A$6:$B$68,2,FALSE),""))</x:f>
        <x:v>#NAME?</x:v>
      </x:c>
      <x:c r="Q154" s="13" t="e">
        <x:f>IF(第3日!B12="","",第3日!C12)</x:f>
        <x:v>#NAME?</x:v>
      </x:c>
      <x:c r="R154" s="13">
        <x:v>-1</x:v>
      </x:c>
      <x:c r="S154" s="13" t="e">
        <x:f>IF(第3日!B12="","",第3日!I12)</x:f>
        <x:v>#NAME?</x:v>
      </x:c>
    </x:row>
    <x:row r="155" ht="16.5">
      <x:c r="A155" s="13">
        <x:v>3</x:v>
      </x:c>
      <x:c r="B155" s="13" t="s">
        <x:v>537</x:v>
      </x:c>
      <x:c r="C155" s="13">
        <x:v>9</x:v>
      </x:c>
      <x:c r="D155" s="13">
        <x:v>3</x:v>
      </x:c>
      <x:c r="E155" s="13">
        <x:v>1</x:v>
      </x:c>
      <x:c r="F155" s="13" t="s">
        <x:v>51</x:v>
      </x:c>
      <x:c r="G155" s="13" t="e">
        <x:f>第3日!B3</x:f>
        <x:v>#NAME?</x:v>
      </x:c>
      <x:c r="H155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5" s="13" t="e">
        <x:f>第3日!E3</x:f>
        <x:v>#NAME?</x:v>
      </x:c>
      <x:c r="J155" s="13" t="e">
        <x:f>第3日!G3</x:f>
        <x:v>#NAME?</x:v>
      </x:c>
      <x:c r="K155" s="13" t="e">
        <x:f>第3日!I3</x:f>
        <x:v>#NAME?</x:v>
      </x:c>
      <x:c r="L155" s="13" t="s">
        <x:v>538</x:v>
      </x:c>
      <x:c r="M155" s="13" t="s">
        <x:v>539</x:v>
      </x:c>
      <x:c r="N155" s="13" t="e">
        <x:f>第3日!I4="待设计"</x:f>
        <x:v>#NAME?</x:v>
      </x:c>
      <x:c r="O155" s="13">
        <x:v>7</x:v>
      </x:c>
      <x:c r="P155" s="13" t="e">
        <x:f>IF(第3日!B13="","",IFERROR(VLOOKUP(第3日!B13,敌人目录!$A$6:$B$68,2,FALSE),""))</x:f>
        <x:v>#NAME?</x:v>
      </x:c>
      <x:c r="Q155" s="13" t="e">
        <x:f>IF(第3日!B13="","",第3日!C13)</x:f>
        <x:v>#NAME?</x:v>
      </x:c>
      <x:c r="R155" s="13">
        <x:v>-1</x:v>
      </x:c>
      <x:c r="S155" s="13" t="e">
        <x:f>IF(第3日!B13="","",第3日!I13)</x:f>
        <x:v>#NAME?</x:v>
      </x:c>
    </x:row>
    <x:row r="156" ht="16.5">
      <x:c r="A156" s="13">
        <x:v>3</x:v>
      </x:c>
      <x:c r="B156" s="13" t="s">
        <x:v>537</x:v>
      </x:c>
      <x:c r="C156" s="13">
        <x:v>9</x:v>
      </x:c>
      <x:c r="D156" s="13">
        <x:v>3</x:v>
      </x:c>
      <x:c r="E156" s="13">
        <x:v>1</x:v>
      </x:c>
      <x:c r="F156" s="13" t="s">
        <x:v>51</x:v>
      </x:c>
      <x:c r="G156" s="13" t="e">
        <x:f>第3日!B3</x:f>
        <x:v>#NAME?</x:v>
      </x:c>
      <x:c r="H156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6" s="13" t="e">
        <x:f>第3日!E3</x:f>
        <x:v>#NAME?</x:v>
      </x:c>
      <x:c r="J156" s="13" t="e">
        <x:f>第3日!G3</x:f>
        <x:v>#NAME?</x:v>
      </x:c>
      <x:c r="K156" s="13" t="e">
        <x:f>第3日!I3</x:f>
        <x:v>#NAME?</x:v>
      </x:c>
      <x:c r="L156" s="13" t="s">
        <x:v>538</x:v>
      </x:c>
      <x:c r="M156" s="13" t="s">
        <x:v>539</x:v>
      </x:c>
      <x:c r="N156" s="13" t="e">
        <x:f>第3日!I4="待设计"</x:f>
        <x:v>#NAME?</x:v>
      </x:c>
      <x:c r="O156" s="13">
        <x:v>8</x:v>
      </x:c>
      <x:c r="P156" s="13" t="e">
        <x:f>IF(第3日!B14="","",IFERROR(VLOOKUP(第3日!B14,敌人目录!$A$6:$B$68,2,FALSE),""))</x:f>
        <x:v>#NAME?</x:v>
      </x:c>
      <x:c r="Q156" s="13" t="e">
        <x:f>IF(第3日!B14="","",第3日!C14)</x:f>
        <x:v>#NAME?</x:v>
      </x:c>
      <x:c r="R156" s="13">
        <x:v>-1</x:v>
      </x:c>
      <x:c r="S156" s="13" t="e">
        <x:f>IF(第3日!B14="","",第3日!I14)</x:f>
        <x:v>#NAME?</x:v>
      </x:c>
    </x:row>
    <x:row r="157" ht="16.5">
      <x:c r="A157" s="13">
        <x:v>3</x:v>
      </x:c>
      <x:c r="B157" s="13" t="s">
        <x:v>537</x:v>
      </x:c>
      <x:c r="C157" s="13">
        <x:v>9</x:v>
      </x:c>
      <x:c r="D157" s="13">
        <x:v>3</x:v>
      </x:c>
      <x:c r="E157" s="13">
        <x:v>1</x:v>
      </x:c>
      <x:c r="F157" s="13" t="s">
        <x:v>51</x:v>
      </x:c>
      <x:c r="G157" s="13" t="e">
        <x:f>第3日!B3</x:f>
        <x:v>#NAME?</x:v>
      </x:c>
      <x:c r="H157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7" s="13" t="e">
        <x:f>第3日!E3</x:f>
        <x:v>#NAME?</x:v>
      </x:c>
      <x:c r="J157" s="13" t="e">
        <x:f>第3日!G3</x:f>
        <x:v>#NAME?</x:v>
      </x:c>
      <x:c r="K157" s="13" t="e">
        <x:f>第3日!I3</x:f>
        <x:v>#NAME?</x:v>
      </x:c>
      <x:c r="L157" s="13" t="s">
        <x:v>538</x:v>
      </x:c>
      <x:c r="M157" s="13" t="s">
        <x:v>539</x:v>
      </x:c>
      <x:c r="N157" s="13" t="e">
        <x:f>第3日!I4="待设计"</x:f>
        <x:v>#NAME?</x:v>
      </x:c>
      <x:c r="O157" s="13">
        <x:v>9</x:v>
      </x:c>
      <x:c r="P157" s="13" t="e">
        <x:f>IF(第3日!B15="","",IFERROR(VLOOKUP(第3日!B15,敌人目录!$A$6:$B$68,2,FALSE),""))</x:f>
        <x:v>#NAME?</x:v>
      </x:c>
      <x:c r="Q157" s="13" t="e">
        <x:f>IF(第3日!B15="","",第3日!C15)</x:f>
        <x:v>#NAME?</x:v>
      </x:c>
      <x:c r="R157" s="13">
        <x:v>-1</x:v>
      </x:c>
      <x:c r="S157" s="13" t="e">
        <x:f>IF(第3日!B15="","",第3日!I15)</x:f>
        <x:v>#NAME?</x:v>
      </x:c>
    </x:row>
    <x:row r="158" ht="16.5">
      <x:c r="A158" s="13">
        <x:v>3</x:v>
      </x:c>
      <x:c r="B158" s="13" t="s">
        <x:v>537</x:v>
      </x:c>
      <x:c r="C158" s="13">
        <x:v>9</x:v>
      </x:c>
      <x:c r="D158" s="13">
        <x:v>3</x:v>
      </x:c>
      <x:c r="E158" s="13">
        <x:v>1</x:v>
      </x:c>
      <x:c r="F158" s="13" t="s">
        <x:v>51</x:v>
      </x:c>
      <x:c r="G158" s="13" t="e">
        <x:f>第3日!B3</x:f>
        <x:v>#NAME?</x:v>
      </x:c>
      <x:c r="H158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8" s="13" t="e">
        <x:f>第3日!E3</x:f>
        <x:v>#NAME?</x:v>
      </x:c>
      <x:c r="J158" s="13" t="e">
        <x:f>第3日!G3</x:f>
        <x:v>#NAME?</x:v>
      </x:c>
      <x:c r="K158" s="13" t="e">
        <x:f>第3日!I3</x:f>
        <x:v>#NAME?</x:v>
      </x:c>
      <x:c r="L158" s="13" t="s">
        <x:v>538</x:v>
      </x:c>
      <x:c r="M158" s="13" t="s">
        <x:v>539</x:v>
      </x:c>
      <x:c r="N158" s="13" t="e">
        <x:f>第3日!I4="待设计"</x:f>
        <x:v>#NAME?</x:v>
      </x:c>
      <x:c r="O158" s="13">
        <x:v>10</x:v>
      </x:c>
      <x:c r="P158" s="13" t="e">
        <x:f>IF(第3日!B16="","",IFERROR(VLOOKUP(第3日!B16,敌人目录!$A$6:$B$68,2,FALSE),""))</x:f>
        <x:v>#NAME?</x:v>
      </x:c>
      <x:c r="Q158" s="13" t="e">
        <x:f>IF(第3日!B16="","",第3日!C16)</x:f>
        <x:v>#NAME?</x:v>
      </x:c>
      <x:c r="R158" s="13">
        <x:v>-1</x:v>
      </x:c>
      <x:c r="S158" s="13" t="e">
        <x:f>IF(第3日!B16="","",第3日!I16)</x:f>
        <x:v>#NAME?</x:v>
      </x:c>
    </x:row>
    <x:row r="159" ht="16.5">
      <x:c r="A159" s="13">
        <x:v>3</x:v>
      </x:c>
      <x:c r="B159" s="13" t="s">
        <x:v>537</x:v>
      </x:c>
      <x:c r="C159" s="13">
        <x:v>9</x:v>
      </x:c>
      <x:c r="D159" s="13">
        <x:v>3</x:v>
      </x:c>
      <x:c r="E159" s="13">
        <x:v>1</x:v>
      </x:c>
      <x:c r="F159" s="13" t="s">
        <x:v>51</x:v>
      </x:c>
      <x:c r="G159" s="13" t="e">
        <x:f>第3日!B3</x:f>
        <x:v>#NAME?</x:v>
      </x:c>
      <x:c r="H159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9" s="13" t="e">
        <x:f>第3日!E3</x:f>
        <x:v>#NAME?</x:v>
      </x:c>
      <x:c r="J159" s="13" t="e">
        <x:f>第3日!G3</x:f>
        <x:v>#NAME?</x:v>
      </x:c>
      <x:c r="K159" s="13" t="e">
        <x:f>第3日!I3</x:f>
        <x:v>#NAME?</x:v>
      </x:c>
      <x:c r="L159" s="13" t="s">
        <x:v>538</x:v>
      </x:c>
      <x:c r="M159" s="13" t="s">
        <x:v>539</x:v>
      </x:c>
      <x:c r="N159" s="13" t="e">
        <x:f>第3日!I4="待设计"</x:f>
        <x:v>#NAME?</x:v>
      </x:c>
      <x:c r="O159" s="13">
        <x:v>11</x:v>
      </x:c>
      <x:c r="P159" s="13" t="e">
        <x:f>IF(第3日!B17="","",IFERROR(VLOOKUP(第3日!B17,敌人目录!$A$6:$B$68,2,FALSE),""))</x:f>
        <x:v>#NAME?</x:v>
      </x:c>
      <x:c r="Q159" s="13" t="e">
        <x:f>IF(第3日!B17="","",第3日!C17)</x:f>
        <x:v>#NAME?</x:v>
      </x:c>
      <x:c r="R159" s="13">
        <x:v>-1</x:v>
      </x:c>
      <x:c r="S159" s="13" t="e">
        <x:f>IF(第3日!B17="","",第3日!I17)</x:f>
        <x:v>#NAME?</x:v>
      </x:c>
    </x:row>
    <x:row r="160" ht="16.5">
      <x:c r="A160" s="13">
        <x:v>3</x:v>
      </x:c>
      <x:c r="B160" s="13" t="s">
        <x:v>537</x:v>
      </x:c>
      <x:c r="C160" s="13">
        <x:v>9</x:v>
      </x:c>
      <x:c r="D160" s="13">
        <x:v>3</x:v>
      </x:c>
      <x:c r="E160" s="13">
        <x:v>1</x:v>
      </x:c>
      <x:c r="F160" s="13" t="s">
        <x:v>51</x:v>
      </x:c>
      <x:c r="G160" s="13" t="e">
        <x:f>第3日!B3</x:f>
        <x:v>#NAME?</x:v>
      </x:c>
      <x:c r="H160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0" s="13" t="e">
        <x:f>第3日!E3</x:f>
        <x:v>#NAME?</x:v>
      </x:c>
      <x:c r="J160" s="13" t="e">
        <x:f>第3日!G3</x:f>
        <x:v>#NAME?</x:v>
      </x:c>
      <x:c r="K160" s="13" t="e">
        <x:f>第3日!I3</x:f>
        <x:v>#NAME?</x:v>
      </x:c>
      <x:c r="L160" s="13" t="s">
        <x:v>538</x:v>
      </x:c>
      <x:c r="M160" s="13" t="s">
        <x:v>539</x:v>
      </x:c>
      <x:c r="N160" s="13" t="e">
        <x:f>第3日!I4="待设计"</x:f>
        <x:v>#NAME?</x:v>
      </x:c>
      <x:c r="O160" s="13">
        <x:v>12</x:v>
      </x:c>
      <x:c r="P160" s="13" t="e">
        <x:f>IF(第3日!B18="","",IFERROR(VLOOKUP(第3日!B18,敌人目录!$A$6:$B$68,2,FALSE),""))</x:f>
        <x:v>#NAME?</x:v>
      </x:c>
      <x:c r="Q160" s="13" t="e">
        <x:f>IF(第3日!B18="","",第3日!C18)</x:f>
        <x:v>#NAME?</x:v>
      </x:c>
      <x:c r="R160" s="13">
        <x:v>-1</x:v>
      </x:c>
      <x:c r="S160" s="13" t="e">
        <x:f>IF(第3日!B18="","",第3日!I18)</x:f>
        <x:v>#NAME?</x:v>
      </x:c>
    </x:row>
    <x:row r="161" ht="16.5">
      <x:c r="A161" s="13">
        <x:v>3</x:v>
      </x:c>
      <x:c r="B161" s="13" t="s">
        <x:v>537</x:v>
      </x:c>
      <x:c r="C161" s="13">
        <x:v>9</x:v>
      </x:c>
      <x:c r="D161" s="13">
        <x:v>3</x:v>
      </x:c>
      <x:c r="E161" s="13">
        <x:v>1</x:v>
      </x:c>
      <x:c r="F161" s="13" t="s">
        <x:v>51</x:v>
      </x:c>
      <x:c r="G161" s="13" t="e">
        <x:f>第3日!B3</x:f>
        <x:v>#NAME?</x:v>
      </x:c>
      <x:c r="H161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1" s="13" t="e">
        <x:f>第3日!E3</x:f>
        <x:v>#NAME?</x:v>
      </x:c>
      <x:c r="J161" s="13" t="e">
        <x:f>第3日!G3</x:f>
        <x:v>#NAME?</x:v>
      </x:c>
      <x:c r="K161" s="13" t="e">
        <x:f>第3日!I3</x:f>
        <x:v>#NAME?</x:v>
      </x:c>
      <x:c r="L161" s="13" t="s">
        <x:v>538</x:v>
      </x:c>
      <x:c r="M161" s="13" t="s">
        <x:v>539</x:v>
      </x:c>
      <x:c r="N161" s="13" t="e">
        <x:f>第3日!I4="待设计"</x:f>
        <x:v>#NAME?</x:v>
      </x:c>
      <x:c r="O161" s="13">
        <x:v>13</x:v>
      </x:c>
      <x:c r="P161" s="13" t="e">
        <x:f>IF(第3日!B19="","",IFERROR(VLOOKUP(第3日!B19,敌人目录!$A$6:$B$68,2,FALSE),""))</x:f>
        <x:v>#NAME?</x:v>
      </x:c>
      <x:c r="Q161" s="13" t="e">
        <x:f>IF(第3日!B19="","",第3日!C19)</x:f>
        <x:v>#NAME?</x:v>
      </x:c>
      <x:c r="R161" s="13">
        <x:v>-1</x:v>
      </x:c>
      <x:c r="S161" s="13" t="e">
        <x:f>IF(第3日!B19="","",第3日!I19)</x:f>
        <x:v>#NAME?</x:v>
      </x:c>
    </x:row>
    <x:row r="162" ht="16.5">
      <x:c r="A162" s="13">
        <x:v>3</x:v>
      </x:c>
      <x:c r="B162" s="13" t="s">
        <x:v>537</x:v>
      </x:c>
      <x:c r="C162" s="13">
        <x:v>9</x:v>
      </x:c>
      <x:c r="D162" s="13">
        <x:v>3</x:v>
      </x:c>
      <x:c r="E162" s="13">
        <x:v>1</x:v>
      </x:c>
      <x:c r="F162" s="13" t="s">
        <x:v>51</x:v>
      </x:c>
      <x:c r="G162" s="13" t="e">
        <x:f>第3日!B3</x:f>
        <x:v>#NAME?</x:v>
      </x:c>
      <x:c r="H162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2" s="13" t="e">
        <x:f>第3日!E3</x:f>
        <x:v>#NAME?</x:v>
      </x:c>
      <x:c r="J162" s="13" t="e">
        <x:f>第3日!G3</x:f>
        <x:v>#NAME?</x:v>
      </x:c>
      <x:c r="K162" s="13" t="e">
        <x:f>第3日!I3</x:f>
        <x:v>#NAME?</x:v>
      </x:c>
      <x:c r="L162" s="13" t="s">
        <x:v>538</x:v>
      </x:c>
      <x:c r="M162" s="13" t="s">
        <x:v>539</x:v>
      </x:c>
      <x:c r="N162" s="13" t="e">
        <x:f>第3日!I4="待设计"</x:f>
        <x:v>#NAME?</x:v>
      </x:c>
      <x:c r="O162" s="13">
        <x:v>14</x:v>
      </x:c>
      <x:c r="P162" s="13" t="e">
        <x:f>IF(第3日!B20="","",IFERROR(VLOOKUP(第3日!B20,敌人目录!$A$6:$B$68,2,FALSE),""))</x:f>
        <x:v>#NAME?</x:v>
      </x:c>
      <x:c r="Q162" s="13" t="e">
        <x:f>IF(第3日!B20="","",第3日!C20)</x:f>
        <x:v>#NAME?</x:v>
      </x:c>
      <x:c r="R162" s="13">
        <x:v>-1</x:v>
      </x:c>
      <x:c r="S162" s="13" t="e">
        <x:f>IF(第3日!B20="","",第3日!I20)</x:f>
        <x:v>#NAME?</x:v>
      </x:c>
    </x:row>
    <x:row r="163" ht="16.5">
      <x:c r="A163" s="13">
        <x:v>3</x:v>
      </x:c>
      <x:c r="B163" s="13" t="s">
        <x:v>537</x:v>
      </x:c>
      <x:c r="C163" s="13">
        <x:v>9</x:v>
      </x:c>
      <x:c r="D163" s="13">
        <x:v>3</x:v>
      </x:c>
      <x:c r="E163" s="13">
        <x:v>1</x:v>
      </x:c>
      <x:c r="F163" s="13" t="s">
        <x:v>51</x:v>
      </x:c>
      <x:c r="G163" s="13" t="e">
        <x:f>第3日!B3</x:f>
        <x:v>#NAME?</x:v>
      </x:c>
      <x:c r="H163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3" s="13" t="e">
        <x:f>第3日!E3</x:f>
        <x:v>#NAME?</x:v>
      </x:c>
      <x:c r="J163" s="13" t="e">
        <x:f>第3日!G3</x:f>
        <x:v>#NAME?</x:v>
      </x:c>
      <x:c r="K163" s="13" t="e">
        <x:f>第3日!I3</x:f>
        <x:v>#NAME?</x:v>
      </x:c>
      <x:c r="L163" s="13" t="s">
        <x:v>538</x:v>
      </x:c>
      <x:c r="M163" s="13" t="s">
        <x:v>539</x:v>
      </x:c>
      <x:c r="N163" s="13" t="e">
        <x:f>第3日!I4="待设计"</x:f>
        <x:v>#NAME?</x:v>
      </x:c>
      <x:c r="O163" s="13">
        <x:v>15</x:v>
      </x:c>
      <x:c r="P163" s="13" t="e">
        <x:f>IF(第3日!B21="","",IFERROR(VLOOKUP(第3日!B21,敌人目录!$A$6:$B$68,2,FALSE),""))</x:f>
        <x:v>#NAME?</x:v>
      </x:c>
      <x:c r="Q163" s="13" t="e">
        <x:f>IF(第3日!B21="","",第3日!C21)</x:f>
        <x:v>#NAME?</x:v>
      </x:c>
      <x:c r="R163" s="13">
        <x:v>-1</x:v>
      </x:c>
      <x:c r="S163" s="13" t="e">
        <x:f>IF(第3日!B21="","",第3日!I21)</x:f>
        <x:v>#NAME?</x:v>
      </x:c>
    </x:row>
    <x:row r="164" ht="16.5">
      <x:c r="A164" s="13">
        <x:v>3</x:v>
      </x:c>
      <x:c r="B164" s="13" t="s">
        <x:v>537</x:v>
      </x:c>
      <x:c r="C164" s="13">
        <x:v>9</x:v>
      </x:c>
      <x:c r="D164" s="13">
        <x:v>3</x:v>
      </x:c>
      <x:c r="E164" s="13">
        <x:v>1</x:v>
      </x:c>
      <x:c r="F164" s="13" t="s">
        <x:v>51</x:v>
      </x:c>
      <x:c r="G164" s="13" t="e">
        <x:f>第3日!B3</x:f>
        <x:v>#NAME?</x:v>
      </x:c>
      <x:c r="H164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4" s="13" t="e">
        <x:f>第3日!E3</x:f>
        <x:v>#NAME?</x:v>
      </x:c>
      <x:c r="J164" s="13" t="e">
        <x:f>第3日!G3</x:f>
        <x:v>#NAME?</x:v>
      </x:c>
      <x:c r="K164" s="13" t="e">
        <x:f>第3日!I3</x:f>
        <x:v>#NAME?</x:v>
      </x:c>
      <x:c r="L164" s="13" t="s">
        <x:v>538</x:v>
      </x:c>
      <x:c r="M164" s="13" t="s">
        <x:v>539</x:v>
      </x:c>
      <x:c r="N164" s="13" t="e">
        <x:f>第3日!I4="待设计"</x:f>
        <x:v>#NAME?</x:v>
      </x:c>
      <x:c r="O164" s="13">
        <x:v>16</x:v>
      </x:c>
      <x:c r="P164" s="13" t="e">
        <x:f>IF(第3日!B22="","",IFERROR(VLOOKUP(第3日!B22,敌人目录!$A$6:$B$68,2,FALSE),""))</x:f>
        <x:v>#NAME?</x:v>
      </x:c>
      <x:c r="Q164" s="13" t="e">
        <x:f>IF(第3日!B22="","",第3日!C22)</x:f>
        <x:v>#NAME?</x:v>
      </x:c>
      <x:c r="R164" s="13">
        <x:v>-1</x:v>
      </x:c>
      <x:c r="S164" s="13" t="e">
        <x:f>IF(第3日!B22="","",第3日!I22)</x:f>
        <x:v>#NAME?</x:v>
      </x:c>
    </x:row>
    <x:row r="165" ht="16.5">
      <x:c r="A165" s="13">
        <x:v>3</x:v>
      </x:c>
      <x:c r="B165" s="13" t="s">
        <x:v>537</x:v>
      </x:c>
      <x:c r="C165" s="13">
        <x:v>9</x:v>
      </x:c>
      <x:c r="D165" s="13">
        <x:v>3</x:v>
      </x:c>
      <x:c r="E165" s="13">
        <x:v>1</x:v>
      </x:c>
      <x:c r="F165" s="13" t="s">
        <x:v>51</x:v>
      </x:c>
      <x:c r="G165" s="13" t="e">
        <x:f>第3日!B3</x:f>
        <x:v>#NAME?</x:v>
      </x:c>
      <x:c r="H165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5" s="13" t="e">
        <x:f>第3日!E3</x:f>
        <x:v>#NAME?</x:v>
      </x:c>
      <x:c r="J165" s="13" t="e">
        <x:f>第3日!G3</x:f>
        <x:v>#NAME?</x:v>
      </x:c>
      <x:c r="K165" s="13" t="e">
        <x:f>第3日!I3</x:f>
        <x:v>#NAME?</x:v>
      </x:c>
      <x:c r="L165" s="13" t="s">
        <x:v>538</x:v>
      </x:c>
      <x:c r="M165" s="13" t="s">
        <x:v>539</x:v>
      </x:c>
      <x:c r="N165" s="13" t="e">
        <x:f>第3日!I4="待设计"</x:f>
        <x:v>#NAME?</x:v>
      </x:c>
      <x:c r="O165" s="13">
        <x:v>17</x:v>
      </x:c>
      <x:c r="P165" s="13" t="e">
        <x:f>IF(第3日!B23="","",IFERROR(VLOOKUP(第3日!B23,敌人目录!$A$6:$B$68,2,FALSE),""))</x:f>
        <x:v>#NAME?</x:v>
      </x:c>
      <x:c r="Q165" s="13" t="e">
        <x:f>IF(第3日!B23="","",第3日!C23)</x:f>
        <x:v>#NAME?</x:v>
      </x:c>
      <x:c r="R165" s="13">
        <x:v>-1</x:v>
      </x:c>
      <x:c r="S165" s="13" t="e">
        <x:f>IF(第3日!B23="","",第3日!I23)</x:f>
        <x:v>#NAME?</x:v>
      </x:c>
    </x:row>
    <x:row r="166" ht="16.5">
      <x:c r="A166" s="13">
        <x:v>3</x:v>
      </x:c>
      <x:c r="B166" s="13" t="s">
        <x:v>537</x:v>
      </x:c>
      <x:c r="C166" s="13">
        <x:v>9</x:v>
      </x:c>
      <x:c r="D166" s="13">
        <x:v>3</x:v>
      </x:c>
      <x:c r="E166" s="13">
        <x:v>1</x:v>
      </x:c>
      <x:c r="F166" s="13" t="s">
        <x:v>51</x:v>
      </x:c>
      <x:c r="G166" s="13" t="e">
        <x:f>第3日!B3</x:f>
        <x:v>#NAME?</x:v>
      </x:c>
      <x:c r="H166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6" s="13" t="e">
        <x:f>第3日!E3</x:f>
        <x:v>#NAME?</x:v>
      </x:c>
      <x:c r="J166" s="13" t="e">
        <x:f>第3日!G3</x:f>
        <x:v>#NAME?</x:v>
      </x:c>
      <x:c r="K166" s="13" t="e">
        <x:f>第3日!I3</x:f>
        <x:v>#NAME?</x:v>
      </x:c>
      <x:c r="L166" s="13" t="s">
        <x:v>538</x:v>
      </x:c>
      <x:c r="M166" s="13" t="s">
        <x:v>539</x:v>
      </x:c>
      <x:c r="N166" s="13" t="e">
        <x:f>第3日!I4="待设计"</x:f>
        <x:v>#NAME?</x:v>
      </x:c>
      <x:c r="O166" s="13">
        <x:v>18</x:v>
      </x:c>
      <x:c r="P166" s="13" t="e">
        <x:f>IF(第3日!B24="","",IFERROR(VLOOKUP(第3日!B24,敌人目录!$A$6:$B$68,2,FALSE),""))</x:f>
        <x:v>#NAME?</x:v>
      </x:c>
      <x:c r="Q166" s="13" t="e">
        <x:f>IF(第3日!B24="","",第3日!C24)</x:f>
        <x:v>#NAME?</x:v>
      </x:c>
      <x:c r="R166" s="13">
        <x:v>-1</x:v>
      </x:c>
      <x:c r="S166" s="13" t="e">
        <x:f>IF(第3日!B24="","",第3日!I24)</x:f>
        <x:v>#NAME?</x:v>
      </x:c>
    </x:row>
    <x:row r="167" ht="16.5">
      <x:c r="A167" s="13">
        <x:v>3</x:v>
      </x:c>
      <x:c r="B167" s="13" t="s">
        <x:v>540</x:v>
      </x:c>
      <x:c r="C167" s="13">
        <x:v>10</x:v>
      </x:c>
      <x:c r="D167" s="13">
        <x:v>3</x:v>
      </x:c>
      <x:c r="E167" s="13">
        <x:v>2</x:v>
      </x:c>
      <x:c r="F167" s="13" t="s">
        <x:v>51</x:v>
      </x:c>
      <x:c r="G167" s="13" t="e">
        <x:f>第3日!B32</x:f>
        <x:v>#NAME?</x:v>
      </x:c>
      <x:c r="H167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7" s="13" t="e">
        <x:f>第3日!E32</x:f>
        <x:v>#NAME?</x:v>
      </x:c>
      <x:c r="J167" s="13" t="e">
        <x:f>第3日!G32</x:f>
        <x:v>#NAME?</x:v>
      </x:c>
      <x:c r="K167" s="13" t="e">
        <x:f>第3日!I32</x:f>
        <x:v>#NAME?</x:v>
      </x:c>
      <x:c r="L167" s="13" t="s">
        <x:v>538</x:v>
      </x:c>
      <x:c r="M167" s="13" t="s">
        <x:v>539</x:v>
      </x:c>
      <x:c r="N167" s="13" t="e">
        <x:f>第3日!I33="待设计"</x:f>
        <x:v>#NAME?</x:v>
      </x:c>
      <x:c r="O167" s="13">
        <x:v>1</x:v>
      </x:c>
      <x:c r="P167" s="13" t="e">
        <x:f>IF(第3日!B36="","",IFERROR(VLOOKUP(第3日!B36,敌人目录!$A$6:$B$68,2,FALSE),""))</x:f>
        <x:v>#NAME?</x:v>
      </x:c>
      <x:c r="Q167" s="13" t="e">
        <x:f>IF(第3日!B36="","",第3日!C36)</x:f>
        <x:v>#NAME?</x:v>
      </x:c>
      <x:c r="R167" s="13">
        <x:v>-1</x:v>
      </x:c>
      <x:c r="S167" s="13" t="e">
        <x:f>IF(第3日!B36="","",第3日!I36)</x:f>
        <x:v>#NAME?</x:v>
      </x:c>
    </x:row>
    <x:row r="168" ht="16.5">
      <x:c r="A168" s="13">
        <x:v>3</x:v>
      </x:c>
      <x:c r="B168" s="13" t="s">
        <x:v>540</x:v>
      </x:c>
      <x:c r="C168" s="13">
        <x:v>10</x:v>
      </x:c>
      <x:c r="D168" s="13">
        <x:v>3</x:v>
      </x:c>
      <x:c r="E168" s="13">
        <x:v>2</x:v>
      </x:c>
      <x:c r="F168" s="13" t="s">
        <x:v>51</x:v>
      </x:c>
      <x:c r="G168" s="13" t="e">
        <x:f>第3日!B32</x:f>
        <x:v>#NAME?</x:v>
      </x:c>
      <x:c r="H168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8" s="13" t="e">
        <x:f>第3日!E32</x:f>
        <x:v>#NAME?</x:v>
      </x:c>
      <x:c r="J168" s="13" t="e">
        <x:f>第3日!G32</x:f>
        <x:v>#NAME?</x:v>
      </x:c>
      <x:c r="K168" s="13" t="e">
        <x:f>第3日!I32</x:f>
        <x:v>#NAME?</x:v>
      </x:c>
      <x:c r="L168" s="13" t="s">
        <x:v>538</x:v>
      </x:c>
      <x:c r="M168" s="13" t="s">
        <x:v>539</x:v>
      </x:c>
      <x:c r="N168" s="13" t="e">
        <x:f>第3日!I33="待设计"</x:f>
        <x:v>#NAME?</x:v>
      </x:c>
      <x:c r="O168" s="13">
        <x:v>2</x:v>
      </x:c>
      <x:c r="P168" s="13" t="e">
        <x:f>IF(第3日!B37="","",IFERROR(VLOOKUP(第3日!B37,敌人目录!$A$6:$B$68,2,FALSE),""))</x:f>
        <x:v>#NAME?</x:v>
      </x:c>
      <x:c r="Q168" s="13" t="e">
        <x:f>IF(第3日!B37="","",第3日!C37)</x:f>
        <x:v>#NAME?</x:v>
      </x:c>
      <x:c r="R168" s="13">
        <x:v>-1</x:v>
      </x:c>
      <x:c r="S168" s="13" t="e">
        <x:f>IF(第3日!B37="","",第3日!I37)</x:f>
        <x:v>#NAME?</x:v>
      </x:c>
    </x:row>
    <x:row r="169" ht="16.5">
      <x:c r="A169" s="13">
        <x:v>3</x:v>
      </x:c>
      <x:c r="B169" s="13" t="s">
        <x:v>540</x:v>
      </x:c>
      <x:c r="C169" s="13">
        <x:v>10</x:v>
      </x:c>
      <x:c r="D169" s="13">
        <x:v>3</x:v>
      </x:c>
      <x:c r="E169" s="13">
        <x:v>2</x:v>
      </x:c>
      <x:c r="F169" s="13" t="s">
        <x:v>51</x:v>
      </x:c>
      <x:c r="G169" s="13" t="e">
        <x:f>第3日!B32</x:f>
        <x:v>#NAME?</x:v>
      </x:c>
      <x:c r="H169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9" s="13" t="e">
        <x:f>第3日!E32</x:f>
        <x:v>#NAME?</x:v>
      </x:c>
      <x:c r="J169" s="13" t="e">
        <x:f>第3日!G32</x:f>
        <x:v>#NAME?</x:v>
      </x:c>
      <x:c r="K169" s="13" t="e">
        <x:f>第3日!I32</x:f>
        <x:v>#NAME?</x:v>
      </x:c>
      <x:c r="L169" s="13" t="s">
        <x:v>538</x:v>
      </x:c>
      <x:c r="M169" s="13" t="s">
        <x:v>539</x:v>
      </x:c>
      <x:c r="N169" s="13" t="e">
        <x:f>第3日!I33="待设计"</x:f>
        <x:v>#NAME?</x:v>
      </x:c>
      <x:c r="O169" s="13">
        <x:v>3</x:v>
      </x:c>
      <x:c r="P169" s="13" t="e">
        <x:f>IF(第3日!B38="","",IFERROR(VLOOKUP(第3日!B38,敌人目录!$A$6:$B$68,2,FALSE),""))</x:f>
        <x:v>#NAME?</x:v>
      </x:c>
      <x:c r="Q169" s="13" t="e">
        <x:f>IF(第3日!B38="","",第3日!C38)</x:f>
        <x:v>#NAME?</x:v>
      </x:c>
      <x:c r="R169" s="13">
        <x:v>-1</x:v>
      </x:c>
      <x:c r="S169" s="13" t="e">
        <x:f>IF(第3日!B38="","",第3日!I38)</x:f>
        <x:v>#NAME?</x:v>
      </x:c>
    </x:row>
    <x:row r="170" ht="16.5">
      <x:c r="A170" s="13">
        <x:v>3</x:v>
      </x:c>
      <x:c r="B170" s="13" t="s">
        <x:v>540</x:v>
      </x:c>
      <x:c r="C170" s="13">
        <x:v>10</x:v>
      </x:c>
      <x:c r="D170" s="13">
        <x:v>3</x:v>
      </x:c>
      <x:c r="E170" s="13">
        <x:v>2</x:v>
      </x:c>
      <x:c r="F170" s="13" t="s">
        <x:v>51</x:v>
      </x:c>
      <x:c r="G170" s="13" t="e">
        <x:f>第3日!B32</x:f>
        <x:v>#NAME?</x:v>
      </x:c>
      <x:c r="H170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0" s="13" t="e">
        <x:f>第3日!E32</x:f>
        <x:v>#NAME?</x:v>
      </x:c>
      <x:c r="J170" s="13" t="e">
        <x:f>第3日!G32</x:f>
        <x:v>#NAME?</x:v>
      </x:c>
      <x:c r="K170" s="13" t="e">
        <x:f>第3日!I32</x:f>
        <x:v>#NAME?</x:v>
      </x:c>
      <x:c r="L170" s="13" t="s">
        <x:v>538</x:v>
      </x:c>
      <x:c r="M170" s="13" t="s">
        <x:v>539</x:v>
      </x:c>
      <x:c r="N170" s="13" t="e">
        <x:f>第3日!I33="待设计"</x:f>
        <x:v>#NAME?</x:v>
      </x:c>
      <x:c r="O170" s="13">
        <x:v>4</x:v>
      </x:c>
      <x:c r="P170" s="13" t="e">
        <x:f>IF(第3日!B39="","",IFERROR(VLOOKUP(第3日!B39,敌人目录!$A$6:$B$68,2,FALSE),""))</x:f>
        <x:v>#NAME?</x:v>
      </x:c>
      <x:c r="Q170" s="13" t="e">
        <x:f>IF(第3日!B39="","",第3日!C39)</x:f>
        <x:v>#NAME?</x:v>
      </x:c>
      <x:c r="R170" s="13">
        <x:v>-1</x:v>
      </x:c>
      <x:c r="S170" s="13" t="e">
        <x:f>IF(第3日!B39="","",第3日!I39)</x:f>
        <x:v>#NAME?</x:v>
      </x:c>
    </x:row>
    <x:row r="171" ht="16.5">
      <x:c r="A171" s="13">
        <x:v>3</x:v>
      </x:c>
      <x:c r="B171" s="13" t="s">
        <x:v>540</x:v>
      </x:c>
      <x:c r="C171" s="13">
        <x:v>10</x:v>
      </x:c>
      <x:c r="D171" s="13">
        <x:v>3</x:v>
      </x:c>
      <x:c r="E171" s="13">
        <x:v>2</x:v>
      </x:c>
      <x:c r="F171" s="13" t="s">
        <x:v>51</x:v>
      </x:c>
      <x:c r="G171" s="13" t="e">
        <x:f>第3日!B32</x:f>
        <x:v>#NAME?</x:v>
      </x:c>
      <x:c r="H171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1" s="13" t="e">
        <x:f>第3日!E32</x:f>
        <x:v>#NAME?</x:v>
      </x:c>
      <x:c r="J171" s="13" t="e">
        <x:f>第3日!G32</x:f>
        <x:v>#NAME?</x:v>
      </x:c>
      <x:c r="K171" s="13" t="e">
        <x:f>第3日!I32</x:f>
        <x:v>#NAME?</x:v>
      </x:c>
      <x:c r="L171" s="13" t="s">
        <x:v>538</x:v>
      </x:c>
      <x:c r="M171" s="13" t="s">
        <x:v>539</x:v>
      </x:c>
      <x:c r="N171" s="13" t="e">
        <x:f>第3日!I33="待设计"</x:f>
        <x:v>#NAME?</x:v>
      </x:c>
      <x:c r="O171" s="13">
        <x:v>5</x:v>
      </x:c>
      <x:c r="P171" s="13" t="e">
        <x:f>IF(第3日!B40="","",IFERROR(VLOOKUP(第3日!B40,敌人目录!$A$6:$B$68,2,FALSE),""))</x:f>
        <x:v>#NAME?</x:v>
      </x:c>
      <x:c r="Q171" s="13" t="e">
        <x:f>IF(第3日!B40="","",第3日!C40)</x:f>
        <x:v>#NAME?</x:v>
      </x:c>
      <x:c r="R171" s="13">
        <x:v>-1</x:v>
      </x:c>
      <x:c r="S171" s="13" t="e">
        <x:f>IF(第3日!B40="","",第3日!I40)</x:f>
        <x:v>#NAME?</x:v>
      </x:c>
    </x:row>
    <x:row r="172" ht="16.5">
      <x:c r="A172" s="13">
        <x:v>3</x:v>
      </x:c>
      <x:c r="B172" s="13" t="s">
        <x:v>540</x:v>
      </x:c>
      <x:c r="C172" s="13">
        <x:v>10</x:v>
      </x:c>
      <x:c r="D172" s="13">
        <x:v>3</x:v>
      </x:c>
      <x:c r="E172" s="13">
        <x:v>2</x:v>
      </x:c>
      <x:c r="F172" s="13" t="s">
        <x:v>51</x:v>
      </x:c>
      <x:c r="G172" s="13" t="e">
        <x:f>第3日!B32</x:f>
        <x:v>#NAME?</x:v>
      </x:c>
      <x:c r="H172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2" s="13" t="e">
        <x:f>第3日!E32</x:f>
        <x:v>#NAME?</x:v>
      </x:c>
      <x:c r="J172" s="13" t="e">
        <x:f>第3日!G32</x:f>
        <x:v>#NAME?</x:v>
      </x:c>
      <x:c r="K172" s="13" t="e">
        <x:f>第3日!I32</x:f>
        <x:v>#NAME?</x:v>
      </x:c>
      <x:c r="L172" s="13" t="s">
        <x:v>538</x:v>
      </x:c>
      <x:c r="M172" s="13" t="s">
        <x:v>539</x:v>
      </x:c>
      <x:c r="N172" s="13" t="e">
        <x:f>第3日!I33="待设计"</x:f>
        <x:v>#NAME?</x:v>
      </x:c>
      <x:c r="O172" s="13">
        <x:v>6</x:v>
      </x:c>
      <x:c r="P172" s="13" t="e">
        <x:f>IF(第3日!B41="","",IFERROR(VLOOKUP(第3日!B41,敌人目录!$A$6:$B$68,2,FALSE),""))</x:f>
        <x:v>#NAME?</x:v>
      </x:c>
      <x:c r="Q172" s="13" t="e">
        <x:f>IF(第3日!B41="","",第3日!C41)</x:f>
        <x:v>#NAME?</x:v>
      </x:c>
      <x:c r="R172" s="13">
        <x:v>-1</x:v>
      </x:c>
      <x:c r="S172" s="13" t="e">
        <x:f>IF(第3日!B41="","",第3日!I41)</x:f>
        <x:v>#NAME?</x:v>
      </x:c>
    </x:row>
    <x:row r="173" ht="16.5">
      <x:c r="A173" s="13">
        <x:v>3</x:v>
      </x:c>
      <x:c r="B173" s="13" t="s">
        <x:v>540</x:v>
      </x:c>
      <x:c r="C173" s="13">
        <x:v>10</x:v>
      </x:c>
      <x:c r="D173" s="13">
        <x:v>3</x:v>
      </x:c>
      <x:c r="E173" s="13">
        <x:v>2</x:v>
      </x:c>
      <x:c r="F173" s="13" t="s">
        <x:v>51</x:v>
      </x:c>
      <x:c r="G173" s="13" t="e">
        <x:f>第3日!B32</x:f>
        <x:v>#NAME?</x:v>
      </x:c>
      <x:c r="H173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3" s="13" t="e">
        <x:f>第3日!E32</x:f>
        <x:v>#NAME?</x:v>
      </x:c>
      <x:c r="J173" s="13" t="e">
        <x:f>第3日!G32</x:f>
        <x:v>#NAME?</x:v>
      </x:c>
      <x:c r="K173" s="13" t="e">
        <x:f>第3日!I32</x:f>
        <x:v>#NAME?</x:v>
      </x:c>
      <x:c r="L173" s="13" t="s">
        <x:v>538</x:v>
      </x:c>
      <x:c r="M173" s="13" t="s">
        <x:v>539</x:v>
      </x:c>
      <x:c r="N173" s="13" t="e">
        <x:f>第3日!I33="待设计"</x:f>
        <x:v>#NAME?</x:v>
      </x:c>
      <x:c r="O173" s="13">
        <x:v>7</x:v>
      </x:c>
      <x:c r="P173" s="13" t="e">
        <x:f>IF(第3日!B42="","",IFERROR(VLOOKUP(第3日!B42,敌人目录!$A$6:$B$68,2,FALSE),""))</x:f>
        <x:v>#NAME?</x:v>
      </x:c>
      <x:c r="Q173" s="13" t="e">
        <x:f>IF(第3日!B42="","",第3日!C42)</x:f>
        <x:v>#NAME?</x:v>
      </x:c>
      <x:c r="R173" s="13">
        <x:v>-1</x:v>
      </x:c>
      <x:c r="S173" s="13" t="e">
        <x:f>IF(第3日!B42="","",第3日!I42)</x:f>
        <x:v>#NAME?</x:v>
      </x:c>
    </x:row>
    <x:row r="174" ht="16.5">
      <x:c r="A174" s="13">
        <x:v>3</x:v>
      </x:c>
      <x:c r="B174" s="13" t="s">
        <x:v>540</x:v>
      </x:c>
      <x:c r="C174" s="13">
        <x:v>10</x:v>
      </x:c>
      <x:c r="D174" s="13">
        <x:v>3</x:v>
      </x:c>
      <x:c r="E174" s="13">
        <x:v>2</x:v>
      </x:c>
      <x:c r="F174" s="13" t="s">
        <x:v>51</x:v>
      </x:c>
      <x:c r="G174" s="13" t="e">
        <x:f>第3日!B32</x:f>
        <x:v>#NAME?</x:v>
      </x:c>
      <x:c r="H174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4" s="13" t="e">
        <x:f>第3日!E32</x:f>
        <x:v>#NAME?</x:v>
      </x:c>
      <x:c r="J174" s="13" t="e">
        <x:f>第3日!G32</x:f>
        <x:v>#NAME?</x:v>
      </x:c>
      <x:c r="K174" s="13" t="e">
        <x:f>第3日!I32</x:f>
        <x:v>#NAME?</x:v>
      </x:c>
      <x:c r="L174" s="13" t="s">
        <x:v>538</x:v>
      </x:c>
      <x:c r="M174" s="13" t="s">
        <x:v>539</x:v>
      </x:c>
      <x:c r="N174" s="13" t="e">
        <x:f>第3日!I33="待设计"</x:f>
        <x:v>#NAME?</x:v>
      </x:c>
      <x:c r="O174" s="13">
        <x:v>8</x:v>
      </x:c>
      <x:c r="P174" s="13" t="e">
        <x:f>IF(第3日!B43="","",IFERROR(VLOOKUP(第3日!B43,敌人目录!$A$6:$B$68,2,FALSE),""))</x:f>
        <x:v>#NAME?</x:v>
      </x:c>
      <x:c r="Q174" s="13" t="e">
        <x:f>IF(第3日!B43="","",第3日!C43)</x:f>
        <x:v>#NAME?</x:v>
      </x:c>
      <x:c r="R174" s="13">
        <x:v>-1</x:v>
      </x:c>
      <x:c r="S174" s="13" t="e">
        <x:f>IF(第3日!B43="","",第3日!I43)</x:f>
        <x:v>#NAME?</x:v>
      </x:c>
    </x:row>
    <x:row r="175" ht="16.5">
      <x:c r="A175" s="13">
        <x:v>3</x:v>
      </x:c>
      <x:c r="B175" s="13" t="s">
        <x:v>540</x:v>
      </x:c>
      <x:c r="C175" s="13">
        <x:v>10</x:v>
      </x:c>
      <x:c r="D175" s="13">
        <x:v>3</x:v>
      </x:c>
      <x:c r="E175" s="13">
        <x:v>2</x:v>
      </x:c>
      <x:c r="F175" s="13" t="s">
        <x:v>51</x:v>
      </x:c>
      <x:c r="G175" s="13" t="e">
        <x:f>第3日!B32</x:f>
        <x:v>#NAME?</x:v>
      </x:c>
      <x:c r="H175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5" s="13" t="e">
        <x:f>第3日!E32</x:f>
        <x:v>#NAME?</x:v>
      </x:c>
      <x:c r="J175" s="13" t="e">
        <x:f>第3日!G32</x:f>
        <x:v>#NAME?</x:v>
      </x:c>
      <x:c r="K175" s="13" t="e">
        <x:f>第3日!I32</x:f>
        <x:v>#NAME?</x:v>
      </x:c>
      <x:c r="L175" s="13" t="s">
        <x:v>538</x:v>
      </x:c>
      <x:c r="M175" s="13" t="s">
        <x:v>539</x:v>
      </x:c>
      <x:c r="N175" s="13" t="e">
        <x:f>第3日!I33="待设计"</x:f>
        <x:v>#NAME?</x:v>
      </x:c>
      <x:c r="O175" s="13">
        <x:v>9</x:v>
      </x:c>
      <x:c r="P175" s="13" t="e">
        <x:f>IF(第3日!B44="","",IFERROR(VLOOKUP(第3日!B44,敌人目录!$A$6:$B$68,2,FALSE),""))</x:f>
        <x:v>#NAME?</x:v>
      </x:c>
      <x:c r="Q175" s="13" t="e">
        <x:f>IF(第3日!B44="","",第3日!C44)</x:f>
        <x:v>#NAME?</x:v>
      </x:c>
      <x:c r="R175" s="13">
        <x:v>-1</x:v>
      </x:c>
      <x:c r="S175" s="13" t="e">
        <x:f>IF(第3日!B44="","",第3日!I44)</x:f>
        <x:v>#NAME?</x:v>
      </x:c>
    </x:row>
    <x:row r="176" ht="16.5">
      <x:c r="A176" s="13">
        <x:v>3</x:v>
      </x:c>
      <x:c r="B176" s="13" t="s">
        <x:v>540</x:v>
      </x:c>
      <x:c r="C176" s="13">
        <x:v>10</x:v>
      </x:c>
      <x:c r="D176" s="13">
        <x:v>3</x:v>
      </x:c>
      <x:c r="E176" s="13">
        <x:v>2</x:v>
      </x:c>
      <x:c r="F176" s="13" t="s">
        <x:v>51</x:v>
      </x:c>
      <x:c r="G176" s="13" t="e">
        <x:f>第3日!B32</x:f>
        <x:v>#NAME?</x:v>
      </x:c>
      <x:c r="H176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6" s="13" t="e">
        <x:f>第3日!E32</x:f>
        <x:v>#NAME?</x:v>
      </x:c>
      <x:c r="J176" s="13" t="e">
        <x:f>第3日!G32</x:f>
        <x:v>#NAME?</x:v>
      </x:c>
      <x:c r="K176" s="13" t="e">
        <x:f>第3日!I32</x:f>
        <x:v>#NAME?</x:v>
      </x:c>
      <x:c r="L176" s="13" t="s">
        <x:v>538</x:v>
      </x:c>
      <x:c r="M176" s="13" t="s">
        <x:v>539</x:v>
      </x:c>
      <x:c r="N176" s="13" t="e">
        <x:f>第3日!I33="待设计"</x:f>
        <x:v>#NAME?</x:v>
      </x:c>
      <x:c r="O176" s="13">
        <x:v>10</x:v>
      </x:c>
      <x:c r="P176" s="13" t="e">
        <x:f>IF(第3日!B45="","",IFERROR(VLOOKUP(第3日!B45,敌人目录!$A$6:$B$68,2,FALSE),""))</x:f>
        <x:v>#NAME?</x:v>
      </x:c>
      <x:c r="Q176" s="13" t="e">
        <x:f>IF(第3日!B45="","",第3日!C45)</x:f>
        <x:v>#NAME?</x:v>
      </x:c>
      <x:c r="R176" s="13">
        <x:v>-1</x:v>
      </x:c>
      <x:c r="S176" s="13" t="e">
        <x:f>IF(第3日!B45="","",第3日!I45)</x:f>
        <x:v>#NAME?</x:v>
      </x:c>
    </x:row>
    <x:row r="177" ht="16.5">
      <x:c r="A177" s="13">
        <x:v>3</x:v>
      </x:c>
      <x:c r="B177" s="13" t="s">
        <x:v>540</x:v>
      </x:c>
      <x:c r="C177" s="13">
        <x:v>10</x:v>
      </x:c>
      <x:c r="D177" s="13">
        <x:v>3</x:v>
      </x:c>
      <x:c r="E177" s="13">
        <x:v>2</x:v>
      </x:c>
      <x:c r="F177" s="13" t="s">
        <x:v>51</x:v>
      </x:c>
      <x:c r="G177" s="13" t="e">
        <x:f>第3日!B32</x:f>
        <x:v>#NAME?</x:v>
      </x:c>
      <x:c r="H177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7" s="13" t="e">
        <x:f>第3日!E32</x:f>
        <x:v>#NAME?</x:v>
      </x:c>
      <x:c r="J177" s="13" t="e">
        <x:f>第3日!G32</x:f>
        <x:v>#NAME?</x:v>
      </x:c>
      <x:c r="K177" s="13" t="e">
        <x:f>第3日!I32</x:f>
        <x:v>#NAME?</x:v>
      </x:c>
      <x:c r="L177" s="13" t="s">
        <x:v>538</x:v>
      </x:c>
      <x:c r="M177" s="13" t="s">
        <x:v>539</x:v>
      </x:c>
      <x:c r="N177" s="13" t="e">
        <x:f>第3日!I33="待设计"</x:f>
        <x:v>#NAME?</x:v>
      </x:c>
      <x:c r="O177" s="13">
        <x:v>11</x:v>
      </x:c>
      <x:c r="P177" s="13" t="e">
        <x:f>IF(第3日!B46="","",IFERROR(VLOOKUP(第3日!B46,敌人目录!$A$6:$B$68,2,FALSE),""))</x:f>
        <x:v>#NAME?</x:v>
      </x:c>
      <x:c r="Q177" s="13" t="e">
        <x:f>IF(第3日!B46="","",第3日!C46)</x:f>
        <x:v>#NAME?</x:v>
      </x:c>
      <x:c r="R177" s="13">
        <x:v>-1</x:v>
      </x:c>
      <x:c r="S177" s="13" t="e">
        <x:f>IF(第3日!B46="","",第3日!I46)</x:f>
        <x:v>#NAME?</x:v>
      </x:c>
    </x:row>
    <x:row r="178" ht="16.5">
      <x:c r="A178" s="13">
        <x:v>3</x:v>
      </x:c>
      <x:c r="B178" s="13" t="s">
        <x:v>540</x:v>
      </x:c>
      <x:c r="C178" s="13">
        <x:v>10</x:v>
      </x:c>
      <x:c r="D178" s="13">
        <x:v>3</x:v>
      </x:c>
      <x:c r="E178" s="13">
        <x:v>2</x:v>
      </x:c>
      <x:c r="F178" s="13" t="s">
        <x:v>51</x:v>
      </x:c>
      <x:c r="G178" s="13" t="e">
        <x:f>第3日!B32</x:f>
        <x:v>#NAME?</x:v>
      </x:c>
      <x:c r="H178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8" s="13" t="e">
        <x:f>第3日!E32</x:f>
        <x:v>#NAME?</x:v>
      </x:c>
      <x:c r="J178" s="13" t="e">
        <x:f>第3日!G32</x:f>
        <x:v>#NAME?</x:v>
      </x:c>
      <x:c r="K178" s="13" t="e">
        <x:f>第3日!I32</x:f>
        <x:v>#NAME?</x:v>
      </x:c>
      <x:c r="L178" s="13" t="s">
        <x:v>538</x:v>
      </x:c>
      <x:c r="M178" s="13" t="s">
        <x:v>539</x:v>
      </x:c>
      <x:c r="N178" s="13" t="e">
        <x:f>第3日!I33="待设计"</x:f>
        <x:v>#NAME?</x:v>
      </x:c>
      <x:c r="O178" s="13">
        <x:v>12</x:v>
      </x:c>
      <x:c r="P178" s="13" t="e">
        <x:f>IF(第3日!B47="","",IFERROR(VLOOKUP(第3日!B47,敌人目录!$A$6:$B$68,2,FALSE),""))</x:f>
        <x:v>#NAME?</x:v>
      </x:c>
      <x:c r="Q178" s="13" t="e">
        <x:f>IF(第3日!B47="","",第3日!C47)</x:f>
        <x:v>#NAME?</x:v>
      </x:c>
      <x:c r="R178" s="13">
        <x:v>-1</x:v>
      </x:c>
      <x:c r="S178" s="13" t="e">
        <x:f>IF(第3日!B47="","",第3日!I47)</x:f>
        <x:v>#NAME?</x:v>
      </x:c>
    </x:row>
    <x:row r="179" ht="16.5">
      <x:c r="A179" s="13">
        <x:v>3</x:v>
      </x:c>
      <x:c r="B179" s="13" t="s">
        <x:v>540</x:v>
      </x:c>
      <x:c r="C179" s="13">
        <x:v>10</x:v>
      </x:c>
      <x:c r="D179" s="13">
        <x:v>3</x:v>
      </x:c>
      <x:c r="E179" s="13">
        <x:v>2</x:v>
      </x:c>
      <x:c r="F179" s="13" t="s">
        <x:v>51</x:v>
      </x:c>
      <x:c r="G179" s="13" t="e">
        <x:f>第3日!B32</x:f>
        <x:v>#NAME?</x:v>
      </x:c>
      <x:c r="H179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9" s="13" t="e">
        <x:f>第3日!E32</x:f>
        <x:v>#NAME?</x:v>
      </x:c>
      <x:c r="J179" s="13" t="e">
        <x:f>第3日!G32</x:f>
        <x:v>#NAME?</x:v>
      </x:c>
      <x:c r="K179" s="13" t="e">
        <x:f>第3日!I32</x:f>
        <x:v>#NAME?</x:v>
      </x:c>
      <x:c r="L179" s="13" t="s">
        <x:v>538</x:v>
      </x:c>
      <x:c r="M179" s="13" t="s">
        <x:v>539</x:v>
      </x:c>
      <x:c r="N179" s="13" t="e">
        <x:f>第3日!I33="待设计"</x:f>
        <x:v>#NAME?</x:v>
      </x:c>
      <x:c r="O179" s="13">
        <x:v>13</x:v>
      </x:c>
      <x:c r="P179" s="13" t="e">
        <x:f>IF(第3日!B48="","",IFERROR(VLOOKUP(第3日!B48,敌人目录!$A$6:$B$68,2,FALSE),""))</x:f>
        <x:v>#NAME?</x:v>
      </x:c>
      <x:c r="Q179" s="13" t="e">
        <x:f>IF(第3日!B48="","",第3日!C48)</x:f>
        <x:v>#NAME?</x:v>
      </x:c>
      <x:c r="R179" s="13">
        <x:v>-1</x:v>
      </x:c>
      <x:c r="S179" s="13" t="e">
        <x:f>IF(第3日!B48="","",第3日!I48)</x:f>
        <x:v>#NAME?</x:v>
      </x:c>
    </x:row>
    <x:row r="180" ht="16.5">
      <x:c r="A180" s="13">
        <x:v>3</x:v>
      </x:c>
      <x:c r="B180" s="13" t="s">
        <x:v>540</x:v>
      </x:c>
      <x:c r="C180" s="13">
        <x:v>10</x:v>
      </x:c>
      <x:c r="D180" s="13">
        <x:v>3</x:v>
      </x:c>
      <x:c r="E180" s="13">
        <x:v>2</x:v>
      </x:c>
      <x:c r="F180" s="13" t="s">
        <x:v>51</x:v>
      </x:c>
      <x:c r="G180" s="13" t="e">
        <x:f>第3日!B32</x:f>
        <x:v>#NAME?</x:v>
      </x:c>
      <x:c r="H180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0" s="13" t="e">
        <x:f>第3日!E32</x:f>
        <x:v>#NAME?</x:v>
      </x:c>
      <x:c r="J180" s="13" t="e">
        <x:f>第3日!G32</x:f>
        <x:v>#NAME?</x:v>
      </x:c>
      <x:c r="K180" s="13" t="e">
        <x:f>第3日!I32</x:f>
        <x:v>#NAME?</x:v>
      </x:c>
      <x:c r="L180" s="13" t="s">
        <x:v>538</x:v>
      </x:c>
      <x:c r="M180" s="13" t="s">
        <x:v>539</x:v>
      </x:c>
      <x:c r="N180" s="13" t="e">
        <x:f>第3日!I33="待设计"</x:f>
        <x:v>#NAME?</x:v>
      </x:c>
      <x:c r="O180" s="13">
        <x:v>14</x:v>
      </x:c>
      <x:c r="P180" s="13" t="e">
        <x:f>IF(第3日!B49="","",IFERROR(VLOOKUP(第3日!B49,敌人目录!$A$6:$B$68,2,FALSE),""))</x:f>
        <x:v>#NAME?</x:v>
      </x:c>
      <x:c r="Q180" s="13" t="e">
        <x:f>IF(第3日!B49="","",第3日!C49)</x:f>
        <x:v>#NAME?</x:v>
      </x:c>
      <x:c r="R180" s="13">
        <x:v>-1</x:v>
      </x:c>
      <x:c r="S180" s="13" t="e">
        <x:f>IF(第3日!B49="","",第3日!I49)</x:f>
        <x:v>#NAME?</x:v>
      </x:c>
    </x:row>
    <x:row r="181" ht="16.5">
      <x:c r="A181" s="13">
        <x:v>3</x:v>
      </x:c>
      <x:c r="B181" s="13" t="s">
        <x:v>540</x:v>
      </x:c>
      <x:c r="C181" s="13">
        <x:v>10</x:v>
      </x:c>
      <x:c r="D181" s="13">
        <x:v>3</x:v>
      </x:c>
      <x:c r="E181" s="13">
        <x:v>2</x:v>
      </x:c>
      <x:c r="F181" s="13" t="s">
        <x:v>51</x:v>
      </x:c>
      <x:c r="G181" s="13" t="e">
        <x:f>第3日!B32</x:f>
        <x:v>#NAME?</x:v>
      </x:c>
      <x:c r="H181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1" s="13" t="e">
        <x:f>第3日!E32</x:f>
        <x:v>#NAME?</x:v>
      </x:c>
      <x:c r="J181" s="13" t="e">
        <x:f>第3日!G32</x:f>
        <x:v>#NAME?</x:v>
      </x:c>
      <x:c r="K181" s="13" t="e">
        <x:f>第3日!I32</x:f>
        <x:v>#NAME?</x:v>
      </x:c>
      <x:c r="L181" s="13" t="s">
        <x:v>538</x:v>
      </x:c>
      <x:c r="M181" s="13" t="s">
        <x:v>539</x:v>
      </x:c>
      <x:c r="N181" s="13" t="e">
        <x:f>第3日!I33="待设计"</x:f>
        <x:v>#NAME?</x:v>
      </x:c>
      <x:c r="O181" s="13">
        <x:v>15</x:v>
      </x:c>
      <x:c r="P181" s="13" t="e">
        <x:f>IF(第3日!B50="","",IFERROR(VLOOKUP(第3日!B50,敌人目录!$A$6:$B$68,2,FALSE),""))</x:f>
        <x:v>#NAME?</x:v>
      </x:c>
      <x:c r="Q181" s="13" t="e">
        <x:f>IF(第3日!B50="","",第3日!C50)</x:f>
        <x:v>#NAME?</x:v>
      </x:c>
      <x:c r="R181" s="13">
        <x:v>-1</x:v>
      </x:c>
      <x:c r="S181" s="13" t="e">
        <x:f>IF(第3日!B50="","",第3日!I50)</x:f>
        <x:v>#NAME?</x:v>
      </x:c>
    </x:row>
    <x:row r="182" ht="16.5">
      <x:c r="A182" s="13">
        <x:v>3</x:v>
      </x:c>
      <x:c r="B182" s="13" t="s">
        <x:v>540</x:v>
      </x:c>
      <x:c r="C182" s="13">
        <x:v>10</x:v>
      </x:c>
      <x:c r="D182" s="13">
        <x:v>3</x:v>
      </x:c>
      <x:c r="E182" s="13">
        <x:v>2</x:v>
      </x:c>
      <x:c r="F182" s="13" t="s">
        <x:v>51</x:v>
      </x:c>
      <x:c r="G182" s="13" t="e">
        <x:f>第3日!B32</x:f>
        <x:v>#NAME?</x:v>
      </x:c>
      <x:c r="H182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2" s="13" t="e">
        <x:f>第3日!E32</x:f>
        <x:v>#NAME?</x:v>
      </x:c>
      <x:c r="J182" s="13" t="e">
        <x:f>第3日!G32</x:f>
        <x:v>#NAME?</x:v>
      </x:c>
      <x:c r="K182" s="13" t="e">
        <x:f>第3日!I32</x:f>
        <x:v>#NAME?</x:v>
      </x:c>
      <x:c r="L182" s="13" t="s">
        <x:v>538</x:v>
      </x:c>
      <x:c r="M182" s="13" t="s">
        <x:v>539</x:v>
      </x:c>
      <x:c r="N182" s="13" t="e">
        <x:f>第3日!I33="待设计"</x:f>
        <x:v>#NAME?</x:v>
      </x:c>
      <x:c r="O182" s="13">
        <x:v>16</x:v>
      </x:c>
      <x:c r="P182" s="13" t="e">
        <x:f>IF(第3日!B51="","",IFERROR(VLOOKUP(第3日!B51,敌人目录!$A$6:$B$68,2,FALSE),""))</x:f>
        <x:v>#NAME?</x:v>
      </x:c>
      <x:c r="Q182" s="13" t="e">
        <x:f>IF(第3日!B51="","",第3日!C51)</x:f>
        <x:v>#NAME?</x:v>
      </x:c>
      <x:c r="R182" s="13">
        <x:v>-1</x:v>
      </x:c>
      <x:c r="S182" s="13" t="e">
        <x:f>IF(第3日!B51="","",第3日!I51)</x:f>
        <x:v>#NAME?</x:v>
      </x:c>
    </x:row>
    <x:row r="183" ht="16.5">
      <x:c r="A183" s="13">
        <x:v>3</x:v>
      </x:c>
      <x:c r="B183" s="13" t="s">
        <x:v>540</x:v>
      </x:c>
      <x:c r="C183" s="13">
        <x:v>10</x:v>
      </x:c>
      <x:c r="D183" s="13">
        <x:v>3</x:v>
      </x:c>
      <x:c r="E183" s="13">
        <x:v>2</x:v>
      </x:c>
      <x:c r="F183" s="13" t="s">
        <x:v>51</x:v>
      </x:c>
      <x:c r="G183" s="13" t="e">
        <x:f>第3日!B32</x:f>
        <x:v>#NAME?</x:v>
      </x:c>
      <x:c r="H183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3" s="13" t="e">
        <x:f>第3日!E32</x:f>
        <x:v>#NAME?</x:v>
      </x:c>
      <x:c r="J183" s="13" t="e">
        <x:f>第3日!G32</x:f>
        <x:v>#NAME?</x:v>
      </x:c>
      <x:c r="K183" s="13" t="e">
        <x:f>第3日!I32</x:f>
        <x:v>#NAME?</x:v>
      </x:c>
      <x:c r="L183" s="13" t="s">
        <x:v>538</x:v>
      </x:c>
      <x:c r="M183" s="13" t="s">
        <x:v>539</x:v>
      </x:c>
      <x:c r="N183" s="13" t="e">
        <x:f>第3日!I33="待设计"</x:f>
        <x:v>#NAME?</x:v>
      </x:c>
      <x:c r="O183" s="13">
        <x:v>17</x:v>
      </x:c>
      <x:c r="P183" s="13" t="e">
        <x:f>IF(第3日!B52="","",IFERROR(VLOOKUP(第3日!B52,敌人目录!$A$6:$B$68,2,FALSE),""))</x:f>
        <x:v>#NAME?</x:v>
      </x:c>
      <x:c r="Q183" s="13" t="e">
        <x:f>IF(第3日!B52="","",第3日!C52)</x:f>
        <x:v>#NAME?</x:v>
      </x:c>
      <x:c r="R183" s="13">
        <x:v>-1</x:v>
      </x:c>
      <x:c r="S183" s="13" t="e">
        <x:f>IF(第3日!B52="","",第3日!I52)</x:f>
        <x:v>#NAME?</x:v>
      </x:c>
    </x:row>
    <x:row r="184" ht="16.5">
      <x:c r="A184" s="13">
        <x:v>3</x:v>
      </x:c>
      <x:c r="B184" s="13" t="s">
        <x:v>540</x:v>
      </x:c>
      <x:c r="C184" s="13">
        <x:v>10</x:v>
      </x:c>
      <x:c r="D184" s="13">
        <x:v>3</x:v>
      </x:c>
      <x:c r="E184" s="13">
        <x:v>2</x:v>
      </x:c>
      <x:c r="F184" s="13" t="s">
        <x:v>51</x:v>
      </x:c>
      <x:c r="G184" s="13" t="e">
        <x:f>第3日!B32</x:f>
        <x:v>#NAME?</x:v>
      </x:c>
      <x:c r="H184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4" s="13" t="e">
        <x:f>第3日!E32</x:f>
        <x:v>#NAME?</x:v>
      </x:c>
      <x:c r="J184" s="13" t="e">
        <x:f>第3日!G32</x:f>
        <x:v>#NAME?</x:v>
      </x:c>
      <x:c r="K184" s="13" t="e">
        <x:f>第3日!I32</x:f>
        <x:v>#NAME?</x:v>
      </x:c>
      <x:c r="L184" s="13" t="s">
        <x:v>538</x:v>
      </x:c>
      <x:c r="M184" s="13" t="s">
        <x:v>539</x:v>
      </x:c>
      <x:c r="N184" s="13" t="e">
        <x:f>第3日!I33="待设计"</x:f>
        <x:v>#NAME?</x:v>
      </x:c>
      <x:c r="O184" s="13">
        <x:v>18</x:v>
      </x:c>
      <x:c r="P184" s="13" t="e">
        <x:f>IF(第3日!B53="","",IFERROR(VLOOKUP(第3日!B53,敌人目录!$A$6:$B$68,2,FALSE),""))</x:f>
        <x:v>#NAME?</x:v>
      </x:c>
      <x:c r="Q184" s="13" t="e">
        <x:f>IF(第3日!B53="","",第3日!C53)</x:f>
        <x:v>#NAME?</x:v>
      </x:c>
      <x:c r="R184" s="13">
        <x:v>-1</x:v>
      </x:c>
      <x:c r="S184" s="13" t="e">
        <x:f>IF(第3日!B53="","",第3日!I53)</x:f>
        <x:v>#NAME?</x:v>
      </x:c>
    </x:row>
    <x:row r="185" ht="16.5">
      <x:c r="A185" s="13">
        <x:v>3</x:v>
      </x:c>
      <x:c r="B185" s="13" t="s">
        <x:v>541</x:v>
      </x:c>
      <x:c r="C185" s="13">
        <x:v>11</x:v>
      </x:c>
      <x:c r="D185" s="13">
        <x:v>3</x:v>
      </x:c>
      <x:c r="E185" s="13">
        <x:v>3</x:v>
      </x:c>
      <x:c r="F185" s="13" t="s">
        <x:v>54</x:v>
      </x:c>
      <x:c r="G185" s="13" t="e">
        <x:f>第3日!B61</x:f>
        <x:v>#NAME?</x:v>
      </x:c>
      <x:c r="H185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5" s="13" t="e">
        <x:f>第3日!E61</x:f>
        <x:v>#NAME?</x:v>
      </x:c>
      <x:c r="J185" s="13" t="e">
        <x:f>第3日!G61</x:f>
        <x:v>#NAME?</x:v>
      </x:c>
      <x:c r="K185" s="13" t="e">
        <x:f>第3日!I61</x:f>
        <x:v>#NAME?</x:v>
      </x:c>
      <x:c r="L185" s="13" t="s">
        <x:v>538</x:v>
      </x:c>
      <x:c r="M185" s="13" t="s">
        <x:v>539</x:v>
      </x:c>
      <x:c r="N185" s="13" t="e">
        <x:f>第3日!I62="待设计"</x:f>
        <x:v>#NAME?</x:v>
      </x:c>
      <x:c r="O185" s="13">
        <x:v>1</x:v>
      </x:c>
      <x:c r="P185" s="13" t="e">
        <x:f>IF(第3日!B65="","",IFERROR(VLOOKUP(第3日!B65,敌人目录!$A$6:$B$68,2,FALSE),""))</x:f>
        <x:v>#NAME?</x:v>
      </x:c>
      <x:c r="Q185" s="13" t="e">
        <x:f>IF(第3日!B65="","",第3日!C65)</x:f>
        <x:v>#NAME?</x:v>
      </x:c>
      <x:c r="R185" s="13">
        <x:v>-1</x:v>
      </x:c>
      <x:c r="S185" s="13" t="e">
        <x:f>IF(第3日!B65="","",第3日!I65)</x:f>
        <x:v>#NAME?</x:v>
      </x:c>
    </x:row>
    <x:row r="186" ht="16.5">
      <x:c r="A186" s="13">
        <x:v>3</x:v>
      </x:c>
      <x:c r="B186" s="13" t="s">
        <x:v>541</x:v>
      </x:c>
      <x:c r="C186" s="13">
        <x:v>11</x:v>
      </x:c>
      <x:c r="D186" s="13">
        <x:v>3</x:v>
      </x:c>
      <x:c r="E186" s="13">
        <x:v>3</x:v>
      </x:c>
      <x:c r="F186" s="13" t="s">
        <x:v>54</x:v>
      </x:c>
      <x:c r="G186" s="13" t="e">
        <x:f>第3日!B61</x:f>
        <x:v>#NAME?</x:v>
      </x:c>
      <x:c r="H186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6" s="13" t="e">
        <x:f>第3日!E61</x:f>
        <x:v>#NAME?</x:v>
      </x:c>
      <x:c r="J186" s="13" t="e">
        <x:f>第3日!G61</x:f>
        <x:v>#NAME?</x:v>
      </x:c>
      <x:c r="K186" s="13" t="e">
        <x:f>第3日!I61</x:f>
        <x:v>#NAME?</x:v>
      </x:c>
      <x:c r="L186" s="13" t="s">
        <x:v>538</x:v>
      </x:c>
      <x:c r="M186" s="13" t="s">
        <x:v>539</x:v>
      </x:c>
      <x:c r="N186" s="13" t="e">
        <x:f>第3日!I62="待设计"</x:f>
        <x:v>#NAME?</x:v>
      </x:c>
      <x:c r="O186" s="13">
        <x:v>2</x:v>
      </x:c>
      <x:c r="P186" s="13" t="e">
        <x:f>IF(第3日!B66="","",IFERROR(VLOOKUP(第3日!B66,敌人目录!$A$6:$B$68,2,FALSE),""))</x:f>
        <x:v>#NAME?</x:v>
      </x:c>
      <x:c r="Q186" s="13" t="e">
        <x:f>IF(第3日!B66="","",第3日!C66)</x:f>
        <x:v>#NAME?</x:v>
      </x:c>
      <x:c r="R186" s="13">
        <x:v>-1</x:v>
      </x:c>
      <x:c r="S186" s="13" t="e">
        <x:f>IF(第3日!B66="","",第3日!I66)</x:f>
        <x:v>#NAME?</x:v>
      </x:c>
    </x:row>
    <x:row r="187" ht="16.5">
      <x:c r="A187" s="13">
        <x:v>3</x:v>
      </x:c>
      <x:c r="B187" s="13" t="s">
        <x:v>541</x:v>
      </x:c>
      <x:c r="C187" s="13">
        <x:v>11</x:v>
      </x:c>
      <x:c r="D187" s="13">
        <x:v>3</x:v>
      </x:c>
      <x:c r="E187" s="13">
        <x:v>3</x:v>
      </x:c>
      <x:c r="F187" s="13" t="s">
        <x:v>54</x:v>
      </x:c>
      <x:c r="G187" s="13" t="e">
        <x:f>第3日!B61</x:f>
        <x:v>#NAME?</x:v>
      </x:c>
      <x:c r="H187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7" s="13" t="e">
        <x:f>第3日!E61</x:f>
        <x:v>#NAME?</x:v>
      </x:c>
      <x:c r="J187" s="13" t="e">
        <x:f>第3日!G61</x:f>
        <x:v>#NAME?</x:v>
      </x:c>
      <x:c r="K187" s="13" t="e">
        <x:f>第3日!I61</x:f>
        <x:v>#NAME?</x:v>
      </x:c>
      <x:c r="L187" s="13" t="s">
        <x:v>538</x:v>
      </x:c>
      <x:c r="M187" s="13" t="s">
        <x:v>539</x:v>
      </x:c>
      <x:c r="N187" s="13" t="e">
        <x:f>第3日!I62="待设计"</x:f>
        <x:v>#NAME?</x:v>
      </x:c>
      <x:c r="O187" s="13">
        <x:v>3</x:v>
      </x:c>
      <x:c r="P187" s="13" t="e">
        <x:f>IF(第3日!B67="","",IFERROR(VLOOKUP(第3日!B67,敌人目录!$A$6:$B$68,2,FALSE),""))</x:f>
        <x:v>#NAME?</x:v>
      </x:c>
      <x:c r="Q187" s="13" t="e">
        <x:f>IF(第3日!B67="","",第3日!C67)</x:f>
        <x:v>#NAME?</x:v>
      </x:c>
      <x:c r="R187" s="13">
        <x:v>-1</x:v>
      </x:c>
      <x:c r="S187" s="13" t="e">
        <x:f>IF(第3日!B67="","",第3日!I67)</x:f>
        <x:v>#NAME?</x:v>
      </x:c>
    </x:row>
    <x:row r="188" ht="16.5">
      <x:c r="A188" s="13">
        <x:v>3</x:v>
      </x:c>
      <x:c r="B188" s="13" t="s">
        <x:v>541</x:v>
      </x:c>
      <x:c r="C188" s="13">
        <x:v>11</x:v>
      </x:c>
      <x:c r="D188" s="13">
        <x:v>3</x:v>
      </x:c>
      <x:c r="E188" s="13">
        <x:v>3</x:v>
      </x:c>
      <x:c r="F188" s="13" t="s">
        <x:v>54</x:v>
      </x:c>
      <x:c r="G188" s="13" t="e">
        <x:f>第3日!B61</x:f>
        <x:v>#NAME?</x:v>
      </x:c>
      <x:c r="H188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8" s="13" t="e">
        <x:f>第3日!E61</x:f>
        <x:v>#NAME?</x:v>
      </x:c>
      <x:c r="J188" s="13" t="e">
        <x:f>第3日!G61</x:f>
        <x:v>#NAME?</x:v>
      </x:c>
      <x:c r="K188" s="13" t="e">
        <x:f>第3日!I61</x:f>
        <x:v>#NAME?</x:v>
      </x:c>
      <x:c r="L188" s="13" t="s">
        <x:v>538</x:v>
      </x:c>
      <x:c r="M188" s="13" t="s">
        <x:v>539</x:v>
      </x:c>
      <x:c r="N188" s="13" t="e">
        <x:f>第3日!I62="待设计"</x:f>
        <x:v>#NAME?</x:v>
      </x:c>
      <x:c r="O188" s="13">
        <x:v>4</x:v>
      </x:c>
      <x:c r="P188" s="13" t="e">
        <x:f>IF(第3日!B68="","",IFERROR(VLOOKUP(第3日!B68,敌人目录!$A$6:$B$68,2,FALSE),""))</x:f>
        <x:v>#NAME?</x:v>
      </x:c>
      <x:c r="Q188" s="13" t="e">
        <x:f>IF(第3日!B68="","",第3日!C68)</x:f>
        <x:v>#NAME?</x:v>
      </x:c>
      <x:c r="R188" s="13">
        <x:v>-1</x:v>
      </x:c>
      <x:c r="S188" s="13" t="e">
        <x:f>IF(第3日!B68="","",第3日!I68)</x:f>
        <x:v>#NAME?</x:v>
      </x:c>
    </x:row>
    <x:row r="189" ht="16.5">
      <x:c r="A189" s="13">
        <x:v>3</x:v>
      </x:c>
      <x:c r="B189" s="13" t="s">
        <x:v>541</x:v>
      </x:c>
      <x:c r="C189" s="13">
        <x:v>11</x:v>
      </x:c>
      <x:c r="D189" s="13">
        <x:v>3</x:v>
      </x:c>
      <x:c r="E189" s="13">
        <x:v>3</x:v>
      </x:c>
      <x:c r="F189" s="13" t="s">
        <x:v>54</x:v>
      </x:c>
      <x:c r="G189" s="13" t="e">
        <x:f>第3日!B61</x:f>
        <x:v>#NAME?</x:v>
      </x:c>
      <x:c r="H189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9" s="13" t="e">
        <x:f>第3日!E61</x:f>
        <x:v>#NAME?</x:v>
      </x:c>
      <x:c r="J189" s="13" t="e">
        <x:f>第3日!G61</x:f>
        <x:v>#NAME?</x:v>
      </x:c>
      <x:c r="K189" s="13" t="e">
        <x:f>第3日!I61</x:f>
        <x:v>#NAME?</x:v>
      </x:c>
      <x:c r="L189" s="13" t="s">
        <x:v>538</x:v>
      </x:c>
      <x:c r="M189" s="13" t="s">
        <x:v>539</x:v>
      </x:c>
      <x:c r="N189" s="13" t="e">
        <x:f>第3日!I62="待设计"</x:f>
        <x:v>#NAME?</x:v>
      </x:c>
      <x:c r="O189" s="13">
        <x:v>5</x:v>
      </x:c>
      <x:c r="P189" s="13" t="e">
        <x:f>IF(第3日!B69="","",IFERROR(VLOOKUP(第3日!B69,敌人目录!$A$6:$B$68,2,FALSE),""))</x:f>
        <x:v>#NAME?</x:v>
      </x:c>
      <x:c r="Q189" s="13" t="e">
        <x:f>IF(第3日!B69="","",第3日!C69)</x:f>
        <x:v>#NAME?</x:v>
      </x:c>
      <x:c r="R189" s="13">
        <x:v>-1</x:v>
      </x:c>
      <x:c r="S189" s="13" t="e">
        <x:f>IF(第3日!B69="","",第3日!I69)</x:f>
        <x:v>#NAME?</x:v>
      </x:c>
    </x:row>
    <x:row r="190" ht="16.5">
      <x:c r="A190" s="13">
        <x:v>3</x:v>
      </x:c>
      <x:c r="B190" s="13" t="s">
        <x:v>541</x:v>
      </x:c>
      <x:c r="C190" s="13">
        <x:v>11</x:v>
      </x:c>
      <x:c r="D190" s="13">
        <x:v>3</x:v>
      </x:c>
      <x:c r="E190" s="13">
        <x:v>3</x:v>
      </x:c>
      <x:c r="F190" s="13" t="s">
        <x:v>54</x:v>
      </x:c>
      <x:c r="G190" s="13" t="e">
        <x:f>第3日!B61</x:f>
        <x:v>#NAME?</x:v>
      </x:c>
      <x:c r="H190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0" s="13" t="e">
        <x:f>第3日!E61</x:f>
        <x:v>#NAME?</x:v>
      </x:c>
      <x:c r="J190" s="13" t="e">
        <x:f>第3日!G61</x:f>
        <x:v>#NAME?</x:v>
      </x:c>
      <x:c r="K190" s="13" t="e">
        <x:f>第3日!I61</x:f>
        <x:v>#NAME?</x:v>
      </x:c>
      <x:c r="L190" s="13" t="s">
        <x:v>538</x:v>
      </x:c>
      <x:c r="M190" s="13" t="s">
        <x:v>539</x:v>
      </x:c>
      <x:c r="N190" s="13" t="e">
        <x:f>第3日!I62="待设计"</x:f>
        <x:v>#NAME?</x:v>
      </x:c>
      <x:c r="O190" s="13">
        <x:v>6</x:v>
      </x:c>
      <x:c r="P190" s="13" t="e">
        <x:f>IF(第3日!B70="","",IFERROR(VLOOKUP(第3日!B70,敌人目录!$A$6:$B$68,2,FALSE),""))</x:f>
        <x:v>#NAME?</x:v>
      </x:c>
      <x:c r="Q190" s="13" t="e">
        <x:f>IF(第3日!B70="","",第3日!C70)</x:f>
        <x:v>#NAME?</x:v>
      </x:c>
      <x:c r="R190" s="13">
        <x:v>-1</x:v>
      </x:c>
      <x:c r="S190" s="13" t="e">
        <x:f>IF(第3日!B70="","",第3日!I70)</x:f>
        <x:v>#NAME?</x:v>
      </x:c>
    </x:row>
    <x:row r="191" ht="16.5">
      <x:c r="A191" s="13">
        <x:v>3</x:v>
      </x:c>
      <x:c r="B191" s="13" t="s">
        <x:v>541</x:v>
      </x:c>
      <x:c r="C191" s="13">
        <x:v>11</x:v>
      </x:c>
      <x:c r="D191" s="13">
        <x:v>3</x:v>
      </x:c>
      <x:c r="E191" s="13">
        <x:v>3</x:v>
      </x:c>
      <x:c r="F191" s="13" t="s">
        <x:v>54</x:v>
      </x:c>
      <x:c r="G191" s="13" t="e">
        <x:f>第3日!B61</x:f>
        <x:v>#NAME?</x:v>
      </x:c>
      <x:c r="H191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1" s="13" t="e">
        <x:f>第3日!E61</x:f>
        <x:v>#NAME?</x:v>
      </x:c>
      <x:c r="J191" s="13" t="e">
        <x:f>第3日!G61</x:f>
        <x:v>#NAME?</x:v>
      </x:c>
      <x:c r="K191" s="13" t="e">
        <x:f>第3日!I61</x:f>
        <x:v>#NAME?</x:v>
      </x:c>
      <x:c r="L191" s="13" t="s">
        <x:v>538</x:v>
      </x:c>
      <x:c r="M191" s="13" t="s">
        <x:v>539</x:v>
      </x:c>
      <x:c r="N191" s="13" t="e">
        <x:f>第3日!I62="待设计"</x:f>
        <x:v>#NAME?</x:v>
      </x:c>
      <x:c r="O191" s="13">
        <x:v>7</x:v>
      </x:c>
      <x:c r="P191" s="13" t="e">
        <x:f>IF(第3日!B71="","",IFERROR(VLOOKUP(第3日!B71,敌人目录!$A$6:$B$68,2,FALSE),""))</x:f>
        <x:v>#NAME?</x:v>
      </x:c>
      <x:c r="Q191" s="13" t="e">
        <x:f>IF(第3日!B71="","",第3日!C71)</x:f>
        <x:v>#NAME?</x:v>
      </x:c>
      <x:c r="R191" s="13">
        <x:v>-1</x:v>
      </x:c>
      <x:c r="S191" s="13" t="e">
        <x:f>IF(第3日!B71="","",第3日!I71)</x:f>
        <x:v>#NAME?</x:v>
      </x:c>
    </x:row>
    <x:row r="192" ht="16.5">
      <x:c r="A192" s="13">
        <x:v>3</x:v>
      </x:c>
      <x:c r="B192" s="13" t="s">
        <x:v>541</x:v>
      </x:c>
      <x:c r="C192" s="13">
        <x:v>11</x:v>
      </x:c>
      <x:c r="D192" s="13">
        <x:v>3</x:v>
      </x:c>
      <x:c r="E192" s="13">
        <x:v>3</x:v>
      </x:c>
      <x:c r="F192" s="13" t="s">
        <x:v>54</x:v>
      </x:c>
      <x:c r="G192" s="13" t="e">
        <x:f>第3日!B61</x:f>
        <x:v>#NAME?</x:v>
      </x:c>
      <x:c r="H192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2" s="13" t="e">
        <x:f>第3日!E61</x:f>
        <x:v>#NAME?</x:v>
      </x:c>
      <x:c r="J192" s="13" t="e">
        <x:f>第3日!G61</x:f>
        <x:v>#NAME?</x:v>
      </x:c>
      <x:c r="K192" s="13" t="e">
        <x:f>第3日!I61</x:f>
        <x:v>#NAME?</x:v>
      </x:c>
      <x:c r="L192" s="13" t="s">
        <x:v>538</x:v>
      </x:c>
      <x:c r="M192" s="13" t="s">
        <x:v>539</x:v>
      </x:c>
      <x:c r="N192" s="13" t="e">
        <x:f>第3日!I62="待设计"</x:f>
        <x:v>#NAME?</x:v>
      </x:c>
      <x:c r="O192" s="13">
        <x:v>8</x:v>
      </x:c>
      <x:c r="P192" s="13" t="e">
        <x:f>IF(第3日!B72="","",IFERROR(VLOOKUP(第3日!B72,敌人目录!$A$6:$B$68,2,FALSE),""))</x:f>
        <x:v>#NAME?</x:v>
      </x:c>
      <x:c r="Q192" s="13" t="e">
        <x:f>IF(第3日!B72="","",第3日!C72)</x:f>
        <x:v>#NAME?</x:v>
      </x:c>
      <x:c r="R192" s="13">
        <x:v>-1</x:v>
      </x:c>
      <x:c r="S192" s="13" t="e">
        <x:f>IF(第3日!B72="","",第3日!I72)</x:f>
        <x:v>#NAME?</x:v>
      </x:c>
    </x:row>
    <x:row r="193" ht="16.5">
      <x:c r="A193" s="13">
        <x:v>3</x:v>
      </x:c>
      <x:c r="B193" s="13" t="s">
        <x:v>541</x:v>
      </x:c>
      <x:c r="C193" s="13">
        <x:v>11</x:v>
      </x:c>
      <x:c r="D193" s="13">
        <x:v>3</x:v>
      </x:c>
      <x:c r="E193" s="13">
        <x:v>3</x:v>
      </x:c>
      <x:c r="F193" s="13" t="s">
        <x:v>54</x:v>
      </x:c>
      <x:c r="G193" s="13" t="e">
        <x:f>第3日!B61</x:f>
        <x:v>#NAME?</x:v>
      </x:c>
      <x:c r="H193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3" s="13" t="e">
        <x:f>第3日!E61</x:f>
        <x:v>#NAME?</x:v>
      </x:c>
      <x:c r="J193" s="13" t="e">
        <x:f>第3日!G61</x:f>
        <x:v>#NAME?</x:v>
      </x:c>
      <x:c r="K193" s="13" t="e">
        <x:f>第3日!I61</x:f>
        <x:v>#NAME?</x:v>
      </x:c>
      <x:c r="L193" s="13" t="s">
        <x:v>538</x:v>
      </x:c>
      <x:c r="M193" s="13" t="s">
        <x:v>539</x:v>
      </x:c>
      <x:c r="N193" s="13" t="e">
        <x:f>第3日!I62="待设计"</x:f>
        <x:v>#NAME?</x:v>
      </x:c>
      <x:c r="O193" s="13">
        <x:v>9</x:v>
      </x:c>
      <x:c r="P193" s="13" t="e">
        <x:f>IF(第3日!B73="","",IFERROR(VLOOKUP(第3日!B73,敌人目录!$A$6:$B$68,2,FALSE),""))</x:f>
        <x:v>#NAME?</x:v>
      </x:c>
      <x:c r="Q193" s="13" t="e">
        <x:f>IF(第3日!B73="","",第3日!C73)</x:f>
        <x:v>#NAME?</x:v>
      </x:c>
      <x:c r="R193" s="13">
        <x:v>-1</x:v>
      </x:c>
      <x:c r="S193" s="13" t="e">
        <x:f>IF(第3日!B73="","",第3日!I73)</x:f>
        <x:v>#NAME?</x:v>
      </x:c>
    </x:row>
    <x:row r="194" ht="16.5">
      <x:c r="A194" s="13">
        <x:v>3</x:v>
      </x:c>
      <x:c r="B194" s="13" t="s">
        <x:v>541</x:v>
      </x:c>
      <x:c r="C194" s="13">
        <x:v>11</x:v>
      </x:c>
      <x:c r="D194" s="13">
        <x:v>3</x:v>
      </x:c>
      <x:c r="E194" s="13">
        <x:v>3</x:v>
      </x:c>
      <x:c r="F194" s="13" t="s">
        <x:v>54</x:v>
      </x:c>
      <x:c r="G194" s="13" t="e">
        <x:f>第3日!B61</x:f>
        <x:v>#NAME?</x:v>
      </x:c>
      <x:c r="H194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4" s="13" t="e">
        <x:f>第3日!E61</x:f>
        <x:v>#NAME?</x:v>
      </x:c>
      <x:c r="J194" s="13" t="e">
        <x:f>第3日!G61</x:f>
        <x:v>#NAME?</x:v>
      </x:c>
      <x:c r="K194" s="13" t="e">
        <x:f>第3日!I61</x:f>
        <x:v>#NAME?</x:v>
      </x:c>
      <x:c r="L194" s="13" t="s">
        <x:v>538</x:v>
      </x:c>
      <x:c r="M194" s="13" t="s">
        <x:v>539</x:v>
      </x:c>
      <x:c r="N194" s="13" t="e">
        <x:f>第3日!I62="待设计"</x:f>
        <x:v>#NAME?</x:v>
      </x:c>
      <x:c r="O194" s="13">
        <x:v>10</x:v>
      </x:c>
      <x:c r="P194" s="13" t="e">
        <x:f>IF(第3日!B74="","",IFERROR(VLOOKUP(第3日!B74,敌人目录!$A$6:$B$68,2,FALSE),""))</x:f>
        <x:v>#NAME?</x:v>
      </x:c>
      <x:c r="Q194" s="13" t="e">
        <x:f>IF(第3日!B74="","",第3日!C74)</x:f>
        <x:v>#NAME?</x:v>
      </x:c>
      <x:c r="R194" s="13">
        <x:v>-1</x:v>
      </x:c>
      <x:c r="S194" s="13" t="e">
        <x:f>IF(第3日!B74="","",第3日!I74)</x:f>
        <x:v>#NAME?</x:v>
      </x:c>
    </x:row>
    <x:row r="195" ht="16.5">
      <x:c r="A195" s="13">
        <x:v>3</x:v>
      </x:c>
      <x:c r="B195" s="13" t="s">
        <x:v>541</x:v>
      </x:c>
      <x:c r="C195" s="13">
        <x:v>11</x:v>
      </x:c>
      <x:c r="D195" s="13">
        <x:v>3</x:v>
      </x:c>
      <x:c r="E195" s="13">
        <x:v>3</x:v>
      </x:c>
      <x:c r="F195" s="13" t="s">
        <x:v>54</x:v>
      </x:c>
      <x:c r="G195" s="13" t="e">
        <x:f>第3日!B61</x:f>
        <x:v>#NAME?</x:v>
      </x:c>
      <x:c r="H195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5" s="13" t="e">
        <x:f>第3日!E61</x:f>
        <x:v>#NAME?</x:v>
      </x:c>
      <x:c r="J195" s="13" t="e">
        <x:f>第3日!G61</x:f>
        <x:v>#NAME?</x:v>
      </x:c>
      <x:c r="K195" s="13" t="e">
        <x:f>第3日!I61</x:f>
        <x:v>#NAME?</x:v>
      </x:c>
      <x:c r="L195" s="13" t="s">
        <x:v>538</x:v>
      </x:c>
      <x:c r="M195" s="13" t="s">
        <x:v>539</x:v>
      </x:c>
      <x:c r="N195" s="13" t="e">
        <x:f>第3日!I62="待设计"</x:f>
        <x:v>#NAME?</x:v>
      </x:c>
      <x:c r="O195" s="13">
        <x:v>11</x:v>
      </x:c>
      <x:c r="P195" s="13" t="e">
        <x:f>IF(第3日!B75="","",IFERROR(VLOOKUP(第3日!B75,敌人目录!$A$6:$B$68,2,FALSE),""))</x:f>
        <x:v>#NAME?</x:v>
      </x:c>
      <x:c r="Q195" s="13" t="e">
        <x:f>IF(第3日!B75="","",第3日!C75)</x:f>
        <x:v>#NAME?</x:v>
      </x:c>
      <x:c r="R195" s="13">
        <x:v>-1</x:v>
      </x:c>
      <x:c r="S195" s="13" t="e">
        <x:f>IF(第3日!B75="","",第3日!I75)</x:f>
        <x:v>#NAME?</x:v>
      </x:c>
    </x:row>
    <x:row r="196" ht="16.5">
      <x:c r="A196" s="13">
        <x:v>3</x:v>
      </x:c>
      <x:c r="B196" s="13" t="s">
        <x:v>541</x:v>
      </x:c>
      <x:c r="C196" s="13">
        <x:v>11</x:v>
      </x:c>
      <x:c r="D196" s="13">
        <x:v>3</x:v>
      </x:c>
      <x:c r="E196" s="13">
        <x:v>3</x:v>
      </x:c>
      <x:c r="F196" s="13" t="s">
        <x:v>54</x:v>
      </x:c>
      <x:c r="G196" s="13" t="e">
        <x:f>第3日!B61</x:f>
        <x:v>#NAME?</x:v>
      </x:c>
      <x:c r="H196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6" s="13" t="e">
        <x:f>第3日!E61</x:f>
        <x:v>#NAME?</x:v>
      </x:c>
      <x:c r="J196" s="13" t="e">
        <x:f>第3日!G61</x:f>
        <x:v>#NAME?</x:v>
      </x:c>
      <x:c r="K196" s="13" t="e">
        <x:f>第3日!I61</x:f>
        <x:v>#NAME?</x:v>
      </x:c>
      <x:c r="L196" s="13" t="s">
        <x:v>538</x:v>
      </x:c>
      <x:c r="M196" s="13" t="s">
        <x:v>539</x:v>
      </x:c>
      <x:c r="N196" s="13" t="e">
        <x:f>第3日!I62="待设计"</x:f>
        <x:v>#NAME?</x:v>
      </x:c>
      <x:c r="O196" s="13">
        <x:v>12</x:v>
      </x:c>
      <x:c r="P196" s="13" t="e">
        <x:f>IF(第3日!B76="","",IFERROR(VLOOKUP(第3日!B76,敌人目录!$A$6:$B$68,2,FALSE),""))</x:f>
        <x:v>#NAME?</x:v>
      </x:c>
      <x:c r="Q196" s="13" t="e">
        <x:f>IF(第3日!B76="","",第3日!C76)</x:f>
        <x:v>#NAME?</x:v>
      </x:c>
      <x:c r="R196" s="13">
        <x:v>-1</x:v>
      </x:c>
      <x:c r="S196" s="13" t="e">
        <x:f>IF(第3日!B76="","",第3日!I76)</x:f>
        <x:v>#NAME?</x:v>
      </x:c>
    </x:row>
    <x:row r="197" ht="16.5">
      <x:c r="A197" s="13">
        <x:v>3</x:v>
      </x:c>
      <x:c r="B197" s="13" t="s">
        <x:v>541</x:v>
      </x:c>
      <x:c r="C197" s="13">
        <x:v>11</x:v>
      </x:c>
      <x:c r="D197" s="13">
        <x:v>3</x:v>
      </x:c>
      <x:c r="E197" s="13">
        <x:v>3</x:v>
      </x:c>
      <x:c r="F197" s="13" t="s">
        <x:v>54</x:v>
      </x:c>
      <x:c r="G197" s="13" t="e">
        <x:f>第3日!B61</x:f>
        <x:v>#NAME?</x:v>
      </x:c>
      <x:c r="H197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7" s="13" t="e">
        <x:f>第3日!E61</x:f>
        <x:v>#NAME?</x:v>
      </x:c>
      <x:c r="J197" s="13" t="e">
        <x:f>第3日!G61</x:f>
        <x:v>#NAME?</x:v>
      </x:c>
      <x:c r="K197" s="13" t="e">
        <x:f>第3日!I61</x:f>
        <x:v>#NAME?</x:v>
      </x:c>
      <x:c r="L197" s="13" t="s">
        <x:v>538</x:v>
      </x:c>
      <x:c r="M197" s="13" t="s">
        <x:v>539</x:v>
      </x:c>
      <x:c r="N197" s="13" t="e">
        <x:f>第3日!I62="待设计"</x:f>
        <x:v>#NAME?</x:v>
      </x:c>
      <x:c r="O197" s="13">
        <x:v>13</x:v>
      </x:c>
      <x:c r="P197" s="13" t="e">
        <x:f>IF(第3日!B77="","",IFERROR(VLOOKUP(第3日!B77,敌人目录!$A$6:$B$68,2,FALSE),""))</x:f>
        <x:v>#NAME?</x:v>
      </x:c>
      <x:c r="Q197" s="13" t="e">
        <x:f>IF(第3日!B77="","",第3日!C77)</x:f>
        <x:v>#NAME?</x:v>
      </x:c>
      <x:c r="R197" s="13">
        <x:v>-1</x:v>
      </x:c>
      <x:c r="S197" s="13" t="e">
        <x:f>IF(第3日!B77="","",第3日!I77)</x:f>
        <x:v>#NAME?</x:v>
      </x:c>
    </x:row>
    <x:row r="198" ht="16.5">
      <x:c r="A198" s="13">
        <x:v>3</x:v>
      </x:c>
      <x:c r="B198" s="13" t="s">
        <x:v>541</x:v>
      </x:c>
      <x:c r="C198" s="13">
        <x:v>11</x:v>
      </x:c>
      <x:c r="D198" s="13">
        <x:v>3</x:v>
      </x:c>
      <x:c r="E198" s="13">
        <x:v>3</x:v>
      </x:c>
      <x:c r="F198" s="13" t="s">
        <x:v>54</x:v>
      </x:c>
      <x:c r="G198" s="13" t="e">
        <x:f>第3日!B61</x:f>
        <x:v>#NAME?</x:v>
      </x:c>
      <x:c r="H198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8" s="13" t="e">
        <x:f>第3日!E61</x:f>
        <x:v>#NAME?</x:v>
      </x:c>
      <x:c r="J198" s="13" t="e">
        <x:f>第3日!G61</x:f>
        <x:v>#NAME?</x:v>
      </x:c>
      <x:c r="K198" s="13" t="e">
        <x:f>第3日!I61</x:f>
        <x:v>#NAME?</x:v>
      </x:c>
      <x:c r="L198" s="13" t="s">
        <x:v>538</x:v>
      </x:c>
      <x:c r="M198" s="13" t="s">
        <x:v>539</x:v>
      </x:c>
      <x:c r="N198" s="13" t="e">
        <x:f>第3日!I62="待设计"</x:f>
        <x:v>#NAME?</x:v>
      </x:c>
      <x:c r="O198" s="13">
        <x:v>14</x:v>
      </x:c>
      <x:c r="P198" s="13" t="e">
        <x:f>IF(第3日!B78="","",IFERROR(VLOOKUP(第3日!B78,敌人目录!$A$6:$B$68,2,FALSE),""))</x:f>
        <x:v>#NAME?</x:v>
      </x:c>
      <x:c r="Q198" s="13" t="e">
        <x:f>IF(第3日!B78="","",第3日!C78)</x:f>
        <x:v>#NAME?</x:v>
      </x:c>
      <x:c r="R198" s="13">
        <x:v>-1</x:v>
      </x:c>
      <x:c r="S198" s="13" t="e">
        <x:f>IF(第3日!B78="","",第3日!I78)</x:f>
        <x:v>#NAME?</x:v>
      </x:c>
    </x:row>
    <x:row r="199" ht="16.5">
      <x:c r="A199" s="13">
        <x:v>3</x:v>
      </x:c>
      <x:c r="B199" s="13" t="s">
        <x:v>541</x:v>
      </x:c>
      <x:c r="C199" s="13">
        <x:v>11</x:v>
      </x:c>
      <x:c r="D199" s="13">
        <x:v>3</x:v>
      </x:c>
      <x:c r="E199" s="13">
        <x:v>3</x:v>
      </x:c>
      <x:c r="F199" s="13" t="s">
        <x:v>54</x:v>
      </x:c>
      <x:c r="G199" s="13" t="e">
        <x:f>第3日!B61</x:f>
        <x:v>#NAME?</x:v>
      </x:c>
      <x:c r="H199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9" s="13" t="e">
        <x:f>第3日!E61</x:f>
        <x:v>#NAME?</x:v>
      </x:c>
      <x:c r="J199" s="13" t="e">
        <x:f>第3日!G61</x:f>
        <x:v>#NAME?</x:v>
      </x:c>
      <x:c r="K199" s="13" t="e">
        <x:f>第3日!I61</x:f>
        <x:v>#NAME?</x:v>
      </x:c>
      <x:c r="L199" s="13" t="s">
        <x:v>538</x:v>
      </x:c>
      <x:c r="M199" s="13" t="s">
        <x:v>539</x:v>
      </x:c>
      <x:c r="N199" s="13" t="e">
        <x:f>第3日!I62="待设计"</x:f>
        <x:v>#NAME?</x:v>
      </x:c>
      <x:c r="O199" s="13">
        <x:v>15</x:v>
      </x:c>
      <x:c r="P199" s="13" t="e">
        <x:f>IF(第3日!B79="","",IFERROR(VLOOKUP(第3日!B79,敌人目录!$A$6:$B$68,2,FALSE),""))</x:f>
        <x:v>#NAME?</x:v>
      </x:c>
      <x:c r="Q199" s="13" t="e">
        <x:f>IF(第3日!B79="","",第3日!C79)</x:f>
        <x:v>#NAME?</x:v>
      </x:c>
      <x:c r="R199" s="13">
        <x:v>-1</x:v>
      </x:c>
      <x:c r="S199" s="13" t="e">
        <x:f>IF(第3日!B79="","",第3日!I79)</x:f>
        <x:v>#NAME?</x:v>
      </x:c>
    </x:row>
    <x:row r="200" ht="16.5">
      <x:c r="A200" s="13">
        <x:v>3</x:v>
      </x:c>
      <x:c r="B200" s="13" t="s">
        <x:v>541</x:v>
      </x:c>
      <x:c r="C200" s="13">
        <x:v>11</x:v>
      </x:c>
      <x:c r="D200" s="13">
        <x:v>3</x:v>
      </x:c>
      <x:c r="E200" s="13">
        <x:v>3</x:v>
      </x:c>
      <x:c r="F200" s="13" t="s">
        <x:v>54</x:v>
      </x:c>
      <x:c r="G200" s="13" t="e">
        <x:f>第3日!B61</x:f>
        <x:v>#NAME?</x:v>
      </x:c>
      <x:c r="H200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0" s="13" t="e">
        <x:f>第3日!E61</x:f>
        <x:v>#NAME?</x:v>
      </x:c>
      <x:c r="J200" s="13" t="e">
        <x:f>第3日!G61</x:f>
        <x:v>#NAME?</x:v>
      </x:c>
      <x:c r="K200" s="13" t="e">
        <x:f>第3日!I61</x:f>
        <x:v>#NAME?</x:v>
      </x:c>
      <x:c r="L200" s="13" t="s">
        <x:v>538</x:v>
      </x:c>
      <x:c r="M200" s="13" t="s">
        <x:v>539</x:v>
      </x:c>
      <x:c r="N200" s="13" t="e">
        <x:f>第3日!I62="待设计"</x:f>
        <x:v>#NAME?</x:v>
      </x:c>
      <x:c r="O200" s="13">
        <x:v>16</x:v>
      </x:c>
      <x:c r="P200" s="13" t="e">
        <x:f>IF(第3日!B80="","",IFERROR(VLOOKUP(第3日!B80,敌人目录!$A$6:$B$68,2,FALSE),""))</x:f>
        <x:v>#NAME?</x:v>
      </x:c>
      <x:c r="Q200" s="13" t="e">
        <x:f>IF(第3日!B80="","",第3日!C80)</x:f>
        <x:v>#NAME?</x:v>
      </x:c>
      <x:c r="R200" s="13">
        <x:v>-1</x:v>
      </x:c>
      <x:c r="S200" s="13" t="e">
        <x:f>IF(第3日!B80="","",第3日!I80)</x:f>
        <x:v>#NAME?</x:v>
      </x:c>
    </x:row>
    <x:row r="201" ht="16.5">
      <x:c r="A201" s="13">
        <x:v>3</x:v>
      </x:c>
      <x:c r="B201" s="13" t="s">
        <x:v>541</x:v>
      </x:c>
      <x:c r="C201" s="13">
        <x:v>11</x:v>
      </x:c>
      <x:c r="D201" s="13">
        <x:v>3</x:v>
      </x:c>
      <x:c r="E201" s="13">
        <x:v>3</x:v>
      </x:c>
      <x:c r="F201" s="13" t="s">
        <x:v>54</x:v>
      </x:c>
      <x:c r="G201" s="13" t="e">
        <x:f>第3日!B61</x:f>
        <x:v>#NAME?</x:v>
      </x:c>
      <x:c r="H201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1" s="13" t="e">
        <x:f>第3日!E61</x:f>
        <x:v>#NAME?</x:v>
      </x:c>
      <x:c r="J201" s="13" t="e">
        <x:f>第3日!G61</x:f>
        <x:v>#NAME?</x:v>
      </x:c>
      <x:c r="K201" s="13" t="e">
        <x:f>第3日!I61</x:f>
        <x:v>#NAME?</x:v>
      </x:c>
      <x:c r="L201" s="13" t="s">
        <x:v>538</x:v>
      </x:c>
      <x:c r="M201" s="13" t="s">
        <x:v>539</x:v>
      </x:c>
      <x:c r="N201" s="13" t="e">
        <x:f>第3日!I62="待设计"</x:f>
        <x:v>#NAME?</x:v>
      </x:c>
      <x:c r="O201" s="13">
        <x:v>17</x:v>
      </x:c>
      <x:c r="P201" s="13" t="e">
        <x:f>IF(第3日!B81="","",IFERROR(VLOOKUP(第3日!B81,敌人目录!$A$6:$B$68,2,FALSE),""))</x:f>
        <x:v>#NAME?</x:v>
      </x:c>
      <x:c r="Q201" s="13" t="e">
        <x:f>IF(第3日!B81="","",第3日!C81)</x:f>
        <x:v>#NAME?</x:v>
      </x:c>
      <x:c r="R201" s="13">
        <x:v>-1</x:v>
      </x:c>
      <x:c r="S201" s="13" t="e">
        <x:f>IF(第3日!B81="","",第3日!I81)</x:f>
        <x:v>#NAME?</x:v>
      </x:c>
    </x:row>
    <x:row r="202" ht="16.5">
      <x:c r="A202" s="13">
        <x:v>3</x:v>
      </x:c>
      <x:c r="B202" s="13" t="s">
        <x:v>541</x:v>
      </x:c>
      <x:c r="C202" s="13">
        <x:v>11</x:v>
      </x:c>
      <x:c r="D202" s="13">
        <x:v>3</x:v>
      </x:c>
      <x:c r="E202" s="13">
        <x:v>3</x:v>
      </x:c>
      <x:c r="F202" s="13" t="s">
        <x:v>54</x:v>
      </x:c>
      <x:c r="G202" s="13" t="e">
        <x:f>第3日!B61</x:f>
        <x:v>#NAME?</x:v>
      </x:c>
      <x:c r="H202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2" s="13" t="e">
        <x:f>第3日!E61</x:f>
        <x:v>#NAME?</x:v>
      </x:c>
      <x:c r="J202" s="13" t="e">
        <x:f>第3日!G61</x:f>
        <x:v>#NAME?</x:v>
      </x:c>
      <x:c r="K202" s="13" t="e">
        <x:f>第3日!I61</x:f>
        <x:v>#NAME?</x:v>
      </x:c>
      <x:c r="L202" s="13" t="s">
        <x:v>538</x:v>
      </x:c>
      <x:c r="M202" s="13" t="s">
        <x:v>539</x:v>
      </x:c>
      <x:c r="N202" s="13" t="e">
        <x:f>第3日!I62="待设计"</x:f>
        <x:v>#NAME?</x:v>
      </x:c>
      <x:c r="O202" s="13">
        <x:v>18</x:v>
      </x:c>
      <x:c r="P202" s="13" t="e">
        <x:f>IF(第3日!B82="","",IFERROR(VLOOKUP(第3日!B82,敌人目录!$A$6:$B$68,2,FALSE),""))</x:f>
        <x:v>#NAME?</x:v>
      </x:c>
      <x:c r="Q202" s="13" t="e">
        <x:f>IF(第3日!B82="","",第3日!C82)</x:f>
        <x:v>#NAME?</x:v>
      </x:c>
      <x:c r="R202" s="13">
        <x:v>-1</x:v>
      </x:c>
      <x:c r="S202" s="13" t="e">
        <x:f>IF(第3日!B82="","",第3日!I82)</x:f>
        <x:v>#NAME?</x:v>
      </x:c>
    </x:row>
    <x:row r="203" ht="16.5">
      <x:c r="A203" s="13">
        <x:v>3</x:v>
      </x:c>
      <x:c r="B203" s="13" t="s">
        <x:v>542</x:v>
      </x:c>
      <x:c r="C203" s="13">
        <x:v>12</x:v>
      </x:c>
      <x:c r="D203" s="13">
        <x:v>3</x:v>
      </x:c>
      <x:c r="E203" s="13">
        <x:v>4</x:v>
      </x:c>
      <x:c r="F203" s="13" t="s">
        <x:v>54</x:v>
      </x:c>
      <x:c r="G203" s="13" t="e">
        <x:f>第3日!B90</x:f>
        <x:v>#NAME?</x:v>
      </x:c>
      <x:c r="H203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3" s="13" t="e">
        <x:f>第3日!E90</x:f>
        <x:v>#NAME?</x:v>
      </x:c>
      <x:c r="J203" s="13" t="e">
        <x:f>第3日!G90</x:f>
        <x:v>#NAME?</x:v>
      </x:c>
      <x:c r="K203" s="13" t="e">
        <x:f>第3日!I90</x:f>
        <x:v>#NAME?</x:v>
      </x:c>
      <x:c r="L203" s="13" t="s">
        <x:v>538</x:v>
      </x:c>
      <x:c r="M203" s="13" t="s">
        <x:v>539</x:v>
      </x:c>
      <x:c r="N203" s="13" t="e">
        <x:f>第3日!I91="待设计"</x:f>
        <x:v>#NAME?</x:v>
      </x:c>
      <x:c r="O203" s="13">
        <x:v>1</x:v>
      </x:c>
      <x:c r="P203" s="13" t="e">
        <x:f>IF(第3日!B94="","",IFERROR(VLOOKUP(第3日!B94,敌人目录!$A$6:$B$68,2,FALSE),""))</x:f>
        <x:v>#NAME?</x:v>
      </x:c>
      <x:c r="Q203" s="13" t="e">
        <x:f>IF(第3日!B94="","",第3日!C94)</x:f>
        <x:v>#NAME?</x:v>
      </x:c>
      <x:c r="R203" s="13">
        <x:v>-1</x:v>
      </x:c>
      <x:c r="S203" s="13" t="e">
        <x:f>IF(第3日!B94="","",第3日!I94)</x:f>
        <x:v>#NAME?</x:v>
      </x:c>
    </x:row>
    <x:row r="204" ht="16.5">
      <x:c r="A204" s="13">
        <x:v>3</x:v>
      </x:c>
      <x:c r="B204" s="13" t="s">
        <x:v>542</x:v>
      </x:c>
      <x:c r="C204" s="13">
        <x:v>12</x:v>
      </x:c>
      <x:c r="D204" s="13">
        <x:v>3</x:v>
      </x:c>
      <x:c r="E204" s="13">
        <x:v>4</x:v>
      </x:c>
      <x:c r="F204" s="13" t="s">
        <x:v>54</x:v>
      </x:c>
      <x:c r="G204" s="13" t="e">
        <x:f>第3日!B90</x:f>
        <x:v>#NAME?</x:v>
      </x:c>
      <x:c r="H204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4" s="13" t="e">
        <x:f>第3日!E90</x:f>
        <x:v>#NAME?</x:v>
      </x:c>
      <x:c r="J204" s="13" t="e">
        <x:f>第3日!G90</x:f>
        <x:v>#NAME?</x:v>
      </x:c>
      <x:c r="K204" s="13" t="e">
        <x:f>第3日!I90</x:f>
        <x:v>#NAME?</x:v>
      </x:c>
      <x:c r="L204" s="13" t="s">
        <x:v>538</x:v>
      </x:c>
      <x:c r="M204" s="13" t="s">
        <x:v>539</x:v>
      </x:c>
      <x:c r="N204" s="13" t="e">
        <x:f>第3日!I91="待设计"</x:f>
        <x:v>#NAME?</x:v>
      </x:c>
      <x:c r="O204" s="13">
        <x:v>2</x:v>
      </x:c>
      <x:c r="P204" s="13" t="e">
        <x:f>IF(第3日!B95="","",IFERROR(VLOOKUP(第3日!B95,敌人目录!$A$6:$B$68,2,FALSE),""))</x:f>
        <x:v>#NAME?</x:v>
      </x:c>
      <x:c r="Q204" s="13" t="e">
        <x:f>IF(第3日!B95="","",第3日!C95)</x:f>
        <x:v>#NAME?</x:v>
      </x:c>
      <x:c r="R204" s="13">
        <x:v>-1</x:v>
      </x:c>
      <x:c r="S204" s="13" t="e">
        <x:f>IF(第3日!B95="","",第3日!I95)</x:f>
        <x:v>#NAME?</x:v>
      </x:c>
    </x:row>
    <x:row r="205" ht="16.5">
      <x:c r="A205" s="13">
        <x:v>3</x:v>
      </x:c>
      <x:c r="B205" s="13" t="s">
        <x:v>542</x:v>
      </x:c>
      <x:c r="C205" s="13">
        <x:v>12</x:v>
      </x:c>
      <x:c r="D205" s="13">
        <x:v>3</x:v>
      </x:c>
      <x:c r="E205" s="13">
        <x:v>4</x:v>
      </x:c>
      <x:c r="F205" s="13" t="s">
        <x:v>54</x:v>
      </x:c>
      <x:c r="G205" s="13" t="e">
        <x:f>第3日!B90</x:f>
        <x:v>#NAME?</x:v>
      </x:c>
      <x:c r="H205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5" s="13" t="e">
        <x:f>第3日!E90</x:f>
        <x:v>#NAME?</x:v>
      </x:c>
      <x:c r="J205" s="13" t="e">
        <x:f>第3日!G90</x:f>
        <x:v>#NAME?</x:v>
      </x:c>
      <x:c r="K205" s="13" t="e">
        <x:f>第3日!I90</x:f>
        <x:v>#NAME?</x:v>
      </x:c>
      <x:c r="L205" s="13" t="s">
        <x:v>538</x:v>
      </x:c>
      <x:c r="M205" s="13" t="s">
        <x:v>539</x:v>
      </x:c>
      <x:c r="N205" s="13" t="e">
        <x:f>第3日!I91="待设计"</x:f>
        <x:v>#NAME?</x:v>
      </x:c>
      <x:c r="O205" s="13">
        <x:v>3</x:v>
      </x:c>
      <x:c r="P205" s="13" t="e">
        <x:f>IF(第3日!B96="","",IFERROR(VLOOKUP(第3日!B96,敌人目录!$A$6:$B$68,2,FALSE),""))</x:f>
        <x:v>#NAME?</x:v>
      </x:c>
      <x:c r="Q205" s="13" t="e">
        <x:f>IF(第3日!B96="","",第3日!C96)</x:f>
        <x:v>#NAME?</x:v>
      </x:c>
      <x:c r="R205" s="13">
        <x:v>-1</x:v>
      </x:c>
      <x:c r="S205" s="13" t="e">
        <x:f>IF(第3日!B96="","",第3日!I96)</x:f>
        <x:v>#NAME?</x:v>
      </x:c>
    </x:row>
    <x:row r="206" ht="16.5">
      <x:c r="A206" s="13">
        <x:v>3</x:v>
      </x:c>
      <x:c r="B206" s="13" t="s">
        <x:v>542</x:v>
      </x:c>
      <x:c r="C206" s="13">
        <x:v>12</x:v>
      </x:c>
      <x:c r="D206" s="13">
        <x:v>3</x:v>
      </x:c>
      <x:c r="E206" s="13">
        <x:v>4</x:v>
      </x:c>
      <x:c r="F206" s="13" t="s">
        <x:v>54</x:v>
      </x:c>
      <x:c r="G206" s="13" t="e">
        <x:f>第3日!B90</x:f>
        <x:v>#NAME?</x:v>
      </x:c>
      <x:c r="H206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6" s="13" t="e">
        <x:f>第3日!E90</x:f>
        <x:v>#NAME?</x:v>
      </x:c>
      <x:c r="J206" s="13" t="e">
        <x:f>第3日!G90</x:f>
        <x:v>#NAME?</x:v>
      </x:c>
      <x:c r="K206" s="13" t="e">
        <x:f>第3日!I90</x:f>
        <x:v>#NAME?</x:v>
      </x:c>
      <x:c r="L206" s="13" t="s">
        <x:v>538</x:v>
      </x:c>
      <x:c r="M206" s="13" t="s">
        <x:v>539</x:v>
      </x:c>
      <x:c r="N206" s="13" t="e">
        <x:f>第3日!I91="待设计"</x:f>
        <x:v>#NAME?</x:v>
      </x:c>
      <x:c r="O206" s="13">
        <x:v>4</x:v>
      </x:c>
      <x:c r="P206" s="13" t="e">
        <x:f>IF(第3日!B97="","",IFERROR(VLOOKUP(第3日!B97,敌人目录!$A$6:$B$68,2,FALSE),""))</x:f>
        <x:v>#NAME?</x:v>
      </x:c>
      <x:c r="Q206" s="13" t="e">
        <x:f>IF(第3日!B97="","",第3日!C97)</x:f>
        <x:v>#NAME?</x:v>
      </x:c>
      <x:c r="R206" s="13">
        <x:v>-1</x:v>
      </x:c>
      <x:c r="S206" s="13" t="e">
        <x:f>IF(第3日!B97="","",第3日!I97)</x:f>
        <x:v>#NAME?</x:v>
      </x:c>
    </x:row>
    <x:row r="207" ht="16.5">
      <x:c r="A207" s="13">
        <x:v>3</x:v>
      </x:c>
      <x:c r="B207" s="13" t="s">
        <x:v>542</x:v>
      </x:c>
      <x:c r="C207" s="13">
        <x:v>12</x:v>
      </x:c>
      <x:c r="D207" s="13">
        <x:v>3</x:v>
      </x:c>
      <x:c r="E207" s="13">
        <x:v>4</x:v>
      </x:c>
      <x:c r="F207" s="13" t="s">
        <x:v>54</x:v>
      </x:c>
      <x:c r="G207" s="13" t="e">
        <x:f>第3日!B90</x:f>
        <x:v>#NAME?</x:v>
      </x:c>
      <x:c r="H207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7" s="13" t="e">
        <x:f>第3日!E90</x:f>
        <x:v>#NAME?</x:v>
      </x:c>
      <x:c r="J207" s="13" t="e">
        <x:f>第3日!G90</x:f>
        <x:v>#NAME?</x:v>
      </x:c>
      <x:c r="K207" s="13" t="e">
        <x:f>第3日!I90</x:f>
        <x:v>#NAME?</x:v>
      </x:c>
      <x:c r="L207" s="13" t="s">
        <x:v>538</x:v>
      </x:c>
      <x:c r="M207" s="13" t="s">
        <x:v>539</x:v>
      </x:c>
      <x:c r="N207" s="13" t="e">
        <x:f>第3日!I91="待设计"</x:f>
        <x:v>#NAME?</x:v>
      </x:c>
      <x:c r="O207" s="13">
        <x:v>5</x:v>
      </x:c>
      <x:c r="P207" s="13" t="e">
        <x:f>IF(第3日!B98="","",IFERROR(VLOOKUP(第3日!B98,敌人目录!$A$6:$B$68,2,FALSE),""))</x:f>
        <x:v>#NAME?</x:v>
      </x:c>
      <x:c r="Q207" s="13" t="e">
        <x:f>IF(第3日!B98="","",第3日!C98)</x:f>
        <x:v>#NAME?</x:v>
      </x:c>
      <x:c r="R207" s="13">
        <x:v>-1</x:v>
      </x:c>
      <x:c r="S207" s="13" t="e">
        <x:f>IF(第3日!B98="","",第3日!I98)</x:f>
        <x:v>#NAME?</x:v>
      </x:c>
    </x:row>
    <x:row r="208" ht="16.5">
      <x:c r="A208" s="13">
        <x:v>3</x:v>
      </x:c>
      <x:c r="B208" s="13" t="s">
        <x:v>542</x:v>
      </x:c>
      <x:c r="C208" s="13">
        <x:v>12</x:v>
      </x:c>
      <x:c r="D208" s="13">
        <x:v>3</x:v>
      </x:c>
      <x:c r="E208" s="13">
        <x:v>4</x:v>
      </x:c>
      <x:c r="F208" s="13" t="s">
        <x:v>54</x:v>
      </x:c>
      <x:c r="G208" s="13" t="e">
        <x:f>第3日!B90</x:f>
        <x:v>#NAME?</x:v>
      </x:c>
      <x:c r="H208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8" s="13" t="e">
        <x:f>第3日!E90</x:f>
        <x:v>#NAME?</x:v>
      </x:c>
      <x:c r="J208" s="13" t="e">
        <x:f>第3日!G90</x:f>
        <x:v>#NAME?</x:v>
      </x:c>
      <x:c r="K208" s="13" t="e">
        <x:f>第3日!I90</x:f>
        <x:v>#NAME?</x:v>
      </x:c>
      <x:c r="L208" s="13" t="s">
        <x:v>538</x:v>
      </x:c>
      <x:c r="M208" s="13" t="s">
        <x:v>539</x:v>
      </x:c>
      <x:c r="N208" s="13" t="e">
        <x:f>第3日!I91="待设计"</x:f>
        <x:v>#NAME?</x:v>
      </x:c>
      <x:c r="O208" s="13">
        <x:v>6</x:v>
      </x:c>
      <x:c r="P208" s="13" t="e">
        <x:f>IF(第3日!B99="","",IFERROR(VLOOKUP(第3日!B99,敌人目录!$A$6:$B$68,2,FALSE),""))</x:f>
        <x:v>#NAME?</x:v>
      </x:c>
      <x:c r="Q208" s="13" t="e">
        <x:f>IF(第3日!B99="","",第3日!C99)</x:f>
        <x:v>#NAME?</x:v>
      </x:c>
      <x:c r="R208" s="13">
        <x:v>-1</x:v>
      </x:c>
      <x:c r="S208" s="13" t="e">
        <x:f>IF(第3日!B99="","",第3日!I99)</x:f>
        <x:v>#NAME?</x:v>
      </x:c>
    </x:row>
    <x:row r="209" ht="16.5">
      <x:c r="A209" s="13">
        <x:v>3</x:v>
      </x:c>
      <x:c r="B209" s="13" t="s">
        <x:v>542</x:v>
      </x:c>
      <x:c r="C209" s="13">
        <x:v>12</x:v>
      </x:c>
      <x:c r="D209" s="13">
        <x:v>3</x:v>
      </x:c>
      <x:c r="E209" s="13">
        <x:v>4</x:v>
      </x:c>
      <x:c r="F209" s="13" t="s">
        <x:v>54</x:v>
      </x:c>
      <x:c r="G209" s="13" t="e">
        <x:f>第3日!B90</x:f>
        <x:v>#NAME?</x:v>
      </x:c>
      <x:c r="H209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9" s="13" t="e">
        <x:f>第3日!E90</x:f>
        <x:v>#NAME?</x:v>
      </x:c>
      <x:c r="J209" s="13" t="e">
        <x:f>第3日!G90</x:f>
        <x:v>#NAME?</x:v>
      </x:c>
      <x:c r="K209" s="13" t="e">
        <x:f>第3日!I90</x:f>
        <x:v>#NAME?</x:v>
      </x:c>
      <x:c r="L209" s="13" t="s">
        <x:v>538</x:v>
      </x:c>
      <x:c r="M209" s="13" t="s">
        <x:v>539</x:v>
      </x:c>
      <x:c r="N209" s="13" t="e">
        <x:f>第3日!I91="待设计"</x:f>
        <x:v>#NAME?</x:v>
      </x:c>
      <x:c r="O209" s="13">
        <x:v>7</x:v>
      </x:c>
      <x:c r="P209" s="13" t="e">
        <x:f>IF(第3日!B100="","",IFERROR(VLOOKUP(第3日!B100,敌人目录!$A$6:$B$68,2,FALSE),""))</x:f>
        <x:v>#NAME?</x:v>
      </x:c>
      <x:c r="Q209" s="13" t="e">
        <x:f>IF(第3日!B100="","",第3日!C100)</x:f>
        <x:v>#NAME?</x:v>
      </x:c>
      <x:c r="R209" s="13">
        <x:v>-1</x:v>
      </x:c>
      <x:c r="S209" s="13" t="e">
        <x:f>IF(第3日!B100="","",第3日!I100)</x:f>
        <x:v>#NAME?</x:v>
      </x:c>
    </x:row>
    <x:row r="210" ht="16.5">
      <x:c r="A210" s="13">
        <x:v>3</x:v>
      </x:c>
      <x:c r="B210" s="13" t="s">
        <x:v>542</x:v>
      </x:c>
      <x:c r="C210" s="13">
        <x:v>12</x:v>
      </x:c>
      <x:c r="D210" s="13">
        <x:v>3</x:v>
      </x:c>
      <x:c r="E210" s="13">
        <x:v>4</x:v>
      </x:c>
      <x:c r="F210" s="13" t="s">
        <x:v>54</x:v>
      </x:c>
      <x:c r="G210" s="13" t="e">
        <x:f>第3日!B90</x:f>
        <x:v>#NAME?</x:v>
      </x:c>
      <x:c r="H210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0" s="13" t="e">
        <x:f>第3日!E90</x:f>
        <x:v>#NAME?</x:v>
      </x:c>
      <x:c r="J210" s="13" t="e">
        <x:f>第3日!G90</x:f>
        <x:v>#NAME?</x:v>
      </x:c>
      <x:c r="K210" s="13" t="e">
        <x:f>第3日!I90</x:f>
        <x:v>#NAME?</x:v>
      </x:c>
      <x:c r="L210" s="13" t="s">
        <x:v>538</x:v>
      </x:c>
      <x:c r="M210" s="13" t="s">
        <x:v>539</x:v>
      </x:c>
      <x:c r="N210" s="13" t="e">
        <x:f>第3日!I91="待设计"</x:f>
        <x:v>#NAME?</x:v>
      </x:c>
      <x:c r="O210" s="13">
        <x:v>8</x:v>
      </x:c>
      <x:c r="P210" s="13" t="e">
        <x:f>IF(第3日!B101="","",IFERROR(VLOOKUP(第3日!B101,敌人目录!$A$6:$B$68,2,FALSE),""))</x:f>
        <x:v>#NAME?</x:v>
      </x:c>
      <x:c r="Q210" s="13" t="e">
        <x:f>IF(第3日!B101="","",第3日!C101)</x:f>
        <x:v>#NAME?</x:v>
      </x:c>
      <x:c r="R210" s="13">
        <x:v>-1</x:v>
      </x:c>
      <x:c r="S210" s="13" t="e">
        <x:f>IF(第3日!B101="","",第3日!I101)</x:f>
        <x:v>#NAME?</x:v>
      </x:c>
    </x:row>
    <x:row r="211" ht="16.5">
      <x:c r="A211" s="13">
        <x:v>3</x:v>
      </x:c>
      <x:c r="B211" s="13" t="s">
        <x:v>542</x:v>
      </x:c>
      <x:c r="C211" s="13">
        <x:v>12</x:v>
      </x:c>
      <x:c r="D211" s="13">
        <x:v>3</x:v>
      </x:c>
      <x:c r="E211" s="13">
        <x:v>4</x:v>
      </x:c>
      <x:c r="F211" s="13" t="s">
        <x:v>54</x:v>
      </x:c>
      <x:c r="G211" s="13" t="e">
        <x:f>第3日!B90</x:f>
        <x:v>#NAME?</x:v>
      </x:c>
      <x:c r="H211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1" s="13" t="e">
        <x:f>第3日!E90</x:f>
        <x:v>#NAME?</x:v>
      </x:c>
      <x:c r="J211" s="13" t="e">
        <x:f>第3日!G90</x:f>
        <x:v>#NAME?</x:v>
      </x:c>
      <x:c r="K211" s="13" t="e">
        <x:f>第3日!I90</x:f>
        <x:v>#NAME?</x:v>
      </x:c>
      <x:c r="L211" s="13" t="s">
        <x:v>538</x:v>
      </x:c>
      <x:c r="M211" s="13" t="s">
        <x:v>539</x:v>
      </x:c>
      <x:c r="N211" s="13" t="e">
        <x:f>第3日!I91="待设计"</x:f>
        <x:v>#NAME?</x:v>
      </x:c>
      <x:c r="O211" s="13">
        <x:v>9</x:v>
      </x:c>
      <x:c r="P211" s="13" t="e">
        <x:f>IF(第3日!B102="","",IFERROR(VLOOKUP(第3日!B102,敌人目录!$A$6:$B$68,2,FALSE),""))</x:f>
        <x:v>#NAME?</x:v>
      </x:c>
      <x:c r="Q211" s="13" t="e">
        <x:f>IF(第3日!B102="","",第3日!C102)</x:f>
        <x:v>#NAME?</x:v>
      </x:c>
      <x:c r="R211" s="13">
        <x:v>-1</x:v>
      </x:c>
      <x:c r="S211" s="13" t="e">
        <x:f>IF(第3日!B102="","",第3日!I102)</x:f>
        <x:v>#NAME?</x:v>
      </x:c>
    </x:row>
    <x:row r="212" ht="16.5">
      <x:c r="A212" s="13">
        <x:v>3</x:v>
      </x:c>
      <x:c r="B212" s="13" t="s">
        <x:v>542</x:v>
      </x:c>
      <x:c r="C212" s="13">
        <x:v>12</x:v>
      </x:c>
      <x:c r="D212" s="13">
        <x:v>3</x:v>
      </x:c>
      <x:c r="E212" s="13">
        <x:v>4</x:v>
      </x:c>
      <x:c r="F212" s="13" t="s">
        <x:v>54</x:v>
      </x:c>
      <x:c r="G212" s="13" t="e">
        <x:f>第3日!B90</x:f>
        <x:v>#NAME?</x:v>
      </x:c>
      <x:c r="H212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2" s="13" t="e">
        <x:f>第3日!E90</x:f>
        <x:v>#NAME?</x:v>
      </x:c>
      <x:c r="J212" s="13" t="e">
        <x:f>第3日!G90</x:f>
        <x:v>#NAME?</x:v>
      </x:c>
      <x:c r="K212" s="13" t="e">
        <x:f>第3日!I90</x:f>
        <x:v>#NAME?</x:v>
      </x:c>
      <x:c r="L212" s="13" t="s">
        <x:v>538</x:v>
      </x:c>
      <x:c r="M212" s="13" t="s">
        <x:v>539</x:v>
      </x:c>
      <x:c r="N212" s="13" t="e">
        <x:f>第3日!I91="待设计"</x:f>
        <x:v>#NAME?</x:v>
      </x:c>
      <x:c r="O212" s="13">
        <x:v>10</x:v>
      </x:c>
      <x:c r="P212" s="13" t="e">
        <x:f>IF(第3日!B103="","",IFERROR(VLOOKUP(第3日!B103,敌人目录!$A$6:$B$68,2,FALSE),""))</x:f>
        <x:v>#NAME?</x:v>
      </x:c>
      <x:c r="Q212" s="13" t="e">
        <x:f>IF(第3日!B103="","",第3日!C103)</x:f>
        <x:v>#NAME?</x:v>
      </x:c>
      <x:c r="R212" s="13">
        <x:v>-1</x:v>
      </x:c>
      <x:c r="S212" s="13" t="e">
        <x:f>IF(第3日!B103="","",第3日!I103)</x:f>
        <x:v>#NAME?</x:v>
      </x:c>
    </x:row>
    <x:row r="213" ht="16.5">
      <x:c r="A213" s="13">
        <x:v>3</x:v>
      </x:c>
      <x:c r="B213" s="13" t="s">
        <x:v>542</x:v>
      </x:c>
      <x:c r="C213" s="13">
        <x:v>12</x:v>
      </x:c>
      <x:c r="D213" s="13">
        <x:v>3</x:v>
      </x:c>
      <x:c r="E213" s="13">
        <x:v>4</x:v>
      </x:c>
      <x:c r="F213" s="13" t="s">
        <x:v>54</x:v>
      </x:c>
      <x:c r="G213" s="13" t="e">
        <x:f>第3日!B90</x:f>
        <x:v>#NAME?</x:v>
      </x:c>
      <x:c r="H213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3" s="13" t="e">
        <x:f>第3日!E90</x:f>
        <x:v>#NAME?</x:v>
      </x:c>
      <x:c r="J213" s="13" t="e">
        <x:f>第3日!G90</x:f>
        <x:v>#NAME?</x:v>
      </x:c>
      <x:c r="K213" s="13" t="e">
        <x:f>第3日!I90</x:f>
        <x:v>#NAME?</x:v>
      </x:c>
      <x:c r="L213" s="13" t="s">
        <x:v>538</x:v>
      </x:c>
      <x:c r="M213" s="13" t="s">
        <x:v>539</x:v>
      </x:c>
      <x:c r="N213" s="13" t="e">
        <x:f>第3日!I91="待设计"</x:f>
        <x:v>#NAME?</x:v>
      </x:c>
      <x:c r="O213" s="13">
        <x:v>11</x:v>
      </x:c>
      <x:c r="P213" s="13" t="e">
        <x:f>IF(第3日!B104="","",IFERROR(VLOOKUP(第3日!B104,敌人目录!$A$6:$B$68,2,FALSE),""))</x:f>
        <x:v>#NAME?</x:v>
      </x:c>
      <x:c r="Q213" s="13" t="e">
        <x:f>IF(第3日!B104="","",第3日!C104)</x:f>
        <x:v>#NAME?</x:v>
      </x:c>
      <x:c r="R213" s="13">
        <x:v>-1</x:v>
      </x:c>
      <x:c r="S213" s="13" t="e">
        <x:f>IF(第3日!B104="","",第3日!I104)</x:f>
        <x:v>#NAME?</x:v>
      </x:c>
    </x:row>
    <x:row r="214" ht="16.5">
      <x:c r="A214" s="13">
        <x:v>3</x:v>
      </x:c>
      <x:c r="B214" s="13" t="s">
        <x:v>542</x:v>
      </x:c>
      <x:c r="C214" s="13">
        <x:v>12</x:v>
      </x:c>
      <x:c r="D214" s="13">
        <x:v>3</x:v>
      </x:c>
      <x:c r="E214" s="13">
        <x:v>4</x:v>
      </x:c>
      <x:c r="F214" s="13" t="s">
        <x:v>54</x:v>
      </x:c>
      <x:c r="G214" s="13" t="e">
        <x:f>第3日!B90</x:f>
        <x:v>#NAME?</x:v>
      </x:c>
      <x:c r="H214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4" s="13" t="e">
        <x:f>第3日!E90</x:f>
        <x:v>#NAME?</x:v>
      </x:c>
      <x:c r="J214" s="13" t="e">
        <x:f>第3日!G90</x:f>
        <x:v>#NAME?</x:v>
      </x:c>
      <x:c r="K214" s="13" t="e">
        <x:f>第3日!I90</x:f>
        <x:v>#NAME?</x:v>
      </x:c>
      <x:c r="L214" s="13" t="s">
        <x:v>538</x:v>
      </x:c>
      <x:c r="M214" s="13" t="s">
        <x:v>539</x:v>
      </x:c>
      <x:c r="N214" s="13" t="e">
        <x:f>第3日!I91="待设计"</x:f>
        <x:v>#NAME?</x:v>
      </x:c>
      <x:c r="O214" s="13">
        <x:v>12</x:v>
      </x:c>
      <x:c r="P214" s="13" t="e">
        <x:f>IF(第3日!B105="","",IFERROR(VLOOKUP(第3日!B105,敌人目录!$A$6:$B$68,2,FALSE),""))</x:f>
        <x:v>#NAME?</x:v>
      </x:c>
      <x:c r="Q214" s="13" t="e">
        <x:f>IF(第3日!B105="","",第3日!C105)</x:f>
        <x:v>#NAME?</x:v>
      </x:c>
      <x:c r="R214" s="13">
        <x:v>-1</x:v>
      </x:c>
      <x:c r="S214" s="13" t="e">
        <x:f>IF(第3日!B105="","",第3日!I105)</x:f>
        <x:v>#NAME?</x:v>
      </x:c>
    </x:row>
    <x:row r="215" ht="16.5">
      <x:c r="A215" s="13">
        <x:v>3</x:v>
      </x:c>
      <x:c r="B215" s="13" t="s">
        <x:v>542</x:v>
      </x:c>
      <x:c r="C215" s="13">
        <x:v>12</x:v>
      </x:c>
      <x:c r="D215" s="13">
        <x:v>3</x:v>
      </x:c>
      <x:c r="E215" s="13">
        <x:v>4</x:v>
      </x:c>
      <x:c r="F215" s="13" t="s">
        <x:v>54</x:v>
      </x:c>
      <x:c r="G215" s="13" t="e">
        <x:f>第3日!B90</x:f>
        <x:v>#NAME?</x:v>
      </x:c>
      <x:c r="H215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5" s="13" t="e">
        <x:f>第3日!E90</x:f>
        <x:v>#NAME?</x:v>
      </x:c>
      <x:c r="J215" s="13" t="e">
        <x:f>第3日!G90</x:f>
        <x:v>#NAME?</x:v>
      </x:c>
      <x:c r="K215" s="13" t="e">
        <x:f>第3日!I90</x:f>
        <x:v>#NAME?</x:v>
      </x:c>
      <x:c r="L215" s="13" t="s">
        <x:v>538</x:v>
      </x:c>
      <x:c r="M215" s="13" t="s">
        <x:v>539</x:v>
      </x:c>
      <x:c r="N215" s="13" t="e">
        <x:f>第3日!I91="待设计"</x:f>
        <x:v>#NAME?</x:v>
      </x:c>
      <x:c r="O215" s="13">
        <x:v>13</x:v>
      </x:c>
      <x:c r="P215" s="13" t="e">
        <x:f>IF(第3日!B106="","",IFERROR(VLOOKUP(第3日!B106,敌人目录!$A$6:$B$68,2,FALSE),""))</x:f>
        <x:v>#NAME?</x:v>
      </x:c>
      <x:c r="Q215" s="13" t="e">
        <x:f>IF(第3日!B106="","",第3日!C106)</x:f>
        <x:v>#NAME?</x:v>
      </x:c>
      <x:c r="R215" s="13">
        <x:v>-1</x:v>
      </x:c>
      <x:c r="S215" s="13" t="e">
        <x:f>IF(第3日!B106="","",第3日!I106)</x:f>
        <x:v>#NAME?</x:v>
      </x:c>
    </x:row>
    <x:row r="216" ht="16.5">
      <x:c r="A216" s="13">
        <x:v>3</x:v>
      </x:c>
      <x:c r="B216" s="13" t="s">
        <x:v>542</x:v>
      </x:c>
      <x:c r="C216" s="13">
        <x:v>12</x:v>
      </x:c>
      <x:c r="D216" s="13">
        <x:v>3</x:v>
      </x:c>
      <x:c r="E216" s="13">
        <x:v>4</x:v>
      </x:c>
      <x:c r="F216" s="13" t="s">
        <x:v>54</x:v>
      </x:c>
      <x:c r="G216" s="13" t="e">
        <x:f>第3日!B90</x:f>
        <x:v>#NAME?</x:v>
      </x:c>
      <x:c r="H216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6" s="13" t="e">
        <x:f>第3日!E90</x:f>
        <x:v>#NAME?</x:v>
      </x:c>
      <x:c r="J216" s="13" t="e">
        <x:f>第3日!G90</x:f>
        <x:v>#NAME?</x:v>
      </x:c>
      <x:c r="K216" s="13" t="e">
        <x:f>第3日!I90</x:f>
        <x:v>#NAME?</x:v>
      </x:c>
      <x:c r="L216" s="13" t="s">
        <x:v>538</x:v>
      </x:c>
      <x:c r="M216" s="13" t="s">
        <x:v>539</x:v>
      </x:c>
      <x:c r="N216" s="13" t="e">
        <x:f>第3日!I91="待设计"</x:f>
        <x:v>#NAME?</x:v>
      </x:c>
      <x:c r="O216" s="13">
        <x:v>14</x:v>
      </x:c>
      <x:c r="P216" s="13" t="e">
        <x:f>IF(第3日!B107="","",IFERROR(VLOOKUP(第3日!B107,敌人目录!$A$6:$B$68,2,FALSE),""))</x:f>
        <x:v>#NAME?</x:v>
      </x:c>
      <x:c r="Q216" s="13" t="e">
        <x:f>IF(第3日!B107="","",第3日!C107)</x:f>
        <x:v>#NAME?</x:v>
      </x:c>
      <x:c r="R216" s="13">
        <x:v>-1</x:v>
      </x:c>
      <x:c r="S216" s="13" t="e">
        <x:f>IF(第3日!B107="","",第3日!I107)</x:f>
        <x:v>#NAME?</x:v>
      </x:c>
    </x:row>
    <x:row r="217" ht="16.5">
      <x:c r="A217" s="13">
        <x:v>3</x:v>
      </x:c>
      <x:c r="B217" s="13" t="s">
        <x:v>542</x:v>
      </x:c>
      <x:c r="C217" s="13">
        <x:v>12</x:v>
      </x:c>
      <x:c r="D217" s="13">
        <x:v>3</x:v>
      </x:c>
      <x:c r="E217" s="13">
        <x:v>4</x:v>
      </x:c>
      <x:c r="F217" s="13" t="s">
        <x:v>54</x:v>
      </x:c>
      <x:c r="G217" s="13" t="e">
        <x:f>第3日!B90</x:f>
        <x:v>#NAME?</x:v>
      </x:c>
      <x:c r="H217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7" s="13" t="e">
        <x:f>第3日!E90</x:f>
        <x:v>#NAME?</x:v>
      </x:c>
      <x:c r="J217" s="13" t="e">
        <x:f>第3日!G90</x:f>
        <x:v>#NAME?</x:v>
      </x:c>
      <x:c r="K217" s="13" t="e">
        <x:f>第3日!I90</x:f>
        <x:v>#NAME?</x:v>
      </x:c>
      <x:c r="L217" s="13" t="s">
        <x:v>538</x:v>
      </x:c>
      <x:c r="M217" s="13" t="s">
        <x:v>539</x:v>
      </x:c>
      <x:c r="N217" s="13" t="e">
        <x:f>第3日!I91="待设计"</x:f>
        <x:v>#NAME?</x:v>
      </x:c>
      <x:c r="O217" s="13">
        <x:v>15</x:v>
      </x:c>
      <x:c r="P217" s="13" t="e">
        <x:f>IF(第3日!B108="","",IFERROR(VLOOKUP(第3日!B108,敌人目录!$A$6:$B$68,2,FALSE),""))</x:f>
        <x:v>#NAME?</x:v>
      </x:c>
      <x:c r="Q217" s="13" t="e">
        <x:f>IF(第3日!B108="","",第3日!C108)</x:f>
        <x:v>#NAME?</x:v>
      </x:c>
      <x:c r="R217" s="13">
        <x:v>-1</x:v>
      </x:c>
      <x:c r="S217" s="13" t="e">
        <x:f>IF(第3日!B108="","",第3日!I108)</x:f>
        <x:v>#NAME?</x:v>
      </x:c>
    </x:row>
    <x:row r="218" ht="16.5">
      <x:c r="A218" s="13">
        <x:v>3</x:v>
      </x:c>
      <x:c r="B218" s="13" t="s">
        <x:v>542</x:v>
      </x:c>
      <x:c r="C218" s="13">
        <x:v>12</x:v>
      </x:c>
      <x:c r="D218" s="13">
        <x:v>3</x:v>
      </x:c>
      <x:c r="E218" s="13">
        <x:v>4</x:v>
      </x:c>
      <x:c r="F218" s="13" t="s">
        <x:v>54</x:v>
      </x:c>
      <x:c r="G218" s="13" t="e">
        <x:f>第3日!B90</x:f>
        <x:v>#NAME?</x:v>
      </x:c>
      <x:c r="H218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8" s="13" t="e">
        <x:f>第3日!E90</x:f>
        <x:v>#NAME?</x:v>
      </x:c>
      <x:c r="J218" s="13" t="e">
        <x:f>第3日!G90</x:f>
        <x:v>#NAME?</x:v>
      </x:c>
      <x:c r="K218" s="13" t="e">
        <x:f>第3日!I90</x:f>
        <x:v>#NAME?</x:v>
      </x:c>
      <x:c r="L218" s="13" t="s">
        <x:v>538</x:v>
      </x:c>
      <x:c r="M218" s="13" t="s">
        <x:v>539</x:v>
      </x:c>
      <x:c r="N218" s="13" t="e">
        <x:f>第3日!I91="待设计"</x:f>
        <x:v>#NAME?</x:v>
      </x:c>
      <x:c r="O218" s="13">
        <x:v>16</x:v>
      </x:c>
      <x:c r="P218" s="13" t="e">
        <x:f>IF(第3日!B109="","",IFERROR(VLOOKUP(第3日!B109,敌人目录!$A$6:$B$68,2,FALSE),""))</x:f>
        <x:v>#NAME?</x:v>
      </x:c>
      <x:c r="Q218" s="13" t="e">
        <x:f>IF(第3日!B109="","",第3日!C109)</x:f>
        <x:v>#NAME?</x:v>
      </x:c>
      <x:c r="R218" s="13">
        <x:v>-1</x:v>
      </x:c>
      <x:c r="S218" s="13" t="e">
        <x:f>IF(第3日!B109="","",第3日!I109)</x:f>
        <x:v>#NAME?</x:v>
      </x:c>
    </x:row>
    <x:row r="219" ht="16.5">
      <x:c r="A219" s="13">
        <x:v>3</x:v>
      </x:c>
      <x:c r="B219" s="13" t="s">
        <x:v>542</x:v>
      </x:c>
      <x:c r="C219" s="13">
        <x:v>12</x:v>
      </x:c>
      <x:c r="D219" s="13">
        <x:v>3</x:v>
      </x:c>
      <x:c r="E219" s="13">
        <x:v>4</x:v>
      </x:c>
      <x:c r="F219" s="13" t="s">
        <x:v>54</x:v>
      </x:c>
      <x:c r="G219" s="13" t="e">
        <x:f>第3日!B90</x:f>
        <x:v>#NAME?</x:v>
      </x:c>
      <x:c r="H219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9" s="13" t="e">
        <x:f>第3日!E90</x:f>
        <x:v>#NAME?</x:v>
      </x:c>
      <x:c r="J219" s="13" t="e">
        <x:f>第3日!G90</x:f>
        <x:v>#NAME?</x:v>
      </x:c>
      <x:c r="K219" s="13" t="e">
        <x:f>第3日!I90</x:f>
        <x:v>#NAME?</x:v>
      </x:c>
      <x:c r="L219" s="13" t="s">
        <x:v>538</x:v>
      </x:c>
      <x:c r="M219" s="13" t="s">
        <x:v>539</x:v>
      </x:c>
      <x:c r="N219" s="13" t="e">
        <x:f>第3日!I91="待设计"</x:f>
        <x:v>#NAME?</x:v>
      </x:c>
      <x:c r="O219" s="13">
        <x:v>17</x:v>
      </x:c>
      <x:c r="P219" s="13" t="e">
        <x:f>IF(第3日!B110="","",IFERROR(VLOOKUP(第3日!B110,敌人目录!$A$6:$B$68,2,FALSE),""))</x:f>
        <x:v>#NAME?</x:v>
      </x:c>
      <x:c r="Q219" s="13" t="e">
        <x:f>IF(第3日!B110="","",第3日!C110)</x:f>
        <x:v>#NAME?</x:v>
      </x:c>
      <x:c r="R219" s="13">
        <x:v>-1</x:v>
      </x:c>
      <x:c r="S219" s="13" t="e">
        <x:f>IF(第3日!B110="","",第3日!I110)</x:f>
        <x:v>#NAME?</x:v>
      </x:c>
    </x:row>
    <x:row r="220" ht="16.5">
      <x:c r="A220" s="13">
        <x:v>3</x:v>
      </x:c>
      <x:c r="B220" s="13" t="s">
        <x:v>542</x:v>
      </x:c>
      <x:c r="C220" s="13">
        <x:v>12</x:v>
      </x:c>
      <x:c r="D220" s="13">
        <x:v>3</x:v>
      </x:c>
      <x:c r="E220" s="13">
        <x:v>4</x:v>
      </x:c>
      <x:c r="F220" s="13" t="s">
        <x:v>54</x:v>
      </x:c>
      <x:c r="G220" s="13" t="e">
        <x:f>第3日!B90</x:f>
        <x:v>#NAME?</x:v>
      </x:c>
      <x:c r="H220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20" s="13" t="e">
        <x:f>第3日!E90</x:f>
        <x:v>#NAME?</x:v>
      </x:c>
      <x:c r="J220" s="13" t="e">
        <x:f>第3日!G90</x:f>
        <x:v>#NAME?</x:v>
      </x:c>
      <x:c r="K220" s="13" t="e">
        <x:f>第3日!I90</x:f>
        <x:v>#NAME?</x:v>
      </x:c>
      <x:c r="L220" s="13" t="s">
        <x:v>538</x:v>
      </x:c>
      <x:c r="M220" s="13" t="s">
        <x:v>539</x:v>
      </x:c>
      <x:c r="N220" s="13" t="e">
        <x:f>第3日!I91="待设计"</x:f>
        <x:v>#NAME?</x:v>
      </x:c>
      <x:c r="O220" s="13">
        <x:v>18</x:v>
      </x:c>
      <x:c r="P220" s="13" t="e">
        <x:f>IF(第3日!B111="","",IFERROR(VLOOKUP(第3日!B111,敌人目录!$A$6:$B$68,2,FALSE),""))</x:f>
        <x:v>#NAME?</x:v>
      </x:c>
      <x:c r="Q220" s="13" t="e">
        <x:f>IF(第3日!B111="","",第3日!C111)</x:f>
        <x:v>#NAME?</x:v>
      </x:c>
      <x:c r="R220" s="13">
        <x:v>-1</x:v>
      </x:c>
      <x:c r="S220" s="13" t="e">
        <x:f>IF(第3日!B111="","",第3日!I111)</x:f>
        <x:v>#NAME?</x:v>
      </x:c>
    </x:row>
  </x:sheetData>
  <x:mergeCells>
    <x:mergeCell ref="A1:S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31" customWidth="1"/>
    <x:col min="2" max="3" width="58" customWidth="1"/>
    <x:col min="4" max="4" width="18" customWidth="1"/>
    <x:col min="5" max="6" width="12" customWidth="1"/>
  </x:cols>
  <x:sheetData>
    <x:row r="1" ht="33.95000076293945" customHeight="1">
      <x:c r="A1" s="31" t="s">
        <x:v>543</x:v>
      </x:c>
      <x:c r="B1" s="31"/>
      <x:c r="C1" s="31"/>
      <x:c r="D1" s="31"/>
      <x:c r="E1" s="31"/>
      <x:c r="F1" s="31"/>
    </x:row>
    <x:row r="2" ht="24" customHeight="1"/>
    <x:row r="3" ht="24" customHeight="1">
      <x:c r="A3" s="20" t="s">
        <x:v>544</x:v>
      </x:c>
      <x:c r="B3" s="20" t="s">
        <x:v>545</x:v>
      </x:c>
      <x:c r="C3" s="20" t="s">
        <x:v>546</x:v>
      </x:c>
      <x:c r="D3" s="20" t="s">
        <x:v>547</x:v>
      </x:c>
    </x:row>
    <x:row r="4" ht="24" customHeight="1">
      <x:c r="A4" s="23" t="s">
        <x:v>475</x:v>
      </x:c>
      <x:c r="B4" s="13">
        <x:v>3</x:v>
      </x:c>
      <x:c r="C4" s="13"/>
      <x:c r="D4" s="13"/>
    </x:row>
    <x:row r="5" ht="24" customHeight="1">
      <x:c r="A5" s="23" t="s">
        <x:v>476</x:v>
      </x:c>
      <x:c r="B5" s="13" t="s">
        <x:v>477</x:v>
      </x:c>
      <x:c r="C5" s="13"/>
      <x:c r="D5" s="13"/>
    </x:row>
    <x:row r="6" ht="24" customHeight="1">
      <x:c r="A6" s="23" t="s">
        <x:v>548</x:v>
      </x:c>
      <x:c r="B6" s="13" t="s">
        <x:v>549</x:v>
      </x:c>
      <x:c r="C6" s="13"/>
      <x:c r="D6" s="13"/>
    </x:row>
    <x:row r="7" ht="24" customHeight="1">
      <x:c r="A7" s="23" t="s">
        <x:v>550</x:v>
      </x:c>
      <x:c r="B7" s="13" t="s">
        <x:v>551</x:v>
      </x:c>
      <x:c r="C7" s="13"/>
      <x:c r="D7" s="13"/>
    </x:row>
    <x:row r="8" ht="24" customHeight="1">
      <x:c r="A8" s="23" t="s">
        <x:v>505</x:v>
      </x:c>
      <x:c r="B8" s="13">
        <x:v>12</x:v>
      </x:c>
      <x:c r="C8" s="13"/>
      <x:c r="D8" s="13"/>
    </x:row>
    <x:row r="9" ht="24" customHeight="1">
      <x:c r="A9" s="23" t="s">
        <x:v>506</x:v>
      </x:c>
      <x:c r="B9" s="13">
        <x:v>4</x:v>
      </x:c>
      <x:c r="C9" s="13"/>
      <x:c r="D9" s="13"/>
    </x:row>
    <x:row r="10" ht="24" customHeight="1">
      <x:c r="A10" s="23" t="s">
        <x:v>552</x:v>
      </x:c>
      <x:c r="B10" s="13">
        <x:v>4</x:v>
      </x:c>
      <x:c r="C10" s="13"/>
      <x:c r="D10" s="13"/>
    </x:row>
    <x:row r="11" ht="24" customHeight="1">
      <x:c r="A11" s="23" t="s">
        <x:v>507</x:v>
      </x:c>
      <x:c r="B11" s="13">
        <x:v>12</x:v>
      </x:c>
      <x:c r="C11" s="13"/>
      <x:c r="D11" s="13"/>
    </x:row>
    <x:row r="12" ht="24" customHeight="1">
      <x:c r="A12" s="23" t="s">
        <x:v>508</x:v>
      </x:c>
      <x:c r="B12" s="13">
        <x:v>4</x:v>
      </x:c>
      <x:c r="C12" s="13"/>
      <x:c r="D12" s="13"/>
    </x:row>
    <x:row r="13" ht="24" customHeight="1">
      <x:c r="A13" s="23" t="s">
        <x:v>553</x:v>
      </x:c>
      <x:c r="B13" s="13" t="s">
        <x:v>511</x:v>
      </x:c>
      <x:c r="C13" s="13"/>
      <x:c r="D13" s="13"/>
    </x:row>
    <x:row r="14" ht="24" customHeight="1">
      <x:c r="A14" s="23" t="s">
        <x:v>554</x:v>
      </x:c>
      <x:c r="B14" s="13" t="e">
        <x:f>全局设置!B16</x:f>
        <x:v>#NAME?</x:v>
      </x:c>
      <x:c r="C14" s="13" t="e">
        <x:f>全局设置!D16</x:f>
        <x:v>#NAME?</x:v>
      </x:c>
      <x:c r="D14" s="13" t="e">
        <x:f>全局设置!F16</x:f>
        <x:v>#NAME?</x:v>
      </x:c>
    </x:row>
    <x:row r="15" ht="24" customHeight="1">
      <x:c r="A15" s="23" t="s">
        <x:v>555</x:v>
      </x:c>
      <x:c r="B15" s="13" t="s">
        <x:v>192</x:v>
      </x:c>
      <x:c r="C15" s="13"/>
      <x:c r="D15" s="13"/>
    </x:row>
    <x:row r="16" ht="24" customHeight="1">
      <x:c r="A16" s="23" t="s">
        <x:v>556</x:v>
      </x:c>
      <x:c r="B16" s="13" t="s">
        <x:v>190</x:v>
      </x:c>
      <x:c r="C16" s="13"/>
      <x:c r="D16" s="13"/>
    </x:row>
    <x:row r="17" ht="24" customHeight="1">
      <x:c r="A17" s="23" t="s">
        <x:v>557</x:v>
      </x:c>
      <x:c r="B17" s="13" t="s">
        <x:v>197</x:v>
      </x:c>
      <x:c r="C17" s="13"/>
      <x:c r="D17" s="13"/>
    </x:row>
    <x:row r="18" ht="24" customHeight="1">
      <x:c r="A18" s="23" t="s">
        <x:v>558</x:v>
      </x:c>
      <x:c r="B18" s="13" t="s">
        <x:v>559</x:v>
      </x:c>
      <x:c r="C18" s="13"/>
      <x:c r="D18" s="13"/>
    </x:row>
    <x:row r="19" ht="24" customHeight="1">
      <x:c r="A19" s="23" t="s">
        <x:v>560</x:v>
      </x:c>
      <x:c r="B19" s="24" t="s">
        <x:v>561</x:v>
      </x:c>
      <x:c r="C19" s="24" t="s">
        <x:v>562</x:v>
      </x:c>
      <x:c r="D19" s="13"/>
    </x:row>
    <x:row r="20" ht="24" customHeight="1">
      <x:c r="A20" s="61" t="str">
        <x:v>progression_timers_seconds</x:v>
      </x:c>
      <x:c r="B20" s="66" t="n">
        <x:f>'全局设置'!B14</x:f>
        <x:v>300</x:v>
      </x:c>
      <x:c r="C20" s="66" t="n">
        <x:f>'全局设置'!D14</x:f>
        <x:v>300</x:v>
      </x:c>
      <x:c r="D20" s="66" t="n">
        <x:f>'全局设置'!F14</x:f>
        <x:v>300</x:v>
      </x:c>
    </x:row>
    <x:row r="21" ht="24" customHeight="1">
      <x:c r="A21" s="32" t="str">
        <x:v>固定输出：target_wave_count=12 / day_count=4 / boss_after_wave=12 / boss_day=4 / boss_period=day / daily_rogue_action_points=[第1日,第2日,第3日] / progression_timers_seconds=[首波前,普通波间,跨日/首领]</x:v>
      </x:c>
      <x:c r="B21" s="32"/>
      <x:c r="C21" s="32"/>
      <x:c r="D21" s="32"/>
      <x:c r="E21" s="32"/>
      <x:c r="F21" s="32"/>
    </x:row>
  </x:sheetData>
  <x:mergeCells>
    <x:mergeCell ref="A1:F1"/>
    <x:mergeCell ref="A21:F21"/>
  </x:mergeCells>
  <x:pageMargins left="0.7" right="0.7" top="0.75" bottom="0.75" header="0.3" footer="0.3"/>
</x:worksheet>
</file>