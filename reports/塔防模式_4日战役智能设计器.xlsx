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h\Documents\arc-nice\reports\"/>
    </mc:Choice>
  </mc:AlternateContent>
  <xr:revisionPtr revIDLastSave="0" documentId="13_ncr:1_{EFF4A052-A760-41A2-89CE-8A5224B729B0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使用说明" sheetId="1" r:id="rId1"/>
    <sheet name="总览" sheetId="2" r:id="rId2"/>
    <sheet name="全局设置" sheetId="3" r:id="rId3"/>
    <sheet name="第1日" sheetId="4" r:id="rId4"/>
    <sheet name="第2日" sheetId="5" r:id="rId5"/>
    <sheet name="第3日" sheetId="6" r:id="rId6"/>
    <sheet name="第4日" sheetId="7" r:id="rId7"/>
    <sheet name="敌人目录" sheetId="8" r:id="rId8"/>
    <sheet name="敌人导入数据（勿改）" sheetId="9" r:id="rId9"/>
    <sheet name="导入数据（勿改）" sheetId="10" r:id="rId10"/>
    <sheet name="系统数据（勿改）" sheetId="11" r:id="rId11"/>
  </sheets>
  <calcPr calcId="191029"/>
</workbook>
</file>

<file path=xl/calcChain.xml><?xml version="1.0" encoding="utf-8"?>
<calcChain xmlns="http://schemas.openxmlformats.org/spreadsheetml/2006/main">
  <c r="D14" i="11" l="1"/>
  <c r="C14" i="11"/>
  <c r="B14" i="11"/>
  <c r="S220" i="10"/>
  <c r="Q220" i="10"/>
  <c r="P220" i="10"/>
  <c r="K220" i="10"/>
  <c r="J220" i="10"/>
  <c r="I220" i="10"/>
  <c r="H220" i="10"/>
  <c r="G220" i="10"/>
  <c r="S219" i="10"/>
  <c r="Q219" i="10"/>
  <c r="P219" i="10"/>
  <c r="K219" i="10"/>
  <c r="J219" i="10"/>
  <c r="I219" i="10"/>
  <c r="H219" i="10"/>
  <c r="G219" i="10"/>
  <c r="S218" i="10"/>
  <c r="Q218" i="10"/>
  <c r="P218" i="10"/>
  <c r="K218" i="10"/>
  <c r="J218" i="10"/>
  <c r="I218" i="10"/>
  <c r="H218" i="10"/>
  <c r="G218" i="10"/>
  <c r="S217" i="10"/>
  <c r="Q217" i="10"/>
  <c r="P217" i="10"/>
  <c r="K217" i="10"/>
  <c r="J217" i="10"/>
  <c r="I217" i="10"/>
  <c r="H217" i="10"/>
  <c r="G217" i="10"/>
  <c r="S216" i="10"/>
  <c r="Q216" i="10"/>
  <c r="P216" i="10"/>
  <c r="K216" i="10"/>
  <c r="J216" i="10"/>
  <c r="I216" i="10"/>
  <c r="H216" i="10"/>
  <c r="G216" i="10"/>
  <c r="Q215" i="10"/>
  <c r="P215" i="10"/>
  <c r="K215" i="10"/>
  <c r="J215" i="10"/>
  <c r="I215" i="10"/>
  <c r="H215" i="10"/>
  <c r="G215" i="10"/>
  <c r="Q214" i="10"/>
  <c r="P214" i="10"/>
  <c r="K214" i="10"/>
  <c r="J214" i="10"/>
  <c r="I214" i="10"/>
  <c r="H214" i="10"/>
  <c r="G214" i="10"/>
  <c r="Q213" i="10"/>
  <c r="P213" i="10"/>
  <c r="K213" i="10"/>
  <c r="J213" i="10"/>
  <c r="I213" i="10"/>
  <c r="H213" i="10"/>
  <c r="G213" i="10"/>
  <c r="Q212" i="10"/>
  <c r="P212" i="10"/>
  <c r="K212" i="10"/>
  <c r="J212" i="10"/>
  <c r="I212" i="10"/>
  <c r="H212" i="10"/>
  <c r="G212" i="10"/>
  <c r="Q211" i="10"/>
  <c r="P211" i="10"/>
  <c r="K211" i="10"/>
  <c r="J211" i="10"/>
  <c r="I211" i="10"/>
  <c r="H211" i="10"/>
  <c r="G211" i="10"/>
  <c r="Q210" i="10"/>
  <c r="P210" i="10"/>
  <c r="K210" i="10"/>
  <c r="J210" i="10"/>
  <c r="I210" i="10"/>
  <c r="H210" i="10"/>
  <c r="G210" i="10"/>
  <c r="Q209" i="10"/>
  <c r="P209" i="10"/>
  <c r="K209" i="10"/>
  <c r="J209" i="10"/>
  <c r="I209" i="10"/>
  <c r="H209" i="10"/>
  <c r="G209" i="10"/>
  <c r="Q208" i="10"/>
  <c r="P208" i="10"/>
  <c r="K208" i="10"/>
  <c r="J208" i="10"/>
  <c r="I208" i="10"/>
  <c r="H208" i="10"/>
  <c r="G208" i="10"/>
  <c r="Q207" i="10"/>
  <c r="P207" i="10"/>
  <c r="K207" i="10"/>
  <c r="J207" i="10"/>
  <c r="I207" i="10"/>
  <c r="H207" i="10"/>
  <c r="G207" i="10"/>
  <c r="Q206" i="10"/>
  <c r="P206" i="10"/>
  <c r="K206" i="10"/>
  <c r="J206" i="10"/>
  <c r="I206" i="10"/>
  <c r="H206" i="10"/>
  <c r="G206" i="10"/>
  <c r="Q205" i="10"/>
  <c r="P205" i="10"/>
  <c r="K205" i="10"/>
  <c r="J205" i="10"/>
  <c r="I205" i="10"/>
  <c r="H205" i="10"/>
  <c r="G205" i="10"/>
  <c r="Q204" i="10"/>
  <c r="P204" i="10"/>
  <c r="K204" i="10"/>
  <c r="J204" i="10"/>
  <c r="I204" i="10"/>
  <c r="H204" i="10"/>
  <c r="G204" i="10"/>
  <c r="Q203" i="10"/>
  <c r="P203" i="10"/>
  <c r="K203" i="10"/>
  <c r="J203" i="10"/>
  <c r="I203" i="10"/>
  <c r="H203" i="10"/>
  <c r="G203" i="10"/>
  <c r="S202" i="10"/>
  <c r="Q202" i="10"/>
  <c r="P202" i="10"/>
  <c r="K202" i="10"/>
  <c r="J202" i="10"/>
  <c r="I202" i="10"/>
  <c r="H202" i="10"/>
  <c r="G202" i="10"/>
  <c r="S201" i="10"/>
  <c r="Q201" i="10"/>
  <c r="P201" i="10"/>
  <c r="K201" i="10"/>
  <c r="J201" i="10"/>
  <c r="I201" i="10"/>
  <c r="H201" i="10"/>
  <c r="G201" i="10"/>
  <c r="S200" i="10"/>
  <c r="Q200" i="10"/>
  <c r="P200" i="10"/>
  <c r="K200" i="10"/>
  <c r="J200" i="10"/>
  <c r="I200" i="10"/>
  <c r="H200" i="10"/>
  <c r="G200" i="10"/>
  <c r="S199" i="10"/>
  <c r="Q199" i="10"/>
  <c r="P199" i="10"/>
  <c r="K199" i="10"/>
  <c r="J199" i="10"/>
  <c r="I199" i="10"/>
  <c r="H199" i="10"/>
  <c r="G199" i="10"/>
  <c r="S198" i="10"/>
  <c r="Q198" i="10"/>
  <c r="P198" i="10"/>
  <c r="K198" i="10"/>
  <c r="J198" i="10"/>
  <c r="I198" i="10"/>
  <c r="H198" i="10"/>
  <c r="G198" i="10"/>
  <c r="S197" i="10"/>
  <c r="Q197" i="10"/>
  <c r="P197" i="10"/>
  <c r="K197" i="10"/>
  <c r="J197" i="10"/>
  <c r="I197" i="10"/>
  <c r="H197" i="10"/>
  <c r="G197" i="10"/>
  <c r="Q196" i="10"/>
  <c r="P196" i="10"/>
  <c r="K196" i="10"/>
  <c r="J196" i="10"/>
  <c r="I196" i="10"/>
  <c r="H196" i="10"/>
  <c r="G196" i="10"/>
  <c r="Q195" i="10"/>
  <c r="P195" i="10"/>
  <c r="K195" i="10"/>
  <c r="J195" i="10"/>
  <c r="I195" i="10"/>
  <c r="H195" i="10"/>
  <c r="G195" i="10"/>
  <c r="Q194" i="10"/>
  <c r="P194" i="10"/>
  <c r="K194" i="10"/>
  <c r="J194" i="10"/>
  <c r="I194" i="10"/>
  <c r="H194" i="10"/>
  <c r="G194" i="10"/>
  <c r="S193" i="10"/>
  <c r="Q193" i="10"/>
  <c r="P193" i="10"/>
  <c r="K193" i="10"/>
  <c r="J193" i="10"/>
  <c r="I193" i="10"/>
  <c r="H193" i="10"/>
  <c r="G193" i="10"/>
  <c r="Q192" i="10"/>
  <c r="P192" i="10"/>
  <c r="K192" i="10"/>
  <c r="J192" i="10"/>
  <c r="I192" i="10"/>
  <c r="H192" i="10"/>
  <c r="G192" i="10"/>
  <c r="Q191" i="10"/>
  <c r="P191" i="10"/>
  <c r="K191" i="10"/>
  <c r="J191" i="10"/>
  <c r="I191" i="10"/>
  <c r="H191" i="10"/>
  <c r="G191" i="10"/>
  <c r="Q190" i="10"/>
  <c r="P190" i="10"/>
  <c r="K190" i="10"/>
  <c r="J190" i="10"/>
  <c r="I190" i="10"/>
  <c r="H190" i="10"/>
  <c r="G190" i="10"/>
  <c r="Q189" i="10"/>
  <c r="P189" i="10"/>
  <c r="K189" i="10"/>
  <c r="J189" i="10"/>
  <c r="I189" i="10"/>
  <c r="H189" i="10"/>
  <c r="G189" i="10"/>
  <c r="Q188" i="10"/>
  <c r="P188" i="10"/>
  <c r="K188" i="10"/>
  <c r="J188" i="10"/>
  <c r="I188" i="10"/>
  <c r="H188" i="10"/>
  <c r="G188" i="10"/>
  <c r="Q187" i="10"/>
  <c r="P187" i="10"/>
  <c r="K187" i="10"/>
  <c r="J187" i="10"/>
  <c r="I187" i="10"/>
  <c r="H187" i="10"/>
  <c r="G187" i="10"/>
  <c r="Q186" i="10"/>
  <c r="P186" i="10"/>
  <c r="K186" i="10"/>
  <c r="J186" i="10"/>
  <c r="I186" i="10"/>
  <c r="H186" i="10"/>
  <c r="G186" i="10"/>
  <c r="Q185" i="10"/>
  <c r="P185" i="10"/>
  <c r="K185" i="10"/>
  <c r="J185" i="10"/>
  <c r="I185" i="10"/>
  <c r="H185" i="10"/>
  <c r="G185" i="10"/>
  <c r="S184" i="10"/>
  <c r="Q184" i="10"/>
  <c r="P184" i="10"/>
  <c r="K184" i="10"/>
  <c r="J184" i="10"/>
  <c r="I184" i="10"/>
  <c r="H184" i="10"/>
  <c r="G184" i="10"/>
  <c r="S183" i="10"/>
  <c r="Q183" i="10"/>
  <c r="P183" i="10"/>
  <c r="K183" i="10"/>
  <c r="J183" i="10"/>
  <c r="I183" i="10"/>
  <c r="H183" i="10"/>
  <c r="G183" i="10"/>
  <c r="S182" i="10"/>
  <c r="Q182" i="10"/>
  <c r="P182" i="10"/>
  <c r="K182" i="10"/>
  <c r="J182" i="10"/>
  <c r="I182" i="10"/>
  <c r="H182" i="10"/>
  <c r="G182" i="10"/>
  <c r="S181" i="10"/>
  <c r="Q181" i="10"/>
  <c r="P181" i="10"/>
  <c r="K181" i="10"/>
  <c r="J181" i="10"/>
  <c r="I181" i="10"/>
  <c r="H181" i="10"/>
  <c r="G181" i="10"/>
  <c r="S180" i="10"/>
  <c r="Q180" i="10"/>
  <c r="P180" i="10"/>
  <c r="K180" i="10"/>
  <c r="J180" i="10"/>
  <c r="I180" i="10"/>
  <c r="H180" i="10"/>
  <c r="G180" i="10"/>
  <c r="S179" i="10"/>
  <c r="Q179" i="10"/>
  <c r="P179" i="10"/>
  <c r="K179" i="10"/>
  <c r="J179" i="10"/>
  <c r="I179" i="10"/>
  <c r="H179" i="10"/>
  <c r="G179" i="10"/>
  <c r="S178" i="10"/>
  <c r="Q178" i="10"/>
  <c r="P178" i="10"/>
  <c r="K178" i="10"/>
  <c r="J178" i="10"/>
  <c r="I178" i="10"/>
  <c r="H178" i="10"/>
  <c r="G178" i="10"/>
  <c r="S177" i="10"/>
  <c r="Q177" i="10"/>
  <c r="P177" i="10"/>
  <c r="K177" i="10"/>
  <c r="J177" i="10"/>
  <c r="I177" i="10"/>
  <c r="H177" i="10"/>
  <c r="G177" i="10"/>
  <c r="Q176" i="10"/>
  <c r="P176" i="10"/>
  <c r="K176" i="10"/>
  <c r="J176" i="10"/>
  <c r="I176" i="10"/>
  <c r="H176" i="10"/>
  <c r="G176" i="10"/>
  <c r="Q175" i="10"/>
  <c r="P175" i="10"/>
  <c r="K175" i="10"/>
  <c r="J175" i="10"/>
  <c r="I175" i="10"/>
  <c r="H175" i="10"/>
  <c r="G175" i="10"/>
  <c r="Q174" i="10"/>
  <c r="P174" i="10"/>
  <c r="K174" i="10"/>
  <c r="J174" i="10"/>
  <c r="I174" i="10"/>
  <c r="H174" i="10"/>
  <c r="G174" i="10"/>
  <c r="Q173" i="10"/>
  <c r="P173" i="10"/>
  <c r="K173" i="10"/>
  <c r="J173" i="10"/>
  <c r="I173" i="10"/>
  <c r="H173" i="10"/>
  <c r="G173" i="10"/>
  <c r="Q172" i="10"/>
  <c r="P172" i="10"/>
  <c r="K172" i="10"/>
  <c r="J172" i="10"/>
  <c r="I172" i="10"/>
  <c r="H172" i="10"/>
  <c r="G172" i="10"/>
  <c r="Q171" i="10"/>
  <c r="P171" i="10"/>
  <c r="K171" i="10"/>
  <c r="J171" i="10"/>
  <c r="I171" i="10"/>
  <c r="H171" i="10"/>
  <c r="G171" i="10"/>
  <c r="Q170" i="10"/>
  <c r="P170" i="10"/>
  <c r="K170" i="10"/>
  <c r="J170" i="10"/>
  <c r="I170" i="10"/>
  <c r="H170" i="10"/>
  <c r="G170" i="10"/>
  <c r="Q169" i="10"/>
  <c r="P169" i="10"/>
  <c r="K169" i="10"/>
  <c r="J169" i="10"/>
  <c r="I169" i="10"/>
  <c r="H169" i="10"/>
  <c r="G169" i="10"/>
  <c r="Q168" i="10"/>
  <c r="P168" i="10"/>
  <c r="K168" i="10"/>
  <c r="J168" i="10"/>
  <c r="I168" i="10"/>
  <c r="H168" i="10"/>
  <c r="G168" i="10"/>
  <c r="Q167" i="10"/>
  <c r="P167" i="10"/>
  <c r="K167" i="10"/>
  <c r="J167" i="10"/>
  <c r="I167" i="10"/>
  <c r="H167" i="10"/>
  <c r="G167" i="10"/>
  <c r="S166" i="10"/>
  <c r="Q166" i="10"/>
  <c r="P166" i="10"/>
  <c r="K166" i="10"/>
  <c r="J166" i="10"/>
  <c r="I166" i="10"/>
  <c r="H166" i="10"/>
  <c r="G166" i="10"/>
  <c r="S165" i="10"/>
  <c r="Q165" i="10"/>
  <c r="P165" i="10"/>
  <c r="K165" i="10"/>
  <c r="J165" i="10"/>
  <c r="I165" i="10"/>
  <c r="H165" i="10"/>
  <c r="G165" i="10"/>
  <c r="S164" i="10"/>
  <c r="Q164" i="10"/>
  <c r="P164" i="10"/>
  <c r="K164" i="10"/>
  <c r="J164" i="10"/>
  <c r="I164" i="10"/>
  <c r="H164" i="10"/>
  <c r="G164" i="10"/>
  <c r="S163" i="10"/>
  <c r="Q163" i="10"/>
  <c r="P163" i="10"/>
  <c r="K163" i="10"/>
  <c r="J163" i="10"/>
  <c r="I163" i="10"/>
  <c r="H163" i="10"/>
  <c r="G163" i="10"/>
  <c r="S162" i="10"/>
  <c r="Q162" i="10"/>
  <c r="P162" i="10"/>
  <c r="K162" i="10"/>
  <c r="J162" i="10"/>
  <c r="I162" i="10"/>
  <c r="H162" i="10"/>
  <c r="G162" i="10"/>
  <c r="S161" i="10"/>
  <c r="Q161" i="10"/>
  <c r="P161" i="10"/>
  <c r="K161" i="10"/>
  <c r="J161" i="10"/>
  <c r="I161" i="10"/>
  <c r="H161" i="10"/>
  <c r="G161" i="10"/>
  <c r="S160" i="10"/>
  <c r="Q160" i="10"/>
  <c r="P160" i="10"/>
  <c r="K160" i="10"/>
  <c r="J160" i="10"/>
  <c r="I160" i="10"/>
  <c r="H160" i="10"/>
  <c r="G160" i="10"/>
  <c r="S159" i="10"/>
  <c r="Q159" i="10"/>
  <c r="P159" i="10"/>
  <c r="K159" i="10"/>
  <c r="J159" i="10"/>
  <c r="I159" i="10"/>
  <c r="H159" i="10"/>
  <c r="G159" i="10"/>
  <c r="S158" i="10"/>
  <c r="Q158" i="10"/>
  <c r="P158" i="10"/>
  <c r="K158" i="10"/>
  <c r="J158" i="10"/>
  <c r="I158" i="10"/>
  <c r="H158" i="10"/>
  <c r="G158" i="10"/>
  <c r="Q157" i="10"/>
  <c r="P157" i="10"/>
  <c r="K157" i="10"/>
  <c r="J157" i="10"/>
  <c r="I157" i="10"/>
  <c r="H157" i="10"/>
  <c r="G157" i="10"/>
  <c r="Q156" i="10"/>
  <c r="P156" i="10"/>
  <c r="K156" i="10"/>
  <c r="J156" i="10"/>
  <c r="I156" i="10"/>
  <c r="H156" i="10"/>
  <c r="G156" i="10"/>
  <c r="Q155" i="10"/>
  <c r="P155" i="10"/>
  <c r="K155" i="10"/>
  <c r="J155" i="10"/>
  <c r="I155" i="10"/>
  <c r="H155" i="10"/>
  <c r="G155" i="10"/>
  <c r="Q154" i="10"/>
  <c r="P154" i="10"/>
  <c r="K154" i="10"/>
  <c r="J154" i="10"/>
  <c r="I154" i="10"/>
  <c r="H154" i="10"/>
  <c r="G154" i="10"/>
  <c r="Q153" i="10"/>
  <c r="P153" i="10"/>
  <c r="K153" i="10"/>
  <c r="J153" i="10"/>
  <c r="I153" i="10"/>
  <c r="H153" i="10"/>
  <c r="G153" i="10"/>
  <c r="Q152" i="10"/>
  <c r="P152" i="10"/>
  <c r="K152" i="10"/>
  <c r="J152" i="10"/>
  <c r="I152" i="10"/>
  <c r="H152" i="10"/>
  <c r="G152" i="10"/>
  <c r="Q151" i="10"/>
  <c r="P151" i="10"/>
  <c r="K151" i="10"/>
  <c r="J151" i="10"/>
  <c r="I151" i="10"/>
  <c r="H151" i="10"/>
  <c r="G151" i="10"/>
  <c r="Q150" i="10"/>
  <c r="P150" i="10"/>
  <c r="K150" i="10"/>
  <c r="J150" i="10"/>
  <c r="I150" i="10"/>
  <c r="H150" i="10"/>
  <c r="G150" i="10"/>
  <c r="Q149" i="10"/>
  <c r="P149" i="10"/>
  <c r="K149" i="10"/>
  <c r="J149" i="10"/>
  <c r="I149" i="10"/>
  <c r="H149" i="10"/>
  <c r="G149" i="10"/>
  <c r="Q148" i="10"/>
  <c r="P148" i="10"/>
  <c r="K148" i="10"/>
  <c r="J148" i="10"/>
  <c r="I148" i="10"/>
  <c r="H148" i="10"/>
  <c r="G148" i="10"/>
  <c r="Q147" i="10"/>
  <c r="P147" i="10"/>
  <c r="K147" i="10"/>
  <c r="J147" i="10"/>
  <c r="I147" i="10"/>
  <c r="H147" i="10"/>
  <c r="G147" i="10"/>
  <c r="Q146" i="10"/>
  <c r="P146" i="10"/>
  <c r="K146" i="10"/>
  <c r="J146" i="10"/>
  <c r="I146" i="10"/>
  <c r="H146" i="10"/>
  <c r="G146" i="10"/>
  <c r="Q145" i="10"/>
  <c r="P145" i="10"/>
  <c r="K145" i="10"/>
  <c r="J145" i="10"/>
  <c r="I145" i="10"/>
  <c r="H145" i="10"/>
  <c r="G145" i="10"/>
  <c r="Q144" i="10"/>
  <c r="P144" i="10"/>
  <c r="K144" i="10"/>
  <c r="J144" i="10"/>
  <c r="I144" i="10"/>
  <c r="H144" i="10"/>
  <c r="G144" i="10"/>
  <c r="Q143" i="10"/>
  <c r="P143" i="10"/>
  <c r="K143" i="10"/>
  <c r="J143" i="10"/>
  <c r="I143" i="10"/>
  <c r="H143" i="10"/>
  <c r="G143" i="10"/>
  <c r="Q142" i="10"/>
  <c r="P142" i="10"/>
  <c r="K142" i="10"/>
  <c r="J142" i="10"/>
  <c r="I142" i="10"/>
  <c r="H142" i="10"/>
  <c r="G142" i="10"/>
  <c r="Q141" i="10"/>
  <c r="P141" i="10"/>
  <c r="K141" i="10"/>
  <c r="J141" i="10"/>
  <c r="I141" i="10"/>
  <c r="H141" i="10"/>
  <c r="G141" i="10"/>
  <c r="Q140" i="10"/>
  <c r="P140" i="10"/>
  <c r="K140" i="10"/>
  <c r="J140" i="10"/>
  <c r="I140" i="10"/>
  <c r="H140" i="10"/>
  <c r="G140" i="10"/>
  <c r="Q139" i="10"/>
  <c r="P139" i="10"/>
  <c r="K139" i="10"/>
  <c r="J139" i="10"/>
  <c r="I139" i="10"/>
  <c r="H139" i="10"/>
  <c r="G139" i="10"/>
  <c r="Q138" i="10"/>
  <c r="P138" i="10"/>
  <c r="K138" i="10"/>
  <c r="J138" i="10"/>
  <c r="I138" i="10"/>
  <c r="H138" i="10"/>
  <c r="G138" i="10"/>
  <c r="S137" i="10"/>
  <c r="Q137" i="10"/>
  <c r="P137" i="10"/>
  <c r="K137" i="10"/>
  <c r="J137" i="10"/>
  <c r="I137" i="10"/>
  <c r="H137" i="10"/>
  <c r="G137" i="10"/>
  <c r="Q136" i="10"/>
  <c r="P136" i="10"/>
  <c r="K136" i="10"/>
  <c r="J136" i="10"/>
  <c r="I136" i="10"/>
  <c r="H136" i="10"/>
  <c r="G136" i="10"/>
  <c r="Q135" i="10"/>
  <c r="P135" i="10"/>
  <c r="K135" i="10"/>
  <c r="J135" i="10"/>
  <c r="I135" i="10"/>
  <c r="H135" i="10"/>
  <c r="G135" i="10"/>
  <c r="S134" i="10"/>
  <c r="Q134" i="10"/>
  <c r="P134" i="10"/>
  <c r="K134" i="10"/>
  <c r="J134" i="10"/>
  <c r="I134" i="10"/>
  <c r="H134" i="10"/>
  <c r="G134" i="10"/>
  <c r="Q133" i="10"/>
  <c r="P133" i="10"/>
  <c r="K133" i="10"/>
  <c r="J133" i="10"/>
  <c r="I133" i="10"/>
  <c r="H133" i="10"/>
  <c r="G133" i="10"/>
  <c r="Q132" i="10"/>
  <c r="P132" i="10"/>
  <c r="K132" i="10"/>
  <c r="J132" i="10"/>
  <c r="I132" i="10"/>
  <c r="H132" i="10"/>
  <c r="G132" i="10"/>
  <c r="Q131" i="10"/>
  <c r="P131" i="10"/>
  <c r="K131" i="10"/>
  <c r="J131" i="10"/>
  <c r="I131" i="10"/>
  <c r="H131" i="10"/>
  <c r="G131" i="10"/>
  <c r="Q130" i="10"/>
  <c r="P130" i="10"/>
  <c r="K130" i="10"/>
  <c r="J130" i="10"/>
  <c r="I130" i="10"/>
  <c r="H130" i="10"/>
  <c r="G130" i="10"/>
  <c r="Q129" i="10"/>
  <c r="P129" i="10"/>
  <c r="K129" i="10"/>
  <c r="J129" i="10"/>
  <c r="I129" i="10"/>
  <c r="H129" i="10"/>
  <c r="G129" i="10"/>
  <c r="Q128" i="10"/>
  <c r="P128" i="10"/>
  <c r="K128" i="10"/>
  <c r="J128" i="10"/>
  <c r="I128" i="10"/>
  <c r="H128" i="10"/>
  <c r="G128" i="10"/>
  <c r="Q127" i="10"/>
  <c r="P127" i="10"/>
  <c r="K127" i="10"/>
  <c r="J127" i="10"/>
  <c r="I127" i="10"/>
  <c r="H127" i="10"/>
  <c r="G127" i="10"/>
  <c r="Q126" i="10"/>
  <c r="P126" i="10"/>
  <c r="K126" i="10"/>
  <c r="J126" i="10"/>
  <c r="I126" i="10"/>
  <c r="H126" i="10"/>
  <c r="G126" i="10"/>
  <c r="Q125" i="10"/>
  <c r="P125" i="10"/>
  <c r="K125" i="10"/>
  <c r="J125" i="10"/>
  <c r="I125" i="10"/>
  <c r="H125" i="10"/>
  <c r="G125" i="10"/>
  <c r="Q124" i="10"/>
  <c r="P124" i="10"/>
  <c r="K124" i="10"/>
  <c r="J124" i="10"/>
  <c r="I124" i="10"/>
  <c r="H124" i="10"/>
  <c r="G124" i="10"/>
  <c r="Q123" i="10"/>
  <c r="P123" i="10"/>
  <c r="K123" i="10"/>
  <c r="J123" i="10"/>
  <c r="I123" i="10"/>
  <c r="H123" i="10"/>
  <c r="G123" i="10"/>
  <c r="Q122" i="10"/>
  <c r="P122" i="10"/>
  <c r="K122" i="10"/>
  <c r="J122" i="10"/>
  <c r="I122" i="10"/>
  <c r="H122" i="10"/>
  <c r="G122" i="10"/>
  <c r="Q121" i="10"/>
  <c r="P121" i="10"/>
  <c r="K121" i="10"/>
  <c r="J121" i="10"/>
  <c r="I121" i="10"/>
  <c r="H121" i="10"/>
  <c r="G121" i="10"/>
  <c r="Q120" i="10"/>
  <c r="P120" i="10"/>
  <c r="K120" i="10"/>
  <c r="J120" i="10"/>
  <c r="I120" i="10"/>
  <c r="H120" i="10"/>
  <c r="G120" i="10"/>
  <c r="Q119" i="10"/>
  <c r="P119" i="10"/>
  <c r="K119" i="10"/>
  <c r="J119" i="10"/>
  <c r="I119" i="10"/>
  <c r="H119" i="10"/>
  <c r="G119" i="10"/>
  <c r="Q118" i="10"/>
  <c r="P118" i="10"/>
  <c r="K118" i="10"/>
  <c r="J118" i="10"/>
  <c r="I118" i="10"/>
  <c r="H118" i="10"/>
  <c r="G118" i="10"/>
  <c r="Q117" i="10"/>
  <c r="P117" i="10"/>
  <c r="K117" i="10"/>
  <c r="J117" i="10"/>
  <c r="I117" i="10"/>
  <c r="H117" i="10"/>
  <c r="G117" i="10"/>
  <c r="Q116" i="10"/>
  <c r="P116" i="10"/>
  <c r="K116" i="10"/>
  <c r="J116" i="10"/>
  <c r="I116" i="10"/>
  <c r="H116" i="10"/>
  <c r="G116" i="10"/>
  <c r="Q115" i="10"/>
  <c r="P115" i="10"/>
  <c r="K115" i="10"/>
  <c r="J115" i="10"/>
  <c r="I115" i="10"/>
  <c r="H115" i="10"/>
  <c r="G115" i="10"/>
  <c r="Q114" i="10"/>
  <c r="P114" i="10"/>
  <c r="K114" i="10"/>
  <c r="J114" i="10"/>
  <c r="I114" i="10"/>
  <c r="H114" i="10"/>
  <c r="G114" i="10"/>
  <c r="Q113" i="10"/>
  <c r="P113" i="10"/>
  <c r="K113" i="10"/>
  <c r="J113" i="10"/>
  <c r="I113" i="10"/>
  <c r="H113" i="10"/>
  <c r="G113" i="10"/>
  <c r="Q112" i="10"/>
  <c r="P112" i="10"/>
  <c r="K112" i="10"/>
  <c r="J112" i="10"/>
  <c r="I112" i="10"/>
  <c r="H112" i="10"/>
  <c r="G112" i="10"/>
  <c r="Q111" i="10"/>
  <c r="P111" i="10"/>
  <c r="K111" i="10"/>
  <c r="J111" i="10"/>
  <c r="I111" i="10"/>
  <c r="H111" i="10"/>
  <c r="G111" i="10"/>
  <c r="Q110" i="10"/>
  <c r="P110" i="10"/>
  <c r="K110" i="10"/>
  <c r="J110" i="10"/>
  <c r="I110" i="10"/>
  <c r="H110" i="10"/>
  <c r="G110" i="10"/>
  <c r="S109" i="10"/>
  <c r="Q109" i="10"/>
  <c r="P109" i="10"/>
  <c r="K109" i="10"/>
  <c r="J109" i="10"/>
  <c r="I109" i="10"/>
  <c r="H109" i="10"/>
  <c r="G109" i="10"/>
  <c r="Q108" i="10"/>
  <c r="P108" i="10"/>
  <c r="K108" i="10"/>
  <c r="J108" i="10"/>
  <c r="I108" i="10"/>
  <c r="H108" i="10"/>
  <c r="G108" i="10"/>
  <c r="Q107" i="10"/>
  <c r="P107" i="10"/>
  <c r="K107" i="10"/>
  <c r="J107" i="10"/>
  <c r="I107" i="10"/>
  <c r="H107" i="10"/>
  <c r="G107" i="10"/>
  <c r="Q106" i="10"/>
  <c r="P106" i="10"/>
  <c r="K106" i="10"/>
  <c r="J106" i="10"/>
  <c r="I106" i="10"/>
  <c r="H106" i="10"/>
  <c r="G106" i="10"/>
  <c r="Q105" i="10"/>
  <c r="P105" i="10"/>
  <c r="K105" i="10"/>
  <c r="J105" i="10"/>
  <c r="I105" i="10"/>
  <c r="H105" i="10"/>
  <c r="G105" i="10"/>
  <c r="Q104" i="10"/>
  <c r="P104" i="10"/>
  <c r="K104" i="10"/>
  <c r="J104" i="10"/>
  <c r="I104" i="10"/>
  <c r="H104" i="10"/>
  <c r="G104" i="10"/>
  <c r="Q103" i="10"/>
  <c r="P103" i="10"/>
  <c r="K103" i="10"/>
  <c r="J103" i="10"/>
  <c r="I103" i="10"/>
  <c r="H103" i="10"/>
  <c r="G103" i="10"/>
  <c r="Q102" i="10"/>
  <c r="P102" i="10"/>
  <c r="K102" i="10"/>
  <c r="J102" i="10"/>
  <c r="I102" i="10"/>
  <c r="H102" i="10"/>
  <c r="G102" i="10"/>
  <c r="Q101" i="10"/>
  <c r="P101" i="10"/>
  <c r="K101" i="10"/>
  <c r="J101" i="10"/>
  <c r="I101" i="10"/>
  <c r="H101" i="10"/>
  <c r="G101" i="10"/>
  <c r="Q100" i="10"/>
  <c r="P100" i="10"/>
  <c r="K100" i="10"/>
  <c r="J100" i="10"/>
  <c r="I100" i="10"/>
  <c r="H100" i="10"/>
  <c r="G100" i="10"/>
  <c r="Q99" i="10"/>
  <c r="P99" i="10"/>
  <c r="K99" i="10"/>
  <c r="J99" i="10"/>
  <c r="I99" i="10"/>
  <c r="H99" i="10"/>
  <c r="G99" i="10"/>
  <c r="Q98" i="10"/>
  <c r="P98" i="10"/>
  <c r="K98" i="10"/>
  <c r="J98" i="10"/>
  <c r="I98" i="10"/>
  <c r="H98" i="10"/>
  <c r="G98" i="10"/>
  <c r="Q97" i="10"/>
  <c r="P97" i="10"/>
  <c r="K97" i="10"/>
  <c r="J97" i="10"/>
  <c r="I97" i="10"/>
  <c r="H97" i="10"/>
  <c r="G97" i="10"/>
  <c r="Q96" i="10"/>
  <c r="P96" i="10"/>
  <c r="K96" i="10"/>
  <c r="J96" i="10"/>
  <c r="I96" i="10"/>
  <c r="H96" i="10"/>
  <c r="G96" i="10"/>
  <c r="Q95" i="10"/>
  <c r="P95" i="10"/>
  <c r="K95" i="10"/>
  <c r="J95" i="10"/>
  <c r="I95" i="10"/>
  <c r="H95" i="10"/>
  <c r="G95" i="10"/>
  <c r="S94" i="10"/>
  <c r="Q94" i="10"/>
  <c r="P94" i="10"/>
  <c r="K94" i="10"/>
  <c r="J94" i="10"/>
  <c r="I94" i="10"/>
  <c r="H94" i="10"/>
  <c r="G94" i="10"/>
  <c r="S93" i="10"/>
  <c r="Q93" i="10"/>
  <c r="P93" i="10"/>
  <c r="K93" i="10"/>
  <c r="J93" i="10"/>
  <c r="I93" i="10"/>
  <c r="H93" i="10"/>
  <c r="G93" i="10"/>
  <c r="S92" i="10"/>
  <c r="Q92" i="10"/>
  <c r="P92" i="10"/>
  <c r="K92" i="10"/>
  <c r="J92" i="10"/>
  <c r="I92" i="10"/>
  <c r="H92" i="10"/>
  <c r="G92" i="10"/>
  <c r="Q91" i="10"/>
  <c r="P91" i="10"/>
  <c r="K91" i="10"/>
  <c r="J91" i="10"/>
  <c r="I91" i="10"/>
  <c r="H91" i="10"/>
  <c r="G91" i="10"/>
  <c r="Q90" i="10"/>
  <c r="P90" i="10"/>
  <c r="K90" i="10"/>
  <c r="J90" i="10"/>
  <c r="I90" i="10"/>
  <c r="H90" i="10"/>
  <c r="G90" i="10"/>
  <c r="Q89" i="10"/>
  <c r="P89" i="10"/>
  <c r="K89" i="10"/>
  <c r="J89" i="10"/>
  <c r="I89" i="10"/>
  <c r="H89" i="10"/>
  <c r="G89" i="10"/>
  <c r="Q88" i="10"/>
  <c r="P88" i="10"/>
  <c r="K88" i="10"/>
  <c r="J88" i="10"/>
  <c r="I88" i="10"/>
  <c r="H88" i="10"/>
  <c r="G88" i="10"/>
  <c r="Q87" i="10"/>
  <c r="P87" i="10"/>
  <c r="K87" i="10"/>
  <c r="J87" i="10"/>
  <c r="I87" i="10"/>
  <c r="H87" i="10"/>
  <c r="G87" i="10"/>
  <c r="Q86" i="10"/>
  <c r="P86" i="10"/>
  <c r="K86" i="10"/>
  <c r="J86" i="10"/>
  <c r="I86" i="10"/>
  <c r="H86" i="10"/>
  <c r="G86" i="10"/>
  <c r="Q85" i="10"/>
  <c r="P85" i="10"/>
  <c r="K85" i="10"/>
  <c r="J85" i="10"/>
  <c r="I85" i="10"/>
  <c r="H85" i="10"/>
  <c r="G85" i="10"/>
  <c r="Q84" i="10"/>
  <c r="P84" i="10"/>
  <c r="K84" i="10"/>
  <c r="J84" i="10"/>
  <c r="I84" i="10"/>
  <c r="H84" i="10"/>
  <c r="G84" i="10"/>
  <c r="Q83" i="10"/>
  <c r="P83" i="10"/>
  <c r="K83" i="10"/>
  <c r="J83" i="10"/>
  <c r="I83" i="10"/>
  <c r="H83" i="10"/>
  <c r="G83" i="10"/>
  <c r="Q82" i="10"/>
  <c r="P82" i="10"/>
  <c r="K82" i="10"/>
  <c r="J82" i="10"/>
  <c r="I82" i="10"/>
  <c r="H82" i="10"/>
  <c r="G82" i="10"/>
  <c r="S81" i="10"/>
  <c r="Q81" i="10"/>
  <c r="P81" i="10"/>
  <c r="K81" i="10"/>
  <c r="J81" i="10"/>
  <c r="I81" i="10"/>
  <c r="H81" i="10"/>
  <c r="G81" i="10"/>
  <c r="Q80" i="10"/>
  <c r="P80" i="10"/>
  <c r="K80" i="10"/>
  <c r="J80" i="10"/>
  <c r="I80" i="10"/>
  <c r="H80" i="10"/>
  <c r="G80" i="10"/>
  <c r="Q79" i="10"/>
  <c r="P79" i="10"/>
  <c r="K79" i="10"/>
  <c r="J79" i="10"/>
  <c r="I79" i="10"/>
  <c r="H79" i="10"/>
  <c r="G79" i="10"/>
  <c r="S78" i="10"/>
  <c r="Q78" i="10"/>
  <c r="P78" i="10"/>
  <c r="K78" i="10"/>
  <c r="J78" i="10"/>
  <c r="I78" i="10"/>
  <c r="H78" i="10"/>
  <c r="G78" i="10"/>
  <c r="Q77" i="10"/>
  <c r="P77" i="10"/>
  <c r="K77" i="10"/>
  <c r="J77" i="10"/>
  <c r="I77" i="10"/>
  <c r="H77" i="10"/>
  <c r="G77" i="10"/>
  <c r="S76" i="10"/>
  <c r="Q76" i="10"/>
  <c r="P76" i="10"/>
  <c r="K76" i="10"/>
  <c r="J76" i="10"/>
  <c r="I76" i="10"/>
  <c r="H76" i="10"/>
  <c r="G76" i="10"/>
  <c r="S75" i="10"/>
  <c r="Q75" i="10"/>
  <c r="P75" i="10"/>
  <c r="K75" i="10"/>
  <c r="J75" i="10"/>
  <c r="I75" i="10"/>
  <c r="H75" i="10"/>
  <c r="G75" i="10"/>
  <c r="S74" i="10"/>
  <c r="Q74" i="10"/>
  <c r="P74" i="10"/>
  <c r="K74" i="10"/>
  <c r="J74" i="10"/>
  <c r="I74" i="10"/>
  <c r="H74" i="10"/>
  <c r="G74" i="10"/>
  <c r="S73" i="10"/>
  <c r="Q73" i="10"/>
  <c r="P73" i="10"/>
  <c r="K73" i="10"/>
  <c r="J73" i="10"/>
  <c r="I73" i="10"/>
  <c r="H73" i="10"/>
  <c r="G73" i="10"/>
  <c r="S72" i="10"/>
  <c r="Q72" i="10"/>
  <c r="P72" i="10"/>
  <c r="N72" i="10"/>
  <c r="K72" i="10"/>
  <c r="J72" i="10"/>
  <c r="I72" i="10"/>
  <c r="H72" i="10"/>
  <c r="G72" i="10"/>
  <c r="S71" i="10"/>
  <c r="Q71" i="10"/>
  <c r="P71" i="10"/>
  <c r="K71" i="10"/>
  <c r="J71" i="10"/>
  <c r="I71" i="10"/>
  <c r="H71" i="10"/>
  <c r="G71" i="10"/>
  <c r="S70" i="10"/>
  <c r="Q70" i="10"/>
  <c r="P70" i="10"/>
  <c r="K70" i="10"/>
  <c r="J70" i="10"/>
  <c r="I70" i="10"/>
  <c r="H70" i="10"/>
  <c r="G70" i="10"/>
  <c r="Q69" i="10"/>
  <c r="P69" i="10"/>
  <c r="K69" i="10"/>
  <c r="J69" i="10"/>
  <c r="I69" i="10"/>
  <c r="H69" i="10"/>
  <c r="G69" i="10"/>
  <c r="Q68" i="10"/>
  <c r="P68" i="10"/>
  <c r="K68" i="10"/>
  <c r="J68" i="10"/>
  <c r="I68" i="10"/>
  <c r="H68" i="10"/>
  <c r="G68" i="10"/>
  <c r="Q67" i="10"/>
  <c r="P67" i="10"/>
  <c r="K67" i="10"/>
  <c r="J67" i="10"/>
  <c r="I67" i="10"/>
  <c r="H67" i="10"/>
  <c r="G67" i="10"/>
  <c r="Q66" i="10"/>
  <c r="P66" i="10"/>
  <c r="K66" i="10"/>
  <c r="J66" i="10"/>
  <c r="I66" i="10"/>
  <c r="H66" i="10"/>
  <c r="G66" i="10"/>
  <c r="Q65" i="10"/>
  <c r="P65" i="10"/>
  <c r="K65" i="10"/>
  <c r="J65" i="10"/>
  <c r="I65" i="10"/>
  <c r="H65" i="10"/>
  <c r="G65" i="10"/>
  <c r="Q64" i="10"/>
  <c r="P64" i="10"/>
  <c r="K64" i="10"/>
  <c r="J64" i="10"/>
  <c r="I64" i="10"/>
  <c r="H64" i="10"/>
  <c r="G64" i="10"/>
  <c r="Q63" i="10"/>
  <c r="P63" i="10"/>
  <c r="K63" i="10"/>
  <c r="J63" i="10"/>
  <c r="I63" i="10"/>
  <c r="H63" i="10"/>
  <c r="G63" i="10"/>
  <c r="Q62" i="10"/>
  <c r="P62" i="10"/>
  <c r="K62" i="10"/>
  <c r="J62" i="10"/>
  <c r="I62" i="10"/>
  <c r="H62" i="10"/>
  <c r="G62" i="10"/>
  <c r="Q61" i="10"/>
  <c r="P61" i="10"/>
  <c r="K61" i="10"/>
  <c r="J61" i="10"/>
  <c r="I61" i="10"/>
  <c r="H61" i="10"/>
  <c r="G61" i="10"/>
  <c r="Q60" i="10"/>
  <c r="P60" i="10"/>
  <c r="K60" i="10"/>
  <c r="J60" i="10"/>
  <c r="I60" i="10"/>
  <c r="H60" i="10"/>
  <c r="G60" i="10"/>
  <c r="Q59" i="10"/>
  <c r="P59" i="10"/>
  <c r="K59" i="10"/>
  <c r="J59" i="10"/>
  <c r="I59" i="10"/>
  <c r="H59" i="10"/>
  <c r="G59" i="10"/>
  <c r="S58" i="10"/>
  <c r="Q58" i="10"/>
  <c r="P58" i="10"/>
  <c r="K58" i="10"/>
  <c r="J58" i="10"/>
  <c r="I58" i="10"/>
  <c r="H58" i="10"/>
  <c r="G58" i="10"/>
  <c r="S57" i="10"/>
  <c r="Q57" i="10"/>
  <c r="P57" i="10"/>
  <c r="K57" i="10"/>
  <c r="J57" i="10"/>
  <c r="I57" i="10"/>
  <c r="H57" i="10"/>
  <c r="G57" i="10"/>
  <c r="S56" i="10"/>
  <c r="Q56" i="10"/>
  <c r="P56" i="10"/>
  <c r="K56" i="10"/>
  <c r="J56" i="10"/>
  <c r="I56" i="10"/>
  <c r="H56" i="10"/>
  <c r="G56" i="10"/>
  <c r="S55" i="10"/>
  <c r="Q55" i="10"/>
  <c r="P55" i="10"/>
  <c r="K55" i="10"/>
  <c r="J55" i="10"/>
  <c r="I55" i="10"/>
  <c r="H55" i="10"/>
  <c r="G55" i="10"/>
  <c r="S54" i="10"/>
  <c r="Q54" i="10"/>
  <c r="P54" i="10"/>
  <c r="K54" i="10"/>
  <c r="J54" i="10"/>
  <c r="I54" i="10"/>
  <c r="H54" i="10"/>
  <c r="G54" i="10"/>
  <c r="S53" i="10"/>
  <c r="Q53" i="10"/>
  <c r="P53" i="10"/>
  <c r="K53" i="10"/>
  <c r="J53" i="10"/>
  <c r="I53" i="10"/>
  <c r="H53" i="10"/>
  <c r="G53" i="10"/>
  <c r="S52" i="10"/>
  <c r="Q52" i="10"/>
  <c r="P52" i="10"/>
  <c r="K52" i="10"/>
  <c r="J52" i="10"/>
  <c r="I52" i="10"/>
  <c r="H52" i="10"/>
  <c r="G52" i="10"/>
  <c r="S51" i="10"/>
  <c r="Q51" i="10"/>
  <c r="P51" i="10"/>
  <c r="K51" i="10"/>
  <c r="J51" i="10"/>
  <c r="I51" i="10"/>
  <c r="H51" i="10"/>
  <c r="G51" i="10"/>
  <c r="S50" i="10"/>
  <c r="Q50" i="10"/>
  <c r="P50" i="10"/>
  <c r="K50" i="10"/>
  <c r="J50" i="10"/>
  <c r="I50" i="10"/>
  <c r="H50" i="10"/>
  <c r="G50" i="10"/>
  <c r="Q49" i="10"/>
  <c r="P49" i="10"/>
  <c r="K49" i="10"/>
  <c r="J49" i="10"/>
  <c r="I49" i="10"/>
  <c r="H49" i="10"/>
  <c r="G49" i="10"/>
  <c r="Q48" i="10"/>
  <c r="P48" i="10"/>
  <c r="K48" i="10"/>
  <c r="J48" i="10"/>
  <c r="I48" i="10"/>
  <c r="H48" i="10"/>
  <c r="G48" i="10"/>
  <c r="Q47" i="10"/>
  <c r="P47" i="10"/>
  <c r="K47" i="10"/>
  <c r="J47" i="10"/>
  <c r="I47" i="10"/>
  <c r="H47" i="10"/>
  <c r="G47" i="10"/>
  <c r="Q46" i="10"/>
  <c r="P46" i="10"/>
  <c r="K46" i="10"/>
  <c r="J46" i="10"/>
  <c r="I46" i="10"/>
  <c r="H46" i="10"/>
  <c r="G46" i="10"/>
  <c r="Q45" i="10"/>
  <c r="P45" i="10"/>
  <c r="K45" i="10"/>
  <c r="J45" i="10"/>
  <c r="I45" i="10"/>
  <c r="H45" i="10"/>
  <c r="G45" i="10"/>
  <c r="Q44" i="10"/>
  <c r="P44" i="10"/>
  <c r="K44" i="10"/>
  <c r="J44" i="10"/>
  <c r="I44" i="10"/>
  <c r="H44" i="10"/>
  <c r="G44" i="10"/>
  <c r="Q43" i="10"/>
  <c r="P43" i="10"/>
  <c r="K43" i="10"/>
  <c r="J43" i="10"/>
  <c r="I43" i="10"/>
  <c r="H43" i="10"/>
  <c r="G43" i="10"/>
  <c r="Q42" i="10"/>
  <c r="P42" i="10"/>
  <c r="K42" i="10"/>
  <c r="J42" i="10"/>
  <c r="I42" i="10"/>
  <c r="H42" i="10"/>
  <c r="G42" i="10"/>
  <c r="Q41" i="10"/>
  <c r="P41" i="10"/>
  <c r="K41" i="10"/>
  <c r="J41" i="10"/>
  <c r="I41" i="10"/>
  <c r="H41" i="10"/>
  <c r="G41" i="10"/>
  <c r="S40" i="10"/>
  <c r="Q40" i="10"/>
  <c r="P40" i="10"/>
  <c r="K40" i="10"/>
  <c r="J40" i="10"/>
  <c r="I40" i="10"/>
  <c r="H40" i="10"/>
  <c r="G40" i="10"/>
  <c r="S39" i="10"/>
  <c r="Q39" i="10"/>
  <c r="P39" i="10"/>
  <c r="K39" i="10"/>
  <c r="J39" i="10"/>
  <c r="I39" i="10"/>
  <c r="H39" i="10"/>
  <c r="G39" i="10"/>
  <c r="S38" i="10"/>
  <c r="Q38" i="10"/>
  <c r="P38" i="10"/>
  <c r="K38" i="10"/>
  <c r="J38" i="10"/>
  <c r="I38" i="10"/>
  <c r="H38" i="10"/>
  <c r="G38" i="10"/>
  <c r="S37" i="10"/>
  <c r="Q37" i="10"/>
  <c r="P37" i="10"/>
  <c r="K37" i="10"/>
  <c r="J37" i="10"/>
  <c r="I37" i="10"/>
  <c r="H37" i="10"/>
  <c r="G37" i="10"/>
  <c r="S36" i="10"/>
  <c r="Q36" i="10"/>
  <c r="P36" i="10"/>
  <c r="K36" i="10"/>
  <c r="J36" i="10"/>
  <c r="I36" i="10"/>
  <c r="H36" i="10"/>
  <c r="G36" i="10"/>
  <c r="S35" i="10"/>
  <c r="Q35" i="10"/>
  <c r="P35" i="10"/>
  <c r="K35" i="10"/>
  <c r="J35" i="10"/>
  <c r="I35" i="10"/>
  <c r="H35" i="10"/>
  <c r="G35" i="10"/>
  <c r="S34" i="10"/>
  <c r="Q34" i="10"/>
  <c r="P34" i="10"/>
  <c r="K34" i="10"/>
  <c r="J34" i="10"/>
  <c r="I34" i="10"/>
  <c r="H34" i="10"/>
  <c r="G34" i="10"/>
  <c r="S33" i="10"/>
  <c r="Q33" i="10"/>
  <c r="P33" i="10"/>
  <c r="K33" i="10"/>
  <c r="J33" i="10"/>
  <c r="I33" i="10"/>
  <c r="H33" i="10"/>
  <c r="G33" i="10"/>
  <c r="S32" i="10"/>
  <c r="Q32" i="10"/>
  <c r="P32" i="10"/>
  <c r="K32" i="10"/>
  <c r="J32" i="10"/>
  <c r="I32" i="10"/>
  <c r="H32" i="10"/>
  <c r="G32" i="10"/>
  <c r="S31" i="10"/>
  <c r="Q31" i="10"/>
  <c r="P31" i="10"/>
  <c r="K31" i="10"/>
  <c r="J31" i="10"/>
  <c r="I31" i="10"/>
  <c r="H31" i="10"/>
  <c r="G31" i="10"/>
  <c r="S30" i="10"/>
  <c r="Q30" i="10"/>
  <c r="P30" i="10"/>
  <c r="K30" i="10"/>
  <c r="J30" i="10"/>
  <c r="I30" i="10"/>
  <c r="H30" i="10"/>
  <c r="G30" i="10"/>
  <c r="Q29" i="10"/>
  <c r="P29" i="10"/>
  <c r="K29" i="10"/>
  <c r="J29" i="10"/>
  <c r="I29" i="10"/>
  <c r="H29" i="10"/>
  <c r="G29" i="10"/>
  <c r="Q28" i="10"/>
  <c r="P28" i="10"/>
  <c r="K28" i="10"/>
  <c r="J28" i="10"/>
  <c r="I28" i="10"/>
  <c r="H28" i="10"/>
  <c r="G28" i="10"/>
  <c r="Q27" i="10"/>
  <c r="P27" i="10"/>
  <c r="K27" i="10"/>
  <c r="J27" i="10"/>
  <c r="I27" i="10"/>
  <c r="H27" i="10"/>
  <c r="G27" i="10"/>
  <c r="Q26" i="10"/>
  <c r="P26" i="10"/>
  <c r="K26" i="10"/>
  <c r="J26" i="10"/>
  <c r="I26" i="10"/>
  <c r="H26" i="10"/>
  <c r="G26" i="10"/>
  <c r="S25" i="10"/>
  <c r="Q25" i="10"/>
  <c r="P25" i="10"/>
  <c r="K25" i="10"/>
  <c r="J25" i="10"/>
  <c r="I25" i="10"/>
  <c r="H25" i="10"/>
  <c r="G25" i="10"/>
  <c r="Q24" i="10"/>
  <c r="P24" i="10"/>
  <c r="K24" i="10"/>
  <c r="J24" i="10"/>
  <c r="I24" i="10"/>
  <c r="H24" i="10"/>
  <c r="G24" i="10"/>
  <c r="Q23" i="10"/>
  <c r="P23" i="10"/>
  <c r="K23" i="10"/>
  <c r="J23" i="10"/>
  <c r="I23" i="10"/>
  <c r="H23" i="10"/>
  <c r="G23" i="10"/>
  <c r="S22" i="10"/>
  <c r="Q22" i="10"/>
  <c r="P22" i="10"/>
  <c r="K22" i="10"/>
  <c r="J22" i="10"/>
  <c r="I22" i="10"/>
  <c r="H22" i="10"/>
  <c r="G22" i="10"/>
  <c r="S21" i="10"/>
  <c r="Q21" i="10"/>
  <c r="P21" i="10"/>
  <c r="K21" i="10"/>
  <c r="J21" i="10"/>
  <c r="I21" i="10"/>
  <c r="H21" i="10"/>
  <c r="G21" i="10"/>
  <c r="S20" i="10"/>
  <c r="Q20" i="10"/>
  <c r="P20" i="10"/>
  <c r="K20" i="10"/>
  <c r="J20" i="10"/>
  <c r="I20" i="10"/>
  <c r="H20" i="10"/>
  <c r="G20" i="10"/>
  <c r="S19" i="10"/>
  <c r="Q19" i="10"/>
  <c r="P19" i="10"/>
  <c r="K19" i="10"/>
  <c r="J19" i="10"/>
  <c r="I19" i="10"/>
  <c r="H19" i="10"/>
  <c r="G19" i="10"/>
  <c r="S18" i="10"/>
  <c r="Q18" i="10"/>
  <c r="P18" i="10"/>
  <c r="K18" i="10"/>
  <c r="J18" i="10"/>
  <c r="I18" i="10"/>
  <c r="H18" i="10"/>
  <c r="G18" i="10"/>
  <c r="S17" i="10"/>
  <c r="Q17" i="10"/>
  <c r="P17" i="10"/>
  <c r="K17" i="10"/>
  <c r="J17" i="10"/>
  <c r="I17" i="10"/>
  <c r="H17" i="10"/>
  <c r="G17" i="10"/>
  <c r="S16" i="10"/>
  <c r="Q16" i="10"/>
  <c r="P16" i="10"/>
  <c r="K16" i="10"/>
  <c r="J16" i="10"/>
  <c r="I16" i="10"/>
  <c r="H16" i="10"/>
  <c r="G16" i="10"/>
  <c r="S15" i="10"/>
  <c r="Q15" i="10"/>
  <c r="P15" i="10"/>
  <c r="K15" i="10"/>
  <c r="J15" i="10"/>
  <c r="I15" i="10"/>
  <c r="H15" i="10"/>
  <c r="G15" i="10"/>
  <c r="S14" i="10"/>
  <c r="Q14" i="10"/>
  <c r="P14" i="10"/>
  <c r="K14" i="10"/>
  <c r="J14" i="10"/>
  <c r="I14" i="10"/>
  <c r="H14" i="10"/>
  <c r="G14" i="10"/>
  <c r="S13" i="10"/>
  <c r="Q13" i="10"/>
  <c r="P13" i="10"/>
  <c r="K13" i="10"/>
  <c r="J13" i="10"/>
  <c r="I13" i="10"/>
  <c r="H13" i="10"/>
  <c r="G13" i="10"/>
  <c r="S12" i="10"/>
  <c r="Q12" i="10"/>
  <c r="P12" i="10"/>
  <c r="K12" i="10"/>
  <c r="J12" i="10"/>
  <c r="I12" i="10"/>
  <c r="H12" i="10"/>
  <c r="G12" i="10"/>
  <c r="S11" i="10"/>
  <c r="Q11" i="10"/>
  <c r="P11" i="10"/>
  <c r="K11" i="10"/>
  <c r="J11" i="10"/>
  <c r="I11" i="10"/>
  <c r="H11" i="10"/>
  <c r="G11" i="10"/>
  <c r="S10" i="10"/>
  <c r="Q10" i="10"/>
  <c r="P10" i="10"/>
  <c r="K10" i="10"/>
  <c r="J10" i="10"/>
  <c r="I10" i="10"/>
  <c r="H10" i="10"/>
  <c r="G10" i="10"/>
  <c r="Q9" i="10"/>
  <c r="P9" i="10"/>
  <c r="K9" i="10"/>
  <c r="J9" i="10"/>
  <c r="I9" i="10"/>
  <c r="H9" i="10"/>
  <c r="G9" i="10"/>
  <c r="Q8" i="10"/>
  <c r="P8" i="10"/>
  <c r="K8" i="10"/>
  <c r="J8" i="10"/>
  <c r="I8" i="10"/>
  <c r="H8" i="10"/>
  <c r="G8" i="10"/>
  <c r="Q7" i="10"/>
  <c r="P7" i="10"/>
  <c r="K7" i="10"/>
  <c r="J7" i="10"/>
  <c r="I7" i="10"/>
  <c r="H7" i="10"/>
  <c r="G7" i="10"/>
  <c r="Q6" i="10"/>
  <c r="P6" i="10"/>
  <c r="K6" i="10"/>
  <c r="J6" i="10"/>
  <c r="I6" i="10"/>
  <c r="H6" i="10"/>
  <c r="G6" i="10"/>
  <c r="Q5" i="10"/>
  <c r="P5" i="10"/>
  <c r="K5" i="10"/>
  <c r="J5" i="10"/>
  <c r="I5" i="10"/>
  <c r="H5" i="10"/>
  <c r="G5" i="10"/>
  <c r="X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X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B66" i="9"/>
  <c r="X65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X64" i="9"/>
  <c r="W64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B64" i="9"/>
  <c r="X63" i="9"/>
  <c r="W63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B63" i="9"/>
  <c r="X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X61" i="9"/>
  <c r="W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X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X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X57" i="9"/>
  <c r="W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X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X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X54" i="9"/>
  <c r="W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X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X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X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B51" i="9"/>
  <c r="X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B50" i="9"/>
  <c r="X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49" i="9"/>
  <c r="X48" i="9"/>
  <c r="W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X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X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X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X43" i="9"/>
  <c r="W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X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X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X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X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X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X35" i="9"/>
  <c r="W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X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X33" i="9"/>
  <c r="W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X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X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X29" i="9"/>
  <c r="W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X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X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X26" i="9"/>
  <c r="W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X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X24" i="9"/>
  <c r="W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X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X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X21" i="9"/>
  <c r="W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X20" i="9"/>
  <c r="W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X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X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X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X15" i="9"/>
  <c r="W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X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X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X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X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X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X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X5" i="9"/>
  <c r="W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A68" i="8"/>
  <c r="W67" i="9" s="1"/>
  <c r="N68" i="8"/>
  <c r="V67" i="9" s="1"/>
  <c r="AA67" i="8"/>
  <c r="W66" i="9" s="1"/>
  <c r="N67" i="8"/>
  <c r="V66" i="9" s="1"/>
  <c r="AA66" i="8"/>
  <c r="W65" i="9" s="1"/>
  <c r="N66" i="8"/>
  <c r="AA65" i="8"/>
  <c r="N65" i="8"/>
  <c r="AA64" i="8"/>
  <c r="N64" i="8"/>
  <c r="V63" i="9" s="1"/>
  <c r="AA63" i="8"/>
  <c r="W62" i="9" s="1"/>
  <c r="N63" i="8"/>
  <c r="V62" i="9" s="1"/>
  <c r="AA62" i="8"/>
  <c r="N62" i="8"/>
  <c r="V61" i="9" s="1"/>
  <c r="AA61" i="8"/>
  <c r="W60" i="9" s="1"/>
  <c r="N61" i="8"/>
  <c r="V60" i="9" s="1"/>
  <c r="AA60" i="8"/>
  <c r="N60" i="8"/>
  <c r="AA59" i="8"/>
  <c r="W58" i="9" s="1"/>
  <c r="N59" i="8"/>
  <c r="V58" i="9" s="1"/>
  <c r="AA58" i="8"/>
  <c r="N58" i="8"/>
  <c r="V57" i="9" s="1"/>
  <c r="AA57" i="8"/>
  <c r="W56" i="9" s="1"/>
  <c r="N57" i="8"/>
  <c r="AA56" i="8"/>
  <c r="W55" i="9" s="1"/>
  <c r="N56" i="8"/>
  <c r="V55" i="9" s="1"/>
  <c r="AA55" i="8"/>
  <c r="N55" i="8"/>
  <c r="V54" i="9" s="1"/>
  <c r="AA54" i="8"/>
  <c r="W53" i="9" s="1"/>
  <c r="N54" i="8"/>
  <c r="V53" i="9" s="1"/>
  <c r="AA53" i="8"/>
  <c r="W52" i="9" s="1"/>
  <c r="N53" i="8"/>
  <c r="V52" i="9" s="1"/>
  <c r="AA52" i="8"/>
  <c r="W51" i="9" s="1"/>
  <c r="N52" i="8"/>
  <c r="AA51" i="8"/>
  <c r="W50" i="9" s="1"/>
  <c r="N51" i="8"/>
  <c r="V50" i="9" s="1"/>
  <c r="AA50" i="8"/>
  <c r="W49" i="9" s="1"/>
  <c r="N50" i="8"/>
  <c r="V49" i="9" s="1"/>
  <c r="AA49" i="8"/>
  <c r="N49" i="8"/>
  <c r="V48" i="9" s="1"/>
  <c r="AA48" i="8"/>
  <c r="W47" i="9" s="1"/>
  <c r="N48" i="8"/>
  <c r="V47" i="9" s="1"/>
  <c r="AA47" i="8"/>
  <c r="W46" i="9" s="1"/>
  <c r="N47" i="8"/>
  <c r="V46" i="9" s="1"/>
  <c r="AA46" i="8"/>
  <c r="W45" i="9" s="1"/>
  <c r="N46" i="8"/>
  <c r="V45" i="9" s="1"/>
  <c r="AA45" i="8"/>
  <c r="N45" i="8"/>
  <c r="AA44" i="8"/>
  <c r="N44" i="8"/>
  <c r="V43" i="9" s="1"/>
  <c r="AA43" i="8"/>
  <c r="W42" i="9" s="1"/>
  <c r="N43" i="8"/>
  <c r="AA42" i="8"/>
  <c r="W41" i="9" s="1"/>
  <c r="N42" i="8"/>
  <c r="V41" i="9" s="1"/>
  <c r="AA41" i="8"/>
  <c r="N41" i="8"/>
  <c r="AA40" i="8"/>
  <c r="W39" i="9" s="1"/>
  <c r="N40" i="8"/>
  <c r="V39" i="9" s="1"/>
  <c r="AA39" i="8"/>
  <c r="W38" i="9" s="1"/>
  <c r="N39" i="8"/>
  <c r="V38" i="9" s="1"/>
  <c r="AA38" i="8"/>
  <c r="W37" i="9" s="1"/>
  <c r="N38" i="8"/>
  <c r="AA37" i="8"/>
  <c r="N37" i="8"/>
  <c r="AA36" i="8"/>
  <c r="N36" i="8"/>
  <c r="V35" i="9" s="1"/>
  <c r="AA35" i="8"/>
  <c r="W34" i="9" s="1"/>
  <c r="N35" i="8"/>
  <c r="V34" i="9" s="1"/>
  <c r="AA34" i="8"/>
  <c r="N34" i="8"/>
  <c r="V33" i="9" s="1"/>
  <c r="AA33" i="8"/>
  <c r="W32" i="9" s="1"/>
  <c r="N33" i="8"/>
  <c r="V32" i="9" s="1"/>
  <c r="AA32" i="8"/>
  <c r="N32" i="8"/>
  <c r="AA31" i="8"/>
  <c r="W30" i="9" s="1"/>
  <c r="N31" i="8"/>
  <c r="V30" i="9" s="1"/>
  <c r="AA30" i="8"/>
  <c r="N30" i="8"/>
  <c r="V29" i="9" s="1"/>
  <c r="AA29" i="8"/>
  <c r="W28" i="9" s="1"/>
  <c r="N29" i="8"/>
  <c r="AA28" i="8"/>
  <c r="W27" i="9" s="1"/>
  <c r="N28" i="8"/>
  <c r="V27" i="9" s="1"/>
  <c r="AA27" i="8"/>
  <c r="N27" i="8"/>
  <c r="V26" i="9" s="1"/>
  <c r="AA26" i="8"/>
  <c r="W25" i="9" s="1"/>
  <c r="N26" i="8"/>
  <c r="V25" i="9" s="1"/>
  <c r="AA25" i="8"/>
  <c r="N25" i="8"/>
  <c r="V24" i="9" s="1"/>
  <c r="AA24" i="8"/>
  <c r="W23" i="9" s="1"/>
  <c r="N24" i="8"/>
  <c r="AA23" i="8"/>
  <c r="W22" i="9" s="1"/>
  <c r="N23" i="8"/>
  <c r="V22" i="9" s="1"/>
  <c r="AA22" i="8"/>
  <c r="N22" i="8"/>
  <c r="V21" i="9" s="1"/>
  <c r="AA21" i="8"/>
  <c r="N21" i="8"/>
  <c r="V20" i="9" s="1"/>
  <c r="AA20" i="8"/>
  <c r="W19" i="9" s="1"/>
  <c r="N20" i="8"/>
  <c r="V19" i="9" s="1"/>
  <c r="AA19" i="8"/>
  <c r="W18" i="9" s="1"/>
  <c r="N19" i="8"/>
  <c r="V18" i="9" s="1"/>
  <c r="AA18" i="8"/>
  <c r="W17" i="9" s="1"/>
  <c r="N18" i="8"/>
  <c r="V17" i="9" s="1"/>
  <c r="AA17" i="8"/>
  <c r="N17" i="8"/>
  <c r="AA16" i="8"/>
  <c r="N16" i="8"/>
  <c r="V15" i="9" s="1"/>
  <c r="AA15" i="8"/>
  <c r="W14" i="9" s="1"/>
  <c r="N15" i="8"/>
  <c r="AA14" i="8"/>
  <c r="W13" i="9" s="1"/>
  <c r="N14" i="8"/>
  <c r="V13" i="9" s="1"/>
  <c r="AA13" i="8"/>
  <c r="N13" i="8"/>
  <c r="AA12" i="8"/>
  <c r="W11" i="9" s="1"/>
  <c r="N12" i="8"/>
  <c r="V11" i="9" s="1"/>
  <c r="AA11" i="8"/>
  <c r="W10" i="9" s="1"/>
  <c r="N11" i="8"/>
  <c r="V10" i="9" s="1"/>
  <c r="AA10" i="8"/>
  <c r="W9" i="9" s="1"/>
  <c r="N10" i="8"/>
  <c r="AA9" i="8"/>
  <c r="N9" i="8"/>
  <c r="AA8" i="8"/>
  <c r="N8" i="8"/>
  <c r="AA7" i="8"/>
  <c r="W6" i="9" s="1"/>
  <c r="N7" i="8"/>
  <c r="V6" i="9" s="1"/>
  <c r="AA6" i="8"/>
  <c r="N6" i="8"/>
  <c r="V5" i="9" s="1"/>
  <c r="B113" i="6"/>
  <c r="I111" i="6"/>
  <c r="E111" i="6"/>
  <c r="D111" i="6"/>
  <c r="F111" i="6" s="1"/>
  <c r="G111" i="6" s="1"/>
  <c r="H111" i="6" s="1"/>
  <c r="I110" i="6"/>
  <c r="G110" i="6"/>
  <c r="H110" i="6" s="1"/>
  <c r="F110" i="6"/>
  <c r="E110" i="6"/>
  <c r="D110" i="6"/>
  <c r="I109" i="6"/>
  <c r="F109" i="6"/>
  <c r="G109" i="6" s="1"/>
  <c r="H109" i="6" s="1"/>
  <c r="E109" i="6"/>
  <c r="D109" i="6"/>
  <c r="I108" i="6"/>
  <c r="E108" i="6"/>
  <c r="D108" i="6"/>
  <c r="F108" i="6" s="1"/>
  <c r="G108" i="6" s="1"/>
  <c r="H108" i="6" s="1"/>
  <c r="I107" i="6"/>
  <c r="E107" i="6"/>
  <c r="D107" i="6"/>
  <c r="F107" i="6" s="1"/>
  <c r="G107" i="6" s="1"/>
  <c r="H107" i="6" s="1"/>
  <c r="I106" i="6"/>
  <c r="S215" i="10" s="1"/>
  <c r="E106" i="6"/>
  <c r="F106" i="6" s="1"/>
  <c r="G106" i="6" s="1"/>
  <c r="H106" i="6" s="1"/>
  <c r="D106" i="6"/>
  <c r="I105" i="6"/>
  <c r="S214" i="10" s="1"/>
  <c r="E105" i="6"/>
  <c r="D105" i="6"/>
  <c r="F105" i="6" s="1"/>
  <c r="G105" i="6" s="1"/>
  <c r="H105" i="6" s="1"/>
  <c r="I104" i="6"/>
  <c r="S213" i="10" s="1"/>
  <c r="E104" i="6"/>
  <c r="D104" i="6"/>
  <c r="F104" i="6" s="1"/>
  <c r="G104" i="6" s="1"/>
  <c r="H104" i="6" s="1"/>
  <c r="I103" i="6"/>
  <c r="S212" i="10" s="1"/>
  <c r="F103" i="6"/>
  <c r="G103" i="6" s="1"/>
  <c r="H103" i="6" s="1"/>
  <c r="E103" i="6"/>
  <c r="D103" i="6"/>
  <c r="I102" i="6"/>
  <c r="S211" i="10" s="1"/>
  <c r="E102" i="6"/>
  <c r="D102" i="6"/>
  <c r="F102" i="6" s="1"/>
  <c r="G102" i="6" s="1"/>
  <c r="H102" i="6" s="1"/>
  <c r="I101" i="6"/>
  <c r="S210" i="10" s="1"/>
  <c r="E101" i="6"/>
  <c r="D101" i="6"/>
  <c r="F101" i="6" s="1"/>
  <c r="G101" i="6" s="1"/>
  <c r="H101" i="6" s="1"/>
  <c r="I100" i="6"/>
  <c r="S209" i="10" s="1"/>
  <c r="E100" i="6"/>
  <c r="D100" i="6"/>
  <c r="I99" i="6"/>
  <c r="S208" i="10" s="1"/>
  <c r="E99" i="6"/>
  <c r="D99" i="6"/>
  <c r="F99" i="6" s="1"/>
  <c r="G99" i="6" s="1"/>
  <c r="H99" i="6" s="1"/>
  <c r="I98" i="6"/>
  <c r="S207" i="10" s="1"/>
  <c r="H98" i="6"/>
  <c r="E98" i="6"/>
  <c r="F98" i="6" s="1"/>
  <c r="G98" i="6" s="1"/>
  <c r="D98" i="6"/>
  <c r="I97" i="6"/>
  <c r="S206" i="10" s="1"/>
  <c r="E97" i="6"/>
  <c r="D97" i="6"/>
  <c r="F97" i="6" s="1"/>
  <c r="G97" i="6" s="1"/>
  <c r="H97" i="6" s="1"/>
  <c r="I96" i="6"/>
  <c r="S205" i="10" s="1"/>
  <c r="E96" i="6"/>
  <c r="F96" i="6" s="1"/>
  <c r="G96" i="6" s="1"/>
  <c r="H96" i="6" s="1"/>
  <c r="D96" i="6"/>
  <c r="I95" i="6"/>
  <c r="S204" i="10" s="1"/>
  <c r="E95" i="6"/>
  <c r="F95" i="6" s="1"/>
  <c r="G95" i="6" s="1"/>
  <c r="H95" i="6" s="1"/>
  <c r="D95" i="6"/>
  <c r="I94" i="6"/>
  <c r="S203" i="10" s="1"/>
  <c r="E94" i="6"/>
  <c r="D94" i="6"/>
  <c r="B84" i="6"/>
  <c r="I82" i="6"/>
  <c r="E82" i="6"/>
  <c r="F82" i="6" s="1"/>
  <c r="G82" i="6" s="1"/>
  <c r="H82" i="6" s="1"/>
  <c r="D82" i="6"/>
  <c r="I81" i="6"/>
  <c r="E81" i="6"/>
  <c r="D81" i="6"/>
  <c r="F81" i="6" s="1"/>
  <c r="G81" i="6" s="1"/>
  <c r="H81" i="6" s="1"/>
  <c r="I80" i="6"/>
  <c r="E80" i="6"/>
  <c r="D80" i="6"/>
  <c r="F80" i="6" s="1"/>
  <c r="G80" i="6" s="1"/>
  <c r="H80" i="6" s="1"/>
  <c r="I79" i="6"/>
  <c r="F79" i="6"/>
  <c r="G79" i="6" s="1"/>
  <c r="H79" i="6" s="1"/>
  <c r="E79" i="6"/>
  <c r="D79" i="6"/>
  <c r="I78" i="6"/>
  <c r="E78" i="6"/>
  <c r="D78" i="6"/>
  <c r="F78" i="6" s="1"/>
  <c r="G78" i="6" s="1"/>
  <c r="H78" i="6" s="1"/>
  <c r="I77" i="6"/>
  <c r="E77" i="6"/>
  <c r="D77" i="6"/>
  <c r="F77" i="6" s="1"/>
  <c r="G77" i="6" s="1"/>
  <c r="H77" i="6" s="1"/>
  <c r="I76" i="6"/>
  <c r="S196" i="10" s="1"/>
  <c r="E76" i="6"/>
  <c r="D76" i="6"/>
  <c r="F76" i="6" s="1"/>
  <c r="G76" i="6" s="1"/>
  <c r="H76" i="6" s="1"/>
  <c r="I75" i="6"/>
  <c r="S195" i="10" s="1"/>
  <c r="E75" i="6"/>
  <c r="D75" i="6"/>
  <c r="F75" i="6" s="1"/>
  <c r="G75" i="6" s="1"/>
  <c r="H75" i="6" s="1"/>
  <c r="I74" i="6"/>
  <c r="S194" i="10" s="1"/>
  <c r="E74" i="6"/>
  <c r="F74" i="6" s="1"/>
  <c r="G74" i="6" s="1"/>
  <c r="H74" i="6" s="1"/>
  <c r="D74" i="6"/>
  <c r="I73" i="6"/>
  <c r="E73" i="6"/>
  <c r="D73" i="6"/>
  <c r="F73" i="6" s="1"/>
  <c r="G73" i="6" s="1"/>
  <c r="H73" i="6" s="1"/>
  <c r="I72" i="6"/>
  <c r="S192" i="10" s="1"/>
  <c r="E72" i="6"/>
  <c r="F72" i="6" s="1"/>
  <c r="G72" i="6" s="1"/>
  <c r="H72" i="6" s="1"/>
  <c r="D72" i="6"/>
  <c r="I71" i="6"/>
  <c r="S191" i="10" s="1"/>
  <c r="G71" i="6"/>
  <c r="H71" i="6" s="1"/>
  <c r="E71" i="6"/>
  <c r="F71" i="6" s="1"/>
  <c r="D71" i="6"/>
  <c r="I70" i="6"/>
  <c r="S190" i="10" s="1"/>
  <c r="E70" i="6"/>
  <c r="D70" i="6"/>
  <c r="I69" i="6"/>
  <c r="S189" i="10" s="1"/>
  <c r="E69" i="6"/>
  <c r="D69" i="6"/>
  <c r="F69" i="6" s="1"/>
  <c r="G69" i="6" s="1"/>
  <c r="H69" i="6" s="1"/>
  <c r="I68" i="6"/>
  <c r="S188" i="10" s="1"/>
  <c r="E68" i="6"/>
  <c r="F68" i="6" s="1"/>
  <c r="G68" i="6" s="1"/>
  <c r="H68" i="6" s="1"/>
  <c r="D68" i="6"/>
  <c r="I67" i="6"/>
  <c r="S187" i="10" s="1"/>
  <c r="E67" i="6"/>
  <c r="D67" i="6"/>
  <c r="F67" i="6" s="1"/>
  <c r="G67" i="6" s="1"/>
  <c r="H67" i="6" s="1"/>
  <c r="I66" i="6"/>
  <c r="S186" i="10" s="1"/>
  <c r="E66" i="6"/>
  <c r="D66" i="6"/>
  <c r="F66" i="6" s="1"/>
  <c r="G66" i="6" s="1"/>
  <c r="H66" i="6" s="1"/>
  <c r="I65" i="6"/>
  <c r="S185" i="10" s="1"/>
  <c r="F65" i="6"/>
  <c r="G65" i="6" s="1"/>
  <c r="E65" i="6"/>
  <c r="D65" i="6"/>
  <c r="B55" i="6"/>
  <c r="I53" i="6"/>
  <c r="E53" i="6"/>
  <c r="D53" i="6"/>
  <c r="F53" i="6" s="1"/>
  <c r="G53" i="6" s="1"/>
  <c r="H53" i="6" s="1"/>
  <c r="I52" i="6"/>
  <c r="E52" i="6"/>
  <c r="D52" i="6"/>
  <c r="I51" i="6"/>
  <c r="E51" i="6"/>
  <c r="D51" i="6"/>
  <c r="F51" i="6" s="1"/>
  <c r="G51" i="6" s="1"/>
  <c r="H51" i="6" s="1"/>
  <c r="I50" i="6"/>
  <c r="E50" i="6"/>
  <c r="F50" i="6" s="1"/>
  <c r="G50" i="6" s="1"/>
  <c r="H50" i="6" s="1"/>
  <c r="D50" i="6"/>
  <c r="I49" i="6"/>
  <c r="E49" i="6"/>
  <c r="D49" i="6"/>
  <c r="F49" i="6" s="1"/>
  <c r="G49" i="6" s="1"/>
  <c r="H49" i="6" s="1"/>
  <c r="I48" i="6"/>
  <c r="E48" i="6"/>
  <c r="F48" i="6" s="1"/>
  <c r="G48" i="6" s="1"/>
  <c r="H48" i="6" s="1"/>
  <c r="D48" i="6"/>
  <c r="I47" i="6"/>
  <c r="E47" i="6"/>
  <c r="F47" i="6" s="1"/>
  <c r="G47" i="6" s="1"/>
  <c r="H47" i="6" s="1"/>
  <c r="D47" i="6"/>
  <c r="I46" i="6"/>
  <c r="E46" i="6"/>
  <c r="D46" i="6"/>
  <c r="I45" i="6"/>
  <c r="S176" i="10" s="1"/>
  <c r="E45" i="6"/>
  <c r="D45" i="6"/>
  <c r="F45" i="6" s="1"/>
  <c r="G45" i="6" s="1"/>
  <c r="H45" i="6" s="1"/>
  <c r="I44" i="6"/>
  <c r="S175" i="10" s="1"/>
  <c r="E44" i="6"/>
  <c r="F44" i="6" s="1"/>
  <c r="G44" i="6" s="1"/>
  <c r="H44" i="6" s="1"/>
  <c r="D44" i="6"/>
  <c r="I43" i="6"/>
  <c r="S174" i="10" s="1"/>
  <c r="E43" i="6"/>
  <c r="D43" i="6"/>
  <c r="F43" i="6" s="1"/>
  <c r="G43" i="6" s="1"/>
  <c r="H43" i="6" s="1"/>
  <c r="I42" i="6"/>
  <c r="S173" i="10" s="1"/>
  <c r="E42" i="6"/>
  <c r="D42" i="6"/>
  <c r="F42" i="6" s="1"/>
  <c r="G42" i="6" s="1"/>
  <c r="H42" i="6" s="1"/>
  <c r="I41" i="6"/>
  <c r="S172" i="10" s="1"/>
  <c r="G41" i="6"/>
  <c r="H41" i="6" s="1"/>
  <c r="F41" i="6"/>
  <c r="E41" i="6"/>
  <c r="D41" i="6"/>
  <c r="I40" i="6"/>
  <c r="S171" i="10" s="1"/>
  <c r="E40" i="6"/>
  <c r="D40" i="6"/>
  <c r="F40" i="6" s="1"/>
  <c r="G40" i="6" s="1"/>
  <c r="H40" i="6" s="1"/>
  <c r="I39" i="6"/>
  <c r="S170" i="10" s="1"/>
  <c r="E39" i="6"/>
  <c r="D39" i="6"/>
  <c r="F39" i="6" s="1"/>
  <c r="G39" i="6" s="1"/>
  <c r="H39" i="6" s="1"/>
  <c r="I38" i="6"/>
  <c r="S169" i="10" s="1"/>
  <c r="E38" i="6"/>
  <c r="D38" i="6"/>
  <c r="F38" i="6" s="1"/>
  <c r="G38" i="6" s="1"/>
  <c r="H38" i="6" s="1"/>
  <c r="I37" i="6"/>
  <c r="S168" i="10" s="1"/>
  <c r="E37" i="6"/>
  <c r="D37" i="6"/>
  <c r="F37" i="6" s="1"/>
  <c r="G37" i="6" s="1"/>
  <c r="H37" i="6" s="1"/>
  <c r="I36" i="6"/>
  <c r="E36" i="6"/>
  <c r="F36" i="6" s="1"/>
  <c r="D36" i="6"/>
  <c r="B26" i="6"/>
  <c r="I24" i="6"/>
  <c r="E24" i="6"/>
  <c r="F24" i="6" s="1"/>
  <c r="G24" i="6" s="1"/>
  <c r="H24" i="6" s="1"/>
  <c r="D24" i="6"/>
  <c r="I23" i="6"/>
  <c r="E23" i="6"/>
  <c r="F23" i="6" s="1"/>
  <c r="G23" i="6" s="1"/>
  <c r="H23" i="6" s="1"/>
  <c r="D23" i="6"/>
  <c r="I22" i="6"/>
  <c r="E22" i="6"/>
  <c r="D22" i="6"/>
  <c r="I21" i="6"/>
  <c r="E21" i="6"/>
  <c r="D21" i="6"/>
  <c r="F21" i="6" s="1"/>
  <c r="G21" i="6" s="1"/>
  <c r="H21" i="6" s="1"/>
  <c r="I20" i="6"/>
  <c r="E20" i="6"/>
  <c r="F20" i="6" s="1"/>
  <c r="G20" i="6" s="1"/>
  <c r="H20" i="6" s="1"/>
  <c r="D20" i="6"/>
  <c r="I19" i="6"/>
  <c r="E19" i="6"/>
  <c r="D19" i="6"/>
  <c r="F19" i="6" s="1"/>
  <c r="G19" i="6" s="1"/>
  <c r="H19" i="6" s="1"/>
  <c r="I18" i="6"/>
  <c r="E18" i="6"/>
  <c r="D18" i="6"/>
  <c r="F18" i="6" s="1"/>
  <c r="G18" i="6" s="1"/>
  <c r="H18" i="6" s="1"/>
  <c r="I17" i="6"/>
  <c r="F17" i="6"/>
  <c r="G17" i="6" s="1"/>
  <c r="H17" i="6" s="1"/>
  <c r="E17" i="6"/>
  <c r="D17" i="6"/>
  <c r="I16" i="6"/>
  <c r="E16" i="6"/>
  <c r="D16" i="6"/>
  <c r="I15" i="6"/>
  <c r="S157" i="10" s="1"/>
  <c r="E15" i="6"/>
  <c r="D15" i="6"/>
  <c r="F15" i="6" s="1"/>
  <c r="G15" i="6" s="1"/>
  <c r="H15" i="6" s="1"/>
  <c r="I14" i="6"/>
  <c r="S156" i="10" s="1"/>
  <c r="E14" i="6"/>
  <c r="D14" i="6"/>
  <c r="F14" i="6" s="1"/>
  <c r="G14" i="6" s="1"/>
  <c r="H14" i="6" s="1"/>
  <c r="I13" i="6"/>
  <c r="S155" i="10" s="1"/>
  <c r="E13" i="6"/>
  <c r="D13" i="6"/>
  <c r="F13" i="6" s="1"/>
  <c r="G13" i="6" s="1"/>
  <c r="H13" i="6" s="1"/>
  <c r="I12" i="6"/>
  <c r="S154" i="10" s="1"/>
  <c r="E12" i="6"/>
  <c r="F12" i="6" s="1"/>
  <c r="G12" i="6" s="1"/>
  <c r="H12" i="6" s="1"/>
  <c r="D12" i="6"/>
  <c r="I11" i="6"/>
  <c r="S153" i="10" s="1"/>
  <c r="E11" i="6"/>
  <c r="D11" i="6"/>
  <c r="F11" i="6" s="1"/>
  <c r="G11" i="6" s="1"/>
  <c r="H11" i="6" s="1"/>
  <c r="I10" i="6"/>
  <c r="S152" i="10" s="1"/>
  <c r="E10" i="6"/>
  <c r="F10" i="6" s="1"/>
  <c r="G10" i="6" s="1"/>
  <c r="H10" i="6" s="1"/>
  <c r="D10" i="6"/>
  <c r="I9" i="6"/>
  <c r="S151" i="10" s="1"/>
  <c r="E9" i="6"/>
  <c r="F9" i="6" s="1"/>
  <c r="G9" i="6" s="1"/>
  <c r="H9" i="6" s="1"/>
  <c r="D9" i="6"/>
  <c r="I8" i="6"/>
  <c r="E8" i="6"/>
  <c r="D8" i="6"/>
  <c r="I7" i="6"/>
  <c r="S149" i="10" s="1"/>
  <c r="E7" i="6"/>
  <c r="D7" i="6"/>
  <c r="F7" i="6" s="1"/>
  <c r="A1" i="6"/>
  <c r="B113" i="5"/>
  <c r="I111" i="5"/>
  <c r="S148" i="10" s="1"/>
  <c r="E111" i="5"/>
  <c r="D111" i="5"/>
  <c r="F111" i="5" s="1"/>
  <c r="G111" i="5" s="1"/>
  <c r="H111" i="5" s="1"/>
  <c r="I110" i="5"/>
  <c r="S147" i="10" s="1"/>
  <c r="E110" i="5"/>
  <c r="D110" i="5"/>
  <c r="F110" i="5" s="1"/>
  <c r="G110" i="5" s="1"/>
  <c r="H110" i="5" s="1"/>
  <c r="I109" i="5"/>
  <c r="S146" i="10" s="1"/>
  <c r="G109" i="5"/>
  <c r="H109" i="5" s="1"/>
  <c r="F109" i="5"/>
  <c r="E109" i="5"/>
  <c r="D109" i="5"/>
  <c r="I108" i="5"/>
  <c r="S145" i="10" s="1"/>
  <c r="F108" i="5"/>
  <c r="G108" i="5" s="1"/>
  <c r="H108" i="5" s="1"/>
  <c r="E108" i="5"/>
  <c r="D108" i="5"/>
  <c r="I107" i="5"/>
  <c r="S144" i="10" s="1"/>
  <c r="E107" i="5"/>
  <c r="D107" i="5"/>
  <c r="F107" i="5" s="1"/>
  <c r="G107" i="5" s="1"/>
  <c r="H107" i="5" s="1"/>
  <c r="I106" i="5"/>
  <c r="S143" i="10" s="1"/>
  <c r="F106" i="5"/>
  <c r="G106" i="5" s="1"/>
  <c r="H106" i="5" s="1"/>
  <c r="E106" i="5"/>
  <c r="D106" i="5"/>
  <c r="I105" i="5"/>
  <c r="S142" i="10" s="1"/>
  <c r="E105" i="5"/>
  <c r="D105" i="5"/>
  <c r="F105" i="5" s="1"/>
  <c r="G105" i="5" s="1"/>
  <c r="H105" i="5" s="1"/>
  <c r="I104" i="5"/>
  <c r="S141" i="10" s="1"/>
  <c r="E104" i="5"/>
  <c r="D104" i="5"/>
  <c r="F104" i="5" s="1"/>
  <c r="G104" i="5" s="1"/>
  <c r="H104" i="5" s="1"/>
  <c r="I103" i="5"/>
  <c r="S140" i="10" s="1"/>
  <c r="E103" i="5"/>
  <c r="D103" i="5"/>
  <c r="F103" i="5" s="1"/>
  <c r="G103" i="5" s="1"/>
  <c r="H103" i="5" s="1"/>
  <c r="I102" i="5"/>
  <c r="S139" i="10" s="1"/>
  <c r="E102" i="5"/>
  <c r="F102" i="5" s="1"/>
  <c r="G102" i="5" s="1"/>
  <c r="H102" i="5" s="1"/>
  <c r="D102" i="5"/>
  <c r="I101" i="5"/>
  <c r="S138" i="10" s="1"/>
  <c r="E101" i="5"/>
  <c r="D101" i="5"/>
  <c r="F101" i="5" s="1"/>
  <c r="G101" i="5" s="1"/>
  <c r="H101" i="5" s="1"/>
  <c r="I100" i="5"/>
  <c r="E100" i="5"/>
  <c r="F100" i="5" s="1"/>
  <c r="G100" i="5" s="1"/>
  <c r="H100" i="5" s="1"/>
  <c r="D100" i="5"/>
  <c r="I99" i="5"/>
  <c r="S136" i="10" s="1"/>
  <c r="E99" i="5"/>
  <c r="D99" i="5"/>
  <c r="F99" i="5" s="1"/>
  <c r="G99" i="5" s="1"/>
  <c r="H99" i="5" s="1"/>
  <c r="I98" i="5"/>
  <c r="S135" i="10" s="1"/>
  <c r="E98" i="5"/>
  <c r="F98" i="5" s="1"/>
  <c r="G98" i="5" s="1"/>
  <c r="H98" i="5" s="1"/>
  <c r="D98" i="5"/>
  <c r="I97" i="5"/>
  <c r="G97" i="5"/>
  <c r="H97" i="5" s="1"/>
  <c r="E97" i="5"/>
  <c r="D97" i="5"/>
  <c r="F97" i="5" s="1"/>
  <c r="I96" i="5"/>
  <c r="S133" i="10" s="1"/>
  <c r="E96" i="5"/>
  <c r="D96" i="5"/>
  <c r="F96" i="5" s="1"/>
  <c r="G96" i="5" s="1"/>
  <c r="H96" i="5" s="1"/>
  <c r="I95" i="5"/>
  <c r="G95" i="5"/>
  <c r="H95" i="5" s="1"/>
  <c r="E95" i="5"/>
  <c r="F95" i="5" s="1"/>
  <c r="D95" i="5"/>
  <c r="I94" i="5"/>
  <c r="S131" i="10" s="1"/>
  <c r="E94" i="5"/>
  <c r="F94" i="5" s="1"/>
  <c r="D94" i="5"/>
  <c r="D113" i="5" s="1"/>
  <c r="B84" i="5"/>
  <c r="I82" i="5"/>
  <c r="S130" i="10" s="1"/>
  <c r="F82" i="5"/>
  <c r="G82" i="5" s="1"/>
  <c r="H82" i="5" s="1"/>
  <c r="E82" i="5"/>
  <c r="D82" i="5"/>
  <c r="I81" i="5"/>
  <c r="S129" i="10" s="1"/>
  <c r="E81" i="5"/>
  <c r="D81" i="5"/>
  <c r="F81" i="5" s="1"/>
  <c r="G81" i="5" s="1"/>
  <c r="H81" i="5" s="1"/>
  <c r="I80" i="5"/>
  <c r="S128" i="10" s="1"/>
  <c r="E80" i="5"/>
  <c r="D80" i="5"/>
  <c r="F80" i="5" s="1"/>
  <c r="G80" i="5" s="1"/>
  <c r="H80" i="5" s="1"/>
  <c r="I79" i="5"/>
  <c r="S127" i="10" s="1"/>
  <c r="E79" i="5"/>
  <c r="D79" i="5"/>
  <c r="F79" i="5" s="1"/>
  <c r="G79" i="5" s="1"/>
  <c r="H79" i="5" s="1"/>
  <c r="I78" i="5"/>
  <c r="S126" i="10" s="1"/>
  <c r="E78" i="5"/>
  <c r="F78" i="5" s="1"/>
  <c r="G78" i="5" s="1"/>
  <c r="H78" i="5" s="1"/>
  <c r="D78" i="5"/>
  <c r="I77" i="5"/>
  <c r="S125" i="10" s="1"/>
  <c r="E77" i="5"/>
  <c r="D77" i="5"/>
  <c r="F77" i="5" s="1"/>
  <c r="G77" i="5" s="1"/>
  <c r="H77" i="5" s="1"/>
  <c r="I76" i="5"/>
  <c r="S124" i="10" s="1"/>
  <c r="E76" i="5"/>
  <c r="F76" i="5" s="1"/>
  <c r="G76" i="5" s="1"/>
  <c r="H76" i="5" s="1"/>
  <c r="D76" i="5"/>
  <c r="I75" i="5"/>
  <c r="S123" i="10" s="1"/>
  <c r="E75" i="5"/>
  <c r="D75" i="5"/>
  <c r="F75" i="5" s="1"/>
  <c r="G75" i="5" s="1"/>
  <c r="H75" i="5" s="1"/>
  <c r="I74" i="5"/>
  <c r="S122" i="10" s="1"/>
  <c r="E74" i="5"/>
  <c r="I73" i="5"/>
  <c r="S121" i="10" s="1"/>
  <c r="E73" i="5"/>
  <c r="D73" i="5"/>
  <c r="F73" i="5" s="1"/>
  <c r="G73" i="5" s="1"/>
  <c r="H73" i="5" s="1"/>
  <c r="I72" i="5"/>
  <c r="S120" i="10" s="1"/>
  <c r="E72" i="5"/>
  <c r="D72" i="5"/>
  <c r="F72" i="5" s="1"/>
  <c r="G72" i="5" s="1"/>
  <c r="H72" i="5" s="1"/>
  <c r="I71" i="5"/>
  <c r="S119" i="10" s="1"/>
  <c r="H71" i="5"/>
  <c r="G71" i="5"/>
  <c r="E71" i="5"/>
  <c r="F71" i="5" s="1"/>
  <c r="D71" i="5"/>
  <c r="I70" i="5"/>
  <c r="S118" i="10" s="1"/>
  <c r="E70" i="5"/>
  <c r="F70" i="5" s="1"/>
  <c r="G70" i="5" s="1"/>
  <c r="H70" i="5" s="1"/>
  <c r="D70" i="5"/>
  <c r="I69" i="5"/>
  <c r="S117" i="10" s="1"/>
  <c r="E69" i="5"/>
  <c r="D69" i="5"/>
  <c r="F69" i="5" s="1"/>
  <c r="G69" i="5" s="1"/>
  <c r="H69" i="5" s="1"/>
  <c r="I68" i="5"/>
  <c r="S116" i="10" s="1"/>
  <c r="F68" i="5"/>
  <c r="G68" i="5" s="1"/>
  <c r="H68" i="5" s="1"/>
  <c r="E68" i="5"/>
  <c r="D68" i="5"/>
  <c r="I67" i="5"/>
  <c r="S115" i="10" s="1"/>
  <c r="E67" i="5"/>
  <c r="D67" i="5"/>
  <c r="F67" i="5" s="1"/>
  <c r="G67" i="5" s="1"/>
  <c r="H67" i="5" s="1"/>
  <c r="I66" i="5"/>
  <c r="E66" i="5"/>
  <c r="D66" i="5"/>
  <c r="F66" i="5" s="1"/>
  <c r="G66" i="5" s="1"/>
  <c r="H66" i="5" s="1"/>
  <c r="I65" i="5"/>
  <c r="S113" i="10" s="1"/>
  <c r="E65" i="5"/>
  <c r="D65" i="5"/>
  <c r="F65" i="5" s="1"/>
  <c r="D55" i="5"/>
  <c r="B55" i="5"/>
  <c r="I53" i="5"/>
  <c r="S112" i="10" s="1"/>
  <c r="H53" i="5"/>
  <c r="E53" i="5"/>
  <c r="D53" i="5"/>
  <c r="F53" i="5" s="1"/>
  <c r="G53" i="5" s="1"/>
  <c r="I52" i="5"/>
  <c r="S111" i="10" s="1"/>
  <c r="E52" i="5"/>
  <c r="F52" i="5" s="1"/>
  <c r="G52" i="5" s="1"/>
  <c r="H52" i="5" s="1"/>
  <c r="D52" i="5"/>
  <c r="I51" i="5"/>
  <c r="S110" i="10" s="1"/>
  <c r="E51" i="5"/>
  <c r="D51" i="5"/>
  <c r="F51" i="5" s="1"/>
  <c r="G51" i="5" s="1"/>
  <c r="H51" i="5" s="1"/>
  <c r="I50" i="5"/>
  <c r="E50" i="5"/>
  <c r="F50" i="5" s="1"/>
  <c r="G50" i="5" s="1"/>
  <c r="H50" i="5" s="1"/>
  <c r="D50" i="5"/>
  <c r="I49" i="5"/>
  <c r="S108" i="10" s="1"/>
  <c r="E49" i="5"/>
  <c r="D49" i="5"/>
  <c r="F49" i="5" s="1"/>
  <c r="G49" i="5" s="1"/>
  <c r="H49" i="5" s="1"/>
  <c r="I48" i="5"/>
  <c r="S107" i="10" s="1"/>
  <c r="E48" i="5"/>
  <c r="D48" i="5"/>
  <c r="F48" i="5" s="1"/>
  <c r="G48" i="5" s="1"/>
  <c r="H48" i="5" s="1"/>
  <c r="I47" i="5"/>
  <c r="S106" i="10" s="1"/>
  <c r="E47" i="5"/>
  <c r="F47" i="5" s="1"/>
  <c r="G47" i="5" s="1"/>
  <c r="H47" i="5" s="1"/>
  <c r="D47" i="5"/>
  <c r="I46" i="5"/>
  <c r="S105" i="10" s="1"/>
  <c r="E46" i="5"/>
  <c r="D46" i="5"/>
  <c r="I45" i="5"/>
  <c r="S104" i="10" s="1"/>
  <c r="E45" i="5"/>
  <c r="D45" i="5"/>
  <c r="F45" i="5" s="1"/>
  <c r="G45" i="5" s="1"/>
  <c r="H45" i="5" s="1"/>
  <c r="I44" i="5"/>
  <c r="S103" i="10" s="1"/>
  <c r="F44" i="5"/>
  <c r="G44" i="5" s="1"/>
  <c r="H44" i="5" s="1"/>
  <c r="E44" i="5"/>
  <c r="D44" i="5"/>
  <c r="I43" i="5"/>
  <c r="S102" i="10" s="1"/>
  <c r="E43" i="5"/>
  <c r="D43" i="5"/>
  <c r="F43" i="5" s="1"/>
  <c r="G43" i="5" s="1"/>
  <c r="H43" i="5" s="1"/>
  <c r="I42" i="5"/>
  <c r="S101" i="10" s="1"/>
  <c r="G42" i="5"/>
  <c r="H42" i="5" s="1"/>
  <c r="E42" i="5"/>
  <c r="D42" i="5"/>
  <c r="F42" i="5" s="1"/>
  <c r="I41" i="5"/>
  <c r="S100" i="10" s="1"/>
  <c r="E41" i="5"/>
  <c r="D41" i="5"/>
  <c r="F41" i="5" s="1"/>
  <c r="G41" i="5" s="1"/>
  <c r="H41" i="5" s="1"/>
  <c r="I40" i="5"/>
  <c r="S99" i="10" s="1"/>
  <c r="E40" i="5"/>
  <c r="F40" i="5" s="1"/>
  <c r="G40" i="5" s="1"/>
  <c r="H40" i="5" s="1"/>
  <c r="D40" i="5"/>
  <c r="I39" i="5"/>
  <c r="S98" i="10" s="1"/>
  <c r="E39" i="5"/>
  <c r="D39" i="5"/>
  <c r="I38" i="5"/>
  <c r="S97" i="10" s="1"/>
  <c r="E38" i="5"/>
  <c r="D38" i="5"/>
  <c r="I37" i="5"/>
  <c r="S96" i="10" s="1"/>
  <c r="E37" i="5"/>
  <c r="D37" i="5"/>
  <c r="F37" i="5" s="1"/>
  <c r="G37" i="5" s="1"/>
  <c r="H37" i="5" s="1"/>
  <c r="I36" i="5"/>
  <c r="S95" i="10" s="1"/>
  <c r="E36" i="5"/>
  <c r="F36" i="5" s="1"/>
  <c r="D36" i="5"/>
  <c r="D26" i="5"/>
  <c r="B26" i="5"/>
  <c r="I24" i="5"/>
  <c r="E24" i="5"/>
  <c r="D24" i="5"/>
  <c r="F24" i="5" s="1"/>
  <c r="G24" i="5" s="1"/>
  <c r="H24" i="5" s="1"/>
  <c r="I23" i="5"/>
  <c r="E23" i="5"/>
  <c r="F23" i="5" s="1"/>
  <c r="G23" i="5" s="1"/>
  <c r="H23" i="5" s="1"/>
  <c r="D23" i="5"/>
  <c r="I22" i="5"/>
  <c r="E22" i="5"/>
  <c r="F22" i="5" s="1"/>
  <c r="G22" i="5" s="1"/>
  <c r="H22" i="5" s="1"/>
  <c r="D22" i="5"/>
  <c r="I21" i="5"/>
  <c r="S91" i="10" s="1"/>
  <c r="E21" i="5"/>
  <c r="D21" i="5"/>
  <c r="F21" i="5" s="1"/>
  <c r="G21" i="5" s="1"/>
  <c r="H21" i="5" s="1"/>
  <c r="I20" i="5"/>
  <c r="S90" i="10" s="1"/>
  <c r="F20" i="5"/>
  <c r="G20" i="5" s="1"/>
  <c r="H20" i="5" s="1"/>
  <c r="E20" i="5"/>
  <c r="D20" i="5"/>
  <c r="I19" i="5"/>
  <c r="S89" i="10" s="1"/>
  <c r="E19" i="5"/>
  <c r="D19" i="5"/>
  <c r="F19" i="5" s="1"/>
  <c r="G19" i="5" s="1"/>
  <c r="H19" i="5" s="1"/>
  <c r="I18" i="5"/>
  <c r="S88" i="10" s="1"/>
  <c r="E18" i="5"/>
  <c r="D18" i="5"/>
  <c r="F18" i="5" s="1"/>
  <c r="G18" i="5" s="1"/>
  <c r="H18" i="5" s="1"/>
  <c r="I17" i="5"/>
  <c r="S87" i="10" s="1"/>
  <c r="E17" i="5"/>
  <c r="D17" i="5"/>
  <c r="F17" i="5" s="1"/>
  <c r="G17" i="5" s="1"/>
  <c r="H17" i="5" s="1"/>
  <c r="I16" i="5"/>
  <c r="S86" i="10" s="1"/>
  <c r="F16" i="5"/>
  <c r="G16" i="5" s="1"/>
  <c r="H16" i="5" s="1"/>
  <c r="E16" i="5"/>
  <c r="D16" i="5"/>
  <c r="I15" i="5"/>
  <c r="S85" i="10" s="1"/>
  <c r="E15" i="5"/>
  <c r="D15" i="5"/>
  <c r="F15" i="5" s="1"/>
  <c r="G15" i="5" s="1"/>
  <c r="H15" i="5" s="1"/>
  <c r="I14" i="5"/>
  <c r="S84" i="10" s="1"/>
  <c r="F14" i="5"/>
  <c r="G14" i="5" s="1"/>
  <c r="H14" i="5" s="1"/>
  <c r="E14" i="5"/>
  <c r="D14" i="5"/>
  <c r="I13" i="5"/>
  <c r="S83" i="10" s="1"/>
  <c r="E13" i="5"/>
  <c r="D13" i="5"/>
  <c r="F13" i="5" s="1"/>
  <c r="G13" i="5" s="1"/>
  <c r="H13" i="5" s="1"/>
  <c r="I12" i="5"/>
  <c r="S82" i="10" s="1"/>
  <c r="E12" i="5"/>
  <c r="F12" i="5" s="1"/>
  <c r="G12" i="5" s="1"/>
  <c r="H12" i="5" s="1"/>
  <c r="D12" i="5"/>
  <c r="I11" i="5"/>
  <c r="E11" i="5"/>
  <c r="D11" i="5"/>
  <c r="I10" i="5"/>
  <c r="S80" i="10" s="1"/>
  <c r="E10" i="5"/>
  <c r="D10" i="5"/>
  <c r="F10" i="5" s="1"/>
  <c r="G10" i="5" s="1"/>
  <c r="H10" i="5" s="1"/>
  <c r="I9" i="5"/>
  <c r="S79" i="10" s="1"/>
  <c r="E9" i="5"/>
  <c r="F9" i="5" s="1"/>
  <c r="G9" i="5" s="1"/>
  <c r="H9" i="5" s="1"/>
  <c r="D9" i="5"/>
  <c r="I8" i="5"/>
  <c r="E8" i="5"/>
  <c r="F8" i="5" s="1"/>
  <c r="G8" i="5" s="1"/>
  <c r="H8" i="5" s="1"/>
  <c r="D8" i="5"/>
  <c r="I7" i="5"/>
  <c r="S77" i="10" s="1"/>
  <c r="E7" i="5"/>
  <c r="D7" i="5"/>
  <c r="F7" i="5" s="1"/>
  <c r="A1" i="5"/>
  <c r="B113" i="4"/>
  <c r="I111" i="4"/>
  <c r="E111" i="4"/>
  <c r="D111" i="4"/>
  <c r="F111" i="4" s="1"/>
  <c r="G111" i="4" s="1"/>
  <c r="H111" i="4" s="1"/>
  <c r="I110" i="4"/>
  <c r="H110" i="4"/>
  <c r="E110" i="4"/>
  <c r="D110" i="4"/>
  <c r="F110" i="4" s="1"/>
  <c r="G110" i="4" s="1"/>
  <c r="I109" i="4"/>
  <c r="E109" i="4"/>
  <c r="D109" i="4"/>
  <c r="F109" i="4" s="1"/>
  <c r="G109" i="4" s="1"/>
  <c r="H109" i="4" s="1"/>
  <c r="I108" i="4"/>
  <c r="F108" i="4"/>
  <c r="G108" i="4" s="1"/>
  <c r="H108" i="4" s="1"/>
  <c r="E108" i="4"/>
  <c r="D108" i="4"/>
  <c r="I107" i="4"/>
  <c r="E107" i="4"/>
  <c r="F107" i="4" s="1"/>
  <c r="G107" i="4" s="1"/>
  <c r="H107" i="4" s="1"/>
  <c r="D107" i="4"/>
  <c r="I106" i="4"/>
  <c r="E106" i="4"/>
  <c r="D106" i="4"/>
  <c r="F106" i="4" s="1"/>
  <c r="G106" i="4" s="1"/>
  <c r="H106" i="4" s="1"/>
  <c r="I105" i="4"/>
  <c r="E105" i="4"/>
  <c r="D105" i="4"/>
  <c r="F105" i="4" s="1"/>
  <c r="G105" i="4" s="1"/>
  <c r="H105" i="4" s="1"/>
  <c r="I104" i="4"/>
  <c r="S69" i="10" s="1"/>
  <c r="F104" i="4"/>
  <c r="G104" i="4" s="1"/>
  <c r="H104" i="4" s="1"/>
  <c r="E104" i="4"/>
  <c r="D104" i="4"/>
  <c r="I103" i="4"/>
  <c r="S68" i="10" s="1"/>
  <c r="F103" i="4"/>
  <c r="G103" i="4" s="1"/>
  <c r="H103" i="4" s="1"/>
  <c r="E103" i="4"/>
  <c r="D103" i="4"/>
  <c r="I102" i="4"/>
  <c r="S67" i="10" s="1"/>
  <c r="E102" i="4"/>
  <c r="D102" i="4"/>
  <c r="F102" i="4" s="1"/>
  <c r="G102" i="4" s="1"/>
  <c r="H102" i="4" s="1"/>
  <c r="I101" i="4"/>
  <c r="S66" i="10" s="1"/>
  <c r="F101" i="4"/>
  <c r="G101" i="4" s="1"/>
  <c r="H101" i="4" s="1"/>
  <c r="E101" i="4"/>
  <c r="D101" i="4"/>
  <c r="I100" i="4"/>
  <c r="S65" i="10" s="1"/>
  <c r="F100" i="4"/>
  <c r="G100" i="4" s="1"/>
  <c r="H100" i="4" s="1"/>
  <c r="E100" i="4"/>
  <c r="D100" i="4"/>
  <c r="I99" i="4"/>
  <c r="S64" i="10" s="1"/>
  <c r="E99" i="4"/>
  <c r="D99" i="4"/>
  <c r="F99" i="4" s="1"/>
  <c r="G99" i="4" s="1"/>
  <c r="H99" i="4" s="1"/>
  <c r="I98" i="4"/>
  <c r="S63" i="10" s="1"/>
  <c r="E98" i="4"/>
  <c r="D98" i="4"/>
  <c r="F98" i="4" s="1"/>
  <c r="G98" i="4" s="1"/>
  <c r="H98" i="4" s="1"/>
  <c r="I97" i="4"/>
  <c r="S62" i="10" s="1"/>
  <c r="E97" i="4"/>
  <c r="D97" i="4"/>
  <c r="F97" i="4" s="1"/>
  <c r="G97" i="4" s="1"/>
  <c r="H97" i="4" s="1"/>
  <c r="I96" i="4"/>
  <c r="S61" i="10" s="1"/>
  <c r="H96" i="4"/>
  <c r="E96" i="4"/>
  <c r="D96" i="4"/>
  <c r="F96" i="4" s="1"/>
  <c r="G96" i="4" s="1"/>
  <c r="I95" i="4"/>
  <c r="S60" i="10" s="1"/>
  <c r="E95" i="4"/>
  <c r="D95" i="4"/>
  <c r="F95" i="4" s="1"/>
  <c r="G95" i="4" s="1"/>
  <c r="H95" i="4" s="1"/>
  <c r="I94" i="4"/>
  <c r="S59" i="10" s="1"/>
  <c r="F94" i="4"/>
  <c r="E94" i="4"/>
  <c r="D94" i="4"/>
  <c r="I91" i="4"/>
  <c r="B84" i="4"/>
  <c r="I82" i="4"/>
  <c r="E82" i="4"/>
  <c r="D82" i="4"/>
  <c r="F82" i="4" s="1"/>
  <c r="G82" i="4" s="1"/>
  <c r="H82" i="4" s="1"/>
  <c r="I81" i="4"/>
  <c r="E81" i="4"/>
  <c r="D81" i="4"/>
  <c r="F81" i="4" s="1"/>
  <c r="G81" i="4" s="1"/>
  <c r="H81" i="4" s="1"/>
  <c r="I80" i="4"/>
  <c r="F80" i="4"/>
  <c r="G80" i="4" s="1"/>
  <c r="H80" i="4" s="1"/>
  <c r="E80" i="4"/>
  <c r="D80" i="4"/>
  <c r="I79" i="4"/>
  <c r="E79" i="4"/>
  <c r="F79" i="4" s="1"/>
  <c r="G79" i="4" s="1"/>
  <c r="H79" i="4" s="1"/>
  <c r="D79" i="4"/>
  <c r="I78" i="4"/>
  <c r="E78" i="4"/>
  <c r="F78" i="4" s="1"/>
  <c r="G78" i="4" s="1"/>
  <c r="H78" i="4" s="1"/>
  <c r="D78" i="4"/>
  <c r="I77" i="4"/>
  <c r="F77" i="4"/>
  <c r="G77" i="4" s="1"/>
  <c r="H77" i="4" s="1"/>
  <c r="E77" i="4"/>
  <c r="D77" i="4"/>
  <c r="I76" i="4"/>
  <c r="F76" i="4"/>
  <c r="G76" i="4" s="1"/>
  <c r="H76" i="4" s="1"/>
  <c r="E76" i="4"/>
  <c r="D76" i="4"/>
  <c r="I75" i="4"/>
  <c r="E75" i="4"/>
  <c r="D75" i="4"/>
  <c r="F75" i="4" s="1"/>
  <c r="G75" i="4" s="1"/>
  <c r="H75" i="4" s="1"/>
  <c r="I74" i="4"/>
  <c r="E74" i="4"/>
  <c r="D74" i="4"/>
  <c r="F74" i="4" s="1"/>
  <c r="G74" i="4" s="1"/>
  <c r="H74" i="4" s="1"/>
  <c r="I73" i="4"/>
  <c r="S49" i="10" s="1"/>
  <c r="E73" i="4"/>
  <c r="D73" i="4"/>
  <c r="F73" i="4" s="1"/>
  <c r="G73" i="4" s="1"/>
  <c r="H73" i="4" s="1"/>
  <c r="I72" i="4"/>
  <c r="S48" i="10" s="1"/>
  <c r="H72" i="4"/>
  <c r="E72" i="4"/>
  <c r="D72" i="4"/>
  <c r="F72" i="4" s="1"/>
  <c r="G72" i="4" s="1"/>
  <c r="I71" i="4"/>
  <c r="S47" i="10" s="1"/>
  <c r="E71" i="4"/>
  <c r="D71" i="4"/>
  <c r="F71" i="4" s="1"/>
  <c r="G71" i="4" s="1"/>
  <c r="H71" i="4" s="1"/>
  <c r="I70" i="4"/>
  <c r="S46" i="10" s="1"/>
  <c r="F70" i="4"/>
  <c r="G70" i="4" s="1"/>
  <c r="H70" i="4" s="1"/>
  <c r="E70" i="4"/>
  <c r="D70" i="4"/>
  <c r="I69" i="4"/>
  <c r="S45" i="10" s="1"/>
  <c r="E69" i="4"/>
  <c r="F69" i="4" s="1"/>
  <c r="G69" i="4" s="1"/>
  <c r="H69" i="4" s="1"/>
  <c r="D69" i="4"/>
  <c r="I68" i="4"/>
  <c r="S44" i="10" s="1"/>
  <c r="E68" i="4"/>
  <c r="D68" i="4"/>
  <c r="G11" i="2" s="1"/>
  <c r="I67" i="4"/>
  <c r="S43" i="10" s="1"/>
  <c r="E67" i="4"/>
  <c r="D67" i="4"/>
  <c r="I66" i="4"/>
  <c r="S42" i="10" s="1"/>
  <c r="F66" i="4"/>
  <c r="G66" i="4" s="1"/>
  <c r="H66" i="4" s="1"/>
  <c r="E66" i="4"/>
  <c r="D66" i="4"/>
  <c r="I65" i="4"/>
  <c r="E65" i="4"/>
  <c r="F65" i="4" s="1"/>
  <c r="D65" i="4"/>
  <c r="B55" i="4"/>
  <c r="I53" i="4"/>
  <c r="F53" i="4"/>
  <c r="G53" i="4" s="1"/>
  <c r="H53" i="4" s="1"/>
  <c r="E53" i="4"/>
  <c r="D53" i="4"/>
  <c r="I52" i="4"/>
  <c r="F52" i="4"/>
  <c r="G52" i="4" s="1"/>
  <c r="H52" i="4" s="1"/>
  <c r="E52" i="4"/>
  <c r="D52" i="4"/>
  <c r="I51" i="4"/>
  <c r="E51" i="4"/>
  <c r="D51" i="4"/>
  <c r="I50" i="4"/>
  <c r="G50" i="4"/>
  <c r="H50" i="4" s="1"/>
  <c r="E50" i="4"/>
  <c r="D50" i="4"/>
  <c r="F50" i="4" s="1"/>
  <c r="I49" i="4"/>
  <c r="E49" i="4"/>
  <c r="D49" i="4"/>
  <c r="F49" i="4" s="1"/>
  <c r="G49" i="4" s="1"/>
  <c r="H49" i="4" s="1"/>
  <c r="I48" i="4"/>
  <c r="E48" i="4"/>
  <c r="D48" i="4"/>
  <c r="F48" i="4" s="1"/>
  <c r="G48" i="4" s="1"/>
  <c r="H48" i="4" s="1"/>
  <c r="I47" i="4"/>
  <c r="E47" i="4"/>
  <c r="D47" i="4"/>
  <c r="F47" i="4" s="1"/>
  <c r="G47" i="4" s="1"/>
  <c r="H47" i="4" s="1"/>
  <c r="I46" i="4"/>
  <c r="E46" i="4"/>
  <c r="D46" i="4"/>
  <c r="D55" i="4" s="1"/>
  <c r="I45" i="4"/>
  <c r="E45" i="4"/>
  <c r="F45" i="4" s="1"/>
  <c r="G45" i="4" s="1"/>
  <c r="H45" i="4" s="1"/>
  <c r="D45" i="4"/>
  <c r="I44" i="4"/>
  <c r="F44" i="4"/>
  <c r="G44" i="4" s="1"/>
  <c r="H44" i="4" s="1"/>
  <c r="E44" i="4"/>
  <c r="D44" i="4"/>
  <c r="I43" i="4"/>
  <c r="E43" i="4"/>
  <c r="D43" i="4"/>
  <c r="F43" i="4" s="1"/>
  <c r="G43" i="4" s="1"/>
  <c r="H43" i="4" s="1"/>
  <c r="I42" i="4"/>
  <c r="S29" i="10" s="1"/>
  <c r="F42" i="4"/>
  <c r="G42" i="4" s="1"/>
  <c r="H42" i="4" s="1"/>
  <c r="E42" i="4"/>
  <c r="D42" i="4"/>
  <c r="I41" i="4"/>
  <c r="S28" i="10" s="1"/>
  <c r="E41" i="4"/>
  <c r="F41" i="4" s="1"/>
  <c r="G41" i="4" s="1"/>
  <c r="H41" i="4" s="1"/>
  <c r="D41" i="4"/>
  <c r="I40" i="4"/>
  <c r="S27" i="10" s="1"/>
  <c r="E40" i="4"/>
  <c r="F40" i="4" s="1"/>
  <c r="G40" i="4" s="1"/>
  <c r="H40" i="4" s="1"/>
  <c r="D40" i="4"/>
  <c r="I39" i="4"/>
  <c r="F39" i="4"/>
  <c r="G39" i="4" s="1"/>
  <c r="H39" i="4" s="1"/>
  <c r="E39" i="4"/>
  <c r="D39" i="4"/>
  <c r="I38" i="4"/>
  <c r="F38" i="4"/>
  <c r="G38" i="4" s="1"/>
  <c r="H38" i="4" s="1"/>
  <c r="E38" i="4"/>
  <c r="D38" i="4"/>
  <c r="I37" i="4"/>
  <c r="S24" i="10" s="1"/>
  <c r="E37" i="4"/>
  <c r="D37" i="4"/>
  <c r="I36" i="4"/>
  <c r="S23" i="10" s="1"/>
  <c r="G36" i="4"/>
  <c r="E36" i="4"/>
  <c r="D36" i="4"/>
  <c r="F36" i="4" s="1"/>
  <c r="B26" i="4"/>
  <c r="I24" i="4"/>
  <c r="E24" i="4"/>
  <c r="D24" i="4"/>
  <c r="F24" i="4" s="1"/>
  <c r="G24" i="4" s="1"/>
  <c r="H24" i="4" s="1"/>
  <c r="I23" i="4"/>
  <c r="E23" i="4"/>
  <c r="D23" i="4"/>
  <c r="F23" i="4" s="1"/>
  <c r="G23" i="4" s="1"/>
  <c r="H23" i="4" s="1"/>
  <c r="I22" i="4"/>
  <c r="E22" i="4"/>
  <c r="D22" i="4"/>
  <c r="F22" i="4" s="1"/>
  <c r="G22" i="4" s="1"/>
  <c r="H22" i="4" s="1"/>
  <c r="I21" i="4"/>
  <c r="E21" i="4"/>
  <c r="F21" i="4" s="1"/>
  <c r="G21" i="4" s="1"/>
  <c r="H21" i="4" s="1"/>
  <c r="D21" i="4"/>
  <c r="I20" i="4"/>
  <c r="F20" i="4"/>
  <c r="G20" i="4" s="1"/>
  <c r="H20" i="4" s="1"/>
  <c r="E20" i="4"/>
  <c r="D20" i="4"/>
  <c r="I19" i="4"/>
  <c r="E19" i="4"/>
  <c r="D19" i="4"/>
  <c r="F19" i="4" s="1"/>
  <c r="G19" i="4" s="1"/>
  <c r="H19" i="4" s="1"/>
  <c r="I18" i="4"/>
  <c r="F18" i="4"/>
  <c r="G18" i="4" s="1"/>
  <c r="H18" i="4" s="1"/>
  <c r="E18" i="4"/>
  <c r="D18" i="4"/>
  <c r="I17" i="4"/>
  <c r="E17" i="4"/>
  <c r="F17" i="4" s="1"/>
  <c r="G17" i="4" s="1"/>
  <c r="H17" i="4" s="1"/>
  <c r="D17" i="4"/>
  <c r="I16" i="4"/>
  <c r="E16" i="4"/>
  <c r="F16" i="4" s="1"/>
  <c r="G16" i="4" s="1"/>
  <c r="H16" i="4" s="1"/>
  <c r="D16" i="4"/>
  <c r="I15" i="4"/>
  <c r="H15" i="4"/>
  <c r="F15" i="4"/>
  <c r="G15" i="4" s="1"/>
  <c r="E15" i="4"/>
  <c r="D15" i="4"/>
  <c r="I14" i="4"/>
  <c r="F14" i="4"/>
  <c r="G14" i="4" s="1"/>
  <c r="H14" i="4" s="1"/>
  <c r="E14" i="4"/>
  <c r="D14" i="4"/>
  <c r="I13" i="4"/>
  <c r="E13" i="4"/>
  <c r="D13" i="4"/>
  <c r="F13" i="4" s="1"/>
  <c r="G13" i="4" s="1"/>
  <c r="H13" i="4" s="1"/>
  <c r="I12" i="4"/>
  <c r="E12" i="4"/>
  <c r="D12" i="4"/>
  <c r="F12" i="4" s="1"/>
  <c r="G12" i="4" s="1"/>
  <c r="H12" i="4" s="1"/>
  <c r="I11" i="4"/>
  <c r="S9" i="10" s="1"/>
  <c r="E11" i="4"/>
  <c r="D11" i="4"/>
  <c r="F11" i="4" s="1"/>
  <c r="G11" i="4" s="1"/>
  <c r="H11" i="4" s="1"/>
  <c r="I10" i="4"/>
  <c r="S8" i="10" s="1"/>
  <c r="E10" i="4"/>
  <c r="D10" i="4"/>
  <c r="F10" i="4" s="1"/>
  <c r="G10" i="4" s="1"/>
  <c r="H10" i="4" s="1"/>
  <c r="I9" i="4"/>
  <c r="S7" i="10" s="1"/>
  <c r="E9" i="4"/>
  <c r="D9" i="4"/>
  <c r="F9" i="4" s="1"/>
  <c r="G9" i="4" s="1"/>
  <c r="H9" i="4" s="1"/>
  <c r="I8" i="4"/>
  <c r="S6" i="10" s="1"/>
  <c r="E8" i="4"/>
  <c r="D8" i="4"/>
  <c r="F8" i="4" s="1"/>
  <c r="G8" i="4" s="1"/>
  <c r="H8" i="4" s="1"/>
  <c r="I7" i="4"/>
  <c r="S5" i="10" s="1"/>
  <c r="E7" i="4"/>
  <c r="F7" i="4" s="1"/>
  <c r="D7" i="4"/>
  <c r="A1" i="4"/>
  <c r="F28" i="2"/>
  <c r="F27" i="2"/>
  <c r="F26" i="2"/>
  <c r="N20" i="2"/>
  <c r="M20" i="2"/>
  <c r="H20" i="2"/>
  <c r="F20" i="2"/>
  <c r="D20" i="2"/>
  <c r="N19" i="2"/>
  <c r="M19" i="2"/>
  <c r="H19" i="2"/>
  <c r="F19" i="2"/>
  <c r="D19" i="2"/>
  <c r="N18" i="2"/>
  <c r="M18" i="2"/>
  <c r="H18" i="2"/>
  <c r="F18" i="2"/>
  <c r="C28" i="2" s="1"/>
  <c r="D18" i="2"/>
  <c r="N17" i="2"/>
  <c r="M17" i="2"/>
  <c r="H17" i="2"/>
  <c r="F17" i="2"/>
  <c r="D17" i="2"/>
  <c r="N16" i="2"/>
  <c r="M16" i="2"/>
  <c r="H16" i="2"/>
  <c r="G16" i="2"/>
  <c r="F16" i="2"/>
  <c r="D16" i="2"/>
  <c r="N15" i="2"/>
  <c r="M15" i="2"/>
  <c r="H15" i="2"/>
  <c r="F15" i="2"/>
  <c r="D15" i="2"/>
  <c r="N14" i="2"/>
  <c r="M14" i="2"/>
  <c r="H14" i="2"/>
  <c r="F14" i="2"/>
  <c r="D14" i="2"/>
  <c r="N13" i="2"/>
  <c r="M13" i="2"/>
  <c r="H13" i="2"/>
  <c r="F13" i="2"/>
  <c r="D13" i="2"/>
  <c r="N12" i="2"/>
  <c r="M12" i="2"/>
  <c r="H12" i="2"/>
  <c r="F12" i="2"/>
  <c r="D12" i="2"/>
  <c r="N11" i="2"/>
  <c r="M11" i="2"/>
  <c r="H11" i="2"/>
  <c r="F11" i="2"/>
  <c r="D11" i="2"/>
  <c r="N10" i="2"/>
  <c r="M10" i="2"/>
  <c r="H10" i="2"/>
  <c r="F10" i="2"/>
  <c r="D10" i="2"/>
  <c r="N9" i="2"/>
  <c r="M9" i="2"/>
  <c r="H9" i="2"/>
  <c r="F9" i="2"/>
  <c r="C26" i="2" s="1"/>
  <c r="D9" i="2"/>
  <c r="F16" i="6" l="1"/>
  <c r="G16" i="6" s="1"/>
  <c r="H16" i="6" s="1"/>
  <c r="F38" i="5"/>
  <c r="G38" i="5" s="1"/>
  <c r="H38" i="5" s="1"/>
  <c r="F46" i="5"/>
  <c r="G46" i="5" s="1"/>
  <c r="H46" i="5" s="1"/>
  <c r="G14" i="2"/>
  <c r="C27" i="2"/>
  <c r="F74" i="5"/>
  <c r="G74" i="5" s="1"/>
  <c r="H74" i="5" s="1"/>
  <c r="D5" i="2"/>
  <c r="H65" i="6"/>
  <c r="B54" i="2"/>
  <c r="L11" i="2"/>
  <c r="G65" i="4"/>
  <c r="S167" i="10"/>
  <c r="I33" i="6"/>
  <c r="G65" i="5"/>
  <c r="F84" i="5"/>
  <c r="F94" i="6"/>
  <c r="D113" i="6"/>
  <c r="D84" i="4"/>
  <c r="I19" i="2"/>
  <c r="F84" i="6"/>
  <c r="F37" i="4"/>
  <c r="G37" i="4" s="1"/>
  <c r="H55" i="4" s="1"/>
  <c r="F51" i="4"/>
  <c r="G51" i="4" s="1"/>
  <c r="H51" i="4" s="1"/>
  <c r="F68" i="4"/>
  <c r="G68" i="4" s="1"/>
  <c r="H68" i="4" s="1"/>
  <c r="F113" i="5"/>
  <c r="I16" i="2"/>
  <c r="G94" i="5"/>
  <c r="D55" i="6"/>
  <c r="G18" i="2"/>
  <c r="F46" i="6"/>
  <c r="G46" i="6" s="1"/>
  <c r="H46" i="6" s="1"/>
  <c r="I4" i="5"/>
  <c r="I62" i="5"/>
  <c r="S114" i="10"/>
  <c r="G15" i="2"/>
  <c r="F22" i="6"/>
  <c r="G22" i="6" s="1"/>
  <c r="H22" i="6" s="1"/>
  <c r="I15" i="2"/>
  <c r="I62" i="4"/>
  <c r="S41" i="10"/>
  <c r="N62" i="10"/>
  <c r="N65" i="10"/>
  <c r="N68" i="10"/>
  <c r="N71" i="10"/>
  <c r="N74" i="10"/>
  <c r="N61" i="10"/>
  <c r="N64" i="10"/>
  <c r="N67" i="10"/>
  <c r="N70" i="10"/>
  <c r="N73" i="10"/>
  <c r="N76" i="10"/>
  <c r="N60" i="10"/>
  <c r="N63" i="10"/>
  <c r="N66" i="10"/>
  <c r="N69" i="10"/>
  <c r="N75" i="10"/>
  <c r="E12" i="2"/>
  <c r="N59" i="10"/>
  <c r="I4" i="4"/>
  <c r="D113" i="4"/>
  <c r="G12" i="2"/>
  <c r="G9" i="2"/>
  <c r="I9" i="2"/>
  <c r="G7" i="4"/>
  <c r="F26" i="4"/>
  <c r="I91" i="5"/>
  <c r="G19" i="2"/>
  <c r="F70" i="6"/>
  <c r="G70" i="6" s="1"/>
  <c r="H70" i="6" s="1"/>
  <c r="D84" i="6"/>
  <c r="F113" i="4"/>
  <c r="I12" i="2"/>
  <c r="G20" i="2"/>
  <c r="G94" i="4"/>
  <c r="F46" i="4"/>
  <c r="G46" i="4" s="1"/>
  <c r="H46" i="4" s="1"/>
  <c r="F26" i="6"/>
  <c r="G7" i="6"/>
  <c r="I17" i="2"/>
  <c r="L16" i="2"/>
  <c r="B59" i="2"/>
  <c r="F52" i="6"/>
  <c r="G52" i="6" s="1"/>
  <c r="H52" i="6" s="1"/>
  <c r="S26" i="10"/>
  <c r="I33" i="4"/>
  <c r="F11" i="5"/>
  <c r="G36" i="5"/>
  <c r="F55" i="5"/>
  <c r="I14" i="2"/>
  <c r="B57" i="2"/>
  <c r="L14" i="2"/>
  <c r="D26" i="6"/>
  <c r="F8" i="6"/>
  <c r="G8" i="6" s="1"/>
  <c r="H8" i="6" s="1"/>
  <c r="G17" i="2"/>
  <c r="H36" i="4"/>
  <c r="D26" i="4"/>
  <c r="G7" i="5"/>
  <c r="I4" i="6"/>
  <c r="G36" i="6"/>
  <c r="F100" i="6"/>
  <c r="G100" i="6" s="1"/>
  <c r="H100" i="6" s="1"/>
  <c r="F67" i="4"/>
  <c r="G67" i="4" s="1"/>
  <c r="H67" i="4" s="1"/>
  <c r="I62" i="6"/>
  <c r="I91" i="6"/>
  <c r="G10" i="2"/>
  <c r="S150" i="10"/>
  <c r="F39" i="5"/>
  <c r="G39" i="5" s="1"/>
  <c r="H39" i="5" s="1"/>
  <c r="G13" i="2"/>
  <c r="S132" i="10"/>
  <c r="I33" i="5"/>
  <c r="D84" i="5"/>
  <c r="N6" i="10" l="1"/>
  <c r="N9" i="10"/>
  <c r="N12" i="10"/>
  <c r="N15" i="10"/>
  <c r="N18" i="10"/>
  <c r="N21" i="10"/>
  <c r="E9" i="2"/>
  <c r="N5" i="10"/>
  <c r="N8" i="10"/>
  <c r="N11" i="10"/>
  <c r="N14" i="10"/>
  <c r="N17" i="10"/>
  <c r="N20" i="10"/>
  <c r="N7" i="10"/>
  <c r="N10" i="10"/>
  <c r="N13" i="10"/>
  <c r="N19" i="10"/>
  <c r="N22" i="10"/>
  <c r="N16" i="10"/>
  <c r="L18" i="2"/>
  <c r="B61" i="2"/>
  <c r="N202" i="10"/>
  <c r="E19" i="2"/>
  <c r="N186" i="10"/>
  <c r="N189" i="10"/>
  <c r="N192" i="10"/>
  <c r="N195" i="10"/>
  <c r="N198" i="10"/>
  <c r="N201" i="10"/>
  <c r="N185" i="10"/>
  <c r="N188" i="10"/>
  <c r="N191" i="10"/>
  <c r="N194" i="10"/>
  <c r="N197" i="10"/>
  <c r="N200" i="10"/>
  <c r="N187" i="10"/>
  <c r="N190" i="10"/>
  <c r="N193" i="10"/>
  <c r="N196" i="10"/>
  <c r="N199" i="10"/>
  <c r="F55" i="4"/>
  <c r="N34" i="10"/>
  <c r="N37" i="10"/>
  <c r="N40" i="10"/>
  <c r="N24" i="10"/>
  <c r="N27" i="10"/>
  <c r="N30" i="10"/>
  <c r="N33" i="10"/>
  <c r="N36" i="10"/>
  <c r="N39" i="10"/>
  <c r="N23" i="10"/>
  <c r="N26" i="10"/>
  <c r="N29" i="10"/>
  <c r="N32" i="10"/>
  <c r="N35" i="10"/>
  <c r="N38" i="10"/>
  <c r="N25" i="10"/>
  <c r="N28" i="10"/>
  <c r="N31" i="10"/>
  <c r="E10" i="2"/>
  <c r="H94" i="4"/>
  <c r="J12" i="2"/>
  <c r="B37" i="2" s="1"/>
  <c r="H113" i="4"/>
  <c r="J16" i="2"/>
  <c r="B41" i="2" s="1"/>
  <c r="H113" i="5"/>
  <c r="H94" i="5"/>
  <c r="G94" i="6"/>
  <c r="I20" i="2"/>
  <c r="F113" i="6"/>
  <c r="J14" i="2"/>
  <c r="B39" i="2" s="1"/>
  <c r="H36" i="5"/>
  <c r="H55" i="5"/>
  <c r="G11" i="5"/>
  <c r="H11" i="5" s="1"/>
  <c r="I13" i="2"/>
  <c r="B56" i="2"/>
  <c r="D27" i="2"/>
  <c r="L13" i="2"/>
  <c r="H55" i="6"/>
  <c r="J18" i="2"/>
  <c r="B43" i="2" s="1"/>
  <c r="H36" i="6"/>
  <c r="I18" i="2"/>
  <c r="H65" i="5"/>
  <c r="H84" i="5"/>
  <c r="J15" i="2"/>
  <c r="B40" i="2" s="1"/>
  <c r="N174" i="10"/>
  <c r="N177" i="10"/>
  <c r="N180" i="10"/>
  <c r="N183" i="10"/>
  <c r="N167" i="10"/>
  <c r="N170" i="10"/>
  <c r="N173" i="10"/>
  <c r="N176" i="10"/>
  <c r="N179" i="10"/>
  <c r="N182" i="10"/>
  <c r="N169" i="10"/>
  <c r="N172" i="10"/>
  <c r="E18" i="2"/>
  <c r="N175" i="10"/>
  <c r="N178" i="10"/>
  <c r="N181" i="10"/>
  <c r="N168" i="10"/>
  <c r="N171" i="10"/>
  <c r="N184" i="10"/>
  <c r="N43" i="10"/>
  <c r="N46" i="10"/>
  <c r="N49" i="10"/>
  <c r="N52" i="10"/>
  <c r="N55" i="10"/>
  <c r="N58" i="10"/>
  <c r="E11" i="2"/>
  <c r="N42" i="10"/>
  <c r="N45" i="10"/>
  <c r="N48" i="10"/>
  <c r="N51" i="10"/>
  <c r="N54" i="10"/>
  <c r="N57" i="10"/>
  <c r="N41" i="10"/>
  <c r="N47" i="10"/>
  <c r="N50" i="10"/>
  <c r="N53" i="10"/>
  <c r="N56" i="10"/>
  <c r="N44" i="10"/>
  <c r="I11" i="2"/>
  <c r="N146" i="10"/>
  <c r="N133" i="10"/>
  <c r="N136" i="10"/>
  <c r="N139" i="10"/>
  <c r="N142" i="10"/>
  <c r="N145" i="10"/>
  <c r="N148" i="10"/>
  <c r="N132" i="10"/>
  <c r="N135" i="10"/>
  <c r="N138" i="10"/>
  <c r="N141" i="10"/>
  <c r="N144" i="10"/>
  <c r="N147" i="10"/>
  <c r="N131" i="10"/>
  <c r="N134" i="10"/>
  <c r="N137" i="10"/>
  <c r="N140" i="10"/>
  <c r="N143" i="10"/>
  <c r="E16" i="2"/>
  <c r="F84" i="4"/>
  <c r="N149" i="10"/>
  <c r="E17" i="2"/>
  <c r="N152" i="10"/>
  <c r="N155" i="10"/>
  <c r="N158" i="10"/>
  <c r="N161" i="10"/>
  <c r="N164" i="10"/>
  <c r="N151" i="10"/>
  <c r="N154" i="10"/>
  <c r="N157" i="10"/>
  <c r="N160" i="10"/>
  <c r="N163" i="10"/>
  <c r="N166" i="10"/>
  <c r="N150" i="10"/>
  <c r="N153" i="10"/>
  <c r="N159" i="10"/>
  <c r="N162" i="10"/>
  <c r="N165" i="10"/>
  <c r="N156" i="10"/>
  <c r="J11" i="2"/>
  <c r="B36" i="2" s="1"/>
  <c r="H84" i="4"/>
  <c r="H65" i="4"/>
  <c r="N96" i="10"/>
  <c r="N99" i="10"/>
  <c r="E14" i="2"/>
  <c r="N102" i="10"/>
  <c r="N105" i="10"/>
  <c r="N108" i="10"/>
  <c r="N111" i="10"/>
  <c r="N95" i="10"/>
  <c r="N98" i="10"/>
  <c r="N101" i="10"/>
  <c r="N104" i="10"/>
  <c r="N107" i="10"/>
  <c r="N110" i="10"/>
  <c r="N97" i="10"/>
  <c r="N103" i="10"/>
  <c r="N106" i="10"/>
  <c r="N109" i="10"/>
  <c r="N112" i="10"/>
  <c r="N100" i="10"/>
  <c r="I10" i="2"/>
  <c r="F55" i="6"/>
  <c r="B53" i="2"/>
  <c r="L10" i="2"/>
  <c r="L20" i="2"/>
  <c r="B63" i="2"/>
  <c r="F26" i="5"/>
  <c r="H7" i="5"/>
  <c r="H26" i="5"/>
  <c r="J13" i="2"/>
  <c r="B38" i="2" s="1"/>
  <c r="H37" i="4"/>
  <c r="K10" i="2" s="1"/>
  <c r="C35" i="2" s="1"/>
  <c r="J10" i="2"/>
  <c r="B35" i="2" s="1"/>
  <c r="H26" i="6"/>
  <c r="H7" i="6"/>
  <c r="J17" i="2"/>
  <c r="B42" i="2" s="1"/>
  <c r="N118" i="10"/>
  <c r="N121" i="10"/>
  <c r="N124" i="10"/>
  <c r="N127" i="10"/>
  <c r="N130" i="10"/>
  <c r="N114" i="10"/>
  <c r="N117" i="10"/>
  <c r="N120" i="10"/>
  <c r="N123" i="10"/>
  <c r="N126" i="10"/>
  <c r="N129" i="10"/>
  <c r="N113" i="10"/>
  <c r="N116" i="10"/>
  <c r="N119" i="10"/>
  <c r="N122" i="10"/>
  <c r="N125" i="10"/>
  <c r="E15" i="2"/>
  <c r="N115" i="10"/>
  <c r="N128" i="10"/>
  <c r="J19" i="2"/>
  <c r="B44" i="2" s="1"/>
  <c r="N90" i="10"/>
  <c r="N93" i="10"/>
  <c r="N77" i="10"/>
  <c r="N80" i="10"/>
  <c r="N83" i="10"/>
  <c r="N86" i="10"/>
  <c r="N89" i="10"/>
  <c r="N92" i="10"/>
  <c r="N79" i="10"/>
  <c r="N82" i="10"/>
  <c r="N85" i="10"/>
  <c r="N88" i="10"/>
  <c r="N91" i="10"/>
  <c r="N94" i="10"/>
  <c r="N78" i="10"/>
  <c r="N81" i="10"/>
  <c r="N84" i="10"/>
  <c r="N87" i="10"/>
  <c r="E13" i="2"/>
  <c r="H84" i="6"/>
  <c r="N205" i="10"/>
  <c r="N208" i="10"/>
  <c r="N211" i="10"/>
  <c r="N214" i="10"/>
  <c r="N217" i="10"/>
  <c r="N220" i="10"/>
  <c r="N204" i="10"/>
  <c r="N207" i="10"/>
  <c r="N210" i="10"/>
  <c r="N213" i="10"/>
  <c r="N216" i="10"/>
  <c r="N219" i="10"/>
  <c r="N203" i="10"/>
  <c r="N206" i="10"/>
  <c r="N209" i="10"/>
  <c r="N215" i="10"/>
  <c r="N218" i="10"/>
  <c r="E20" i="2"/>
  <c r="N212" i="10"/>
  <c r="L19" i="2"/>
  <c r="B62" i="2"/>
  <c r="H7" i="4"/>
  <c r="J9" i="2"/>
  <c r="B34" i="2" s="1"/>
  <c r="H26" i="4"/>
  <c r="L15" i="2"/>
  <c r="B58" i="2"/>
  <c r="D28" i="2"/>
  <c r="B60" i="2"/>
  <c r="L17" i="2"/>
  <c r="B52" i="2"/>
  <c r="G5" i="2"/>
  <c r="L9" i="2"/>
  <c r="D26" i="2"/>
  <c r="B55" i="2"/>
  <c r="L12" i="2"/>
  <c r="K19" i="2"/>
  <c r="C44" i="2" s="1"/>
  <c r="B85" i="6"/>
  <c r="K11" i="2" l="1"/>
  <c r="C36" i="2" s="1"/>
  <c r="B85" i="4"/>
  <c r="B56" i="5"/>
  <c r="K14" i="2"/>
  <c r="C39" i="2" s="1"/>
  <c r="H94" i="6"/>
  <c r="H113" i="6"/>
  <c r="J20" i="2"/>
  <c r="B45" i="2" s="1"/>
  <c r="B85" i="5"/>
  <c r="K15" i="2"/>
  <c r="C40" i="2" s="1"/>
  <c r="B56" i="6"/>
  <c r="K18" i="2"/>
  <c r="C43" i="2" s="1"/>
  <c r="B114" i="5"/>
  <c r="K16" i="2"/>
  <c r="C41" i="2" s="1"/>
  <c r="A5" i="2"/>
  <c r="B19" i="3"/>
  <c r="B20" i="3" s="1"/>
  <c r="B56" i="4"/>
  <c r="B27" i="5"/>
  <c r="K13" i="2"/>
  <c r="K12" i="2"/>
  <c r="C37" i="2" s="1"/>
  <c r="B114" i="4"/>
  <c r="B27" i="4"/>
  <c r="K9" i="2"/>
  <c r="B27" i="6"/>
  <c r="K17" i="2"/>
  <c r="C34" i="2" l="1"/>
  <c r="E26" i="2"/>
  <c r="E27" i="2"/>
  <c r="C38" i="2"/>
  <c r="C42" i="2"/>
  <c r="K20" i="2"/>
  <c r="C45" i="2" s="1"/>
  <c r="B114" i="6"/>
  <c r="E28" i="2" l="1"/>
  <c r="J5" i="2"/>
</calcChain>
</file>

<file path=xl/sharedStrings.xml><?xml version="1.0" encoding="utf-8"?>
<sst xmlns="http://schemas.openxmlformats.org/spreadsheetml/2006/main" count="2341" uniqueCount="570">
  <si>
    <t>塔防模式｜4 日战役智能设计器</t>
  </si>
  <si>
    <t>正式战役为第 1～3 日共 12 波；第 4 日白昼只进行铃兰 Boss。第 1 日前三波已锁定保留。</t>
  </si>
  <si>
    <t>建议工作流</t>
  </si>
  <si>
    <t>先在“敌人目录”维护全局固定战斗数值、息壤与掉落概率。</t>
  </si>
  <si>
    <t>在“全局设置”调整模拟玩家数、击杀率，以及第 1～3 日独立地下探索行动力。</t>
  </si>
  <si>
    <t>在“第1日”至“第3日”编辑每波敌人、数量、出生点与刷怪节奏；第 4 日 Boss 面板只读。</t>
  </si>
  <si>
    <t>到“总览”检查 12 波统计、日汇总、地下探索行动力和 Boss 接续。</t>
  </si>
  <si>
    <t>完成后把工作簿交回 Codex；Codex 校验并转换为 schema v3 JSON。工作簿不会直接写入正式 .tres。</t>
  </si>
  <si>
    <t>颜色与输入规则</t>
  </si>
  <si>
    <t>浅蓝</t>
  </si>
  <si>
    <t>波次名称、敌人、数量、出生点及节奏：可编辑</t>
  </si>
  <si>
    <t>金黄</t>
  </si>
  <si>
    <t>敌人固定息壤与工作簿关键提醒</t>
  </si>
  <si>
    <t>浅绿 / 浅紫</t>
  </si>
  <si>
    <t>敌人掉落概率：可编辑，输入 0%～100%</t>
  </si>
  <si>
    <t>浅灰</t>
  </si>
  <si>
    <t>公式与权威结构字段：请勿手工覆盖</t>
  </si>
  <si>
    <t>浅红</t>
  </si>
  <si>
    <t>校验失败：缺少输入、重复敌人或数值越界</t>
  </si>
  <si>
    <t>四日流程（结构性约束）</t>
  </si>
  <si>
    <t>第1～3日</t>
  </si>
  <si>
    <t>每天 4 个普通波次；第 4、8、12 波完成后进入地下探索。</t>
  </si>
  <si>
    <t>地下探索</t>
  </si>
  <si>
    <t>三日默认行动力分别为 5、5、5；配置为 0 时跳过。正式流程不再进入命运时间。</t>
  </si>
  <si>
    <t>第4日</t>
  </si>
  <si>
    <t>白昼准备完成后只进行铃兰 Boss；不显示普通波次编号，击败后直接通关。</t>
  </si>
  <si>
    <t>导入契约</t>
  </si>
  <si>
    <t>schema v3：12 波、4 日、Boss 位于第 12 波后、Boss 日为第 4 日白昼。</t>
  </si>
  <si>
    <t>请勿直接编辑“敌人导入数据（勿改）”“导入数据（勿改）”与“系统数据（勿改）”；它们是稳定 ID 和反向回读契约。</t>
  </si>
  <si>
    <t>塔防模式｜4 日战役总览</t>
  </si>
  <si>
    <t>第 1～3 日共 12 个普通波次；每日日终进入地下探索；第 4 日白昼只进行铃兰 Boss。</t>
  </si>
  <si>
    <t>可回读波次</t>
  </si>
  <si>
    <t>基础敌人数</t>
  </si>
  <si>
    <t>实际敌人数</t>
  </si>
  <si>
    <t>预计息壤/队伍</t>
  </si>
  <si>
    <t>Boss</t>
  </si>
  <si>
    <t>铃兰</t>
  </si>
  <si>
    <t>第4日·白昼</t>
  </si>
  <si>
    <t>波次</t>
  </si>
  <si>
    <t>日</t>
  </si>
  <si>
    <t>时段</t>
  </si>
  <si>
    <t>名称</t>
  </si>
  <si>
    <t>状态</t>
  </si>
  <si>
    <t>基础数量</t>
  </si>
  <si>
    <t>实际数量</t>
  </si>
  <si>
    <t>敌人种类</t>
  </si>
  <si>
    <t>最大息壤/玩家</t>
  </si>
  <si>
    <t>预计息壤/玩家</t>
  </si>
  <si>
    <t>最短刷怪(s)</t>
  </si>
  <si>
    <t>存活上限</t>
  </si>
  <si>
    <t>启用出生点</t>
  </si>
  <si>
    <t>第1波</t>
  </si>
  <si>
    <t>白昼</t>
  </si>
  <si>
    <t>第2波</t>
  </si>
  <si>
    <t>第3波</t>
  </si>
  <si>
    <t>夜晚</t>
  </si>
  <si>
    <t>第4波</t>
  </si>
  <si>
    <t>第5波</t>
  </si>
  <si>
    <t>第6波</t>
  </si>
  <si>
    <t>第7波</t>
  </si>
  <si>
    <t>第8波</t>
  </si>
  <si>
    <t>第9波</t>
  </si>
  <si>
    <t>第10波</t>
  </si>
  <si>
    <t>第11波</t>
  </si>
  <si>
    <t>第12波</t>
  </si>
  <si>
    <t>第 4 日·白昼｜60 秒准备 → 铃兰 Boss → 击败后直接通关（无普通波次编号、无日终探索）</t>
  </si>
  <si>
    <t>每日汇总</t>
  </si>
  <si>
    <t>普通波次</t>
  </si>
  <si>
    <t>基础敌人</t>
  </si>
  <si>
    <t>实际敌人</t>
  </si>
  <si>
    <t>日终地下探索 AP</t>
  </si>
  <si>
    <t>第1日</t>
  </si>
  <si>
    <t>第2日</t>
  </si>
  <si>
    <t>第3日</t>
  </si>
  <si>
    <t>无（Boss 后通关）</t>
  </si>
  <si>
    <t>全局设置与四日战役契约</t>
  </si>
  <si>
    <t>蓝色项目影响平衡预览；地下探索行动力会进入 schema v3 并由正式成长配置读取。</t>
  </si>
  <si>
    <t>模拟参数</t>
  </si>
  <si>
    <t>当前值</t>
  </si>
  <si>
    <t>玩家人数</t>
  </si>
  <si>
    <t>每名额外玩家敌人数增幅</t>
  </si>
  <si>
    <t>预计击杀率</t>
  </si>
  <si>
    <t>目标普通波次数</t>
  </si>
  <si>
    <t>总日数</t>
  </si>
  <si>
    <t>每日日内波次</t>
  </si>
  <si>
    <t>Boss 接续于</t>
  </si>
  <si>
    <t>第12波之后</t>
  </si>
  <si>
    <t>Boss 日期</t>
  </si>
  <si>
    <t>Boss 时段</t>
  </si>
  <si>
    <t>第 1～3 日地下探索行动力（独立输入）</t>
  </si>
  <si>
    <t>第1日探索 AP</t>
  </si>
  <si>
    <t>第2日探索 AP</t>
  </si>
  <si>
    <t>第3日探索 AP</t>
  </si>
  <si>
    <t>设计完整度</t>
  </si>
  <si>
    <t>总体状态</t>
  </si>
  <si>
    <t>敌人目录签名</t>
  </si>
  <si>
    <t>b1fe8380d773e1597266e16f821f218f409f50807d0f37e8e2cf139bc0c16be8</t>
  </si>
  <si>
    <t>回读契约</t>
  </si>
  <si>
    <t>tower_defense_formal / schema v3</t>
  </si>
  <si>
    <t>注意：本工作簿不会直接修改正式 wave_01～12.tres；Codex 会先校验 JSON 契约并明确审计差异。</t>
  </si>
  <si>
    <t>第 1 波｜第 1 日·1/4｜白昼｜当前正式配置</t>
  </si>
  <si>
    <t>波次名称</t>
  </si>
  <si>
    <t>第1波 林地试探</t>
  </si>
  <si>
    <t>出生间隔(s)</t>
  </si>
  <si>
    <t>每Tick</t>
  </si>
  <si>
    <t>出生点</t>
  </si>
  <si>
    <t>点1·开启</t>
  </si>
  <si>
    <t>点2·开启</t>
  </si>
  <si>
    <t>点3·开启</t>
  </si>
  <si>
    <t>点4·开启</t>
  </si>
  <si>
    <t>点5·关闭</t>
  </si>
  <si>
    <t>点6·关闭</t>
  </si>
  <si>
    <t>波次校验</t>
  </si>
  <si>
    <t>仅编辑蓝色列、敌人数值和出生点；所有公式、稳定 ID 与 schema 字段由机器区自动生成。</t>
  </si>
  <si>
    <t>槽位</t>
  </si>
  <si>
    <t>敌人（下拉选择）</t>
  </si>
  <si>
    <t>息壤/击杀</t>
  </si>
  <si>
    <t>校验</t>
  </si>
  <si>
    <t>史莱姆</t>
  </si>
  <si>
    <t>火焰史莱姆</t>
  </si>
  <si>
    <t>普通原石虫</t>
  </si>
  <si>
    <t>迅捷原石虫</t>
  </si>
  <si>
    <t>火焰弹原石虫</t>
  </si>
  <si>
    <t>基础总数</t>
  </si>
  <si>
    <t>实际总数</t>
  </si>
  <si>
    <t>说明</t>
  </si>
  <si>
    <t>预计息壤 = 实际数量 × 固定息壤 × 击杀率；已移除每日命运倍率。</t>
  </si>
  <si>
    <t>第 2 波｜第 1 日·2/4｜白昼｜当前正式配置</t>
  </si>
  <si>
    <t>第2波 迅影与硬壳</t>
  </si>
  <si>
    <t>硬壳原石虫</t>
  </si>
  <si>
    <t>寒冰史莱姆</t>
  </si>
  <si>
    <t>第 3 波｜第 1 日·3/4｜夜晚｜当前正式配置</t>
  </si>
  <si>
    <t>第3波 火线初现</t>
  </si>
  <si>
    <t>点5·开启</t>
  </si>
  <si>
    <t>点6·开启</t>
  </si>
  <si>
    <t>守护者原石虫</t>
  </si>
  <si>
    <t>自爆原石虫</t>
  </si>
  <si>
    <t>绿色史莱姆</t>
  </si>
  <si>
    <t>紫晶自爆原石虫</t>
  </si>
  <si>
    <t>第 4 波｜第 1 日·4/4｜夜晚｜当前正式配置</t>
  </si>
  <si>
    <t>第4波 林地合围</t>
  </si>
  <si>
    <t>翠壳原石虫</t>
  </si>
  <si>
    <t>黄金史莱姆</t>
  </si>
  <si>
    <t>冲锋枪 Capoo</t>
  </si>
  <si>
    <t>AK猫猫虫</t>
  </si>
  <si>
    <t>第 5 波｜第 2 日·1/4｜白昼｜当前正式配置</t>
  </si>
  <si>
    <t>第5波 沼泽先遣</t>
  </si>
  <si>
    <t>第 6 波｜第 2 日·2/4｜白昼｜当前正式配置</t>
  </si>
  <si>
    <t>第6波 守护阵列</t>
  </si>
  <si>
    <t>第 7 波｜第 2 日·3/4｜夜晚｜当前正式配置</t>
  </si>
  <si>
    <t>第7波 紫晶突袭</t>
  </si>
  <si>
    <t>第 8 波｜第 2 日·4/4｜夜晚｜当前正式配置</t>
  </si>
  <si>
    <t>第8波 沼泽合围</t>
  </si>
  <si>
    <t>第 9 波｜第 3 日·1/4｜白昼｜当前正式配置</t>
  </si>
  <si>
    <t>第9波 城镇前锋</t>
  </si>
  <si>
    <t>骑士猫猫虫</t>
  </si>
  <si>
    <t>第 10 波｜第 3 日·2/4｜白昼｜当前正式配置</t>
  </si>
  <si>
    <t>第10波 火力交叉</t>
  </si>
  <si>
    <t>第 11 波｜第 3 日·3/4｜夜晚｜当前正式配置</t>
  </si>
  <si>
    <t>第11波 奥术重装</t>
  </si>
  <si>
    <t>法师 Capoo</t>
  </si>
  <si>
    <t>石头人</t>
  </si>
  <si>
    <t>第 12 波｜第 3 日·4/4｜夜晚｜当前正式配置</t>
  </si>
  <si>
    <t>第12波 城镇决战</t>
  </si>
  <si>
    <t>RPG猫猫虫</t>
  </si>
  <si>
    <t>第 4 日｜白昼｜铃兰 Boss</t>
  </si>
  <si>
    <t>只读 Boss 面板：第 4 日没有第 13～16 波；60 秒白昼准备后进入铃兰战，击败后直接通关。</t>
  </si>
  <si>
    <t>流程身份</t>
  </si>
  <si>
    <t>日期</t>
  </si>
  <si>
    <t>前置</t>
  </si>
  <si>
    <t>第12波 + 第3日地下探索</t>
  </si>
  <si>
    <t>准备</t>
  </si>
  <si>
    <t>60 秒（正式默认）</t>
  </si>
  <si>
    <t>流程节点</t>
  </si>
  <si>
    <t>boss_01_linglan</t>
  </si>
  <si>
    <t>Boss ID</t>
  </si>
  <si>
    <t>linglan_boss</t>
  </si>
  <si>
    <t>显示名称</t>
  </si>
  <si>
    <t>普通波次编号</t>
  </si>
  <si>
    <t>不显示</t>
  </si>
  <si>
    <t>Boss 配置</t>
  </si>
  <si>
    <t>res://resources/config/bosses/boss_01_linglan.tres</t>
  </si>
  <si>
    <t>敌人配置</t>
  </si>
  <si>
    <t>res://resources/config/enemies/linglan_boss.tres</t>
  </si>
  <si>
    <t>Boss 音乐</t>
  </si>
  <si>
    <t>res://resources/audio/BGM_The_Truth_Never_Spoken.mp3</t>
  </si>
  <si>
    <t>通关条件</t>
  </si>
  <si>
    <t>铃兰死亡 → 沿用现有胜利流程 → 显示通关
不会再次进入地下探索，也不会进入小葱命运时间。</t>
  </si>
  <si>
    <t>此页无可编辑波次区域；Boss 数值继续由现有 Boss / Enemy 资源维护。</t>
  </si>
  <si>
    <t>敌人目录｜63 个普通波次敌人的全局固定配置</t>
  </si>
  <si>
    <t>敌人目录｜49 个普通波次敌人的全局固定配置</t>
  </si>
  <si>
    <t>蓝色、金色、绿色与紫色区域可编辑；所有 12 波共同引用本目录，Boss 不在普通波次下拉列表中。</t>
  </si>
  <si>
    <t>蓝色、金色、绿色与紫色区域均可编辑。每种敌人的数值、息壤和掉落只在此处定义一次，并由所有波次共同引用；波次页不再提供覆盖值。</t>
  </si>
  <si>
    <t>身份与引用｜只读</t>
  </si>
  <si>
    <t>战斗数值｜可编辑</t>
  </si>
  <si>
    <t>击杀奖励｜可编辑</t>
  </si>
  <si>
    <t>自动计算</t>
  </si>
  <si>
    <t>材料掉落概率｜每次击杀独立判定</t>
  </si>
  <si>
    <t>功能道具掉落概率｜每次击杀独立判定</t>
  </si>
  <si>
    <t>校验与来源｜只读</t>
  </si>
  <si>
    <t>下拉名称</t>
  </si>
  <si>
    <t>稳定ID</t>
  </si>
  <si>
    <t>家族</t>
  </si>
  <si>
    <t>等级</t>
  </si>
  <si>
    <t>正式波次已使用</t>
  </si>
  <si>
    <t>生命</t>
  </si>
  <si>
    <t>攻击</t>
  </si>
  <si>
    <t>物理防御</t>
  </si>
  <si>
    <t>法术防御</t>
  </si>
  <si>
    <t>移速</t>
  </si>
  <si>
    <t>Home伤害</t>
  </si>
  <si>
    <t>掉落期望/击杀</t>
  </si>
  <si>
    <t>木头</t>
  </si>
  <si>
    <t>白色水晶</t>
  </si>
  <si>
    <t>树苗</t>
  </si>
  <si>
    <t>卡普蓝晶</t>
  </si>
  <si>
    <t>术士紫晶粉</t>
  </si>
  <si>
    <t>凝胶</t>
  </si>
  <si>
    <t>小石块</t>
  </si>
  <si>
    <t>移速道具</t>
  </si>
  <si>
    <t>射速道具</t>
  </si>
  <si>
    <t>天妇罗道具</t>
  </si>
  <si>
    <t>生命药瓶</t>
  </si>
  <si>
    <t>雪狼破军</t>
  </si>
  <si>
    <t>行校验</t>
  </si>
  <si>
    <t>类别标签</t>
  </si>
  <si>
    <t>配置路径</t>
  </si>
  <si>
    <t>场景路径</t>
  </si>
  <si>
    <t>yuanshi_insect_basic</t>
  </si>
  <si>
    <t>原石虫</t>
  </si>
  <si>
    <t>普通</t>
  </si>
  <si>
    <t>是</t>
  </si>
  <si>
    <t>yuanshi_insect</t>
  </si>
  <si>
    <t>res://resources/config/enemies/yuanshi_insect_basic.tres</t>
  </si>
  <si>
    <t>res://scene/enemy/yuanshi_insect/yuanshi_insect_basic.tscn</t>
  </si>
  <si>
    <t>yuanshi_insect_shell</t>
  </si>
  <si>
    <t>res://resources/config/enemies/yuanshi_insect_shell.tres</t>
  </si>
  <si>
    <t>res://scene/enemy/yuanshi_insect/yuanshi_insect_shell.tscn</t>
  </si>
  <si>
    <t>yuanshi_insect_fast</t>
  </si>
  <si>
    <t>res://resources/config/enemies/yuanshi_insect_fast.tres</t>
  </si>
  <si>
    <t>res://scene/enemy/yuanshi_insect/yuanshi_insect_fast.tscn</t>
  </si>
  <si>
    <t>yuanshi_insect_bomber</t>
  </si>
  <si>
    <t>res://resources/config/enemies/yuanshi_insect_bomber.tres</t>
  </si>
  <si>
    <t>res://scene/enemy/yuanshi_insect/yuanshi_insect_bomber.tscn</t>
  </si>
  <si>
    <t>yuanshi_insect_purple_bomber</t>
  </si>
  <si>
    <t>res://resources/config/enemies/yuanshi_insect_purple_bomber.tres</t>
  </si>
  <si>
    <t>res://scene/enemy/yuanshi_insect/yuanshi_insect_purple_bomber.tscn</t>
  </si>
  <si>
    <t>yuanshi_insect_green_shell</t>
  </si>
  <si>
    <t>res://resources/config/enemies/yuanshi_insect_green_shell.tres</t>
  </si>
  <si>
    <t>res://scene/enemy/yuanshi_insect/yuanshi_insect_green_shell.tscn</t>
  </si>
  <si>
    <t>yuanshi_insect_fire_ranged</t>
  </si>
  <si>
    <t>res://resources/config/enemies/yuanshi_insect_fire_ranged.tres</t>
  </si>
  <si>
    <t>res://scene/enemy/yuanshi_insect/yuanshi_insect_fire_ranged.tscn</t>
  </si>
  <si>
    <t>yuanshi_insect_guardian</t>
  </si>
  <si>
    <t>res://resources/config/enemies/yuanshi_insect_guardian.tres</t>
  </si>
  <si>
    <t>res://scene/enemy/yuanshi_insect/yuanshi_insect_guardian.tscn</t>
  </si>
  <si>
    <t>被石头侵蚀的普通原石虫</t>
  </si>
  <si>
    <t>stone_eroded_yuanshi_insect_basic</t>
  </si>
  <si>
    <t>否</t>
  </si>
  <si>
    <t>yuanshi_insect, stone_eroded</t>
  </si>
  <si>
    <t>res://resources/config/enemies/stone_eroded_yuanshi_insect_basic.tres</t>
  </si>
  <si>
    <t>res://scene/enemy/stone_eroded/stone_eroded_yuanshi_insect_basic.tscn</t>
  </si>
  <si>
    <t>被石头侵蚀的硬壳原石虫</t>
  </si>
  <si>
    <t>stone_eroded_yuanshi_insect_shell</t>
  </si>
  <si>
    <t>res://resources/config/enemies/stone_eroded_yuanshi_insect_shell.tres</t>
  </si>
  <si>
    <t>res://scene/enemy/stone_eroded/stone_eroded_yuanshi_insect_shell.tscn</t>
  </si>
  <si>
    <t>被石头侵蚀的迅捷原石虫</t>
  </si>
  <si>
    <t>stone_eroded_yuanshi_insect_fast</t>
  </si>
  <si>
    <t>res://resources/config/enemies/stone_eroded_yuanshi_insect_fast.tres</t>
  </si>
  <si>
    <t>res://scene/enemy/stone_eroded/stone_eroded_yuanshi_insect_fast.tscn</t>
  </si>
  <si>
    <t>被石头侵蚀的自爆原石虫</t>
  </si>
  <si>
    <t>stone_eroded_yuanshi_insect_bomber</t>
  </si>
  <si>
    <t>res://resources/config/enemies/stone_eroded_yuanshi_insect_bomber.tres</t>
  </si>
  <si>
    <t>res://scene/enemy/stone_eroded/stone_eroded_yuanshi_insect_bomber.tscn</t>
  </si>
  <si>
    <t>被石头侵蚀的紫晶自爆原石虫</t>
  </si>
  <si>
    <t>stone_eroded_yuanshi_insect_purple_bomber</t>
  </si>
  <si>
    <t>res://resources/config/enemies/stone_eroded_yuanshi_insect_purple_bomber.tres</t>
  </si>
  <si>
    <t>res://scene/enemy/stone_eroded/stone_eroded_yuanshi_insect_purple_bomber.tscn</t>
  </si>
  <si>
    <t>被石头侵蚀的翠壳原石虫</t>
  </si>
  <si>
    <t>stone_eroded_yuanshi_insect_green_shell</t>
  </si>
  <si>
    <t>res://resources/config/enemies/stone_eroded_yuanshi_insect_green_shell.tres</t>
  </si>
  <si>
    <t>res://scene/enemy/stone_eroded/stone_eroded_yuanshi_insect_green_shell.tscn</t>
  </si>
  <si>
    <t>被石头侵蚀的火焰弹原石虫</t>
  </si>
  <si>
    <t>stone_eroded_yuanshi_insect_fire_ranged</t>
  </si>
  <si>
    <t>res://resources/config/enemies/stone_eroded_yuanshi_insect_fire_ranged.tres</t>
  </si>
  <si>
    <t>res://scene/enemy/stone_eroded/stone_eroded_yuanshi_insect_fire_ranged.tscn</t>
  </si>
  <si>
    <t>被石头侵蚀的守护者原石虫</t>
  </si>
  <si>
    <t>stone_eroded_yuanshi_insect_guardian</t>
  </si>
  <si>
    <t>res://resources/config/enemies/stone_eroded_yuanshi_insect_guardian.tres</t>
  </si>
  <si>
    <t>res://scene/enemy/stone_eroded/stone_eroded_yuanshi_insect_guardian.tscn</t>
  </si>
  <si>
    <t>slime_basic</t>
  </si>
  <si>
    <t>slime</t>
  </si>
  <si>
    <t>res://resources/config/enemies/slime.tres</t>
  </si>
  <si>
    <t>res://scene/enemy/slime/slime_basic.tscn</t>
  </si>
  <si>
    <t>slime_fire</t>
  </si>
  <si>
    <t>res://resources/config/enemies/slime_fire.tres</t>
  </si>
  <si>
    <t>res://scene/enemy/slime/slime_fire.tscn</t>
  </si>
  <si>
    <t>slime_frost</t>
  </si>
  <si>
    <t>res://resources/config/enemies/slime_frost.tres</t>
  </si>
  <si>
    <t>res://scene/enemy/slime/slime_frost.tscn</t>
  </si>
  <si>
    <t>slime_green</t>
  </si>
  <si>
    <t>res://resources/config/enemies/slime_green.tres</t>
  </si>
  <si>
    <t>res://scene/enemy/slime/slime_green.tscn</t>
  </si>
  <si>
    <t>slime_golden</t>
  </si>
  <si>
    <t>res://resources/config/enemies/slime_golden.tres</t>
  </si>
  <si>
    <t>res://scene/enemy/slime/slime_golden.tscn</t>
  </si>
  <si>
    <t>被石头侵蚀的史莱姆</t>
  </si>
  <si>
    <t>stone_eroded_slime</t>
  </si>
  <si>
    <t>slime, stone_eroded</t>
  </si>
  <si>
    <t>res://resources/config/enemies/stone_eroded_slime.tres</t>
  </si>
  <si>
    <t>res://scene/enemy/stone_eroded/stone_eroded_slime.tscn</t>
  </si>
  <si>
    <t>被石头侵蚀的火焰史莱姆</t>
  </si>
  <si>
    <t>stone_eroded_slime_fire</t>
  </si>
  <si>
    <t>res://resources/config/enemies/stone_eroded_slime_fire.tres</t>
  </si>
  <si>
    <t>res://scene/enemy/stone_eroded/stone_eroded_slime_fire.tscn</t>
  </si>
  <si>
    <t>被石头侵蚀的寒冰史莱姆</t>
  </si>
  <si>
    <t>stone_eroded_slime_frost</t>
  </si>
  <si>
    <t>res://resources/config/enemies/stone_eroded_slime_frost.tres</t>
  </si>
  <si>
    <t>res://scene/enemy/stone_eroded/stone_eroded_slime_frost.tscn</t>
  </si>
  <si>
    <t>被石头侵蚀的绿色史莱姆</t>
  </si>
  <si>
    <t>stone_eroded_slime_green</t>
  </si>
  <si>
    <t>res://resources/config/enemies/stone_eroded_slime_green.tres</t>
  </si>
  <si>
    <t>res://scene/enemy/stone_eroded/stone_eroded_slime_green.tscn</t>
  </si>
  <si>
    <t>被石头侵蚀的黄金史莱姆</t>
  </si>
  <si>
    <t>stone_eroded_slime_golden</t>
  </si>
  <si>
    <t>res://resources/config/enemies/stone_eroded_slime_golden.tres</t>
  </si>
  <si>
    <t>res://scene/enemy/stone_eroded/stone_eroded_slime_golden.tscn</t>
  </si>
  <si>
    <t>capoo_knight</t>
  </si>
  <si>
    <t>猫猫虫</t>
  </si>
  <si>
    <t>capoo</t>
  </si>
  <si>
    <t>res://resources/config/enemies/capoo_knight.tres</t>
  </si>
  <si>
    <t>res://scene/enemy/capoo/capoo_knight.tscn</t>
  </si>
  <si>
    <t>精英骑士猫猫虫</t>
  </si>
  <si>
    <t>capoo_knight_elite</t>
  </si>
  <si>
    <t>精英</t>
  </si>
  <si>
    <t>res://resources/config/enemies/capoo_knight_elite.tres</t>
  </si>
  <si>
    <t>res://scene/enemy/capoo/capoo_knight_elite.tscn</t>
  </si>
  <si>
    <t>剑客猫猫虫</t>
  </si>
  <si>
    <t>capoo_swordsman</t>
  </si>
  <si>
    <t>res://resources/config/enemies/capoo_swordsman.tres</t>
  </si>
  <si>
    <t>res://scene/enemy/capoo/capoo_swordsman.tscn</t>
  </si>
  <si>
    <t>capoo_smg</t>
  </si>
  <si>
    <t>res://resources/config/enemies/capoo_smg.tres</t>
  </si>
  <si>
    <t>res://scene/enemy/capoo/capoo_smg.tscn</t>
  </si>
  <si>
    <t>capoo_ak47</t>
  </si>
  <si>
    <t>res://resources/config/enemies/capoo_ak47.tres</t>
  </si>
  <si>
    <t>res://scene/enemy/capoo/capoo_ak47.tscn</t>
  </si>
  <si>
    <t>capoo_rpg</t>
  </si>
  <si>
    <t>res://resources/config/enemies/capoo_rpg.tres</t>
  </si>
  <si>
    <t>res://scene/enemy/capoo/capoo_rpg.tscn</t>
  </si>
  <si>
    <t>capoo_mage</t>
  </si>
  <si>
    <t>res://resources/config/enemies/capoo_mage.tres</t>
  </si>
  <si>
    <t>res://scene/enemy/capoo/capoo_mage.tscn</t>
  </si>
  <si>
    <t>狙击手 Capoo</t>
  </si>
  <si>
    <t>capoo_sniper</t>
  </si>
  <si>
    <t>res://resources/config/enemies/capoo_sniper.tres</t>
  </si>
  <si>
    <t>res://scene/enemy/capoo/capoo_sniper.tscn</t>
  </si>
  <si>
    <t>被石头侵蚀的骑士猫猫虫</t>
  </si>
  <si>
    <t>stone_eroded_capoo_knight</t>
  </si>
  <si>
    <t>capoo, stone_eroded</t>
  </si>
  <si>
    <t>res://resources/config/enemies/stone_eroded_capoo_knight.tres</t>
  </si>
  <si>
    <t>res://scene/enemy/stone_eroded/stone_eroded_capoo_knight.tscn</t>
  </si>
  <si>
    <t>被石头侵蚀的精英骑士猫猫虫</t>
  </si>
  <si>
    <t>stone_eroded_capoo_knight_elite</t>
  </si>
  <si>
    <t>res://resources/config/enemies/stone_eroded_capoo_knight_elite.tres</t>
  </si>
  <si>
    <t>res://scene/enemy/stone_eroded/stone_eroded_capoo_knight_elite.tscn</t>
  </si>
  <si>
    <t>被石头侵蚀的剑客猫猫虫</t>
  </si>
  <si>
    <t>stone_eroded_capoo_swordsman</t>
  </si>
  <si>
    <t>res://resources/config/enemies/stone_eroded_capoo_swordsman.tres</t>
  </si>
  <si>
    <t>res://scene/enemy/stone_eroded/stone_eroded_capoo_swordsman.tscn</t>
  </si>
  <si>
    <t>被石头侵蚀的冲锋枪 Capoo</t>
  </si>
  <si>
    <t>stone_eroded_capoo_smg</t>
  </si>
  <si>
    <t>res://resources/config/enemies/stone_eroded_capoo_smg.tres</t>
  </si>
  <si>
    <t>res://scene/enemy/stone_eroded/stone_eroded_capoo_smg.tscn</t>
  </si>
  <si>
    <t>被石头侵蚀的AK猫猫虫</t>
  </si>
  <si>
    <t>stone_eroded_capoo_ak47</t>
  </si>
  <si>
    <t>res://resources/config/enemies/stone_eroded_capoo_ak47.tres</t>
  </si>
  <si>
    <t>res://scene/enemy/stone_eroded/stone_eroded_capoo_ak47.tscn</t>
  </si>
  <si>
    <t>被石头侵蚀的RPG猫猫虫</t>
  </si>
  <si>
    <t>stone_eroded_capoo_rpg</t>
  </si>
  <si>
    <t>res://resources/config/enemies/stone_eroded_capoo_rpg.tres</t>
  </si>
  <si>
    <t>res://scene/enemy/stone_eroded/stone_eroded_capoo_rpg.tscn</t>
  </si>
  <si>
    <t>被石头侵蚀的法师 Capoo</t>
  </si>
  <si>
    <t>stone_eroded_capoo_mage</t>
  </si>
  <si>
    <t>res://resources/config/enemies/stone_eroded_capoo_mage.tres</t>
  </si>
  <si>
    <t>res://scene/enemy/stone_eroded/stone_eroded_capoo_mage.tscn</t>
  </si>
  <si>
    <t>被石头侵蚀的狙击手 Capoo</t>
  </si>
  <si>
    <t>stone_eroded_capoo_sniper</t>
  </si>
  <si>
    <t>res://resources/config/enemies/stone_eroded_capoo_sniper.tres</t>
  </si>
  <si>
    <t>res://scene/enemy/stone_eroded/stone_eroded_capoo_sniper.tscn</t>
  </si>
  <si>
    <t>火焰术士</t>
  </si>
  <si>
    <t>fire_sorcerer</t>
  </si>
  <si>
    <t>术士</t>
  </si>
  <si>
    <t>sorcerer</t>
  </si>
  <si>
    <t>res://resources/config/enemies/fire_sorcerer.tres</t>
  </si>
  <si>
    <t>res://scene/enemy/sorcerer/fire_sorcerer.tscn</t>
  </si>
  <si>
    <t>精英火焰术士</t>
  </si>
  <si>
    <t>fire_sorcerer_elite</t>
  </si>
  <si>
    <t>res://resources/config/enemies/fire_sorcerer_elite.tres</t>
  </si>
  <si>
    <t>res://scene/enemy/sorcerer/fire_sorcerer_elite.tscn</t>
  </si>
  <si>
    <t>寒冰术士</t>
  </si>
  <si>
    <t>frost_sorcerer</t>
  </si>
  <si>
    <t>res://resources/config/enemies/frost_sorcerer.tres</t>
  </si>
  <si>
    <t>res://scene/enemy/sorcerer/frost_sorcerer.tscn</t>
  </si>
  <si>
    <t>精英冰霜术士</t>
  </si>
  <si>
    <t>frost_sorcerer_elite</t>
  </si>
  <si>
    <t>res://resources/config/enemies/frost_sorcerer_elite.tres</t>
  </si>
  <si>
    <t>res://scene/enemy/sorcerer/frost_sorcerer_elite.tscn</t>
  </si>
  <si>
    <t>雷电术士</t>
  </si>
  <si>
    <t>lightning_sorcerer</t>
  </si>
  <si>
    <t>res://resources/config/enemies/lightning_sorcerer.tres</t>
  </si>
  <si>
    <t>res://scene/enemy/sorcerer/lightning_sorcerer.tscn</t>
  </si>
  <si>
    <t>精英雷电术士</t>
  </si>
  <si>
    <t>lightning_sorcerer_elite</t>
  </si>
  <si>
    <t>res://resources/config/enemies/lightning_sorcerer_elite.tres</t>
  </si>
  <si>
    <t>res://scene/enemy/sorcerer/lightning_sorcerer_elite.tscn</t>
  </si>
  <si>
    <t>stone_golem</t>
  </si>
  <si>
    <t>人工造物</t>
  </si>
  <si>
    <t>artificial_creation</t>
  </si>
  <si>
    <t>res://resources/config/enemies/stone_golem.tres</t>
  </si>
  <si>
    <t>res://scene/enemy/artificial_creation/stone_golem.tscn</t>
  </si>
  <si>
    <t>精英石头人</t>
  </si>
  <si>
    <t>stone_golem_elite</t>
  </si>
  <si>
    <t>res://resources/config/enemies/stone_golem_elite.tres</t>
  </si>
  <si>
    <t>res://scene/enemy/artificial_creation/stone_golem_elite.tscn</t>
  </si>
  <si>
    <t>纸箱怪</t>
  </si>
  <si>
    <t>cardboard_monster</t>
  </si>
  <si>
    <t>res://resources/config/enemies/cardboard_monster.tres</t>
  </si>
  <si>
    <t>res://scene/enemy/artificial_creation/cardboard_monster.tscn</t>
  </si>
  <si>
    <t>大纸箱怪</t>
  </si>
  <si>
    <t>cardboard_monster_large</t>
  </si>
  <si>
    <t>res://resources/config/enemies/cardboard_monster_large.tres</t>
  </si>
  <si>
    <t>res://scene/enemy/artificial_creation/cardboard_monster_large.tscn</t>
  </si>
  <si>
    <t>战斗机器人</t>
  </si>
  <si>
    <t>combat_robot</t>
  </si>
  <si>
    <t>机械生命</t>
  </si>
  <si>
    <t>mechanical_life</t>
  </si>
  <si>
    <t>res://resources/config/enemies/combat_robot.tres</t>
  </si>
  <si>
    <t>res://scene/enemy/mechanical_life/combat_robot.tscn</t>
  </si>
  <si>
    <t>精英战斗机器人</t>
  </si>
  <si>
    <t>combat_robot_elite</t>
  </si>
  <si>
    <t>res://resources/config/enemies/combat_robot_elite.tres</t>
  </si>
  <si>
    <t>res://scene/enemy/mechanical_life/combat_robot_elite.tscn</t>
  </si>
  <si>
    <t>持枪战斗机器人</t>
  </si>
  <si>
    <t>combat_robot_gunner</t>
  </si>
  <si>
    <t>res://resources/config/enemies/combat_robot_gunner.tres</t>
  </si>
  <si>
    <t>res://scene/enemy/mechanical_life/combat_robot_gunner.tscn</t>
  </si>
  <si>
    <t>精英持枪战斗机器人</t>
  </si>
  <si>
    <t>combat_robot_gunner_elite</t>
  </si>
  <si>
    <t>res://resources/config/enemies/combat_robot_gunner_elite.tres</t>
  </si>
  <si>
    <t>res://scene/enemy/mechanical_life/combat_robot_gunner_elite.tscn</t>
  </si>
  <si>
    <t>爆炸无人机操作员</t>
  </si>
  <si>
    <t>combat_robot_drone_operator</t>
  </si>
  <si>
    <t>res://resources/config/enemies/combat_robot_drone_operator.tres</t>
  </si>
  <si>
    <t>res://scene/enemy/mechanical_life/combat_robot_drone_operator.tscn</t>
  </si>
  <si>
    <t>精英爆炸无人机操作员</t>
  </si>
  <si>
    <t>combat_robot_drone_operator_elite</t>
  </si>
  <si>
    <t>res://resources/config/enemies/combat_robot_drone_operator_elite.tres</t>
  </si>
  <si>
    <t>res://scene/enemy/mechanical_life/combat_robot_drone_operator_elite.tscn</t>
  </si>
  <si>
    <t>举盾战斗机器人</t>
  </si>
  <si>
    <t>combat_robot_shield_bearer</t>
  </si>
  <si>
    <t>res://resources/config/enemies/combat_robot_shield_bearer.tres</t>
  </si>
  <si>
    <t>res://scene/enemy/mechanical_life/combat_robot_shield_bearer.tscn</t>
  </si>
  <si>
    <t>精英举盾战斗机器人</t>
  </si>
  <si>
    <t>combat_robot_shield_bearer_elite</t>
  </si>
  <si>
    <t>res://resources/config/enemies/combat_robot_shield_bearer_elite.tres</t>
  </si>
  <si>
    <t>res://scene/enemy/mechanical_life/combat_robot_shield_bearer_elite.tscn</t>
  </si>
  <si>
    <t>忍者战斗机器人</t>
  </si>
  <si>
    <t>combat_robot_ninja</t>
  </si>
  <si>
    <t>res://resources/config/enemies/combat_robot_ninja.tres</t>
  </si>
  <si>
    <t>res://scene/enemy/mechanical_life/combat_robot_ninja.tscn</t>
  </si>
  <si>
    <t>精英忍者战斗机器人</t>
  </si>
  <si>
    <t>combat_robot_ninja_elite</t>
  </si>
  <si>
    <t>res://resources/config/enemies/combat_robot_ninja_elite.tres</t>
  </si>
  <si>
    <t>res://scene/enemy/mechanical_life/combat_robot_ninja_elite.tscn</t>
  </si>
  <si>
    <t>主战机器人</t>
  </si>
  <si>
    <t>combat_robot_main_battle_elite</t>
  </si>
  <si>
    <t>res://resources/config/enemies/combat_robot_main_battle_elite.tres</t>
  </si>
  <si>
    <t>res://scene/enemy/mechanical_life/combat_robot_main_battle_elite.tscn</t>
  </si>
  <si>
    <t>敌人导入数据｜schema v3｜机器读取区域，请勿编辑</t>
  </si>
  <si>
    <t>schema_version</t>
  </si>
  <si>
    <t>workbook_id</t>
  </si>
  <si>
    <t>tower_defense_4_day_campaign_designer_v3</t>
  </si>
  <si>
    <t>enemy_count</t>
  </si>
  <si>
    <t>source</t>
  </si>
  <si>
    <t>敌人目录</t>
  </si>
  <si>
    <t>enemy_id</t>
  </si>
  <si>
    <t>max_health</t>
  </si>
  <si>
    <t>attack_damage</t>
  </si>
  <si>
    <t>physical_defense</t>
  </si>
  <si>
    <t>magic_defense</t>
  </si>
  <si>
    <t>move_speed</t>
  </si>
  <si>
    <t>home_damage</t>
  </si>
  <si>
    <t>xirang_kill_reward</t>
  </si>
  <si>
    <t>material_wood</t>
  </si>
  <si>
    <t>material_white_crystal</t>
  </si>
  <si>
    <t>material_sapling</t>
  </si>
  <si>
    <t>material_capoo_blue_crystal</t>
  </si>
  <si>
    <t>material_sorcerer_violet_powder</t>
  </si>
  <si>
    <t>material_gel</t>
  </si>
  <si>
    <t>material_small_stone</t>
  </si>
  <si>
    <t>pickup_speed</t>
  </si>
  <si>
    <t>pickup_rapid</t>
  </si>
  <si>
    <t>pickup_tenpura</t>
  </si>
  <si>
    <t>pickup_health</t>
  </si>
  <si>
    <t>pickup_spiral</t>
  </si>
  <si>
    <t>expected_drop_count_per_kill</t>
  </si>
  <si>
    <t>row_validation</t>
  </si>
  <si>
    <t>config_path</t>
  </si>
  <si>
    <t>12 波导入数据｜schema v3｜机器读取区域，请勿编辑</t>
  </si>
  <si>
    <t>target_wave_count</t>
  </si>
  <si>
    <t>day_count</t>
  </si>
  <si>
    <t>boss_after_wave</t>
  </si>
  <si>
    <t>boss_day</t>
  </si>
  <si>
    <t>wave_id</t>
  </si>
  <si>
    <t>wave_number</t>
  </si>
  <si>
    <t>day</t>
  </si>
  <si>
    <t>wave_in_day</t>
  </si>
  <si>
    <t>period</t>
  </si>
  <si>
    <t>display_name</t>
  </si>
  <si>
    <t>spawn_point_mask</t>
  </si>
  <si>
    <t>spawn_interval</t>
  </si>
  <si>
    <t>spawn_count_per_tick</t>
  </si>
  <si>
    <t>max_alive_enemies</t>
  </si>
  <si>
    <t>music_path</t>
  </si>
  <si>
    <t>post_wave_music_path</t>
  </si>
  <si>
    <t>is_placeholder</t>
  </si>
  <si>
    <t>enemy_slot</t>
  </si>
  <si>
    <t>count</t>
  </si>
  <si>
    <t>xirang_kill_reward_override</t>
  </si>
  <si>
    <t>wave_01</t>
  </si>
  <si>
    <t>res://resources/audio/shenmu_forest_combat.ogg</t>
  </si>
  <si>
    <t>res://resources/audio/shenmu_forest_intermission.ogg</t>
  </si>
  <si>
    <t>wave_02</t>
  </si>
  <si>
    <t>wave_03</t>
  </si>
  <si>
    <t>wave_04</t>
  </si>
  <si>
    <t>wave_05</t>
  </si>
  <si>
    <t>res://resources/audio/shenmu_swamp_combat.ogg</t>
  </si>
  <si>
    <t>res://resources/audio/shenmu_swamp_intermission.ogg</t>
  </si>
  <si>
    <t>wave_06</t>
  </si>
  <si>
    <t>wave_07</t>
  </si>
  <si>
    <t>wave_08</t>
  </si>
  <si>
    <t>wave_09</t>
  </si>
  <si>
    <t>res://resources/audio/shenmu_town_combat.ogg</t>
  </si>
  <si>
    <t>res://resources/audio/shenmu_town_intermission.ogg</t>
  </si>
  <si>
    <t>wave_10</t>
  </si>
  <si>
    <t>wave_11</t>
  </si>
  <si>
    <t>wave_12</t>
  </si>
  <si>
    <t>四日战役系统契约｜schema v3｜机器读取区域，请勿编辑</t>
  </si>
  <si>
    <t>字段</t>
  </si>
  <si>
    <t>值1</t>
  </si>
  <si>
    <t>值2</t>
  </si>
  <si>
    <t>值3</t>
  </si>
  <si>
    <t>campaign_id</t>
  </si>
  <si>
    <t>tower_defense_formal</t>
  </si>
  <si>
    <t>catalog_sha256</t>
  </si>
  <si>
    <t>6367b5144b48b5456fe9952644349906ccac3a23929b25b5a8b5304df1f00bb8</t>
  </si>
  <si>
    <t>waves_per_day</t>
  </si>
  <si>
    <t>boss_period</t>
  </si>
  <si>
    <t>daily_rogue_action_points</t>
  </si>
  <si>
    <t>boss_id</t>
  </si>
  <si>
    <t>boss_step_id</t>
  </si>
  <si>
    <t>boss_config_path</t>
  </si>
  <si>
    <t>progression_config_path</t>
  </si>
  <si>
    <t>res://resources/config/campaigns/tower_defense/formal_progression.tres</t>
  </si>
  <si>
    <t>flow_config_paths</t>
  </si>
  <si>
    <t>res://resources/config/campaigns/tower_defense/singleplayer/flow.tres</t>
  </si>
  <si>
    <t>res://resources/config/campaigns/tower_defense/multiplayer/flow.tres</t>
  </si>
  <si>
    <t>固定输出：target_wave_count=12 / day_count=4 / boss_after_wave=12 / boss_day=4 / boss_period=day / daily_rogue_action_points=[第1日,第2日,第3日]</t>
  </si>
  <si>
    <t>寒冰史莱姆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</si>
</sst>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3">
    <font>
      <sz val="11"/>
      <name val="Carlito"/>
    </font>
    <font>
      <b/>
      <sz val="11"/>
      <color rgb="FFFFFFFF"/>
      <name val="Microsoft YaHei"/>
      <family val="2"/>
      <charset val="134"/>
    </font>
    <font>
      <b/>
      <sz val="11"/>
      <color rgb="FF8A5A00"/>
      <name val="Microsoft YaHei"/>
      <family val="2"/>
      <charset val="134"/>
    </font>
    <font>
      <b/>
      <sz val="11"/>
      <color rgb="FF1C7F7B"/>
      <name val="Microsoft YaHei"/>
      <family val="2"/>
      <charset val="134"/>
    </font>
    <font>
      <sz val="11"/>
      <color rgb="FF172B35"/>
      <name val="Microsoft YaHei"/>
      <family val="2"/>
      <charset val="134"/>
    </font>
    <font>
      <b/>
      <sz val="11"/>
      <color rgb="FF172B35"/>
      <name val="Microsoft YaHei"/>
      <family val="2"/>
      <charset val="134"/>
    </font>
    <font>
      <b/>
      <sz val="11"/>
      <color rgb="FF3C315F"/>
      <name val="Microsoft YaHei"/>
      <family val="2"/>
      <charset val="134"/>
    </font>
    <font>
      <b/>
      <sz val="11"/>
      <color rgb="FFB3261E"/>
      <name val="Microsoft YaHei"/>
      <family val="2"/>
      <charset val="134"/>
    </font>
    <font>
      <sz val="11"/>
      <color rgb="FF1C7F7B"/>
      <name val="Microsoft YaHei"/>
      <family val="2"/>
      <charset val="134"/>
    </font>
    <font>
      <sz val="11"/>
      <color rgb="FF8A5A00"/>
      <name val="Microsoft YaHei"/>
      <family val="2"/>
      <charset val="134"/>
    </font>
    <font>
      <sz val="11"/>
      <color rgb="FF3C315F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19">
    <fill>
      <patternFill patternType="none"/>
    </fill>
    <fill>
      <patternFill patternType="gray125"/>
    </fill>
    <fill>
      <patternFill patternType="solid">
        <fgColor rgb="FF102A35"/>
      </patternFill>
    </fill>
    <fill>
      <patternFill patternType="solid">
        <fgColor rgb="FFFFF2CC"/>
      </patternFill>
    </fill>
    <fill>
      <patternFill patternType="solid">
        <fgColor rgb="FF1C7F7B"/>
      </patternFill>
    </fill>
    <fill>
      <patternFill patternType="solid">
        <fgColor rgb="FFD9F0EE"/>
      </patternFill>
    </fill>
    <fill>
      <patternFill patternType="solid">
        <fgColor rgb="FFFFFFFF"/>
      </patternFill>
    </fill>
    <fill>
      <patternFill patternType="solid">
        <fgColor rgb="FFD9EEF8"/>
      </patternFill>
    </fill>
    <fill>
      <patternFill patternType="solid">
        <fgColor rgb="FF3C315F"/>
      </patternFill>
    </fill>
    <fill>
      <patternFill patternType="solid">
        <fgColor rgb="FFEDE7F6"/>
      </patternFill>
    </fill>
    <fill>
      <patternFill patternType="solid">
        <fgColor rgb="FFFCE4E4"/>
      </patternFill>
    </fill>
    <fill>
      <patternFill patternType="solid">
        <fgColor rgb="FFEEF2F6"/>
      </patternFill>
    </fill>
    <fill>
      <patternFill patternType="solid">
        <fgColor rgb="FFD18B12"/>
      </patternFill>
    </fill>
    <fill>
      <patternFill patternType="solid">
        <fgColor rgb="FFE2F0D9"/>
      </patternFill>
    </fill>
    <fill>
      <patternFill patternType="solid">
        <fgColor rgb="FFEEF2F6"/>
      </patternFill>
    </fill>
    <fill>
      <patternFill patternType="solid">
        <fgColor rgb="FFD9EEF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DE7F6"/>
      </patternFill>
    </fill>
  </fills>
  <borders count="2">
    <border>
      <left/>
      <right/>
      <top/>
      <bottom/>
      <diagonal/>
    </border>
    <border>
      <left style="thin">
        <color rgb="FFC8D4DC"/>
      </left>
      <right style="thin">
        <color rgb="FFC8D4DC"/>
      </right>
      <top style="thin">
        <color rgb="FFC8D4DC"/>
      </top>
      <bottom style="thin">
        <color rgb="FFC8D4DC"/>
      </bottom>
      <diagonal/>
    </border>
  </borders>
  <cellStyleXfs count="2">
    <xf numFmtId="0" fontId="0" fillId="0" borderId="0"/>
    <xf numFmtId="0" fontId="11" fillId="0" borderId="0"/>
  </cellStyleXfs>
  <cellXfs count="46">
    <xf numFmtId="0" fontId="0" fillId="0" borderId="0" xfId="0"/>
    <xf numFmtId="0" fontId="3" fillId="5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left" vertical="center" wrapText="1"/>
    </xf>
    <xf numFmtId="0" fontId="5" fillId="7" borderId="1" xfId="1" applyFont="1" applyFill="1" applyBorder="1" applyAlignment="1">
      <alignment horizontal="left" vertical="center"/>
    </xf>
    <xf numFmtId="0" fontId="4" fillId="6" borderId="1" xfId="1" applyFont="1" applyFill="1" applyBorder="1" applyAlignment="1">
      <alignment horizontal="left" vertical="center"/>
    </xf>
    <xf numFmtId="0" fontId="6" fillId="9" borderId="1" xfId="1" applyFont="1" applyFill="1" applyBorder="1" applyAlignment="1">
      <alignment horizontal="left" vertical="center"/>
    </xf>
    <xf numFmtId="0" fontId="1" fillId="4" borderId="1" xfId="1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horizontal="right" vertical="center"/>
    </xf>
    <xf numFmtId="0" fontId="4" fillId="11" borderId="1" xfId="1" applyFont="1" applyFill="1" applyBorder="1" applyAlignment="1">
      <alignment horizontal="right" vertical="center"/>
    </xf>
    <xf numFmtId="9" fontId="4" fillId="7" borderId="1" xfId="1" applyNumberFormat="1" applyFont="1" applyFill="1" applyBorder="1" applyAlignment="1">
      <alignment horizontal="right" vertical="center"/>
    </xf>
    <xf numFmtId="0" fontId="4" fillId="9" borderId="1" xfId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4" fillId="11" borderId="1" xfId="1" applyFont="1" applyFill="1" applyBorder="1" applyAlignment="1">
      <alignment horizontal="left" vertical="center"/>
    </xf>
    <xf numFmtId="0" fontId="4" fillId="7" borderId="1" xfId="1" applyFont="1" applyFill="1" applyBorder="1" applyAlignment="1">
      <alignment horizontal="left" vertical="center"/>
    </xf>
    <xf numFmtId="0" fontId="4" fillId="11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right" vertical="center"/>
    </xf>
    <xf numFmtId="0" fontId="1" fillId="12" borderId="1" xfId="1" applyFont="1" applyFill="1" applyBorder="1" applyAlignment="1">
      <alignment horizontal="center" vertical="center" wrapText="1"/>
    </xf>
    <xf numFmtId="0" fontId="1" fillId="8" borderId="1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176" fontId="4" fillId="13" borderId="1" xfId="1" applyNumberFormat="1" applyFont="1" applyFill="1" applyBorder="1" applyAlignment="1">
      <alignment horizontal="right" vertical="center"/>
    </xf>
    <xf numFmtId="176" fontId="4" fillId="9" borderId="1" xfId="1" applyNumberFormat="1" applyFont="1" applyFill="1" applyBorder="1" applyAlignment="1">
      <alignment horizontal="right" vertical="center"/>
    </xf>
    <xf numFmtId="0" fontId="5" fillId="11" borderId="1" xfId="1" applyFont="1" applyFill="1" applyBorder="1" applyAlignment="1">
      <alignment horizontal="left" vertical="center"/>
    </xf>
    <xf numFmtId="0" fontId="4" fillId="11" borderId="1" xfId="1" applyFont="1" applyFill="1" applyBorder="1" applyAlignment="1">
      <alignment horizontal="left" vertical="center" wrapText="1"/>
    </xf>
    <xf numFmtId="0" fontId="4" fillId="14" borderId="1" xfId="1" applyFont="1" applyFill="1" applyBorder="1" applyAlignment="1">
      <alignment horizontal="left" vertical="center"/>
    </xf>
    <xf numFmtId="0" fontId="4" fillId="15" borderId="1" xfId="1" applyFont="1" applyFill="1" applyBorder="1" applyAlignment="1">
      <alignment horizontal="right" vertical="center"/>
    </xf>
    <xf numFmtId="0" fontId="4" fillId="16" borderId="1" xfId="1" applyFont="1" applyFill="1" applyBorder="1" applyAlignment="1">
      <alignment horizontal="right" vertical="center"/>
    </xf>
    <xf numFmtId="176" fontId="4" fillId="17" borderId="1" xfId="1" applyNumberFormat="1" applyFont="1" applyFill="1" applyBorder="1" applyAlignment="1">
      <alignment horizontal="right" vertical="center"/>
    </xf>
    <xf numFmtId="176" fontId="4" fillId="18" borderId="1" xfId="1" applyNumberFormat="1" applyFont="1" applyFill="1" applyBorder="1" applyAlignment="1">
      <alignment horizontal="right" vertical="center"/>
    </xf>
    <xf numFmtId="0" fontId="7" fillId="10" borderId="1" xfId="1" applyFont="1" applyFill="1" applyBorder="1" applyAlignment="1">
      <alignment horizontal="left" vertical="center" wrapText="1"/>
    </xf>
    <xf numFmtId="0" fontId="1" fillId="2" borderId="0" xfId="1" applyFont="1" applyFill="1" applyAlignment="1">
      <alignment vertical="center"/>
    </xf>
    <xf numFmtId="0" fontId="2" fillId="3" borderId="1" xfId="1" applyFont="1" applyFill="1" applyBorder="1" applyAlignment="1">
      <alignment horizontal="left" vertical="center" wrapText="1"/>
    </xf>
    <xf numFmtId="0" fontId="1" fillId="4" borderId="0" xfId="1" applyFont="1" applyFill="1" applyAlignment="1">
      <alignment vertical="center"/>
    </xf>
    <xf numFmtId="0" fontId="1" fillId="8" borderId="0" xfId="1" applyFont="1" applyFill="1" applyAlignment="1">
      <alignment vertical="center"/>
    </xf>
    <xf numFmtId="0" fontId="6" fillId="9" borderId="1" xfId="1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left" vertical="center" wrapText="1"/>
    </xf>
    <xf numFmtId="3" fontId="5" fillId="11" borderId="1" xfId="1" applyNumberFormat="1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left" vertical="center" wrapText="1"/>
    </xf>
    <xf numFmtId="0" fontId="4" fillId="7" borderId="1" xfId="1" applyFont="1" applyFill="1" applyBorder="1" applyAlignment="1">
      <alignment horizontal="left" vertical="center"/>
    </xf>
    <xf numFmtId="0" fontId="10" fillId="9" borderId="1" xfId="1" applyFont="1" applyFill="1" applyBorder="1" applyAlignment="1">
      <alignment horizontal="left" vertical="center" wrapText="1"/>
    </xf>
    <xf numFmtId="0" fontId="4" fillId="6" borderId="1" xfId="1" applyFont="1" applyFill="1" applyBorder="1" applyAlignment="1">
      <alignment horizontal="left" vertical="center"/>
    </xf>
    <xf numFmtId="0" fontId="4" fillId="11" borderId="1" xfId="1" applyFont="1" applyFill="1" applyBorder="1" applyAlignment="1">
      <alignment horizontal="left" vertical="center"/>
    </xf>
    <xf numFmtId="0" fontId="3" fillId="5" borderId="1" xfId="1" applyFont="1" applyFill="1" applyBorder="1" applyAlignment="1">
      <alignment horizontal="center" vertical="center" wrapText="1"/>
    </xf>
    <xf numFmtId="0" fontId="10" fillId="9" borderId="1" xfId="1" applyFont="1" applyFill="1" applyBorder="1" applyAlignment="1">
      <alignment horizontal="center" vertical="center" wrapText="1"/>
    </xf>
    <xf numFmtId="0" fontId="1" fillId="8" borderId="1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12 波预计息壤趋势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预计息壤/玩家</c:v>
          </c:tx>
          <c:marker>
            <c:symbol val="none"/>
          </c:marker>
          <c:cat>
            <c:strRef>
              <c:f>总览!$A$34:$A$45</c:f>
              <c:strCache>
                <c:ptCount val="12"/>
                <c:pt idx="0">
                  <c:v>第1波</c:v>
                </c:pt>
                <c:pt idx="1">
                  <c:v>第2波</c:v>
                </c:pt>
                <c:pt idx="2">
                  <c:v>第3波</c:v>
                </c:pt>
                <c:pt idx="3">
                  <c:v>第4波</c:v>
                </c:pt>
                <c:pt idx="4">
                  <c:v>第5波</c:v>
                </c:pt>
                <c:pt idx="5">
                  <c:v>第6波</c:v>
                </c:pt>
                <c:pt idx="6">
                  <c:v>第7波</c:v>
                </c:pt>
                <c:pt idx="7">
                  <c:v>第8波</c:v>
                </c:pt>
                <c:pt idx="8">
                  <c:v>第9波</c:v>
                </c:pt>
                <c:pt idx="9">
                  <c:v>第10波</c:v>
                </c:pt>
                <c:pt idx="10">
                  <c:v>第11波</c:v>
                </c:pt>
                <c:pt idx="11">
                  <c:v>第12波</c:v>
                </c:pt>
              </c:strCache>
            </c:strRef>
          </c:cat>
          <c:val>
            <c:numRef>
              <c:f>总览!$B$34:$B$45</c:f>
              <c:numCache>
                <c:formatCode>General</c:formatCode>
                <c:ptCount val="12"/>
                <c:pt idx="0">
                  <c:v>3000</c:v>
                </c:pt>
                <c:pt idx="1">
                  <c:v>4050</c:v>
                </c:pt>
                <c:pt idx="2">
                  <c:v>4540</c:v>
                </c:pt>
                <c:pt idx="3">
                  <c:v>5140</c:v>
                </c:pt>
                <c:pt idx="4">
                  <c:v>8000</c:v>
                </c:pt>
                <c:pt idx="5">
                  <c:v>9060</c:v>
                </c:pt>
                <c:pt idx="6">
                  <c:v>10410</c:v>
                </c:pt>
                <c:pt idx="7">
                  <c:v>11750</c:v>
                </c:pt>
                <c:pt idx="8">
                  <c:v>242</c:v>
                </c:pt>
                <c:pt idx="9">
                  <c:v>308</c:v>
                </c:pt>
                <c:pt idx="10">
                  <c:v>398</c:v>
                </c:pt>
                <c:pt idx="11">
                  <c:v>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91-4317-9C51-DE3DB2D21445}"/>
            </c:ext>
          </c:extLst>
        </c:ser>
        <c:ser>
          <c:idx val="1"/>
          <c:order val="1"/>
          <c:tx>
            <c:v>预计息壤/队伍</c:v>
          </c:tx>
          <c:marker>
            <c:symbol val="none"/>
          </c:marker>
          <c:cat>
            <c:strRef>
              <c:f>总览!$A$34:$A$45</c:f>
              <c:strCache>
                <c:ptCount val="12"/>
                <c:pt idx="0">
                  <c:v>第1波</c:v>
                </c:pt>
                <c:pt idx="1">
                  <c:v>第2波</c:v>
                </c:pt>
                <c:pt idx="2">
                  <c:v>第3波</c:v>
                </c:pt>
                <c:pt idx="3">
                  <c:v>第4波</c:v>
                </c:pt>
                <c:pt idx="4">
                  <c:v>第5波</c:v>
                </c:pt>
                <c:pt idx="5">
                  <c:v>第6波</c:v>
                </c:pt>
                <c:pt idx="6">
                  <c:v>第7波</c:v>
                </c:pt>
                <c:pt idx="7">
                  <c:v>第8波</c:v>
                </c:pt>
                <c:pt idx="8">
                  <c:v>第9波</c:v>
                </c:pt>
                <c:pt idx="9">
                  <c:v>第10波</c:v>
                </c:pt>
                <c:pt idx="10">
                  <c:v>第11波</c:v>
                </c:pt>
                <c:pt idx="11">
                  <c:v>第12波</c:v>
                </c:pt>
              </c:strCache>
            </c:strRef>
          </c:cat>
          <c:val>
            <c:numRef>
              <c:f>总览!$C$34:$C$45</c:f>
              <c:numCache>
                <c:formatCode>General</c:formatCode>
                <c:ptCount val="12"/>
                <c:pt idx="0">
                  <c:v>3000</c:v>
                </c:pt>
                <c:pt idx="1">
                  <c:v>4050</c:v>
                </c:pt>
                <c:pt idx="2">
                  <c:v>4540</c:v>
                </c:pt>
                <c:pt idx="3">
                  <c:v>5140</c:v>
                </c:pt>
                <c:pt idx="4">
                  <c:v>8000</c:v>
                </c:pt>
                <c:pt idx="5">
                  <c:v>9060</c:v>
                </c:pt>
                <c:pt idx="6">
                  <c:v>10410</c:v>
                </c:pt>
                <c:pt idx="7">
                  <c:v>11750</c:v>
                </c:pt>
                <c:pt idx="8">
                  <c:v>242</c:v>
                </c:pt>
                <c:pt idx="9">
                  <c:v>308</c:v>
                </c:pt>
                <c:pt idx="10">
                  <c:v>398</c:v>
                </c:pt>
                <c:pt idx="11">
                  <c:v>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91-4317-9C51-DE3DB2D21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12 波实际敌人数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实际敌人数</c:v>
          </c:tx>
          <c:invertIfNegative val="1"/>
          <c:cat>
            <c:strRef>
              <c:f>总览!$A$52:$A$63</c:f>
              <c:strCache>
                <c:ptCount val="12"/>
                <c:pt idx="0">
                  <c:v>第1波</c:v>
                </c:pt>
                <c:pt idx="1">
                  <c:v>第2波</c:v>
                </c:pt>
                <c:pt idx="2">
                  <c:v>第3波</c:v>
                </c:pt>
                <c:pt idx="3">
                  <c:v>第4波</c:v>
                </c:pt>
                <c:pt idx="4">
                  <c:v>第5波</c:v>
                </c:pt>
                <c:pt idx="5">
                  <c:v>第6波</c:v>
                </c:pt>
                <c:pt idx="6">
                  <c:v>第7波</c:v>
                </c:pt>
                <c:pt idx="7">
                  <c:v>第8波</c:v>
                </c:pt>
                <c:pt idx="8">
                  <c:v>第9波</c:v>
                </c:pt>
                <c:pt idx="9">
                  <c:v>第10波</c:v>
                </c:pt>
                <c:pt idx="10">
                  <c:v>第11波</c:v>
                </c:pt>
                <c:pt idx="11">
                  <c:v>第12波</c:v>
                </c:pt>
              </c:strCache>
            </c:strRef>
          </c:cat>
          <c:val>
            <c:numRef>
              <c:f>总览!$B$52:$B$63</c:f>
              <c:numCache>
                <c:formatCode>General</c:formatCode>
                <c:ptCount val="12"/>
                <c:pt idx="0">
                  <c:v>3000</c:v>
                </c:pt>
                <c:pt idx="1">
                  <c:v>3850</c:v>
                </c:pt>
                <c:pt idx="2">
                  <c:v>3470</c:v>
                </c:pt>
                <c:pt idx="3">
                  <c:v>2080</c:v>
                </c:pt>
                <c:pt idx="4">
                  <c:v>2100</c:v>
                </c:pt>
                <c:pt idx="5">
                  <c:v>2240</c:v>
                </c:pt>
                <c:pt idx="6">
                  <c:v>2150</c:v>
                </c:pt>
                <c:pt idx="7">
                  <c:v>2240</c:v>
                </c:pt>
                <c:pt idx="8">
                  <c:v>144</c:v>
                </c:pt>
                <c:pt idx="9">
                  <c:v>160</c:v>
                </c:pt>
                <c:pt idx="10">
                  <c:v>176</c:v>
                </c:pt>
                <c:pt idx="11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55-4497-92AB-C0581CA35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32</xdr:row>
      <xdr:rowOff>0</xdr:rowOff>
    </xdr:from>
    <xdr:to>
      <xdr:col>14</xdr:col>
      <xdr:colOff>0</xdr:colOff>
      <xdr:row>48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50</xdr:row>
      <xdr:rowOff>0</xdr:rowOff>
    </xdr:from>
    <xdr:to>
      <xdr:col>14</xdr:col>
      <xdr:colOff>0</xdr:colOff>
      <xdr:row>66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workbookViewId="0">
      <selection sqref="A1:H1"/>
    </sheetView>
  </sheetViews>
  <sheetFormatPr defaultRowHeight="14.25"/>
  <cols>
    <col min="1" max="1" width="13" customWidth="1"/>
    <col min="2" max="2" width="86" customWidth="1"/>
    <col min="3" max="8" width="12" customWidth="1"/>
  </cols>
  <sheetData>
    <row r="1" spans="1:8" ht="33.950000000000003" customHeight="1">
      <c r="A1" s="31" t="s">
        <v>0</v>
      </c>
      <c r="B1" s="31"/>
      <c r="C1" s="31"/>
      <c r="D1" s="31"/>
      <c r="E1" s="31"/>
      <c r="F1" s="31"/>
      <c r="G1" s="31"/>
      <c r="H1" s="31"/>
    </row>
    <row r="2" spans="1:8" ht="15">
      <c r="A2" s="32" t="s">
        <v>1</v>
      </c>
      <c r="B2" s="32"/>
      <c r="C2" s="32"/>
      <c r="D2" s="32"/>
      <c r="E2" s="32"/>
      <c r="F2" s="32"/>
      <c r="G2" s="32"/>
      <c r="H2" s="32"/>
    </row>
    <row r="4" spans="1:8" ht="15">
      <c r="A4" s="33" t="s">
        <v>2</v>
      </c>
      <c r="B4" s="33"/>
      <c r="C4" s="33"/>
      <c r="D4" s="33"/>
      <c r="E4" s="33"/>
      <c r="F4" s="33"/>
      <c r="G4" s="33"/>
      <c r="H4" s="33"/>
    </row>
    <row r="5" spans="1:8" ht="24" customHeight="1">
      <c r="A5" s="1">
        <v>1</v>
      </c>
      <c r="B5" s="2" t="s">
        <v>3</v>
      </c>
    </row>
    <row r="6" spans="1:8" ht="24" customHeight="1">
      <c r="A6" s="1">
        <v>2</v>
      </c>
      <c r="B6" s="2" t="s">
        <v>4</v>
      </c>
    </row>
    <row r="7" spans="1:8" ht="24" customHeight="1">
      <c r="A7" s="1">
        <v>3</v>
      </c>
      <c r="B7" s="2" t="s">
        <v>5</v>
      </c>
    </row>
    <row r="8" spans="1:8" ht="24" customHeight="1">
      <c r="A8" s="1">
        <v>4</v>
      </c>
      <c r="B8" s="2" t="s">
        <v>6</v>
      </c>
    </row>
    <row r="9" spans="1:8" ht="24" customHeight="1">
      <c r="A9" s="1">
        <v>5</v>
      </c>
      <c r="B9" s="2" t="s">
        <v>7</v>
      </c>
    </row>
    <row r="10" spans="1:8" ht="24" customHeight="1"/>
    <row r="11" spans="1:8" ht="24" customHeight="1">
      <c r="A11" s="33" t="s">
        <v>8</v>
      </c>
      <c r="B11" s="33"/>
      <c r="C11" s="33"/>
      <c r="D11" s="33"/>
      <c r="E11" s="33"/>
      <c r="F11" s="33"/>
      <c r="G11" s="33"/>
      <c r="H11" s="33"/>
    </row>
    <row r="12" spans="1:8" ht="24" customHeight="1">
      <c r="A12" s="3" t="s">
        <v>9</v>
      </c>
      <c r="B12" s="4" t="s">
        <v>10</v>
      </c>
    </row>
    <row r="13" spans="1:8" ht="24" customHeight="1">
      <c r="A13" s="3" t="s">
        <v>11</v>
      </c>
      <c r="B13" s="4" t="s">
        <v>12</v>
      </c>
    </row>
    <row r="14" spans="1:8" ht="24" customHeight="1">
      <c r="A14" s="3" t="s">
        <v>13</v>
      </c>
      <c r="B14" s="4" t="s">
        <v>14</v>
      </c>
    </row>
    <row r="15" spans="1:8" ht="24" customHeight="1">
      <c r="A15" s="3" t="s">
        <v>15</v>
      </c>
      <c r="B15" s="4" t="s">
        <v>16</v>
      </c>
    </row>
    <row r="16" spans="1:8" ht="24" customHeight="1">
      <c r="A16" s="3" t="s">
        <v>17</v>
      </c>
      <c r="B16" s="4" t="s">
        <v>18</v>
      </c>
    </row>
    <row r="17" spans="1:8" ht="24" customHeight="1"/>
    <row r="18" spans="1:8" ht="24" customHeight="1">
      <c r="A18" s="34" t="s">
        <v>19</v>
      </c>
      <c r="B18" s="34"/>
      <c r="C18" s="34"/>
      <c r="D18" s="34"/>
      <c r="E18" s="34"/>
      <c r="F18" s="34"/>
      <c r="G18" s="34"/>
      <c r="H18" s="34"/>
    </row>
    <row r="19" spans="1:8" ht="24" customHeight="1">
      <c r="A19" s="5" t="s">
        <v>20</v>
      </c>
      <c r="B19" s="2" t="s">
        <v>21</v>
      </c>
    </row>
    <row r="20" spans="1:8" ht="24" customHeight="1">
      <c r="A20" s="5" t="s">
        <v>22</v>
      </c>
      <c r="B20" s="2" t="s">
        <v>23</v>
      </c>
    </row>
    <row r="21" spans="1:8" ht="24" customHeight="1">
      <c r="A21" s="5" t="s">
        <v>24</v>
      </c>
      <c r="B21" s="2" t="s">
        <v>25</v>
      </c>
    </row>
    <row r="22" spans="1:8" ht="24" customHeight="1">
      <c r="A22" s="5" t="s">
        <v>26</v>
      </c>
      <c r="B22" s="2" t="s">
        <v>27</v>
      </c>
    </row>
    <row r="23" spans="1:8" ht="24" customHeight="1"/>
    <row r="24" spans="1:8" ht="24" customHeight="1">
      <c r="A24" s="30" t="s">
        <v>28</v>
      </c>
      <c r="B24" s="30"/>
      <c r="C24" s="30"/>
      <c r="D24" s="30"/>
      <c r="E24" s="30"/>
      <c r="F24" s="30"/>
      <c r="G24" s="30"/>
      <c r="H24" s="30"/>
    </row>
  </sheetData>
  <mergeCells count="6">
    <mergeCell ref="A24:H24"/>
    <mergeCell ref="A1:H1"/>
    <mergeCell ref="A2:H2"/>
    <mergeCell ref="A4:H4"/>
    <mergeCell ref="A11:H11"/>
    <mergeCell ref="A18:H18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6"/>
  <sheetViews>
    <sheetView showGridLines="0" workbookViewId="0"/>
  </sheetViews>
  <sheetFormatPr defaultRowHeight="14.25"/>
  <cols>
    <col min="1" max="1" width="12" customWidth="1"/>
    <col min="2" max="2" width="8" customWidth="1"/>
    <col min="3" max="3" width="10" customWidth="1"/>
    <col min="4" max="4" width="28" customWidth="1"/>
    <col min="5" max="8" width="13" customWidth="1"/>
    <col min="9" max="11" width="18" customWidth="1"/>
    <col min="12" max="12" width="15" customWidth="1"/>
    <col min="13" max="13" width="13" customWidth="1"/>
    <col min="14" max="14" width="15" customWidth="1"/>
  </cols>
  <sheetData>
    <row r="1" spans="1:14" ht="36" customHeight="1">
      <c r="A1" s="31" t="s">
        <v>29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ht="23.1" customHeight="1">
      <c r="A2" s="36" t="s">
        <v>30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4" ht="23.1" customHeight="1"/>
    <row r="4" spans="1:14" ht="23.1" customHeight="1">
      <c r="A4" s="6" t="s">
        <v>31</v>
      </c>
      <c r="B4" s="6"/>
      <c r="C4" s="6"/>
      <c r="D4" s="6" t="s">
        <v>32</v>
      </c>
      <c r="E4" s="6"/>
      <c r="F4" s="6"/>
      <c r="G4" s="6" t="s">
        <v>33</v>
      </c>
      <c r="H4" s="6"/>
      <c r="I4" s="6"/>
      <c r="J4" s="6" t="s">
        <v>34</v>
      </c>
      <c r="K4" s="6"/>
      <c r="L4" s="6"/>
      <c r="M4" s="6" t="s">
        <v>35</v>
      </c>
      <c r="N4" s="6" t="s">
        <v>36</v>
      </c>
    </row>
    <row r="5" spans="1:14" ht="23.1" customHeight="1">
      <c r="A5" s="37" t="str">
        <f>COUNTIF(E9:E20,"可回读")&amp;" / 12"</f>
        <v>12 / 12</v>
      </c>
      <c r="B5" s="37"/>
      <c r="C5" s="37"/>
      <c r="D5" s="37">
        <f>SUM(F9:F20)</f>
        <v>21810</v>
      </c>
      <c r="E5" s="37"/>
      <c r="F5" s="37"/>
      <c r="G5" s="37">
        <f>SUM(G9:G20)</f>
        <v>21810</v>
      </c>
      <c r="H5" s="37"/>
      <c r="I5" s="37"/>
      <c r="J5" s="37">
        <f>SUM(K9:K20)</f>
        <v>57351</v>
      </c>
      <c r="K5" s="37"/>
      <c r="L5" s="37"/>
      <c r="M5" s="37" t="s">
        <v>37</v>
      </c>
      <c r="N5" s="37"/>
    </row>
    <row r="6" spans="1:14" ht="23.1" customHeight="1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</row>
    <row r="7" spans="1:14" ht="23.1" customHeight="1"/>
    <row r="8" spans="1:14" ht="23.1" customHeight="1">
      <c r="A8" s="20" t="s">
        <v>38</v>
      </c>
      <c r="B8" s="20" t="s">
        <v>39</v>
      </c>
      <c r="C8" s="20" t="s">
        <v>40</v>
      </c>
      <c r="D8" s="20" t="s">
        <v>41</v>
      </c>
      <c r="E8" s="20" t="s">
        <v>42</v>
      </c>
      <c r="F8" s="20" t="s">
        <v>43</v>
      </c>
      <c r="G8" s="20" t="s">
        <v>44</v>
      </c>
      <c r="H8" s="20" t="s">
        <v>45</v>
      </c>
      <c r="I8" s="20" t="s">
        <v>46</v>
      </c>
      <c r="J8" s="20" t="s">
        <v>47</v>
      </c>
      <c r="K8" s="20" t="s">
        <v>34</v>
      </c>
      <c r="L8" s="20" t="s">
        <v>48</v>
      </c>
      <c r="M8" s="20" t="s">
        <v>49</v>
      </c>
      <c r="N8" s="20" t="s">
        <v>50</v>
      </c>
    </row>
    <row r="9" spans="1:14" ht="23.1" customHeight="1">
      <c r="A9" s="13" t="s">
        <v>51</v>
      </c>
      <c r="B9" s="13">
        <v>1</v>
      </c>
      <c r="C9" s="13" t="s">
        <v>52</v>
      </c>
      <c r="D9" s="13" t="str">
        <f>第1日!B3</f>
        <v>第1波</v>
      </c>
      <c r="E9" s="13" t="str">
        <f>第1日!I4</f>
        <v>可回读</v>
      </c>
      <c r="F9" s="13">
        <f>SUM(第1日!C7:C24)</f>
        <v>3000</v>
      </c>
      <c r="G9" s="13">
        <f>SUM(第1日!D7:D24)</f>
        <v>3000</v>
      </c>
      <c r="H9" s="13">
        <f>COUNTA(第1日!B7:B24)</f>
        <v>5</v>
      </c>
      <c r="I9" s="17">
        <f>SUM(第1日!F7:F24)</f>
        <v>3000</v>
      </c>
      <c r="J9" s="17">
        <f>SUM(第1日!G7:G24)</f>
        <v>3000</v>
      </c>
      <c r="K9" s="17">
        <f>SUM(第1日!H7:H24)</f>
        <v>3000</v>
      </c>
      <c r="L9" s="13">
        <f>IF(G9=0,0,MAX(0,(ROUNDUP(G9/第1日!G3,0)-1)*第1日!E3))</f>
        <v>299.90000000000003</v>
      </c>
      <c r="M9" s="13">
        <f>第1日!I3</f>
        <v>300</v>
      </c>
      <c r="N9" s="13">
        <f>IF(第1日!B4="点1·开启",1,0)+IF(第1日!C4="点2·开启",1,0)+IF(第1日!D4="点3·开启",1,0)+IF(第1日!E4="点4·开启",1,0)+IF(第1日!F4="点5·开启",1,0)+IF(第1日!G4="点6·开启",1,0)</f>
        <v>4</v>
      </c>
    </row>
    <row r="10" spans="1:14" ht="23.1" customHeight="1">
      <c r="A10" s="13" t="s">
        <v>53</v>
      </c>
      <c r="B10" s="13">
        <v>1</v>
      </c>
      <c r="C10" s="13" t="s">
        <v>52</v>
      </c>
      <c r="D10" s="13" t="str">
        <f>第1日!B32</f>
        <v>第2波</v>
      </c>
      <c r="E10" s="13" t="str">
        <f>第1日!I33</f>
        <v>可回读</v>
      </c>
      <c r="F10" s="13">
        <f>SUM(第1日!C36:C53)</f>
        <v>3850</v>
      </c>
      <c r="G10" s="13">
        <f>SUM(第1日!D36:D53)</f>
        <v>3850</v>
      </c>
      <c r="H10" s="13">
        <f>COUNTA(第1日!B36:B53)</f>
        <v>7</v>
      </c>
      <c r="I10" s="17">
        <f>SUM(第1日!F36:F53)</f>
        <v>4050</v>
      </c>
      <c r="J10" s="17">
        <f>SUM(第1日!G36:G53)</f>
        <v>4050</v>
      </c>
      <c r="K10" s="17">
        <f>SUM(第1日!H36:H53)</f>
        <v>4050</v>
      </c>
      <c r="L10" s="13">
        <f>IF(G10=0,0,MAX(0,(ROUNDUP(G10/第1日!G32,0)-1)*第1日!E32))</f>
        <v>384.90000000000003</v>
      </c>
      <c r="M10" s="13">
        <f>第1日!I32</f>
        <v>300</v>
      </c>
      <c r="N10" s="13">
        <f>IF(第1日!B33="点1·开启",1,0)+IF(第1日!C33="点2·开启",1,0)+IF(第1日!D33="点3·开启",1,0)+IF(第1日!E33="点4·开启",1,0)+IF(第1日!F33="点5·开启",1,0)+IF(第1日!G33="点6·开启",1,0)</f>
        <v>4</v>
      </c>
    </row>
    <row r="11" spans="1:14" ht="23.1" customHeight="1">
      <c r="A11" s="13" t="s">
        <v>54</v>
      </c>
      <c r="B11" s="13">
        <v>1</v>
      </c>
      <c r="C11" s="13" t="s">
        <v>55</v>
      </c>
      <c r="D11" s="13" t="str">
        <f>第1日!B61</f>
        <v>第3波</v>
      </c>
      <c r="E11" s="13" t="str">
        <f>第1日!I62</f>
        <v>可回读</v>
      </c>
      <c r="F11" s="13">
        <f>SUM(第1日!C65:C82)</f>
        <v>3470</v>
      </c>
      <c r="G11" s="13">
        <f>SUM(第1日!D65:D82)</f>
        <v>3470</v>
      </c>
      <c r="H11" s="13">
        <f>COUNTA(第1日!B65:B82)</f>
        <v>9</v>
      </c>
      <c r="I11" s="17">
        <f>SUM(第1日!F65:F82)</f>
        <v>4540</v>
      </c>
      <c r="J11" s="17">
        <f>SUM(第1日!G65:G82)</f>
        <v>4540</v>
      </c>
      <c r="K11" s="17">
        <f>SUM(第1日!H65:H82)</f>
        <v>4540</v>
      </c>
      <c r="L11" s="13">
        <f>IF(G11=0,0,MAX(0,(ROUNDUP(G11/第1日!G61,0)-1)*第1日!E61))</f>
        <v>173.4</v>
      </c>
      <c r="M11" s="13">
        <f>第1日!I61</f>
        <v>300</v>
      </c>
      <c r="N11" s="13">
        <f>IF(第1日!B62="点1·开启",1,0)+IF(第1日!C62="点2·开启",1,0)+IF(第1日!D62="点3·开启",1,0)+IF(第1日!E62="点4·开启",1,0)+IF(第1日!F62="点5·开启",1,0)+IF(第1日!G62="点6·开启",1,0)</f>
        <v>6</v>
      </c>
    </row>
    <row r="12" spans="1:14" ht="23.1" customHeight="1">
      <c r="A12" s="13" t="s">
        <v>56</v>
      </c>
      <c r="B12" s="13">
        <v>1</v>
      </c>
      <c r="C12" s="13" t="s">
        <v>55</v>
      </c>
      <c r="D12" s="13" t="str">
        <f>第1日!B90</f>
        <v>第4波</v>
      </c>
      <c r="E12" s="13" t="str">
        <f>第1日!I91</f>
        <v>可回读</v>
      </c>
      <c r="F12" s="13">
        <f>SUM(第1日!C94:C111)</f>
        <v>2080</v>
      </c>
      <c r="G12" s="13">
        <f>SUM(第1日!D94:D111)</f>
        <v>2080</v>
      </c>
      <c r="H12" s="13">
        <f>COUNTA(第1日!B94:B111)</f>
        <v>11</v>
      </c>
      <c r="I12" s="17">
        <f>SUM(第1日!F94:F111)</f>
        <v>5140</v>
      </c>
      <c r="J12" s="17">
        <f>SUM(第1日!G94:G111)</f>
        <v>5140</v>
      </c>
      <c r="K12" s="17">
        <f>SUM(第1日!H94:H111)</f>
        <v>5140</v>
      </c>
      <c r="L12" s="13">
        <f>IF(G12=0,0,MAX(0,(ROUNDUP(G12/第1日!G90,0)-1)*第1日!E90))</f>
        <v>69.3</v>
      </c>
      <c r="M12" s="13">
        <f>第1日!I90</f>
        <v>300</v>
      </c>
      <c r="N12" s="13">
        <f>IF(第1日!B91="点1·开启",1,0)+IF(第1日!C91="点2·开启",1,0)+IF(第1日!D91="点3·开启",1,0)+IF(第1日!E91="点4·开启",1,0)+IF(第1日!F91="点5·开启",1,0)+IF(第1日!G91="点6·开启",1,0)</f>
        <v>6</v>
      </c>
    </row>
    <row r="13" spans="1:14" ht="23.1" customHeight="1">
      <c r="A13" s="13" t="s">
        <v>57</v>
      </c>
      <c r="B13" s="13">
        <v>2</v>
      </c>
      <c r="C13" s="13" t="s">
        <v>52</v>
      </c>
      <c r="D13" s="13" t="str">
        <f>第2日!B3</f>
        <v>第5波</v>
      </c>
      <c r="E13" s="13" t="str">
        <f>第2日!I4</f>
        <v>可回读</v>
      </c>
      <c r="F13" s="13">
        <f>SUM(第2日!C7:C24)</f>
        <v>2100</v>
      </c>
      <c r="G13" s="13">
        <f>SUM(第2日!D7:D24)</f>
        <v>2100</v>
      </c>
      <c r="H13" s="13">
        <f>COUNTA(第2日!B7:B24)</f>
        <v>15</v>
      </c>
      <c r="I13" s="17">
        <f>SUM(第2日!F7:F24)</f>
        <v>8000</v>
      </c>
      <c r="J13" s="17">
        <f>SUM(第2日!G7:G24)</f>
        <v>8000</v>
      </c>
      <c r="K13" s="17">
        <f>SUM(第2日!H7:H24)</f>
        <v>8000</v>
      </c>
      <c r="L13" s="13">
        <f>IF(G13=0,0,MAX(0,(ROUNDUP(G13/第2日!G3,0)-1)*第2日!E3))</f>
        <v>52.400000000000006</v>
      </c>
      <c r="M13" s="13">
        <f>第2日!I3</f>
        <v>300</v>
      </c>
      <c r="N13" s="13">
        <f>IF(第2日!B4="点1·开启",1,0)+IF(第2日!C4="点2·开启",1,0)+IF(第2日!D4="点3·开启",1,0)+IF(第2日!E4="点4·开启",1,0)+IF(第2日!F4="点5·开启",1,0)+IF(第2日!G4="点6·开启",1,0)</f>
        <v>6</v>
      </c>
    </row>
    <row r="14" spans="1:14" ht="23.1" customHeight="1">
      <c r="A14" s="13" t="s">
        <v>58</v>
      </c>
      <c r="B14" s="13">
        <v>2</v>
      </c>
      <c r="C14" s="13" t="s">
        <v>52</v>
      </c>
      <c r="D14" s="13" t="str">
        <f>第2日!B32</f>
        <v>第6波</v>
      </c>
      <c r="E14" s="13" t="str">
        <f>第2日!I33</f>
        <v>可回读</v>
      </c>
      <c r="F14" s="13">
        <f>SUM(第2日!C36:C53)</f>
        <v>2240</v>
      </c>
      <c r="G14" s="13">
        <f>SUM(第2日!D36:D53)</f>
        <v>2240</v>
      </c>
      <c r="H14" s="13">
        <f>COUNTA(第2日!B36:B53)</f>
        <v>18</v>
      </c>
      <c r="I14" s="17">
        <f>SUM(第2日!F36:F53)</f>
        <v>9060</v>
      </c>
      <c r="J14" s="17">
        <f>SUM(第2日!G36:G53)</f>
        <v>9060</v>
      </c>
      <c r="K14" s="17">
        <f>SUM(第2日!H36:H53)</f>
        <v>9060</v>
      </c>
      <c r="L14" s="13">
        <f>IF(G14=0,0,MAX(0,(ROUNDUP(G14/第2日!G32,0)-1)*第2日!E32))</f>
        <v>201.51</v>
      </c>
      <c r="M14" s="13">
        <f>第2日!I32</f>
        <v>275</v>
      </c>
      <c r="N14" s="13">
        <f>IF(第2日!B33="点1·开启",1,0)+IF(第2日!C33="点2·开启",1,0)+IF(第2日!D33="点3·开启",1,0)+IF(第2日!E33="点4·开启",1,0)+IF(第2日!F33="点5·开启",1,0)+IF(第2日!G33="点6·开启",1,0)</f>
        <v>6</v>
      </c>
    </row>
    <row r="15" spans="1:14" ht="23.1" customHeight="1">
      <c r="A15" s="13" t="s">
        <v>59</v>
      </c>
      <c r="B15" s="13">
        <v>2</v>
      </c>
      <c r="C15" s="13" t="s">
        <v>55</v>
      </c>
      <c r="D15" s="13" t="str">
        <f>第2日!B61</f>
        <v>第7波</v>
      </c>
      <c r="E15" s="13" t="str">
        <f>第2日!I62</f>
        <v>可回读</v>
      </c>
      <c r="F15" s="13">
        <f>SUM(第2日!C65:C82)</f>
        <v>2150</v>
      </c>
      <c r="G15" s="13">
        <f>SUM(第2日!D65:D82)</f>
        <v>2150</v>
      </c>
      <c r="H15" s="13">
        <f>COUNTA(第2日!B65:B82)</f>
        <v>18</v>
      </c>
      <c r="I15" s="17">
        <f>SUM(第2日!F65:F82)</f>
        <v>10410</v>
      </c>
      <c r="J15" s="17">
        <f>SUM(第2日!G65:G82)</f>
        <v>10410</v>
      </c>
      <c r="K15" s="17">
        <f>SUM(第2日!H65:H82)</f>
        <v>10410</v>
      </c>
      <c r="L15" s="13">
        <f>IF(G15=0,0,MAX(0,(ROUNDUP(G15/第2日!G61,0)-1)*第2日!E61))</f>
        <v>171.92000000000002</v>
      </c>
      <c r="M15" s="13">
        <f>第2日!I61</f>
        <v>285</v>
      </c>
      <c r="N15" s="13">
        <f>IF(第2日!B62="点1·开启",1,0)+IF(第2日!C62="点2·开启",1,0)+IF(第2日!D62="点3·开启",1,0)+IF(第2日!E62="点4·开启",1,0)+IF(第2日!F62="点5·开启",1,0)+IF(第2日!G62="点6·开启",1,0)</f>
        <v>6</v>
      </c>
    </row>
    <row r="16" spans="1:14" ht="23.1" customHeight="1">
      <c r="A16" s="13" t="s">
        <v>60</v>
      </c>
      <c r="B16" s="13">
        <v>2</v>
      </c>
      <c r="C16" s="13" t="s">
        <v>55</v>
      </c>
      <c r="D16" s="13" t="str">
        <f>第2日!B90</f>
        <v>第8波</v>
      </c>
      <c r="E16" s="13" t="str">
        <f>第2日!I91</f>
        <v>可回读</v>
      </c>
      <c r="F16" s="13">
        <f>SUM(第2日!C94:C111)</f>
        <v>2240</v>
      </c>
      <c r="G16" s="13">
        <f>SUM(第2日!D94:D111)</f>
        <v>2240</v>
      </c>
      <c r="H16" s="13">
        <f>COUNTA(第2日!B94:B111)</f>
        <v>18</v>
      </c>
      <c r="I16" s="17">
        <f>SUM(第2日!F94:F111)</f>
        <v>11750</v>
      </c>
      <c r="J16" s="17">
        <f>SUM(第2日!G94:G111)</f>
        <v>11750</v>
      </c>
      <c r="K16" s="17">
        <f>SUM(第2日!H94:H111)</f>
        <v>11750</v>
      </c>
      <c r="L16" s="13">
        <f>IF(G16=0,0,MAX(0,(ROUNDUP(G16/第2日!G90,0)-1)*第2日!E90))</f>
        <v>167.92499999999998</v>
      </c>
      <c r="M16" s="13">
        <f>第2日!I90</f>
        <v>300</v>
      </c>
      <c r="N16" s="13">
        <f>IF(第2日!B91="点1·开启",1,0)+IF(第2日!C91="点2·开启",1,0)+IF(第2日!D91="点3·开启",1,0)+IF(第2日!E91="点4·开启",1,0)+IF(第2日!F91="点5·开启",1,0)+IF(第2日!G91="点6·开启",1,0)</f>
        <v>6</v>
      </c>
    </row>
    <row r="17" spans="1:14" ht="23.1" customHeight="1">
      <c r="A17" s="13" t="s">
        <v>61</v>
      </c>
      <c r="B17" s="13">
        <v>3</v>
      </c>
      <c r="C17" s="13" t="s">
        <v>52</v>
      </c>
      <c r="D17" s="13" t="str">
        <f>第3日!B3</f>
        <v>第9波</v>
      </c>
      <c r="E17" s="13" t="str">
        <f>第3日!I4</f>
        <v>可回读</v>
      </c>
      <c r="F17" s="13">
        <f>SUM(第3日!C7:C24)</f>
        <v>144</v>
      </c>
      <c r="G17" s="13">
        <f>SUM(第3日!D7:D24)</f>
        <v>144</v>
      </c>
      <c r="H17" s="13">
        <f>COUNTA(第3日!B7:B24)</f>
        <v>9</v>
      </c>
      <c r="I17" s="17">
        <f>SUM(第3日!F7:F24)</f>
        <v>242</v>
      </c>
      <c r="J17" s="17">
        <f>SUM(第3日!G7:G24)</f>
        <v>242</v>
      </c>
      <c r="K17" s="17">
        <f>SUM(第3日!H7:H24)</f>
        <v>242</v>
      </c>
      <c r="L17" s="13">
        <f>IF(G17=0,0,MAX(0,(ROUNDUP(G17/第3日!G3,0)-1)*第3日!E3))</f>
        <v>40.040000000000006</v>
      </c>
      <c r="M17" s="13">
        <f>第3日!I3</f>
        <v>300</v>
      </c>
      <c r="N17" s="13">
        <f>IF(第3日!B4="点1·开启",1,0)+IF(第3日!C4="点2·开启",1,0)+IF(第3日!D4="点3·开启",1,0)+IF(第3日!E4="点4·开启",1,0)+IF(第3日!F4="点5·开启",1,0)+IF(第3日!G4="点6·开启",1,0)</f>
        <v>6</v>
      </c>
    </row>
    <row r="18" spans="1:14" ht="23.1" customHeight="1">
      <c r="A18" s="13" t="s">
        <v>62</v>
      </c>
      <c r="B18" s="13">
        <v>3</v>
      </c>
      <c r="C18" s="13" t="s">
        <v>52</v>
      </c>
      <c r="D18" s="13" t="str">
        <f>第3日!B32</f>
        <v>第10波</v>
      </c>
      <c r="E18" s="13" t="str">
        <f>第3日!I33</f>
        <v>可回读</v>
      </c>
      <c r="F18" s="13">
        <f>SUM(第3日!C36:C53)</f>
        <v>160</v>
      </c>
      <c r="G18" s="13">
        <f>SUM(第3日!D36:D53)</f>
        <v>160</v>
      </c>
      <c r="H18" s="13">
        <f>COUNTA(第3日!B36:B53)</f>
        <v>10</v>
      </c>
      <c r="I18" s="17">
        <f>SUM(第3日!F36:F53)</f>
        <v>308</v>
      </c>
      <c r="J18" s="17">
        <f>SUM(第3日!G36:G53)</f>
        <v>308</v>
      </c>
      <c r="K18" s="17">
        <f>SUM(第3日!H36:H53)</f>
        <v>308</v>
      </c>
      <c r="L18" s="13">
        <f>IF(G18=0,0,MAX(0,(ROUNDUP(G18/第3日!G32,0)-1)*第3日!E32))</f>
        <v>41.34</v>
      </c>
      <c r="M18" s="13">
        <f>第3日!I32</f>
        <v>300</v>
      </c>
      <c r="N18" s="13">
        <f>IF(第3日!B33="点1·开启",1,0)+IF(第3日!C33="点2·开启",1,0)+IF(第3日!D33="点3·开启",1,0)+IF(第3日!E33="点4·开启",1,0)+IF(第3日!F33="点5·开启",1,0)+IF(第3日!G33="点6·开启",1,0)</f>
        <v>6</v>
      </c>
    </row>
    <row r="19" spans="1:14" ht="23.1" customHeight="1">
      <c r="A19" s="13" t="s">
        <v>63</v>
      </c>
      <c r="B19" s="13">
        <v>3</v>
      </c>
      <c r="C19" s="13" t="s">
        <v>55</v>
      </c>
      <c r="D19" s="13" t="str">
        <f>第3日!B61</f>
        <v>第11波</v>
      </c>
      <c r="E19" s="13" t="str">
        <f>第3日!I62</f>
        <v>可回读</v>
      </c>
      <c r="F19" s="13">
        <f>SUM(第3日!C65:C82)</f>
        <v>176</v>
      </c>
      <c r="G19" s="13">
        <f>SUM(第3日!D65:D82)</f>
        <v>176</v>
      </c>
      <c r="H19" s="13">
        <f>COUNTA(第3日!B65:B82)</f>
        <v>12</v>
      </c>
      <c r="I19" s="17">
        <f>SUM(第3日!F65:F82)</f>
        <v>398</v>
      </c>
      <c r="J19" s="17">
        <f>SUM(第3日!G65:G82)</f>
        <v>398</v>
      </c>
      <c r="K19" s="17">
        <f>SUM(第3日!H65:H82)</f>
        <v>398</v>
      </c>
      <c r="L19" s="13">
        <f>IF(G19=0,0,MAX(0,(ROUNDUP(G19/第3日!G61,0)-1)*第3日!E61))</f>
        <v>42</v>
      </c>
      <c r="M19" s="13">
        <f>第3日!I61</f>
        <v>300</v>
      </c>
      <c r="N19" s="13">
        <f>IF(第3日!B62="点1·开启",1,0)+IF(第3日!C62="点2·开启",1,0)+IF(第3日!D62="点3·开启",1,0)+IF(第3日!E62="点4·开启",1,0)+IF(第3日!F62="点5·开启",1,0)+IF(第3日!G62="点6·开启",1,0)</f>
        <v>6</v>
      </c>
    </row>
    <row r="20" spans="1:14" ht="23.1" customHeight="1">
      <c r="A20" s="13" t="s">
        <v>64</v>
      </c>
      <c r="B20" s="13">
        <v>3</v>
      </c>
      <c r="C20" s="13" t="s">
        <v>55</v>
      </c>
      <c r="D20" s="13" t="str">
        <f>第3日!B90</f>
        <v>第12波</v>
      </c>
      <c r="E20" s="13" t="str">
        <f>第3日!I91</f>
        <v>可回读</v>
      </c>
      <c r="F20" s="13">
        <f>SUM(第3日!C94:C111)</f>
        <v>200</v>
      </c>
      <c r="G20" s="13">
        <f>SUM(第3日!D94:D111)</f>
        <v>200</v>
      </c>
      <c r="H20" s="13">
        <f>COUNTA(第3日!B94:B111)</f>
        <v>13</v>
      </c>
      <c r="I20" s="17">
        <f>SUM(第3日!F94:F111)</f>
        <v>453</v>
      </c>
      <c r="J20" s="17">
        <f>SUM(第3日!G94:G111)</f>
        <v>453</v>
      </c>
      <c r="K20" s="17">
        <f>SUM(第3日!H94:H111)</f>
        <v>453</v>
      </c>
      <c r="L20" s="13">
        <f>IF(G20=0,0,MAX(0,(ROUNDUP(G20/第3日!G90,0)-1)*第3日!E90))</f>
        <v>43.78</v>
      </c>
      <c r="M20" s="13">
        <f>第3日!I90</f>
        <v>300</v>
      </c>
      <c r="N20" s="13">
        <f>IF(第3日!B91="点1·开启",1,0)+IF(第3日!C91="点2·开启",1,0)+IF(第3日!D91="点3·开启",1,0)+IF(第3日!E91="点4·开启",1,0)+IF(第3日!F91="点5·开启",1,0)+IF(第3日!G91="点6·开启",1,0)</f>
        <v>6</v>
      </c>
    </row>
    <row r="21" spans="1:14" ht="23.1" customHeight="1"/>
    <row r="22" spans="1:14" ht="23.1" customHeight="1">
      <c r="A22" s="35" t="s">
        <v>65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</row>
    <row r="23" spans="1:14" ht="23.1" customHeight="1"/>
    <row r="24" spans="1:14" ht="23.1" customHeight="1">
      <c r="A24" s="34" t="s">
        <v>66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</row>
    <row r="25" spans="1:14" ht="23.1" customHeight="1">
      <c r="A25" s="20" t="s">
        <v>39</v>
      </c>
      <c r="B25" s="20" t="s">
        <v>67</v>
      </c>
      <c r="C25" s="20" t="s">
        <v>68</v>
      </c>
      <c r="D25" s="20" t="s">
        <v>69</v>
      </c>
      <c r="E25" s="20" t="s">
        <v>34</v>
      </c>
      <c r="F25" s="20" t="s">
        <v>70</v>
      </c>
    </row>
    <row r="26" spans="1:14" ht="23.1" customHeight="1">
      <c r="A26" s="13" t="s">
        <v>71</v>
      </c>
      <c r="B26" s="13">
        <v>4</v>
      </c>
      <c r="C26" s="13">
        <f>SUM(F9:F12)</f>
        <v>12400</v>
      </c>
      <c r="D26" s="13">
        <f>SUM(G9:G12)</f>
        <v>12400</v>
      </c>
      <c r="E26" s="13">
        <f>SUM(K9:K12)</f>
        <v>16730</v>
      </c>
      <c r="F26" s="13">
        <f>全局设置!B16</f>
        <v>5</v>
      </c>
    </row>
    <row r="27" spans="1:14" ht="23.1" customHeight="1">
      <c r="A27" s="13" t="s">
        <v>72</v>
      </c>
      <c r="B27" s="13">
        <v>4</v>
      </c>
      <c r="C27" s="13">
        <f>SUM(F13:F16)</f>
        <v>8730</v>
      </c>
      <c r="D27" s="13">
        <f>SUM(G13:G16)</f>
        <v>8730</v>
      </c>
      <c r="E27" s="13">
        <f>SUM(K13:K16)</f>
        <v>39220</v>
      </c>
      <c r="F27" s="13">
        <f>全局设置!D16</f>
        <v>5</v>
      </c>
    </row>
    <row r="28" spans="1:14" ht="23.1" customHeight="1">
      <c r="A28" s="13" t="s">
        <v>73</v>
      </c>
      <c r="B28" s="13">
        <v>4</v>
      </c>
      <c r="C28" s="13">
        <f>SUM(F17:F20)</f>
        <v>680</v>
      </c>
      <c r="D28" s="13">
        <f>SUM(G17:G20)</f>
        <v>680</v>
      </c>
      <c r="E28" s="13">
        <f>SUM(K17:K20)</f>
        <v>1401</v>
      </c>
      <c r="F28" s="13">
        <f>全局设置!F16</f>
        <v>5</v>
      </c>
    </row>
    <row r="29" spans="1:14" ht="23.1" customHeight="1">
      <c r="A29" s="13" t="s">
        <v>24</v>
      </c>
      <c r="B29" s="13">
        <v>0</v>
      </c>
      <c r="C29" s="13">
        <v>0</v>
      </c>
      <c r="D29" s="13">
        <v>0</v>
      </c>
      <c r="E29" s="13">
        <v>0</v>
      </c>
      <c r="F29" s="13" t="s">
        <v>74</v>
      </c>
    </row>
    <row r="30" spans="1:14" ht="23.1" customHeight="1"/>
    <row r="31" spans="1:14" ht="23.1" customHeight="1"/>
    <row r="32" spans="1:14" ht="23.1" customHeight="1"/>
    <row r="33" spans="1:3" ht="23.1" customHeight="1">
      <c r="A33" s="18" t="s">
        <v>38</v>
      </c>
      <c r="B33" s="18" t="s">
        <v>47</v>
      </c>
      <c r="C33" s="18" t="s">
        <v>34</v>
      </c>
    </row>
    <row r="34" spans="1:3" ht="23.1" customHeight="1">
      <c r="A34" s="13" t="s">
        <v>51</v>
      </c>
      <c r="B34" s="13">
        <f t="shared" ref="B34:B45" si="0">J9</f>
        <v>3000</v>
      </c>
      <c r="C34" s="13">
        <f t="shared" ref="C34:C45" si="1">K9</f>
        <v>3000</v>
      </c>
    </row>
    <row r="35" spans="1:3" ht="23.1" customHeight="1">
      <c r="A35" s="13" t="s">
        <v>53</v>
      </c>
      <c r="B35" s="13">
        <f t="shared" si="0"/>
        <v>4050</v>
      </c>
      <c r="C35" s="13">
        <f t="shared" si="1"/>
        <v>4050</v>
      </c>
    </row>
    <row r="36" spans="1:3" ht="23.1" customHeight="1">
      <c r="A36" s="13" t="s">
        <v>54</v>
      </c>
      <c r="B36" s="13">
        <f t="shared" si="0"/>
        <v>4540</v>
      </c>
      <c r="C36" s="13">
        <f t="shared" si="1"/>
        <v>4540</v>
      </c>
    </row>
    <row r="37" spans="1:3" ht="23.1" customHeight="1">
      <c r="A37" s="13" t="s">
        <v>56</v>
      </c>
      <c r="B37" s="13">
        <f t="shared" si="0"/>
        <v>5140</v>
      </c>
      <c r="C37" s="13">
        <f t="shared" si="1"/>
        <v>5140</v>
      </c>
    </row>
    <row r="38" spans="1:3" ht="23.1" customHeight="1">
      <c r="A38" s="13" t="s">
        <v>57</v>
      </c>
      <c r="B38" s="13">
        <f t="shared" si="0"/>
        <v>8000</v>
      </c>
      <c r="C38" s="13">
        <f t="shared" si="1"/>
        <v>8000</v>
      </c>
    </row>
    <row r="39" spans="1:3" ht="23.1" customHeight="1">
      <c r="A39" s="13" t="s">
        <v>58</v>
      </c>
      <c r="B39" s="13">
        <f t="shared" si="0"/>
        <v>9060</v>
      </c>
      <c r="C39" s="13">
        <f t="shared" si="1"/>
        <v>9060</v>
      </c>
    </row>
    <row r="40" spans="1:3" ht="23.1" customHeight="1">
      <c r="A40" s="13" t="s">
        <v>59</v>
      </c>
      <c r="B40" s="13">
        <f t="shared" si="0"/>
        <v>10410</v>
      </c>
      <c r="C40" s="13">
        <f t="shared" si="1"/>
        <v>10410</v>
      </c>
    </row>
    <row r="41" spans="1:3" ht="23.1" customHeight="1">
      <c r="A41" s="13" t="s">
        <v>60</v>
      </c>
      <c r="B41" s="13">
        <f t="shared" si="0"/>
        <v>11750</v>
      </c>
      <c r="C41" s="13">
        <f t="shared" si="1"/>
        <v>11750</v>
      </c>
    </row>
    <row r="42" spans="1:3" ht="23.1" customHeight="1">
      <c r="A42" s="13" t="s">
        <v>61</v>
      </c>
      <c r="B42" s="13">
        <f t="shared" si="0"/>
        <v>242</v>
      </c>
      <c r="C42" s="13">
        <f t="shared" si="1"/>
        <v>242</v>
      </c>
    </row>
    <row r="43" spans="1:3" ht="23.1" customHeight="1">
      <c r="A43" s="13" t="s">
        <v>62</v>
      </c>
      <c r="B43" s="13">
        <f t="shared" si="0"/>
        <v>308</v>
      </c>
      <c r="C43" s="13">
        <f t="shared" si="1"/>
        <v>308</v>
      </c>
    </row>
    <row r="44" spans="1:3" ht="23.1" customHeight="1">
      <c r="A44" s="13" t="s">
        <v>63</v>
      </c>
      <c r="B44" s="13">
        <f t="shared" si="0"/>
        <v>398</v>
      </c>
      <c r="C44" s="13">
        <f t="shared" si="1"/>
        <v>398</v>
      </c>
    </row>
    <row r="45" spans="1:3" ht="23.1" customHeight="1">
      <c r="A45" s="13" t="s">
        <v>64</v>
      </c>
      <c r="B45" s="13">
        <f t="shared" si="0"/>
        <v>453</v>
      </c>
      <c r="C45" s="13">
        <f t="shared" si="1"/>
        <v>453</v>
      </c>
    </row>
    <row r="46" spans="1:3" ht="23.1" customHeight="1"/>
    <row r="47" spans="1:3" ht="23.1" customHeight="1"/>
    <row r="48" spans="1:3" ht="23.1" customHeight="1"/>
    <row r="49" spans="1:2" ht="23.1" customHeight="1"/>
    <row r="50" spans="1:2" ht="23.1" customHeight="1"/>
    <row r="51" spans="1:2" ht="23.1" customHeight="1">
      <c r="A51" s="6" t="s">
        <v>38</v>
      </c>
      <c r="B51" s="6" t="s">
        <v>33</v>
      </c>
    </row>
    <row r="52" spans="1:2" ht="23.1" customHeight="1">
      <c r="A52" s="13" t="s">
        <v>51</v>
      </c>
      <c r="B52" s="13">
        <f t="shared" ref="B52:B63" si="2">G9</f>
        <v>3000</v>
      </c>
    </row>
    <row r="53" spans="1:2" ht="23.1" customHeight="1">
      <c r="A53" s="13" t="s">
        <v>53</v>
      </c>
      <c r="B53" s="13">
        <f t="shared" si="2"/>
        <v>3850</v>
      </c>
    </row>
    <row r="54" spans="1:2" ht="23.1" customHeight="1">
      <c r="A54" s="13" t="s">
        <v>54</v>
      </c>
      <c r="B54" s="13">
        <f t="shared" si="2"/>
        <v>3470</v>
      </c>
    </row>
    <row r="55" spans="1:2" ht="23.1" customHeight="1">
      <c r="A55" s="13" t="s">
        <v>56</v>
      </c>
      <c r="B55" s="13">
        <f t="shared" si="2"/>
        <v>2080</v>
      </c>
    </row>
    <row r="56" spans="1:2" ht="23.1" customHeight="1">
      <c r="A56" s="13" t="s">
        <v>57</v>
      </c>
      <c r="B56" s="13">
        <f t="shared" si="2"/>
        <v>2100</v>
      </c>
    </row>
    <row r="57" spans="1:2" ht="23.1" customHeight="1">
      <c r="A57" s="13" t="s">
        <v>58</v>
      </c>
      <c r="B57" s="13">
        <f t="shared" si="2"/>
        <v>2240</v>
      </c>
    </row>
    <row r="58" spans="1:2" ht="23.1" customHeight="1">
      <c r="A58" s="13" t="s">
        <v>59</v>
      </c>
      <c r="B58" s="13">
        <f t="shared" si="2"/>
        <v>2150</v>
      </c>
    </row>
    <row r="59" spans="1:2" ht="23.1" customHeight="1">
      <c r="A59" s="13" t="s">
        <v>60</v>
      </c>
      <c r="B59" s="13">
        <f t="shared" si="2"/>
        <v>2240</v>
      </c>
    </row>
    <row r="60" spans="1:2" ht="23.1" customHeight="1">
      <c r="A60" s="13" t="s">
        <v>61</v>
      </c>
      <c r="B60" s="13">
        <f t="shared" si="2"/>
        <v>144</v>
      </c>
    </row>
    <row r="61" spans="1:2" ht="23.1" customHeight="1">
      <c r="A61" s="13" t="s">
        <v>62</v>
      </c>
      <c r="B61" s="13">
        <f t="shared" si="2"/>
        <v>160</v>
      </c>
    </row>
    <row r="62" spans="1:2" ht="23.1" customHeight="1">
      <c r="A62" s="13" t="s">
        <v>63</v>
      </c>
      <c r="B62" s="13">
        <f t="shared" si="2"/>
        <v>176</v>
      </c>
    </row>
    <row r="63" spans="1:2" ht="23.1" customHeight="1">
      <c r="A63" s="13" t="s">
        <v>64</v>
      </c>
      <c r="B63" s="13">
        <f t="shared" si="2"/>
        <v>200</v>
      </c>
    </row>
    <row r="64" spans="1:2" ht="23.1" customHeight="1"/>
    <row r="65" ht="23.1" customHeight="1"/>
    <row r="66" ht="23.1" customHeight="1"/>
  </sheetData>
  <mergeCells count="9">
    <mergeCell ref="A22:N22"/>
    <mergeCell ref="A24:N24"/>
    <mergeCell ref="A1:N1"/>
    <mergeCell ref="A2:N2"/>
    <mergeCell ref="A5:C6"/>
    <mergeCell ref="D5:F6"/>
    <mergeCell ref="G5:I6"/>
    <mergeCell ref="J5:L6"/>
    <mergeCell ref="M5:N6"/>
  </mergeCells>
  <phoneticPr fontId="1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showGridLines="0" workbookViewId="0"/>
  </sheetViews>
  <sheetFormatPr defaultRowHeight="14.25"/>
  <cols>
    <col min="1" max="1" width="31" customWidth="1"/>
    <col min="2" max="3" width="22" customWidth="1"/>
    <col min="4" max="4" width="14" customWidth="1"/>
    <col min="5" max="5" width="22" customWidth="1"/>
    <col min="6" max="6" width="14" customWidth="1"/>
  </cols>
  <sheetData>
    <row r="1" spans="1:6" ht="33.950000000000003" customHeight="1">
      <c r="A1" s="31" t="s">
        <v>75</v>
      </c>
      <c r="B1" s="31"/>
      <c r="C1" s="31"/>
      <c r="D1" s="31"/>
      <c r="E1" s="31"/>
      <c r="F1" s="31"/>
    </row>
    <row r="2" spans="1:6" ht="23.1" customHeight="1">
      <c r="A2" s="36" t="s">
        <v>76</v>
      </c>
      <c r="B2" s="36"/>
      <c r="C2" s="36"/>
      <c r="D2" s="36"/>
      <c r="E2" s="36"/>
      <c r="F2" s="36"/>
    </row>
    <row r="3" spans="1:6" ht="23.1" customHeight="1"/>
    <row r="4" spans="1:6" ht="23.1" customHeight="1">
      <c r="A4" s="6" t="s">
        <v>77</v>
      </c>
      <c r="B4" s="6" t="s">
        <v>78</v>
      </c>
    </row>
    <row r="5" spans="1:6" ht="23.1" customHeight="1">
      <c r="A5" s="4" t="s">
        <v>79</v>
      </c>
      <c r="B5" s="7">
        <v>1</v>
      </c>
    </row>
    <row r="6" spans="1:6" ht="23.1" customHeight="1">
      <c r="A6" s="4" t="s">
        <v>80</v>
      </c>
      <c r="B6" s="9">
        <v>0.25</v>
      </c>
    </row>
    <row r="7" spans="1:6" ht="23.1" customHeight="1">
      <c r="A7" s="4" t="s">
        <v>81</v>
      </c>
      <c r="B7" s="9">
        <v>1</v>
      </c>
    </row>
    <row r="8" spans="1:6" ht="23.1" customHeight="1">
      <c r="A8" s="4" t="s">
        <v>82</v>
      </c>
      <c r="B8" s="8">
        <v>12</v>
      </c>
    </row>
    <row r="9" spans="1:6" ht="23.1" customHeight="1">
      <c r="A9" s="4" t="s">
        <v>83</v>
      </c>
      <c r="B9" s="8">
        <v>4</v>
      </c>
    </row>
    <row r="10" spans="1:6" ht="23.1" customHeight="1">
      <c r="A10" s="4" t="s">
        <v>84</v>
      </c>
      <c r="B10" s="8">
        <v>4</v>
      </c>
    </row>
    <row r="11" spans="1:6" ht="23.1" customHeight="1">
      <c r="A11" s="4" t="s">
        <v>85</v>
      </c>
      <c r="B11" s="8" t="s">
        <v>86</v>
      </c>
    </row>
    <row r="12" spans="1:6" ht="23.1" customHeight="1">
      <c r="A12" s="4" t="s">
        <v>87</v>
      </c>
      <c r="B12" s="8" t="s">
        <v>24</v>
      </c>
    </row>
    <row r="13" spans="1:6" ht="23.1" customHeight="1">
      <c r="A13" s="4" t="s">
        <v>88</v>
      </c>
      <c r="B13" s="8" t="s">
        <v>52</v>
      </c>
    </row>
    <row r="14" spans="1:6" ht="23.1" customHeight="1"/>
    <row r="15" spans="1:6" ht="23.1" customHeight="1">
      <c r="A15" s="34" t="s">
        <v>89</v>
      </c>
      <c r="B15" s="34"/>
      <c r="C15" s="34"/>
      <c r="D15" s="34"/>
      <c r="E15" s="34"/>
      <c r="F15" s="34"/>
    </row>
    <row r="16" spans="1:6" ht="23.1" customHeight="1">
      <c r="A16" s="10" t="s">
        <v>90</v>
      </c>
      <c r="B16" s="12">
        <v>5</v>
      </c>
      <c r="C16" s="10" t="s">
        <v>91</v>
      </c>
      <c r="D16" s="12">
        <v>5</v>
      </c>
      <c r="E16" s="10" t="s">
        <v>92</v>
      </c>
      <c r="F16" s="12">
        <v>5</v>
      </c>
    </row>
    <row r="17" spans="1:6" ht="23.1" customHeight="1"/>
    <row r="18" spans="1:6" ht="23.1" customHeight="1">
      <c r="A18" s="33" t="s">
        <v>93</v>
      </c>
      <c r="B18" s="33"/>
      <c r="C18" s="33"/>
      <c r="D18" s="33"/>
      <c r="E18" s="33"/>
      <c r="F18" s="33"/>
    </row>
    <row r="19" spans="1:6" ht="23.1" customHeight="1">
      <c r="A19" s="4" t="s">
        <v>31</v>
      </c>
      <c r="B19" s="13" t="str">
        <f>COUNTIF(总览!E9:E20,"可回读")&amp;" / 12"</f>
        <v>12 / 12</v>
      </c>
    </row>
    <row r="20" spans="1:6" ht="23.1" customHeight="1">
      <c r="A20" s="4" t="s">
        <v>94</v>
      </c>
      <c r="B20" s="13" t="str">
        <f>IF(B19="12 / 12","完整","仍有待设计或需修正")</f>
        <v>完整</v>
      </c>
    </row>
    <row r="21" spans="1:6" ht="23.1" customHeight="1">
      <c r="A21" s="4" t="s">
        <v>95</v>
      </c>
      <c r="B21" s="13" t="s">
        <v>96</v>
      </c>
    </row>
    <row r="22" spans="1:6" ht="23.1" customHeight="1">
      <c r="A22" s="4" t="s">
        <v>97</v>
      </c>
      <c r="B22" s="13" t="s">
        <v>98</v>
      </c>
    </row>
    <row r="23" spans="1:6" ht="23.1" customHeight="1"/>
    <row r="24" spans="1:6" ht="23.1" customHeight="1">
      <c r="A24" s="38" t="s">
        <v>99</v>
      </c>
      <c r="B24" s="38"/>
      <c r="C24" s="38"/>
      <c r="D24" s="38"/>
      <c r="E24" s="38"/>
      <c r="F24" s="38"/>
    </row>
  </sheetData>
  <mergeCells count="5">
    <mergeCell ref="A1:F1"/>
    <mergeCell ref="A2:F2"/>
    <mergeCell ref="A15:F15"/>
    <mergeCell ref="A18:F18"/>
    <mergeCell ref="A24:F24"/>
  </mergeCells>
  <phoneticPr fontId="12" type="noConversion"/>
  <dataValidations count="3">
    <dataValidation type="whole" sqref="B5" xr:uid="{00000000-0002-0000-0200-000000000000}">
      <formula1>1</formula1>
      <formula2>8</formula2>
    </dataValidation>
    <dataValidation type="decimal" sqref="B6:B7" xr:uid="{00000000-0002-0000-0200-000001000000}">
      <formula1>0</formula1>
      <formula2>1</formula2>
    </dataValidation>
    <dataValidation type="whole" sqref="B16 F16 D16" xr:uid="{00000000-0002-0000-0200-000002000000}">
      <formula1>0</formula1>
      <formula2>999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4"/>
  <sheetViews>
    <sheetView showGridLines="0" topLeftCell="A88" workbookViewId="0">
      <selection activeCell="B73" sqref="B73"/>
    </sheetView>
  </sheetViews>
  <sheetFormatPr defaultRowHeight="14.25"/>
  <cols>
    <col min="1" max="1" width="8" customWidth="1"/>
    <col min="2" max="2" width="26" customWidth="1"/>
    <col min="3" max="4" width="12" customWidth="1"/>
    <col min="5" max="5" width="13" customWidth="1"/>
    <col min="6" max="8" width="17" customWidth="1"/>
    <col min="9" max="9" width="13" customWidth="1"/>
  </cols>
  <sheetData>
    <row r="1" spans="1:9" ht="33.950000000000003" customHeight="1">
      <c r="A1" s="31" t="str">
        <f>"第1日｜4 波配置｜日终地下探索 +"&amp;全局设置!B16&amp;" AP"</f>
        <v>第1日｜4 波配置｜日终地下探索 +5 AP</v>
      </c>
      <c r="B1" s="31"/>
      <c r="C1" s="31"/>
      <c r="D1" s="31"/>
      <c r="E1" s="31"/>
      <c r="F1" s="31"/>
      <c r="G1" s="31"/>
      <c r="H1" s="31"/>
      <c r="I1" s="31"/>
    </row>
    <row r="2" spans="1:9" ht="21.95" customHeight="1">
      <c r="A2" s="33" t="s">
        <v>100</v>
      </c>
      <c r="B2" s="33"/>
      <c r="C2" s="33"/>
      <c r="D2" s="33"/>
      <c r="E2" s="33"/>
      <c r="F2" s="33"/>
      <c r="G2" s="33"/>
      <c r="H2" s="33"/>
      <c r="I2" s="33"/>
    </row>
    <row r="3" spans="1:9" ht="21.95" customHeight="1">
      <c r="A3" s="6" t="s">
        <v>101</v>
      </c>
      <c r="B3" s="39" t="s">
        <v>51</v>
      </c>
      <c r="C3" s="39" t="s">
        <v>102</v>
      </c>
      <c r="D3" s="6" t="s">
        <v>103</v>
      </c>
      <c r="E3" s="7">
        <v>0.1</v>
      </c>
      <c r="F3" s="6" t="s">
        <v>104</v>
      </c>
      <c r="G3" s="7">
        <v>1</v>
      </c>
      <c r="H3" s="6" t="s">
        <v>49</v>
      </c>
      <c r="I3" s="7">
        <v>300</v>
      </c>
    </row>
    <row r="4" spans="1:9" ht="21.95" customHeight="1">
      <c r="A4" s="6" t="s">
        <v>105</v>
      </c>
      <c r="B4" s="11" t="s">
        <v>106</v>
      </c>
      <c r="C4" s="11" t="s">
        <v>107</v>
      </c>
      <c r="D4" s="11" t="s">
        <v>108</v>
      </c>
      <c r="E4" s="11" t="s">
        <v>109</v>
      </c>
      <c r="F4" s="11" t="s">
        <v>110</v>
      </c>
      <c r="G4" s="11" t="s">
        <v>111</v>
      </c>
      <c r="H4" s="6" t="s">
        <v>112</v>
      </c>
      <c r="I4" s="15" t="str">
        <f>IF(COUNTA(B7:B24)=0,"待设计",IF(COUNTIF(I7:I24,"需修正")&gt;0,"需修正","可回读"))</f>
        <v>可回读</v>
      </c>
    </row>
    <row r="5" spans="1:9" ht="21.95" customHeight="1">
      <c r="A5" s="40" t="s">
        <v>113</v>
      </c>
      <c r="B5" s="40"/>
      <c r="C5" s="40"/>
      <c r="D5" s="40"/>
      <c r="E5" s="40"/>
      <c r="F5" s="40"/>
      <c r="G5" s="40"/>
      <c r="H5" s="40"/>
      <c r="I5" s="40"/>
    </row>
    <row r="6" spans="1:9" ht="21.95" customHeight="1">
      <c r="A6" s="6" t="s">
        <v>114</v>
      </c>
      <c r="B6" s="6" t="s">
        <v>115</v>
      </c>
      <c r="C6" s="6" t="s">
        <v>43</v>
      </c>
      <c r="D6" s="6" t="s">
        <v>44</v>
      </c>
      <c r="E6" s="6" t="s">
        <v>116</v>
      </c>
      <c r="F6" s="6" t="s">
        <v>46</v>
      </c>
      <c r="G6" s="6" t="s">
        <v>47</v>
      </c>
      <c r="H6" s="6" t="s">
        <v>34</v>
      </c>
      <c r="I6" s="6" t="s">
        <v>117</v>
      </c>
    </row>
    <row r="7" spans="1:9" ht="21.95" customHeight="1">
      <c r="A7" s="16">
        <v>1</v>
      </c>
      <c r="B7" s="14" t="s">
        <v>118</v>
      </c>
      <c r="C7" s="14">
        <v>1300</v>
      </c>
      <c r="D7" s="8">
        <f>IF(B7="",0,ROUNDUP(C7*(1+(全局设置!$B$5-1)*全局设置!$B$6),0))</f>
        <v>1300</v>
      </c>
      <c r="E7" s="17">
        <f>IF(B7="",0,IFERROR(VLOOKUP(B7,敌人目录!$A$6:$M$68,13,FALSE),0))</f>
        <v>1</v>
      </c>
      <c r="F7" s="17">
        <f t="shared" ref="F7:F24" si="0">D7*E7</f>
        <v>1300</v>
      </c>
      <c r="G7" s="17">
        <f>F7*全局设置!$B$7</f>
        <v>1300</v>
      </c>
      <c r="H7" s="17">
        <f>G7*全局设置!$B$5</f>
        <v>1300</v>
      </c>
      <c r="I7" s="15" t="str">
        <f t="shared" ref="I7:I24" si="1">IF(AND(B7="",C7=""),"",IF(AND(B7&lt;&gt;"",C7&gt;=1,COUNTIF($B$7:$B$24,B7)=1),"可回读","需修正"))</f>
        <v>可回读</v>
      </c>
    </row>
    <row r="8" spans="1:9" ht="21.95" customHeight="1">
      <c r="A8" s="16">
        <v>2</v>
      </c>
      <c r="B8" s="14" t="s">
        <v>119</v>
      </c>
      <c r="C8" s="14">
        <v>400</v>
      </c>
      <c r="D8" s="8">
        <f>IF(B8="",0,ROUNDUP(C8*(1+(全局设置!$B$5-1)*全局设置!$B$6),0))</f>
        <v>400</v>
      </c>
      <c r="E8" s="17">
        <f>IF(B8="",0,IFERROR(VLOOKUP(B8,敌人目录!$A$6:$M$68,13,FALSE),0))</f>
        <v>1</v>
      </c>
      <c r="F8" s="17">
        <f t="shared" si="0"/>
        <v>400</v>
      </c>
      <c r="G8" s="17">
        <f>F8*全局设置!$B$7</f>
        <v>400</v>
      </c>
      <c r="H8" s="17">
        <f>G8*全局设置!$B$5</f>
        <v>400</v>
      </c>
      <c r="I8" s="15" t="str">
        <f t="shared" si="1"/>
        <v>可回读</v>
      </c>
    </row>
    <row r="9" spans="1:9" ht="21.95" customHeight="1">
      <c r="A9" s="16">
        <v>3</v>
      </c>
      <c r="B9" s="14" t="s">
        <v>120</v>
      </c>
      <c r="C9" s="14">
        <v>500</v>
      </c>
      <c r="D9" s="8">
        <f>IF(B9="",0,ROUNDUP(C9*(1+(全局设置!$B$5-1)*全局设置!$B$6),0))</f>
        <v>500</v>
      </c>
      <c r="E9" s="17">
        <f>IF(B9="",0,IFERROR(VLOOKUP(B9,敌人目录!$A$6:$M$68,13,FALSE),0))</f>
        <v>1</v>
      </c>
      <c r="F9" s="17">
        <f t="shared" si="0"/>
        <v>500</v>
      </c>
      <c r="G9" s="17">
        <f>F9*全局设置!$B$7</f>
        <v>500</v>
      </c>
      <c r="H9" s="17">
        <f>G9*全局设置!$B$5</f>
        <v>500</v>
      </c>
      <c r="I9" s="15" t="str">
        <f t="shared" si="1"/>
        <v>可回读</v>
      </c>
    </row>
    <row r="10" spans="1:9" ht="21.95" customHeight="1">
      <c r="A10" s="16">
        <v>4</v>
      </c>
      <c r="B10" s="14" t="s">
        <v>121</v>
      </c>
      <c r="C10" s="14">
        <v>300</v>
      </c>
      <c r="D10" s="8">
        <f>IF(B10="",0,ROUNDUP(C10*(1+(全局设置!$B$5-1)*全局设置!$B$6),0))</f>
        <v>300</v>
      </c>
      <c r="E10" s="17">
        <f>IF(B10="",0,IFERROR(VLOOKUP(B10,敌人目录!$A$6:$M$68,13,FALSE),0))</f>
        <v>1</v>
      </c>
      <c r="F10" s="17">
        <f t="shared" si="0"/>
        <v>300</v>
      </c>
      <c r="G10" s="17">
        <f>F10*全局设置!$B$7</f>
        <v>300</v>
      </c>
      <c r="H10" s="17">
        <f>G10*全局设置!$B$5</f>
        <v>300</v>
      </c>
      <c r="I10" s="15" t="str">
        <f t="shared" si="1"/>
        <v>可回读</v>
      </c>
    </row>
    <row r="11" spans="1:9" ht="21.95" customHeight="1">
      <c r="A11" s="16">
        <v>5</v>
      </c>
      <c r="B11" s="14" t="s">
        <v>122</v>
      </c>
      <c r="C11" s="14">
        <v>500</v>
      </c>
      <c r="D11" s="8">
        <f>IF(B11="",0,ROUNDUP(C11*(1+(全局设置!$B$5-1)*全局设置!$B$6),0))</f>
        <v>500</v>
      </c>
      <c r="E11" s="17">
        <f>IF(B11="",0,IFERROR(VLOOKUP(B11,敌人目录!$A$6:$M$68,13,FALSE),0))</f>
        <v>1</v>
      </c>
      <c r="F11" s="17">
        <f t="shared" si="0"/>
        <v>500</v>
      </c>
      <c r="G11" s="17">
        <f>F11*全局设置!$B$7</f>
        <v>500</v>
      </c>
      <c r="H11" s="17">
        <f>G11*全局设置!$B$5</f>
        <v>500</v>
      </c>
      <c r="I11" s="15" t="str">
        <f t="shared" si="1"/>
        <v>可回读</v>
      </c>
    </row>
    <row r="12" spans="1:9" ht="21.95" customHeight="1">
      <c r="A12" s="16">
        <v>6</v>
      </c>
      <c r="B12" s="14"/>
      <c r="C12" s="14"/>
      <c r="D12" s="8">
        <f>IF(B12="",0,ROUNDUP(C12*(1+(全局设置!$B$5-1)*全局设置!$B$6),0))</f>
        <v>0</v>
      </c>
      <c r="E12" s="17">
        <f>IF(B12="",0,IFERROR(VLOOKUP(B12,敌人目录!$A$6:$M$68,13,FALSE),0))</f>
        <v>0</v>
      </c>
      <c r="F12" s="17">
        <f t="shared" si="0"/>
        <v>0</v>
      </c>
      <c r="G12" s="17">
        <f>F12*全局设置!$B$7</f>
        <v>0</v>
      </c>
      <c r="H12" s="17">
        <f>G12*全局设置!$B$5</f>
        <v>0</v>
      </c>
      <c r="I12" s="15" t="str">
        <f t="shared" si="1"/>
        <v/>
      </c>
    </row>
    <row r="13" spans="1:9" ht="21.95" customHeight="1">
      <c r="A13" s="16">
        <v>7</v>
      </c>
      <c r="B13" s="14"/>
      <c r="C13" s="14"/>
      <c r="D13" s="8">
        <f>IF(B13="",0,ROUNDUP(C13*(1+(全局设置!$B$5-1)*全局设置!$B$6),0))</f>
        <v>0</v>
      </c>
      <c r="E13" s="17">
        <f>IF(B13="",0,IFERROR(VLOOKUP(B13,敌人目录!$A$6:$M$68,13,FALSE),0))</f>
        <v>0</v>
      </c>
      <c r="F13" s="17">
        <f t="shared" si="0"/>
        <v>0</v>
      </c>
      <c r="G13" s="17">
        <f>F13*全局设置!$B$7</f>
        <v>0</v>
      </c>
      <c r="H13" s="17">
        <f>G13*全局设置!$B$5</f>
        <v>0</v>
      </c>
      <c r="I13" s="15" t="str">
        <f t="shared" si="1"/>
        <v/>
      </c>
    </row>
    <row r="14" spans="1:9" ht="21.95" customHeight="1">
      <c r="A14" s="16">
        <v>8</v>
      </c>
      <c r="B14" s="14"/>
      <c r="C14" s="14"/>
      <c r="D14" s="8">
        <f>IF(B14="",0,ROUNDUP(C14*(1+(全局设置!$B$5-1)*全局设置!$B$6),0))</f>
        <v>0</v>
      </c>
      <c r="E14" s="17">
        <f>IF(B14="",0,IFERROR(VLOOKUP(B14,敌人目录!$A$6:$M$68,13,FALSE),0))</f>
        <v>0</v>
      </c>
      <c r="F14" s="17">
        <f t="shared" si="0"/>
        <v>0</v>
      </c>
      <c r="G14" s="17">
        <f>F14*全局设置!$B$7</f>
        <v>0</v>
      </c>
      <c r="H14" s="17">
        <f>G14*全局设置!$B$5</f>
        <v>0</v>
      </c>
      <c r="I14" s="15" t="str">
        <f t="shared" si="1"/>
        <v/>
      </c>
    </row>
    <row r="15" spans="1:9" ht="21.95" customHeight="1">
      <c r="A15" s="16">
        <v>9</v>
      </c>
      <c r="B15" s="14"/>
      <c r="C15" s="14"/>
      <c r="D15" s="8">
        <f>IF(B15="",0,ROUNDUP(C15*(1+(全局设置!$B$5-1)*全局设置!$B$6),0))</f>
        <v>0</v>
      </c>
      <c r="E15" s="17">
        <f>IF(B15="",0,IFERROR(VLOOKUP(B15,敌人目录!$A$6:$M$68,13,FALSE),0))</f>
        <v>0</v>
      </c>
      <c r="F15" s="17">
        <f t="shared" si="0"/>
        <v>0</v>
      </c>
      <c r="G15" s="17">
        <f>F15*全局设置!$B$7</f>
        <v>0</v>
      </c>
      <c r="H15" s="17">
        <f>G15*全局设置!$B$5</f>
        <v>0</v>
      </c>
      <c r="I15" s="15" t="str">
        <f t="shared" si="1"/>
        <v/>
      </c>
    </row>
    <row r="16" spans="1:9" ht="21.95" customHeight="1">
      <c r="A16" s="16">
        <v>10</v>
      </c>
      <c r="B16" s="14"/>
      <c r="C16" s="14"/>
      <c r="D16" s="8">
        <f>IF(B16="",0,ROUNDUP(C16*(1+(全局设置!$B$5-1)*全局设置!$B$6),0))</f>
        <v>0</v>
      </c>
      <c r="E16" s="17">
        <f>IF(B16="",0,IFERROR(VLOOKUP(B16,敌人目录!$A$6:$M$68,13,FALSE),0))</f>
        <v>0</v>
      </c>
      <c r="F16" s="17">
        <f t="shared" si="0"/>
        <v>0</v>
      </c>
      <c r="G16" s="17">
        <f>F16*全局设置!$B$7</f>
        <v>0</v>
      </c>
      <c r="H16" s="17">
        <f>G16*全局设置!$B$5</f>
        <v>0</v>
      </c>
      <c r="I16" s="15" t="str">
        <f t="shared" si="1"/>
        <v/>
      </c>
    </row>
    <row r="17" spans="1:9" ht="21.95" customHeight="1">
      <c r="A17" s="16">
        <v>11</v>
      </c>
      <c r="B17" s="14"/>
      <c r="C17" s="14"/>
      <c r="D17" s="8">
        <f>IF(B17="",0,ROUNDUP(C17*(1+(全局设置!$B$5-1)*全局设置!$B$6),0))</f>
        <v>0</v>
      </c>
      <c r="E17" s="17">
        <f>IF(B17="",0,IFERROR(VLOOKUP(B17,敌人目录!$A$6:$M$68,13,FALSE),0))</f>
        <v>0</v>
      </c>
      <c r="F17" s="17">
        <f t="shared" si="0"/>
        <v>0</v>
      </c>
      <c r="G17" s="17">
        <f>F17*全局设置!$B$7</f>
        <v>0</v>
      </c>
      <c r="H17" s="17">
        <f>G17*全局设置!$B$5</f>
        <v>0</v>
      </c>
      <c r="I17" s="15" t="str">
        <f t="shared" si="1"/>
        <v/>
      </c>
    </row>
    <row r="18" spans="1:9" ht="21.95" customHeight="1">
      <c r="A18" s="16">
        <v>12</v>
      </c>
      <c r="B18" s="14"/>
      <c r="C18" s="14"/>
      <c r="D18" s="8">
        <f>IF(B18="",0,ROUNDUP(C18*(1+(全局设置!$B$5-1)*全局设置!$B$6),0))</f>
        <v>0</v>
      </c>
      <c r="E18" s="17">
        <f>IF(B18="",0,IFERROR(VLOOKUP(B18,敌人目录!$A$6:$M$68,13,FALSE),0))</f>
        <v>0</v>
      </c>
      <c r="F18" s="17">
        <f t="shared" si="0"/>
        <v>0</v>
      </c>
      <c r="G18" s="17">
        <f>F18*全局设置!$B$7</f>
        <v>0</v>
      </c>
      <c r="H18" s="17">
        <f>G18*全局设置!$B$5</f>
        <v>0</v>
      </c>
      <c r="I18" s="15" t="str">
        <f t="shared" si="1"/>
        <v/>
      </c>
    </row>
    <row r="19" spans="1:9" ht="21.95" customHeight="1">
      <c r="A19" s="16">
        <v>13</v>
      </c>
      <c r="B19" s="14"/>
      <c r="C19" s="14"/>
      <c r="D19" s="8">
        <f>IF(B19="",0,ROUNDUP(C19*(1+(全局设置!$B$5-1)*全局设置!$B$6),0))</f>
        <v>0</v>
      </c>
      <c r="E19" s="17">
        <f>IF(B19="",0,IFERROR(VLOOKUP(B19,敌人目录!$A$6:$M$68,13,FALSE),0))</f>
        <v>0</v>
      </c>
      <c r="F19" s="17">
        <f t="shared" si="0"/>
        <v>0</v>
      </c>
      <c r="G19" s="17">
        <f>F19*全局设置!$B$7</f>
        <v>0</v>
      </c>
      <c r="H19" s="17">
        <f>G19*全局设置!$B$5</f>
        <v>0</v>
      </c>
      <c r="I19" s="15" t="str">
        <f t="shared" si="1"/>
        <v/>
      </c>
    </row>
    <row r="20" spans="1:9" ht="21.95" customHeight="1">
      <c r="A20" s="16">
        <v>14</v>
      </c>
      <c r="B20" s="14"/>
      <c r="C20" s="14"/>
      <c r="D20" s="8">
        <f>IF(B20="",0,ROUNDUP(C20*(1+(全局设置!$B$5-1)*全局设置!$B$6),0))</f>
        <v>0</v>
      </c>
      <c r="E20" s="17">
        <f>IF(B20="",0,IFERROR(VLOOKUP(B20,敌人目录!$A$6:$M$68,13,FALSE),0))</f>
        <v>0</v>
      </c>
      <c r="F20" s="17">
        <f t="shared" si="0"/>
        <v>0</v>
      </c>
      <c r="G20" s="17">
        <f>F20*全局设置!$B$7</f>
        <v>0</v>
      </c>
      <c r="H20" s="17">
        <f>G20*全局设置!$B$5</f>
        <v>0</v>
      </c>
      <c r="I20" s="15" t="str">
        <f t="shared" si="1"/>
        <v/>
      </c>
    </row>
    <row r="21" spans="1:9" ht="21.95" customHeight="1">
      <c r="A21" s="16">
        <v>15</v>
      </c>
      <c r="B21" s="14"/>
      <c r="C21" s="14"/>
      <c r="D21" s="8">
        <f>IF(B21="",0,ROUNDUP(C21*(1+(全局设置!$B$5-1)*全局设置!$B$6),0))</f>
        <v>0</v>
      </c>
      <c r="E21" s="17">
        <f>IF(B21="",0,IFERROR(VLOOKUP(B21,敌人目录!$A$6:$M$68,13,FALSE),0))</f>
        <v>0</v>
      </c>
      <c r="F21" s="17">
        <f t="shared" si="0"/>
        <v>0</v>
      </c>
      <c r="G21" s="17">
        <f>F21*全局设置!$B$7</f>
        <v>0</v>
      </c>
      <c r="H21" s="17">
        <f>G21*全局设置!$B$5</f>
        <v>0</v>
      </c>
      <c r="I21" s="15" t="str">
        <f t="shared" si="1"/>
        <v/>
      </c>
    </row>
    <row r="22" spans="1:9" ht="21.95" customHeight="1">
      <c r="A22" s="16">
        <v>16</v>
      </c>
      <c r="B22" s="14"/>
      <c r="C22" s="14"/>
      <c r="D22" s="8">
        <f>IF(B22="",0,ROUNDUP(C22*(1+(全局设置!$B$5-1)*全局设置!$B$6),0))</f>
        <v>0</v>
      </c>
      <c r="E22" s="17">
        <f>IF(B22="",0,IFERROR(VLOOKUP(B22,敌人目录!$A$6:$M$68,13,FALSE),0))</f>
        <v>0</v>
      </c>
      <c r="F22" s="17">
        <f t="shared" si="0"/>
        <v>0</v>
      </c>
      <c r="G22" s="17">
        <f>F22*全局设置!$B$7</f>
        <v>0</v>
      </c>
      <c r="H22" s="17">
        <f>G22*全局设置!$B$5</f>
        <v>0</v>
      </c>
      <c r="I22" s="15" t="str">
        <f t="shared" si="1"/>
        <v/>
      </c>
    </row>
    <row r="23" spans="1:9" ht="21.95" customHeight="1">
      <c r="A23" s="16">
        <v>17</v>
      </c>
      <c r="B23" s="14"/>
      <c r="C23" s="14"/>
      <c r="D23" s="8">
        <f>IF(B23="",0,ROUNDUP(C23*(1+(全局设置!$B$5-1)*全局设置!$B$6),0))</f>
        <v>0</v>
      </c>
      <c r="E23" s="17">
        <f>IF(B23="",0,IFERROR(VLOOKUP(B23,敌人目录!$A$6:$M$68,13,FALSE),0))</f>
        <v>0</v>
      </c>
      <c r="F23" s="17">
        <f t="shared" si="0"/>
        <v>0</v>
      </c>
      <c r="G23" s="17">
        <f>F23*全局设置!$B$7</f>
        <v>0</v>
      </c>
      <c r="H23" s="17">
        <f>G23*全局设置!$B$5</f>
        <v>0</v>
      </c>
      <c r="I23" s="15" t="str">
        <f t="shared" si="1"/>
        <v/>
      </c>
    </row>
    <row r="24" spans="1:9" ht="21.95" customHeight="1">
      <c r="A24" s="16">
        <v>18</v>
      </c>
      <c r="B24" s="14"/>
      <c r="C24" s="14"/>
      <c r="D24" s="8">
        <f>IF(B24="",0,ROUNDUP(C24*(1+(全局设置!$B$5-1)*全局设置!$B$6),0))</f>
        <v>0</v>
      </c>
      <c r="E24" s="17">
        <f>IF(B24="",0,IFERROR(VLOOKUP(B24,敌人目录!$A$6:$M$68,13,FALSE),0))</f>
        <v>0</v>
      </c>
      <c r="F24" s="17">
        <f t="shared" si="0"/>
        <v>0</v>
      </c>
      <c r="G24" s="17">
        <f>F24*全局设置!$B$7</f>
        <v>0</v>
      </c>
      <c r="H24" s="17">
        <f>G24*全局设置!$B$5</f>
        <v>0</v>
      </c>
      <c r="I24" s="15" t="str">
        <f t="shared" si="1"/>
        <v/>
      </c>
    </row>
    <row r="25" spans="1:9" ht="21.95" customHeight="1"/>
    <row r="26" spans="1:9" ht="21.95" customHeight="1">
      <c r="A26" s="6" t="s">
        <v>123</v>
      </c>
      <c r="B26" s="8">
        <f>SUM(C7:C24)</f>
        <v>3000</v>
      </c>
      <c r="C26" s="6" t="s">
        <v>124</v>
      </c>
      <c r="D26" s="8">
        <f>SUM(D7:D24)</f>
        <v>3000</v>
      </c>
      <c r="E26" s="6" t="s">
        <v>46</v>
      </c>
      <c r="F26" s="8">
        <f>SUM(F7:F24)</f>
        <v>3000</v>
      </c>
      <c r="G26" s="6" t="s">
        <v>47</v>
      </c>
      <c r="H26" s="8">
        <f>SUM(G7:G24)</f>
        <v>3000</v>
      </c>
      <c r="I26" s="8"/>
    </row>
    <row r="27" spans="1:9" ht="21.95" customHeight="1">
      <c r="A27" s="18" t="s">
        <v>34</v>
      </c>
      <c r="B27" s="4">
        <f>SUM(H7:H24)</f>
        <v>3000</v>
      </c>
      <c r="C27" s="18" t="s">
        <v>125</v>
      </c>
      <c r="D27" s="41" t="s">
        <v>126</v>
      </c>
      <c r="E27" s="41"/>
      <c r="F27" s="41"/>
      <c r="G27" s="41"/>
      <c r="H27" s="41"/>
      <c r="I27" s="41"/>
    </row>
    <row r="28" spans="1:9" ht="21.95" customHeight="1"/>
    <row r="29" spans="1:9" ht="21.95" customHeight="1"/>
    <row r="30" spans="1:9" ht="21.95" customHeight="1"/>
    <row r="31" spans="1:9" ht="21.95" customHeight="1">
      <c r="A31" s="33" t="s">
        <v>127</v>
      </c>
      <c r="B31" s="33"/>
      <c r="C31" s="33"/>
      <c r="D31" s="33"/>
      <c r="E31" s="33"/>
      <c r="F31" s="33"/>
      <c r="G31" s="33"/>
      <c r="H31" s="33"/>
      <c r="I31" s="33"/>
    </row>
    <row r="32" spans="1:9" ht="21.95" customHeight="1">
      <c r="A32" s="6" t="s">
        <v>101</v>
      </c>
      <c r="B32" s="39" t="s">
        <v>53</v>
      </c>
      <c r="C32" s="39" t="s">
        <v>128</v>
      </c>
      <c r="D32" s="6" t="s">
        <v>103</v>
      </c>
      <c r="E32" s="7">
        <v>0.1</v>
      </c>
      <c r="F32" s="6" t="s">
        <v>104</v>
      </c>
      <c r="G32" s="7">
        <v>1</v>
      </c>
      <c r="H32" s="6" t="s">
        <v>49</v>
      </c>
      <c r="I32" s="7">
        <v>300</v>
      </c>
    </row>
    <row r="33" spans="1:9" ht="21.95" customHeight="1">
      <c r="A33" s="6" t="s">
        <v>105</v>
      </c>
      <c r="B33" s="11" t="s">
        <v>106</v>
      </c>
      <c r="C33" s="11" t="s">
        <v>107</v>
      </c>
      <c r="D33" s="11" t="s">
        <v>108</v>
      </c>
      <c r="E33" s="11" t="s">
        <v>109</v>
      </c>
      <c r="F33" s="11" t="s">
        <v>110</v>
      </c>
      <c r="G33" s="11" t="s">
        <v>111</v>
      </c>
      <c r="H33" s="6" t="s">
        <v>112</v>
      </c>
      <c r="I33" s="15" t="str">
        <f>IF(COUNTA(B36:B53)=0,"待设计",IF(COUNTIF(I36:I53,"需修正")&gt;0,"需修正","可回读"))</f>
        <v>可回读</v>
      </c>
    </row>
    <row r="34" spans="1:9" ht="21.95" customHeight="1">
      <c r="A34" s="40" t="s">
        <v>113</v>
      </c>
      <c r="B34" s="40"/>
      <c r="C34" s="40"/>
      <c r="D34" s="40"/>
      <c r="E34" s="40"/>
      <c r="F34" s="40"/>
      <c r="G34" s="40"/>
      <c r="H34" s="40"/>
      <c r="I34" s="40"/>
    </row>
    <row r="35" spans="1:9" ht="21.95" customHeight="1">
      <c r="A35" s="6" t="s">
        <v>114</v>
      </c>
      <c r="B35" s="6" t="s">
        <v>115</v>
      </c>
      <c r="C35" s="6" t="s">
        <v>43</v>
      </c>
      <c r="D35" s="6" t="s">
        <v>44</v>
      </c>
      <c r="E35" s="6" t="s">
        <v>116</v>
      </c>
      <c r="F35" s="6" t="s">
        <v>46</v>
      </c>
      <c r="G35" s="6" t="s">
        <v>47</v>
      </c>
      <c r="H35" s="6" t="s">
        <v>34</v>
      </c>
      <c r="I35" s="6" t="s">
        <v>117</v>
      </c>
    </row>
    <row r="36" spans="1:9" ht="21.95" customHeight="1">
      <c r="A36" s="16">
        <v>1</v>
      </c>
      <c r="B36" s="14" t="s">
        <v>118</v>
      </c>
      <c r="C36" s="14">
        <v>2000</v>
      </c>
      <c r="D36" s="8">
        <f>IF(B36="",0,ROUNDUP(C36*(1+(全局设置!$B$5-1)*全局设置!$B$6),0))</f>
        <v>2000</v>
      </c>
      <c r="E36" s="17">
        <f>IF(B36="",0,IFERROR(VLOOKUP(B36,敌人目录!$A$6:$M$68,13,FALSE),0))</f>
        <v>1</v>
      </c>
      <c r="F36" s="17">
        <f t="shared" ref="F36:F53" si="2">D36*E36</f>
        <v>2000</v>
      </c>
      <c r="G36" s="17">
        <f>F36*全局设置!$B$7</f>
        <v>2000</v>
      </c>
      <c r="H36" s="17">
        <f>G36*全局设置!$B$5</f>
        <v>2000</v>
      </c>
      <c r="I36" s="15" t="str">
        <f t="shared" ref="I36:I53" si="3">IF(AND(B36="",C36=""),"",IF(AND(B36&lt;&gt;"",C36&gt;=1,COUNTIF($B$36:$B$53,B36)=1),"可回读","需修正"))</f>
        <v>可回读</v>
      </c>
    </row>
    <row r="37" spans="1:9" ht="21.95" customHeight="1">
      <c r="A37" s="16">
        <v>2</v>
      </c>
      <c r="B37" s="14" t="s">
        <v>119</v>
      </c>
      <c r="C37" s="14">
        <v>400</v>
      </c>
      <c r="D37" s="8">
        <f>IF(B37="",0,ROUNDUP(C37*(1+(全局设置!$B$5-1)*全局设置!$B$6),0))</f>
        <v>400</v>
      </c>
      <c r="E37" s="17">
        <f>IF(B37="",0,IFERROR(VLOOKUP(B37,敌人目录!$A$6:$M$68,13,FALSE),0))</f>
        <v>1</v>
      </c>
      <c r="F37" s="17">
        <f t="shared" si="2"/>
        <v>400</v>
      </c>
      <c r="G37" s="17">
        <f>F37*全局设置!$B$7</f>
        <v>400</v>
      </c>
      <c r="H37" s="17">
        <f>G37*全局设置!$B$5</f>
        <v>400</v>
      </c>
      <c r="I37" s="15" t="str">
        <f t="shared" si="3"/>
        <v>可回读</v>
      </c>
    </row>
    <row r="38" spans="1:9" ht="21.95" customHeight="1">
      <c r="A38" s="16">
        <v>3</v>
      </c>
      <c r="B38" s="14" t="s">
        <v>120</v>
      </c>
      <c r="C38" s="14">
        <v>500</v>
      </c>
      <c r="D38" s="8">
        <f>IF(B38="",0,ROUNDUP(C38*(1+(全局设置!$B$5-1)*全局设置!$B$6),0))</f>
        <v>500</v>
      </c>
      <c r="E38" s="17">
        <f>IF(B38="",0,IFERROR(VLOOKUP(B38,敌人目录!$A$6:$M$68,13,FALSE),0))</f>
        <v>1</v>
      </c>
      <c r="F38" s="17">
        <f t="shared" si="2"/>
        <v>500</v>
      </c>
      <c r="G38" s="17">
        <f>F38*全局设置!$B$7</f>
        <v>500</v>
      </c>
      <c r="H38" s="17">
        <f>G38*全局设置!$B$5</f>
        <v>500</v>
      </c>
      <c r="I38" s="15" t="str">
        <f t="shared" si="3"/>
        <v>可回读</v>
      </c>
    </row>
    <row r="39" spans="1:9" ht="21.95" customHeight="1">
      <c r="A39" s="16">
        <v>4</v>
      </c>
      <c r="B39" s="14" t="s">
        <v>121</v>
      </c>
      <c r="C39" s="14">
        <v>300</v>
      </c>
      <c r="D39" s="8">
        <f>IF(B39="",0,ROUNDUP(C39*(1+(全局设置!$B$5-1)*全局设置!$B$6),0))</f>
        <v>300</v>
      </c>
      <c r="E39" s="17">
        <f>IF(B39="",0,IFERROR(VLOOKUP(B39,敌人目录!$A$6:$M$68,13,FALSE),0))</f>
        <v>1</v>
      </c>
      <c r="F39" s="17">
        <f t="shared" si="2"/>
        <v>300</v>
      </c>
      <c r="G39" s="17">
        <f>F39*全局设置!$B$7</f>
        <v>300</v>
      </c>
      <c r="H39" s="17">
        <f>G39*全局设置!$B$5</f>
        <v>300</v>
      </c>
      <c r="I39" s="15" t="str">
        <f t="shared" si="3"/>
        <v>可回读</v>
      </c>
    </row>
    <row r="40" spans="1:9" ht="21.95" customHeight="1">
      <c r="A40" s="16">
        <v>5</v>
      </c>
      <c r="B40" s="14" t="s">
        <v>129</v>
      </c>
      <c r="C40" s="14">
        <v>200</v>
      </c>
      <c r="D40" s="8">
        <f>IF(B40="",0,ROUNDUP(C40*(1+(全局设置!$B$5-1)*全局设置!$B$6),0))</f>
        <v>200</v>
      </c>
      <c r="E40" s="17">
        <f>IF(B40="",0,IFERROR(VLOOKUP(B40,敌人目录!$A$6:$M$68,13,FALSE),0))</f>
        <v>2</v>
      </c>
      <c r="F40" s="17">
        <f t="shared" si="2"/>
        <v>400</v>
      </c>
      <c r="G40" s="17">
        <f>F40*全局设置!$B$7</f>
        <v>400</v>
      </c>
      <c r="H40" s="17">
        <f>G40*全局设置!$B$5</f>
        <v>400</v>
      </c>
      <c r="I40" s="15" t="str">
        <f t="shared" si="3"/>
        <v>可回读</v>
      </c>
    </row>
    <row r="41" spans="1:9" ht="21.95" customHeight="1">
      <c r="A41" s="16">
        <v>6</v>
      </c>
      <c r="B41" s="14" t="s">
        <v>122</v>
      </c>
      <c r="C41" s="14">
        <v>50</v>
      </c>
      <c r="D41" s="8">
        <f>IF(B41="",0,ROUNDUP(C41*(1+(全局设置!$B$5-1)*全局设置!$B$6),0))</f>
        <v>50</v>
      </c>
      <c r="E41" s="17">
        <f>IF(B41="",0,IFERROR(VLOOKUP(B41,敌人目录!$A$6:$M$68,13,FALSE),0))</f>
        <v>1</v>
      </c>
      <c r="F41" s="17">
        <f t="shared" si="2"/>
        <v>50</v>
      </c>
      <c r="G41" s="17">
        <f>F41*全局设置!$B$7</f>
        <v>50</v>
      </c>
      <c r="H41" s="17">
        <f>G41*全局设置!$B$5</f>
        <v>50</v>
      </c>
      <c r="I41" s="15" t="str">
        <f t="shared" si="3"/>
        <v>可回读</v>
      </c>
    </row>
    <row r="42" spans="1:9" ht="21.95" customHeight="1">
      <c r="A42" s="16">
        <v>7</v>
      </c>
      <c r="B42" s="14" t="s">
        <v>130</v>
      </c>
      <c r="C42" s="14">
        <v>400</v>
      </c>
      <c r="D42" s="8">
        <f>IF(B42="",0,ROUNDUP(C42*(1+(全局设置!$B$5-1)*全局设置!$B$6),0))</f>
        <v>400</v>
      </c>
      <c r="E42" s="17">
        <f>IF(B42="",0,IFERROR(VLOOKUP(B42,敌人目录!$A$6:$M$68,13,FALSE),0))</f>
        <v>1</v>
      </c>
      <c r="F42" s="17">
        <f t="shared" si="2"/>
        <v>400</v>
      </c>
      <c r="G42" s="17">
        <f>F42*全局设置!$B$7</f>
        <v>400</v>
      </c>
      <c r="H42" s="17">
        <f>G42*全局设置!$B$5</f>
        <v>400</v>
      </c>
      <c r="I42" s="15" t="str">
        <f t="shared" si="3"/>
        <v>可回读</v>
      </c>
    </row>
    <row r="43" spans="1:9" ht="21.95" customHeight="1">
      <c r="A43" s="16">
        <v>8</v>
      </c>
      <c r="B43" s="14"/>
      <c r="C43" s="14"/>
      <c r="D43" s="8">
        <f>IF(B43="",0,ROUNDUP(C43*(1+(全局设置!$B$5-1)*全局设置!$B$6),0))</f>
        <v>0</v>
      </c>
      <c r="E43" s="17">
        <f>IF(B43="",0,IFERROR(VLOOKUP(B43,敌人目录!$A$6:$M$68,13,FALSE),0))</f>
        <v>0</v>
      </c>
      <c r="F43" s="17">
        <f t="shared" si="2"/>
        <v>0</v>
      </c>
      <c r="G43" s="17">
        <f>F43*全局设置!$B$7</f>
        <v>0</v>
      </c>
      <c r="H43" s="17">
        <f>G43*全局设置!$B$5</f>
        <v>0</v>
      </c>
      <c r="I43" s="15" t="str">
        <f t="shared" si="3"/>
        <v/>
      </c>
    </row>
    <row r="44" spans="1:9" ht="21.95" customHeight="1">
      <c r="A44" s="16">
        <v>9</v>
      </c>
      <c r="B44" s="14"/>
      <c r="C44" s="14"/>
      <c r="D44" s="8">
        <f>IF(B44="",0,ROUNDUP(C44*(1+(全局设置!$B$5-1)*全局设置!$B$6),0))</f>
        <v>0</v>
      </c>
      <c r="E44" s="17">
        <f>IF(B44="",0,IFERROR(VLOOKUP(B44,敌人目录!$A$6:$M$68,13,FALSE),0))</f>
        <v>0</v>
      </c>
      <c r="F44" s="17">
        <f t="shared" si="2"/>
        <v>0</v>
      </c>
      <c r="G44" s="17">
        <f>F44*全局设置!$B$7</f>
        <v>0</v>
      </c>
      <c r="H44" s="17">
        <f>G44*全局设置!$B$5</f>
        <v>0</v>
      </c>
      <c r="I44" s="15" t="str">
        <f t="shared" si="3"/>
        <v/>
      </c>
    </row>
    <row r="45" spans="1:9" ht="21.95" customHeight="1">
      <c r="A45" s="16">
        <v>10</v>
      </c>
      <c r="B45" s="14"/>
      <c r="C45" s="14"/>
      <c r="D45" s="8">
        <f>IF(B45="",0,ROUNDUP(C45*(1+(全局设置!$B$5-1)*全局设置!$B$6),0))</f>
        <v>0</v>
      </c>
      <c r="E45" s="17">
        <f>IF(B45="",0,IFERROR(VLOOKUP(B45,敌人目录!$A$6:$M$68,13,FALSE),0))</f>
        <v>0</v>
      </c>
      <c r="F45" s="17">
        <f t="shared" si="2"/>
        <v>0</v>
      </c>
      <c r="G45" s="17">
        <f>F45*全局设置!$B$7</f>
        <v>0</v>
      </c>
      <c r="H45" s="17">
        <f>G45*全局设置!$B$5</f>
        <v>0</v>
      </c>
      <c r="I45" s="15" t="str">
        <f t="shared" si="3"/>
        <v/>
      </c>
    </row>
    <row r="46" spans="1:9" ht="21.95" customHeight="1">
      <c r="A46" s="16">
        <v>11</v>
      </c>
      <c r="B46" s="14"/>
      <c r="C46" s="14"/>
      <c r="D46" s="8">
        <f>IF(B46="",0,ROUNDUP(C46*(1+(全局设置!$B$5-1)*全局设置!$B$6),0))</f>
        <v>0</v>
      </c>
      <c r="E46" s="17">
        <f>IF(B46="",0,IFERROR(VLOOKUP(B46,敌人目录!$A$6:$M$68,13,FALSE),0))</f>
        <v>0</v>
      </c>
      <c r="F46" s="17">
        <f t="shared" si="2"/>
        <v>0</v>
      </c>
      <c r="G46" s="17">
        <f>F46*全局设置!$B$7</f>
        <v>0</v>
      </c>
      <c r="H46" s="17">
        <f>G46*全局设置!$B$5</f>
        <v>0</v>
      </c>
      <c r="I46" s="15" t="str">
        <f t="shared" si="3"/>
        <v/>
      </c>
    </row>
    <row r="47" spans="1:9" ht="21.95" customHeight="1">
      <c r="A47" s="16">
        <v>12</v>
      </c>
      <c r="B47" s="14"/>
      <c r="C47" s="14"/>
      <c r="D47" s="8">
        <f>IF(B47="",0,ROUNDUP(C47*(1+(全局设置!$B$5-1)*全局设置!$B$6),0))</f>
        <v>0</v>
      </c>
      <c r="E47" s="17">
        <f>IF(B47="",0,IFERROR(VLOOKUP(B47,敌人目录!$A$6:$M$68,13,FALSE),0))</f>
        <v>0</v>
      </c>
      <c r="F47" s="17">
        <f t="shared" si="2"/>
        <v>0</v>
      </c>
      <c r="G47" s="17">
        <f>F47*全局设置!$B$7</f>
        <v>0</v>
      </c>
      <c r="H47" s="17">
        <f>G47*全局设置!$B$5</f>
        <v>0</v>
      </c>
      <c r="I47" s="15" t="str">
        <f t="shared" si="3"/>
        <v/>
      </c>
    </row>
    <row r="48" spans="1:9" ht="21.95" customHeight="1">
      <c r="A48" s="16">
        <v>13</v>
      </c>
      <c r="B48" s="14"/>
      <c r="C48" s="14"/>
      <c r="D48" s="8">
        <f>IF(B48="",0,ROUNDUP(C48*(1+(全局设置!$B$5-1)*全局设置!$B$6),0))</f>
        <v>0</v>
      </c>
      <c r="E48" s="17">
        <f>IF(B48="",0,IFERROR(VLOOKUP(B48,敌人目录!$A$6:$M$68,13,FALSE),0))</f>
        <v>0</v>
      </c>
      <c r="F48" s="17">
        <f t="shared" si="2"/>
        <v>0</v>
      </c>
      <c r="G48" s="17">
        <f>F48*全局设置!$B$7</f>
        <v>0</v>
      </c>
      <c r="H48" s="17">
        <f>G48*全局设置!$B$5</f>
        <v>0</v>
      </c>
      <c r="I48" s="15" t="str">
        <f t="shared" si="3"/>
        <v/>
      </c>
    </row>
    <row r="49" spans="1:9" ht="21.95" customHeight="1">
      <c r="A49" s="16">
        <v>14</v>
      </c>
      <c r="B49" s="14"/>
      <c r="C49" s="14"/>
      <c r="D49" s="8">
        <f>IF(B49="",0,ROUNDUP(C49*(1+(全局设置!$B$5-1)*全局设置!$B$6),0))</f>
        <v>0</v>
      </c>
      <c r="E49" s="17">
        <f>IF(B49="",0,IFERROR(VLOOKUP(B49,敌人目录!$A$6:$M$68,13,FALSE),0))</f>
        <v>0</v>
      </c>
      <c r="F49" s="17">
        <f t="shared" si="2"/>
        <v>0</v>
      </c>
      <c r="G49" s="17">
        <f>F49*全局设置!$B$7</f>
        <v>0</v>
      </c>
      <c r="H49" s="17">
        <f>G49*全局设置!$B$5</f>
        <v>0</v>
      </c>
      <c r="I49" s="15" t="str">
        <f t="shared" si="3"/>
        <v/>
      </c>
    </row>
    <row r="50" spans="1:9" ht="21.95" customHeight="1">
      <c r="A50" s="16">
        <v>15</v>
      </c>
      <c r="B50" s="14"/>
      <c r="C50" s="14"/>
      <c r="D50" s="8">
        <f>IF(B50="",0,ROUNDUP(C50*(1+(全局设置!$B$5-1)*全局设置!$B$6),0))</f>
        <v>0</v>
      </c>
      <c r="E50" s="17">
        <f>IF(B50="",0,IFERROR(VLOOKUP(B50,敌人目录!$A$6:$M$68,13,FALSE),0))</f>
        <v>0</v>
      </c>
      <c r="F50" s="17">
        <f t="shared" si="2"/>
        <v>0</v>
      </c>
      <c r="G50" s="17">
        <f>F50*全局设置!$B$7</f>
        <v>0</v>
      </c>
      <c r="H50" s="17">
        <f>G50*全局设置!$B$5</f>
        <v>0</v>
      </c>
      <c r="I50" s="15" t="str">
        <f t="shared" si="3"/>
        <v/>
      </c>
    </row>
    <row r="51" spans="1:9" ht="21.95" customHeight="1">
      <c r="A51" s="16">
        <v>16</v>
      </c>
      <c r="B51" s="14"/>
      <c r="C51" s="14"/>
      <c r="D51" s="8">
        <f>IF(B51="",0,ROUNDUP(C51*(1+(全局设置!$B$5-1)*全局设置!$B$6),0))</f>
        <v>0</v>
      </c>
      <c r="E51" s="17">
        <f>IF(B51="",0,IFERROR(VLOOKUP(B51,敌人目录!$A$6:$M$68,13,FALSE),0))</f>
        <v>0</v>
      </c>
      <c r="F51" s="17">
        <f t="shared" si="2"/>
        <v>0</v>
      </c>
      <c r="G51" s="17">
        <f>F51*全局设置!$B$7</f>
        <v>0</v>
      </c>
      <c r="H51" s="17">
        <f>G51*全局设置!$B$5</f>
        <v>0</v>
      </c>
      <c r="I51" s="15" t="str">
        <f t="shared" si="3"/>
        <v/>
      </c>
    </row>
    <row r="52" spans="1:9" ht="21.95" customHeight="1">
      <c r="A52" s="16">
        <v>17</v>
      </c>
      <c r="B52" s="14"/>
      <c r="C52" s="14"/>
      <c r="D52" s="8">
        <f>IF(B52="",0,ROUNDUP(C52*(1+(全局设置!$B$5-1)*全局设置!$B$6),0))</f>
        <v>0</v>
      </c>
      <c r="E52" s="17">
        <f>IF(B52="",0,IFERROR(VLOOKUP(B52,敌人目录!$A$6:$M$68,13,FALSE),0))</f>
        <v>0</v>
      </c>
      <c r="F52" s="17">
        <f t="shared" si="2"/>
        <v>0</v>
      </c>
      <c r="G52" s="17">
        <f>F52*全局设置!$B$7</f>
        <v>0</v>
      </c>
      <c r="H52" s="17">
        <f>G52*全局设置!$B$5</f>
        <v>0</v>
      </c>
      <c r="I52" s="15" t="str">
        <f t="shared" si="3"/>
        <v/>
      </c>
    </row>
    <row r="53" spans="1:9" ht="21.95" customHeight="1">
      <c r="A53" s="16">
        <v>18</v>
      </c>
      <c r="B53" s="14"/>
      <c r="C53" s="14"/>
      <c r="D53" s="8">
        <f>IF(B53="",0,ROUNDUP(C53*(1+(全局设置!$B$5-1)*全局设置!$B$6),0))</f>
        <v>0</v>
      </c>
      <c r="E53" s="17">
        <f>IF(B53="",0,IFERROR(VLOOKUP(B53,敌人目录!$A$6:$M$68,13,FALSE),0))</f>
        <v>0</v>
      </c>
      <c r="F53" s="17">
        <f t="shared" si="2"/>
        <v>0</v>
      </c>
      <c r="G53" s="17">
        <f>F53*全局设置!$B$7</f>
        <v>0</v>
      </c>
      <c r="H53" s="17">
        <f>G53*全局设置!$B$5</f>
        <v>0</v>
      </c>
      <c r="I53" s="15" t="str">
        <f t="shared" si="3"/>
        <v/>
      </c>
    </row>
    <row r="54" spans="1:9" ht="21.95" customHeight="1"/>
    <row r="55" spans="1:9" ht="21.95" customHeight="1">
      <c r="A55" s="6" t="s">
        <v>123</v>
      </c>
      <c r="B55" s="8">
        <f>SUM(C36:C53)</f>
        <v>3850</v>
      </c>
      <c r="C55" s="6" t="s">
        <v>124</v>
      </c>
      <c r="D55" s="8">
        <f>SUM(D36:D53)</f>
        <v>3850</v>
      </c>
      <c r="E55" s="6" t="s">
        <v>46</v>
      </c>
      <c r="F55" s="8">
        <f>SUM(F36:F53)</f>
        <v>4050</v>
      </c>
      <c r="G55" s="6" t="s">
        <v>47</v>
      </c>
      <c r="H55" s="8">
        <f>SUM(G36:G53)</f>
        <v>4050</v>
      </c>
      <c r="I55" s="8"/>
    </row>
    <row r="56" spans="1:9" ht="21.95" customHeight="1">
      <c r="A56" s="18" t="s">
        <v>34</v>
      </c>
      <c r="B56" s="4">
        <f>SUM(H36:H53)</f>
        <v>4050</v>
      </c>
      <c r="C56" s="18" t="s">
        <v>125</v>
      </c>
      <c r="D56" s="41" t="s">
        <v>126</v>
      </c>
      <c r="E56" s="41"/>
      <c r="F56" s="41"/>
      <c r="G56" s="41"/>
      <c r="H56" s="41"/>
      <c r="I56" s="41"/>
    </row>
    <row r="57" spans="1:9" ht="21.95" customHeight="1"/>
    <row r="58" spans="1:9" ht="21.95" customHeight="1"/>
    <row r="59" spans="1:9" ht="21.95" customHeight="1"/>
    <row r="60" spans="1:9" ht="21.95" customHeight="1">
      <c r="A60" s="34" t="s">
        <v>131</v>
      </c>
      <c r="B60" s="34"/>
      <c r="C60" s="34"/>
      <c r="D60" s="34"/>
      <c r="E60" s="34"/>
      <c r="F60" s="34"/>
      <c r="G60" s="34"/>
      <c r="H60" s="34"/>
      <c r="I60" s="34"/>
    </row>
    <row r="61" spans="1:9" ht="21.95" customHeight="1">
      <c r="A61" s="19" t="s">
        <v>101</v>
      </c>
      <c r="B61" s="39" t="s">
        <v>54</v>
      </c>
      <c r="C61" s="39" t="s">
        <v>132</v>
      </c>
      <c r="D61" s="19" t="s">
        <v>103</v>
      </c>
      <c r="E61" s="7">
        <v>0.1</v>
      </c>
      <c r="F61" s="19" t="s">
        <v>104</v>
      </c>
      <c r="G61" s="7">
        <v>2</v>
      </c>
      <c r="H61" s="19" t="s">
        <v>49</v>
      </c>
      <c r="I61" s="7">
        <v>300</v>
      </c>
    </row>
    <row r="62" spans="1:9" ht="21.95" customHeight="1">
      <c r="A62" s="19" t="s">
        <v>105</v>
      </c>
      <c r="B62" s="11" t="s">
        <v>106</v>
      </c>
      <c r="C62" s="11" t="s">
        <v>107</v>
      </c>
      <c r="D62" s="11" t="s">
        <v>108</v>
      </c>
      <c r="E62" s="11" t="s">
        <v>109</v>
      </c>
      <c r="F62" s="11" t="s">
        <v>133</v>
      </c>
      <c r="G62" s="11" t="s">
        <v>134</v>
      </c>
      <c r="H62" s="19" t="s">
        <v>112</v>
      </c>
      <c r="I62" s="15" t="str">
        <f>IF(COUNTA(B65:B82)=0,"待设计",IF(COUNTIF(I65:I82,"需修正")&gt;0,"需修正","可回读"))</f>
        <v>可回读</v>
      </c>
    </row>
    <row r="63" spans="1:9" ht="21.95" customHeight="1">
      <c r="A63" s="40" t="s">
        <v>113</v>
      </c>
      <c r="B63" s="40"/>
      <c r="C63" s="40"/>
      <c r="D63" s="40"/>
      <c r="E63" s="40"/>
      <c r="F63" s="40"/>
      <c r="G63" s="40"/>
      <c r="H63" s="40"/>
      <c r="I63" s="40"/>
    </row>
    <row r="64" spans="1:9" ht="21.95" customHeight="1">
      <c r="A64" s="19" t="s">
        <v>114</v>
      </c>
      <c r="B64" s="19" t="s">
        <v>115</v>
      </c>
      <c r="C64" s="19" t="s">
        <v>43</v>
      </c>
      <c r="D64" s="19" t="s">
        <v>44</v>
      </c>
      <c r="E64" s="19" t="s">
        <v>116</v>
      </c>
      <c r="F64" s="19" t="s">
        <v>46</v>
      </c>
      <c r="G64" s="19" t="s">
        <v>47</v>
      </c>
      <c r="H64" s="19" t="s">
        <v>34</v>
      </c>
      <c r="I64" s="19" t="s">
        <v>117</v>
      </c>
    </row>
    <row r="65" spans="1:9" ht="21.95" customHeight="1">
      <c r="A65" s="16">
        <v>1</v>
      </c>
      <c r="B65" s="14" t="s">
        <v>135</v>
      </c>
      <c r="C65" s="14">
        <v>50</v>
      </c>
      <c r="D65" s="8">
        <f>IF(B65="",0,ROUNDUP(C65*(1+(全局设置!$B$5-1)*全局设置!$B$6),0))</f>
        <v>50</v>
      </c>
      <c r="E65" s="17">
        <f>IF(B65="",0,IFERROR(VLOOKUP(B65,敌人目录!$A$6:$M$68,13,FALSE),0))</f>
        <v>2</v>
      </c>
      <c r="F65" s="17">
        <f t="shared" ref="F65:F82" si="4">D65*E65</f>
        <v>100</v>
      </c>
      <c r="G65" s="17">
        <f>F65*全局设置!$B$7</f>
        <v>100</v>
      </c>
      <c r="H65" s="17">
        <f>G65*全局设置!$B$5</f>
        <v>100</v>
      </c>
      <c r="I65" s="15" t="str">
        <f t="shared" ref="I65:I82" si="5">IF(AND(B65="",C65=""),"",IF(AND(B65&lt;&gt;"",C65&gt;=1,COUNTIF($B$65:$B$82,B65)=1),"可回读","需修正"))</f>
        <v>可回读</v>
      </c>
    </row>
    <row r="66" spans="1:9" ht="21.95" customHeight="1">
      <c r="A66" s="16">
        <v>2</v>
      </c>
      <c r="B66" s="14" t="s">
        <v>120</v>
      </c>
      <c r="C66" s="14">
        <v>500</v>
      </c>
      <c r="D66" s="8">
        <f>IF(B66="",0,ROUNDUP(C66*(1+(全局设置!$B$5-1)*全局设置!$B$6),0))</f>
        <v>500</v>
      </c>
      <c r="E66" s="17">
        <f>IF(B66="",0,IFERROR(VLOOKUP(B66,敌人目录!$A$6:$M$68,13,FALSE),0))</f>
        <v>1</v>
      </c>
      <c r="F66" s="17">
        <f t="shared" si="4"/>
        <v>500</v>
      </c>
      <c r="G66" s="17">
        <f>F66*全局设置!$B$7</f>
        <v>500</v>
      </c>
      <c r="H66" s="17">
        <f>G66*全局设置!$B$5</f>
        <v>500</v>
      </c>
      <c r="I66" s="15" t="str">
        <f t="shared" si="5"/>
        <v>可回读</v>
      </c>
    </row>
    <row r="67" spans="1:9" ht="21.95" customHeight="1">
      <c r="A67" s="16">
        <v>3</v>
      </c>
      <c r="B67" s="14" t="s">
        <v>129</v>
      </c>
      <c r="C67" s="14">
        <v>1000</v>
      </c>
      <c r="D67" s="8">
        <f>IF(B67="",0,ROUNDUP(C67*(1+(全局设置!$B$5-1)*全局设置!$B$6),0))</f>
        <v>1000</v>
      </c>
      <c r="E67" s="17">
        <f>IF(B67="",0,IFERROR(VLOOKUP(B67,敌人目录!$A$6:$M$68,13,FALSE),0))</f>
        <v>2</v>
      </c>
      <c r="F67" s="17">
        <f t="shared" si="4"/>
        <v>2000</v>
      </c>
      <c r="G67" s="17">
        <f>F67*全局设置!$B$7</f>
        <v>2000</v>
      </c>
      <c r="H67" s="17">
        <f>G67*全局设置!$B$5</f>
        <v>2000</v>
      </c>
      <c r="I67" s="15" t="str">
        <f t="shared" si="5"/>
        <v>可回读</v>
      </c>
    </row>
    <row r="68" spans="1:9" ht="21.95" customHeight="1">
      <c r="A68" s="16">
        <v>4</v>
      </c>
      <c r="B68" s="14" t="s">
        <v>136</v>
      </c>
      <c r="C68" s="14">
        <v>400</v>
      </c>
      <c r="D68" s="8">
        <f>IF(B68="",0,ROUNDUP(C68*(1+(全局设置!$B$5-1)*全局设置!$B$6),0))</f>
        <v>400</v>
      </c>
      <c r="E68" s="17">
        <f>IF(B68="",0,IFERROR(VLOOKUP(B68,敌人目录!$A$6:$M$68,13,FALSE),0))</f>
        <v>1</v>
      </c>
      <c r="F68" s="17">
        <f t="shared" si="4"/>
        <v>400</v>
      </c>
      <c r="G68" s="17">
        <f>F68*全局设置!$B$7</f>
        <v>400</v>
      </c>
      <c r="H68" s="17">
        <f>G68*全局设置!$B$5</f>
        <v>400</v>
      </c>
      <c r="I68" s="15" t="str">
        <f t="shared" si="5"/>
        <v>可回读</v>
      </c>
    </row>
    <row r="69" spans="1:9" ht="21.95" customHeight="1">
      <c r="A69" s="16">
        <v>5</v>
      </c>
      <c r="B69" s="14" t="s">
        <v>137</v>
      </c>
      <c r="C69" s="14">
        <v>100</v>
      </c>
      <c r="D69" s="8">
        <f>IF(B69="",0,ROUNDUP(C69*(1+(全局设置!$B$5-1)*全局设置!$B$6),0))</f>
        <v>100</v>
      </c>
      <c r="E69" s="17">
        <f>IF(B69="",0,IFERROR(VLOOKUP(B69,敌人目录!$A$6:$M$68,13,FALSE),0))</f>
        <v>1</v>
      </c>
      <c r="F69" s="17">
        <f t="shared" si="4"/>
        <v>100</v>
      </c>
      <c r="G69" s="17">
        <f>F69*全局设置!$B$7</f>
        <v>100</v>
      </c>
      <c r="H69" s="17">
        <f>G69*全局设置!$B$5</f>
        <v>100</v>
      </c>
      <c r="I69" s="15" t="str">
        <f t="shared" si="5"/>
        <v>可回读</v>
      </c>
    </row>
    <row r="70" spans="1:9" ht="21.95" customHeight="1">
      <c r="A70" s="16">
        <v>6</v>
      </c>
      <c r="B70" s="14" t="s">
        <v>130</v>
      </c>
      <c r="C70" s="14">
        <v>400</v>
      </c>
      <c r="D70" s="8">
        <f>IF(B70="",0,ROUNDUP(C70*(1+(全局设置!$B$5-1)*全局设置!$B$6),0))</f>
        <v>400</v>
      </c>
      <c r="E70" s="17">
        <f>IF(B70="",0,IFERROR(VLOOKUP(B70,敌人目录!$A$6:$M$68,13,FALSE),0))</f>
        <v>1</v>
      </c>
      <c r="F70" s="17">
        <f t="shared" si="4"/>
        <v>400</v>
      </c>
      <c r="G70" s="17">
        <f>F70*全局设置!$B$7</f>
        <v>400</v>
      </c>
      <c r="H70" s="17">
        <f>G70*全局设置!$B$5</f>
        <v>400</v>
      </c>
      <c r="I70" s="15" t="str">
        <f t="shared" si="5"/>
        <v>可回读</v>
      </c>
    </row>
    <row r="71" spans="1:9" ht="21.95" customHeight="1">
      <c r="A71" s="16">
        <v>7</v>
      </c>
      <c r="B71" s="14" t="s">
        <v>122</v>
      </c>
      <c r="C71" s="14">
        <v>500</v>
      </c>
      <c r="D71" s="8">
        <f>IF(B71="",0,ROUNDUP(C71*(1+(全局设置!$B$5-1)*全局设置!$B$6),0))</f>
        <v>500</v>
      </c>
      <c r="E71" s="17">
        <f>IF(B71="",0,IFERROR(VLOOKUP(B71,敌人目录!$A$6:$M$68,13,FALSE),0))</f>
        <v>1</v>
      </c>
      <c r="F71" s="17">
        <f t="shared" si="4"/>
        <v>500</v>
      </c>
      <c r="G71" s="17">
        <f>F71*全局设置!$B$7</f>
        <v>500</v>
      </c>
      <c r="H71" s="17">
        <f>G71*全局设置!$B$5</f>
        <v>500</v>
      </c>
      <c r="I71" s="15" t="str">
        <f t="shared" si="5"/>
        <v>可回读</v>
      </c>
    </row>
    <row r="72" spans="1:9" ht="21.95" customHeight="1">
      <c r="A72" s="16">
        <v>8</v>
      </c>
      <c r="B72" s="14" t="s">
        <v>118</v>
      </c>
      <c r="C72" s="14">
        <v>500</v>
      </c>
      <c r="D72" s="8">
        <f>IF(B72="",0,ROUNDUP(C72*(1+(全局设置!$B$5-1)*全局设置!$B$6),0))</f>
        <v>500</v>
      </c>
      <c r="E72" s="17">
        <f>IF(B72="",0,IFERROR(VLOOKUP(B72,敌人目录!$A$6:$M$68,13,FALSE),0))</f>
        <v>1</v>
      </c>
      <c r="F72" s="17">
        <f t="shared" si="4"/>
        <v>500</v>
      </c>
      <c r="G72" s="17">
        <f>F72*全局设置!$B$7</f>
        <v>500</v>
      </c>
      <c r="H72" s="17">
        <f>G72*全局设置!$B$5</f>
        <v>500</v>
      </c>
      <c r="I72" s="15" t="str">
        <f t="shared" si="5"/>
        <v>可回读</v>
      </c>
    </row>
    <row r="73" spans="1:9" ht="21.95" customHeight="1">
      <c r="A73" s="16">
        <v>9</v>
      </c>
      <c r="B73" s="14" t="s">
        <v>138</v>
      </c>
      <c r="C73" s="14">
        <v>20</v>
      </c>
      <c r="D73" s="8">
        <f>IF(B73="",0,ROUNDUP(C73*(1+(全局设置!$B$5-1)*全局设置!$B$6),0))</f>
        <v>20</v>
      </c>
      <c r="E73" s="17">
        <f>IF(B73="",0,IFERROR(VLOOKUP(B73,敌人目录!$A$6:$M$68,13,FALSE),0))</f>
        <v>2</v>
      </c>
      <c r="F73" s="17">
        <f t="shared" si="4"/>
        <v>40</v>
      </c>
      <c r="G73" s="17">
        <f>F73*全局设置!$B$7</f>
        <v>40</v>
      </c>
      <c r="H73" s="17">
        <f>G73*全局设置!$B$5</f>
        <v>40</v>
      </c>
      <c r="I73" s="15" t="str">
        <f t="shared" si="5"/>
        <v>可回读</v>
      </c>
    </row>
    <row r="74" spans="1:9" ht="21.95" customHeight="1">
      <c r="A74" s="16">
        <v>10</v>
      </c>
      <c r="B74" s="14"/>
      <c r="C74" s="14"/>
      <c r="D74" s="8">
        <f>IF(B74="",0,ROUNDUP(C74*(1+(全局设置!$B$5-1)*全局设置!$B$6),0))</f>
        <v>0</v>
      </c>
      <c r="E74" s="17">
        <f>IF(B74="",0,IFERROR(VLOOKUP(B74,敌人目录!$A$6:$M$68,13,FALSE),0))</f>
        <v>0</v>
      </c>
      <c r="F74" s="17">
        <f t="shared" si="4"/>
        <v>0</v>
      </c>
      <c r="G74" s="17">
        <f>F74*全局设置!$B$7</f>
        <v>0</v>
      </c>
      <c r="H74" s="17">
        <f>G74*全局设置!$B$5</f>
        <v>0</v>
      </c>
      <c r="I74" s="15" t="str">
        <f t="shared" si="5"/>
        <v/>
      </c>
    </row>
    <row r="75" spans="1:9" ht="21.95" customHeight="1">
      <c r="A75" s="16">
        <v>11</v>
      </c>
      <c r="B75" s="14"/>
      <c r="C75" s="14"/>
      <c r="D75" s="8">
        <f>IF(B75="",0,ROUNDUP(C75*(1+(全局设置!$B$5-1)*全局设置!$B$6),0))</f>
        <v>0</v>
      </c>
      <c r="E75" s="17">
        <f>IF(B75="",0,IFERROR(VLOOKUP(B75,敌人目录!$A$6:$M$68,13,FALSE),0))</f>
        <v>0</v>
      </c>
      <c r="F75" s="17">
        <f t="shared" si="4"/>
        <v>0</v>
      </c>
      <c r="G75" s="17">
        <f>F75*全局设置!$B$7</f>
        <v>0</v>
      </c>
      <c r="H75" s="17">
        <f>G75*全局设置!$B$5</f>
        <v>0</v>
      </c>
      <c r="I75" s="15" t="str">
        <f t="shared" si="5"/>
        <v/>
      </c>
    </row>
    <row r="76" spans="1:9" ht="21.95" customHeight="1">
      <c r="A76" s="16">
        <v>12</v>
      </c>
      <c r="B76" s="14"/>
      <c r="C76" s="14"/>
      <c r="D76" s="8">
        <f>IF(B76="",0,ROUNDUP(C76*(1+(全局设置!$B$5-1)*全局设置!$B$6),0))</f>
        <v>0</v>
      </c>
      <c r="E76" s="17">
        <f>IF(B76="",0,IFERROR(VLOOKUP(B76,敌人目录!$A$6:$M$68,13,FALSE),0))</f>
        <v>0</v>
      </c>
      <c r="F76" s="17">
        <f t="shared" si="4"/>
        <v>0</v>
      </c>
      <c r="G76" s="17">
        <f>F76*全局设置!$B$7</f>
        <v>0</v>
      </c>
      <c r="H76" s="17">
        <f>G76*全局设置!$B$5</f>
        <v>0</v>
      </c>
      <c r="I76" s="15" t="str">
        <f t="shared" si="5"/>
        <v/>
      </c>
    </row>
    <row r="77" spans="1:9" ht="21.95" customHeight="1">
      <c r="A77" s="16">
        <v>13</v>
      </c>
      <c r="B77" s="14"/>
      <c r="C77" s="14"/>
      <c r="D77" s="8">
        <f>IF(B77="",0,ROUNDUP(C77*(1+(全局设置!$B$5-1)*全局设置!$B$6),0))</f>
        <v>0</v>
      </c>
      <c r="E77" s="17">
        <f>IF(B77="",0,IFERROR(VLOOKUP(B77,敌人目录!$A$6:$M$68,13,FALSE),0))</f>
        <v>0</v>
      </c>
      <c r="F77" s="17">
        <f t="shared" si="4"/>
        <v>0</v>
      </c>
      <c r="G77" s="17">
        <f>F77*全局设置!$B$7</f>
        <v>0</v>
      </c>
      <c r="H77" s="17">
        <f>G77*全局设置!$B$5</f>
        <v>0</v>
      </c>
      <c r="I77" s="15" t="str">
        <f t="shared" si="5"/>
        <v/>
      </c>
    </row>
    <row r="78" spans="1:9" ht="21.95" customHeight="1">
      <c r="A78" s="16">
        <v>14</v>
      </c>
      <c r="B78" s="14"/>
      <c r="C78" s="14"/>
      <c r="D78" s="8">
        <f>IF(B78="",0,ROUNDUP(C78*(1+(全局设置!$B$5-1)*全局设置!$B$6),0))</f>
        <v>0</v>
      </c>
      <c r="E78" s="17">
        <f>IF(B78="",0,IFERROR(VLOOKUP(B78,敌人目录!$A$6:$M$68,13,FALSE),0))</f>
        <v>0</v>
      </c>
      <c r="F78" s="17">
        <f t="shared" si="4"/>
        <v>0</v>
      </c>
      <c r="G78" s="17">
        <f>F78*全局设置!$B$7</f>
        <v>0</v>
      </c>
      <c r="H78" s="17">
        <f>G78*全局设置!$B$5</f>
        <v>0</v>
      </c>
      <c r="I78" s="15" t="str">
        <f t="shared" si="5"/>
        <v/>
      </c>
    </row>
    <row r="79" spans="1:9" ht="21.95" customHeight="1">
      <c r="A79" s="16">
        <v>15</v>
      </c>
      <c r="B79" s="14"/>
      <c r="C79" s="14"/>
      <c r="D79" s="8">
        <f>IF(B79="",0,ROUNDUP(C79*(1+(全局设置!$B$5-1)*全局设置!$B$6),0))</f>
        <v>0</v>
      </c>
      <c r="E79" s="17">
        <f>IF(B79="",0,IFERROR(VLOOKUP(B79,敌人目录!$A$6:$M$68,13,FALSE),0))</f>
        <v>0</v>
      </c>
      <c r="F79" s="17">
        <f t="shared" si="4"/>
        <v>0</v>
      </c>
      <c r="G79" s="17">
        <f>F79*全局设置!$B$7</f>
        <v>0</v>
      </c>
      <c r="H79" s="17">
        <f>G79*全局设置!$B$5</f>
        <v>0</v>
      </c>
      <c r="I79" s="15" t="str">
        <f t="shared" si="5"/>
        <v/>
      </c>
    </row>
    <row r="80" spans="1:9" ht="21.95" customHeight="1">
      <c r="A80" s="16">
        <v>16</v>
      </c>
      <c r="B80" s="14"/>
      <c r="C80" s="14"/>
      <c r="D80" s="8">
        <f>IF(B80="",0,ROUNDUP(C80*(1+(全局设置!$B$5-1)*全局设置!$B$6),0))</f>
        <v>0</v>
      </c>
      <c r="E80" s="17">
        <f>IF(B80="",0,IFERROR(VLOOKUP(B80,敌人目录!$A$6:$M$68,13,FALSE),0))</f>
        <v>0</v>
      </c>
      <c r="F80" s="17">
        <f t="shared" si="4"/>
        <v>0</v>
      </c>
      <c r="G80" s="17">
        <f>F80*全局设置!$B$7</f>
        <v>0</v>
      </c>
      <c r="H80" s="17">
        <f>G80*全局设置!$B$5</f>
        <v>0</v>
      </c>
      <c r="I80" s="15" t="str">
        <f t="shared" si="5"/>
        <v/>
      </c>
    </row>
    <row r="81" spans="1:9" ht="21.95" customHeight="1">
      <c r="A81" s="16">
        <v>17</v>
      </c>
      <c r="B81" s="14"/>
      <c r="C81" s="14"/>
      <c r="D81" s="8">
        <f>IF(B81="",0,ROUNDUP(C81*(1+(全局设置!$B$5-1)*全局设置!$B$6),0))</f>
        <v>0</v>
      </c>
      <c r="E81" s="17">
        <f>IF(B81="",0,IFERROR(VLOOKUP(B81,敌人目录!$A$6:$M$68,13,FALSE),0))</f>
        <v>0</v>
      </c>
      <c r="F81" s="17">
        <f t="shared" si="4"/>
        <v>0</v>
      </c>
      <c r="G81" s="17">
        <f>F81*全局设置!$B$7</f>
        <v>0</v>
      </c>
      <c r="H81" s="17">
        <f>G81*全局设置!$B$5</f>
        <v>0</v>
      </c>
      <c r="I81" s="15" t="str">
        <f t="shared" si="5"/>
        <v/>
      </c>
    </row>
    <row r="82" spans="1:9" ht="21.95" customHeight="1">
      <c r="A82" s="16">
        <v>18</v>
      </c>
      <c r="B82" s="14"/>
      <c r="C82" s="14"/>
      <c r="D82" s="8">
        <f>IF(B82="",0,ROUNDUP(C82*(1+(全局设置!$B$5-1)*全局设置!$B$6),0))</f>
        <v>0</v>
      </c>
      <c r="E82" s="17">
        <f>IF(B82="",0,IFERROR(VLOOKUP(B82,敌人目录!$A$6:$M$68,13,FALSE),0))</f>
        <v>0</v>
      </c>
      <c r="F82" s="17">
        <f t="shared" si="4"/>
        <v>0</v>
      </c>
      <c r="G82" s="17">
        <f>F82*全局设置!$B$7</f>
        <v>0</v>
      </c>
      <c r="H82" s="17">
        <f>G82*全局设置!$B$5</f>
        <v>0</v>
      </c>
      <c r="I82" s="15" t="str">
        <f t="shared" si="5"/>
        <v/>
      </c>
    </row>
    <row r="83" spans="1:9" ht="21.95" customHeight="1"/>
    <row r="84" spans="1:9" ht="21.95" customHeight="1">
      <c r="A84" s="19" t="s">
        <v>123</v>
      </c>
      <c r="B84" s="8">
        <f>SUM(C65:C82)</f>
        <v>3470</v>
      </c>
      <c r="C84" s="19" t="s">
        <v>124</v>
      </c>
      <c r="D84" s="8">
        <f>SUM(D65:D82)</f>
        <v>3470</v>
      </c>
      <c r="E84" s="19" t="s">
        <v>46</v>
      </c>
      <c r="F84" s="8">
        <f>SUM(F65:F82)</f>
        <v>4540</v>
      </c>
      <c r="G84" s="19" t="s">
        <v>47</v>
      </c>
      <c r="H84" s="8">
        <f>SUM(G65:G82)</f>
        <v>4540</v>
      </c>
      <c r="I84" s="8"/>
    </row>
    <row r="85" spans="1:9" ht="21.95" customHeight="1">
      <c r="A85" s="18" t="s">
        <v>34</v>
      </c>
      <c r="B85" s="4">
        <f>SUM(H65:H82)</f>
        <v>4540</v>
      </c>
      <c r="C85" s="18" t="s">
        <v>125</v>
      </c>
      <c r="D85" s="41" t="s">
        <v>126</v>
      </c>
      <c r="E85" s="41"/>
      <c r="F85" s="41"/>
      <c r="G85" s="41"/>
      <c r="H85" s="41"/>
      <c r="I85" s="41"/>
    </row>
    <row r="86" spans="1:9" ht="21.95" customHeight="1"/>
    <row r="87" spans="1:9" ht="21.95" customHeight="1"/>
    <row r="88" spans="1:9" ht="21.95" customHeight="1"/>
    <row r="89" spans="1:9" ht="21.95" customHeight="1">
      <c r="A89" s="34" t="s">
        <v>139</v>
      </c>
      <c r="B89" s="34"/>
      <c r="C89" s="34"/>
      <c r="D89" s="34"/>
      <c r="E89" s="34"/>
      <c r="F89" s="34"/>
      <c r="G89" s="34"/>
      <c r="H89" s="34"/>
      <c r="I89" s="34"/>
    </row>
    <row r="90" spans="1:9" ht="21.95" customHeight="1">
      <c r="A90" s="19" t="s">
        <v>101</v>
      </c>
      <c r="B90" s="39" t="s">
        <v>56</v>
      </c>
      <c r="C90" s="39" t="s">
        <v>140</v>
      </c>
      <c r="D90" s="19" t="s">
        <v>103</v>
      </c>
      <c r="E90" s="7">
        <v>0.1</v>
      </c>
      <c r="F90" s="19" t="s">
        <v>104</v>
      </c>
      <c r="G90" s="7">
        <v>3</v>
      </c>
      <c r="H90" s="19" t="s">
        <v>49</v>
      </c>
      <c r="I90" s="7">
        <v>300</v>
      </c>
    </row>
    <row r="91" spans="1:9" ht="21.95" customHeight="1">
      <c r="A91" s="19" t="s">
        <v>105</v>
      </c>
      <c r="B91" s="11" t="s">
        <v>106</v>
      </c>
      <c r="C91" s="11" t="s">
        <v>107</v>
      </c>
      <c r="D91" s="11" t="s">
        <v>108</v>
      </c>
      <c r="E91" s="11" t="s">
        <v>109</v>
      </c>
      <c r="F91" s="11" t="s">
        <v>133</v>
      </c>
      <c r="G91" s="11" t="s">
        <v>134</v>
      </c>
      <c r="H91" s="19" t="s">
        <v>112</v>
      </c>
      <c r="I91" s="15" t="str">
        <f>IF(COUNTA(B94:B111)=0,"待设计",IF(COUNTIF(I94:I111,"需修正")&gt;0,"需修正","可回读"))</f>
        <v>可回读</v>
      </c>
    </row>
    <row r="92" spans="1:9" ht="21.95" customHeight="1">
      <c r="A92" s="40" t="s">
        <v>113</v>
      </c>
      <c r="B92" s="40"/>
      <c r="C92" s="40"/>
      <c r="D92" s="40"/>
      <c r="E92" s="40"/>
      <c r="F92" s="40"/>
      <c r="G92" s="40"/>
      <c r="H92" s="40"/>
      <c r="I92" s="40"/>
    </row>
    <row r="93" spans="1:9" ht="21.95" customHeight="1">
      <c r="A93" s="19" t="s">
        <v>114</v>
      </c>
      <c r="B93" s="19" t="s">
        <v>115</v>
      </c>
      <c r="C93" s="19" t="s">
        <v>43</v>
      </c>
      <c r="D93" s="19" t="s">
        <v>44</v>
      </c>
      <c r="E93" s="19" t="s">
        <v>116</v>
      </c>
      <c r="F93" s="19" t="s">
        <v>46</v>
      </c>
      <c r="G93" s="19" t="s">
        <v>47</v>
      </c>
      <c r="H93" s="19" t="s">
        <v>34</v>
      </c>
      <c r="I93" s="19" t="s">
        <v>117</v>
      </c>
    </row>
    <row r="94" spans="1:9" ht="21.95" customHeight="1">
      <c r="A94" s="16">
        <v>1</v>
      </c>
      <c r="B94" s="14" t="s">
        <v>120</v>
      </c>
      <c r="C94" s="14">
        <v>500</v>
      </c>
      <c r="D94" s="8">
        <f>IF(B94="",0,ROUNDUP(C94*(1+(全局设置!$B$5-1)*全局设置!$B$6),0))</f>
        <v>500</v>
      </c>
      <c r="E94" s="17">
        <f>IF(B94="",0,IFERROR(VLOOKUP(B94,敌人目录!$A$6:$M$68,13,FALSE),0))</f>
        <v>1</v>
      </c>
      <c r="F94" s="17">
        <f t="shared" ref="F94:F111" si="6">D94*E94</f>
        <v>500</v>
      </c>
      <c r="G94" s="17">
        <f>F94*全局设置!$B$7</f>
        <v>500</v>
      </c>
      <c r="H94" s="17">
        <f>G94*全局设置!$B$5</f>
        <v>500</v>
      </c>
      <c r="I94" s="15" t="str">
        <f t="shared" ref="I94:I111" si="7">IF(AND(B94="",C94=""),"",IF(AND(B94&lt;&gt;"",C94&gt;=1,COUNTIF($B$94:$B$111,B94)=1),"可回读","需修正"))</f>
        <v>可回读</v>
      </c>
    </row>
    <row r="95" spans="1:9" ht="21.95" customHeight="1">
      <c r="A95" s="16">
        <v>2</v>
      </c>
      <c r="B95" s="14" t="s">
        <v>141</v>
      </c>
      <c r="C95" s="14">
        <v>10</v>
      </c>
      <c r="D95" s="8">
        <f>IF(B95="",0,ROUNDUP(C95*(1+(全局设置!$B$5-1)*全局设置!$B$6),0))</f>
        <v>10</v>
      </c>
      <c r="E95" s="17">
        <f>IF(B95="",0,IFERROR(VLOOKUP(B95,敌人目录!$A$6:$M$68,13,FALSE),0))</f>
        <v>2</v>
      </c>
      <c r="F95" s="17">
        <f t="shared" si="6"/>
        <v>20</v>
      </c>
      <c r="G95" s="17">
        <f>F95*全局设置!$B$7</f>
        <v>20</v>
      </c>
      <c r="H95" s="17">
        <f>G95*全局设置!$B$5</f>
        <v>20</v>
      </c>
      <c r="I95" s="15" t="str">
        <f t="shared" si="7"/>
        <v>可回读</v>
      </c>
    </row>
    <row r="96" spans="1:9" ht="21.95" customHeight="1">
      <c r="A96" s="16">
        <v>3</v>
      </c>
      <c r="B96" s="14" t="s">
        <v>135</v>
      </c>
      <c r="C96" s="14">
        <v>10</v>
      </c>
      <c r="D96" s="8">
        <f>IF(B96="",0,ROUNDUP(C96*(1+(全局设置!$B$5-1)*全局设置!$B$6),0))</f>
        <v>10</v>
      </c>
      <c r="E96" s="17">
        <f>IF(B96="",0,IFERROR(VLOOKUP(B96,敌人目录!$A$6:$M$68,13,FALSE),0))</f>
        <v>2</v>
      </c>
      <c r="F96" s="17">
        <f t="shared" si="6"/>
        <v>20</v>
      </c>
      <c r="G96" s="17">
        <f>F96*全局设置!$B$7</f>
        <v>20</v>
      </c>
      <c r="H96" s="17">
        <f>G96*全局设置!$B$5</f>
        <v>20</v>
      </c>
      <c r="I96" s="15" t="str">
        <f t="shared" si="7"/>
        <v>可回读</v>
      </c>
    </row>
    <row r="97" spans="1:9" ht="21.95" customHeight="1">
      <c r="A97" s="16">
        <v>4</v>
      </c>
      <c r="B97" s="14" t="s">
        <v>136</v>
      </c>
      <c r="C97" s="14">
        <v>200</v>
      </c>
      <c r="D97" s="8">
        <f>IF(B97="",0,ROUNDUP(C97*(1+(全局设置!$B$5-1)*全局设置!$B$6),0))</f>
        <v>200</v>
      </c>
      <c r="E97" s="17">
        <f>IF(B97="",0,IFERROR(VLOOKUP(B97,敌人目录!$A$6:$M$68,13,FALSE),0))</f>
        <v>1</v>
      </c>
      <c r="F97" s="17">
        <f t="shared" si="6"/>
        <v>200</v>
      </c>
      <c r="G97" s="17">
        <f>F97*全局设置!$B$7</f>
        <v>200</v>
      </c>
      <c r="H97" s="17">
        <f>G97*全局设置!$B$5</f>
        <v>200</v>
      </c>
      <c r="I97" s="15" t="str">
        <f t="shared" si="7"/>
        <v>可回读</v>
      </c>
    </row>
    <row r="98" spans="1:9" ht="21.95" customHeight="1">
      <c r="A98" s="16">
        <v>5</v>
      </c>
      <c r="B98" s="14" t="s">
        <v>129</v>
      </c>
      <c r="C98" s="14">
        <v>800</v>
      </c>
      <c r="D98" s="8">
        <f>IF(B98="",0,ROUNDUP(C98*(1+(全局设置!$B$5-1)*全局设置!$B$6),0))</f>
        <v>800</v>
      </c>
      <c r="E98" s="17">
        <f>IF(B98="",0,IFERROR(VLOOKUP(B98,敌人目录!$A$6:$M$68,13,FALSE),0))</f>
        <v>2</v>
      </c>
      <c r="F98" s="17">
        <f t="shared" si="6"/>
        <v>1600</v>
      </c>
      <c r="G98" s="17">
        <f>F98*全局设置!$B$7</f>
        <v>1600</v>
      </c>
      <c r="H98" s="17">
        <f>G98*全局设置!$B$5</f>
        <v>1600</v>
      </c>
      <c r="I98" s="15" t="str">
        <f t="shared" si="7"/>
        <v>可回读</v>
      </c>
    </row>
    <row r="99" spans="1:9" ht="21.95" customHeight="1">
      <c r="A99" s="16">
        <v>6</v>
      </c>
      <c r="B99" s="14" t="s">
        <v>142</v>
      </c>
      <c r="C99" s="14">
        <v>100</v>
      </c>
      <c r="D99" s="8">
        <f>IF(B99="",0,ROUNDUP(C99*(1+(全局设置!$B$5-1)*全局设置!$B$6),0))</f>
        <v>100</v>
      </c>
      <c r="E99" s="17">
        <f>IF(B99="",0,IFERROR(VLOOKUP(B99,敌人目录!$A$6:$M$68,13,FALSE),0))</f>
        <v>1</v>
      </c>
      <c r="F99" s="17">
        <f t="shared" si="6"/>
        <v>100</v>
      </c>
      <c r="G99" s="17">
        <f>F99*全局设置!$B$7</f>
        <v>100</v>
      </c>
      <c r="H99" s="17">
        <f>G99*全局设置!$B$5</f>
        <v>100</v>
      </c>
      <c r="I99" s="15" t="str">
        <f t="shared" si="7"/>
        <v>可回读</v>
      </c>
    </row>
    <row r="100" spans="1:9" ht="21.95" customHeight="1">
      <c r="A100" s="16">
        <v>7</v>
      </c>
      <c r="B100" s="14" t="s">
        <v>143</v>
      </c>
      <c r="C100" s="14">
        <v>10</v>
      </c>
      <c r="D100" s="8">
        <f>IF(B100="",0,ROUNDUP(C100*(1+(全局设置!$B$5-1)*全局设置!$B$6),0))</f>
        <v>10</v>
      </c>
      <c r="E100" s="17">
        <f>IF(B100="",0,IFERROR(VLOOKUP(B100,敌人目录!$A$6:$M$68,13,FALSE),0))</f>
        <v>25</v>
      </c>
      <c r="F100" s="17">
        <f t="shared" si="6"/>
        <v>250</v>
      </c>
      <c r="G100" s="17">
        <f>F100*全局设置!$B$7</f>
        <v>250</v>
      </c>
      <c r="H100" s="17">
        <f>G100*全局设置!$B$5</f>
        <v>250</v>
      </c>
      <c r="I100" s="15" t="str">
        <f t="shared" si="7"/>
        <v>可回读</v>
      </c>
    </row>
    <row r="101" spans="1:9" ht="21.95" customHeight="1">
      <c r="A101" s="16">
        <v>8</v>
      </c>
      <c r="B101" s="14" t="s">
        <v>130</v>
      </c>
      <c r="C101" s="14">
        <v>200</v>
      </c>
      <c r="D101" s="8">
        <f>IF(B101="",0,ROUNDUP(C101*(1+(全局设置!$B$5-1)*全局设置!$B$6),0))</f>
        <v>200</v>
      </c>
      <c r="E101" s="17">
        <f>IF(B101="",0,IFERROR(VLOOKUP(B101,敌人目录!$A$6:$M$68,13,FALSE),0))</f>
        <v>1</v>
      </c>
      <c r="F101" s="17">
        <f t="shared" si="6"/>
        <v>200</v>
      </c>
      <c r="G101" s="17">
        <f>F101*全局设置!$B$7</f>
        <v>200</v>
      </c>
      <c r="H101" s="17">
        <f>G101*全局设置!$B$5</f>
        <v>200</v>
      </c>
      <c r="I101" s="15" t="str">
        <f t="shared" si="7"/>
        <v>可回读</v>
      </c>
    </row>
    <row r="102" spans="1:9" ht="21.95" customHeight="1">
      <c r="A102" s="16">
        <v>9</v>
      </c>
      <c r="B102" s="14" t="s">
        <v>144</v>
      </c>
      <c r="C102" s="14">
        <v>100</v>
      </c>
      <c r="D102" s="8">
        <f>IF(B102="",0,ROUNDUP(C102*(1+(全局设置!$B$5-1)*全局设置!$B$6),0))</f>
        <v>100</v>
      </c>
      <c r="E102" s="17">
        <f>IF(B102="",0,IFERROR(VLOOKUP(B102,敌人目录!$A$6:$M$68,13,FALSE),0))</f>
        <v>20</v>
      </c>
      <c r="F102" s="17">
        <f t="shared" si="6"/>
        <v>2000</v>
      </c>
      <c r="G102" s="17">
        <f>F102*全局设置!$B$7</f>
        <v>2000</v>
      </c>
      <c r="H102" s="17">
        <f>G102*全局设置!$B$5</f>
        <v>2000</v>
      </c>
      <c r="I102" s="15" t="str">
        <f t="shared" si="7"/>
        <v>可回读</v>
      </c>
    </row>
    <row r="103" spans="1:9" ht="21.95" customHeight="1">
      <c r="A103" s="16">
        <v>10</v>
      </c>
      <c r="B103" s="14" t="s">
        <v>138</v>
      </c>
      <c r="C103" s="14">
        <v>100</v>
      </c>
      <c r="D103" s="8">
        <f>IF(B103="",0,ROUNDUP(C103*(1+(全局设置!$B$5-1)*全局设置!$B$6),0))</f>
        <v>100</v>
      </c>
      <c r="E103" s="17">
        <f>IF(B103="",0,IFERROR(VLOOKUP(B103,敌人目录!$A$6:$M$68,13,FALSE),0))</f>
        <v>2</v>
      </c>
      <c r="F103" s="17">
        <f t="shared" si="6"/>
        <v>200</v>
      </c>
      <c r="G103" s="17">
        <f>F103*全局设置!$B$7</f>
        <v>200</v>
      </c>
      <c r="H103" s="17">
        <f>G103*全局设置!$B$5</f>
        <v>200</v>
      </c>
      <c r="I103" s="15" t="str">
        <f t="shared" si="7"/>
        <v>可回读</v>
      </c>
    </row>
    <row r="104" spans="1:9" ht="21.95" customHeight="1">
      <c r="A104" s="16">
        <v>11</v>
      </c>
      <c r="B104" s="14" t="s">
        <v>137</v>
      </c>
      <c r="C104" s="14">
        <v>50</v>
      </c>
      <c r="D104" s="8">
        <f>IF(B104="",0,ROUNDUP(C104*(1+(全局设置!$B$5-1)*全局设置!$B$6),0))</f>
        <v>50</v>
      </c>
      <c r="E104" s="17">
        <f>IF(B104="",0,IFERROR(VLOOKUP(B104,敌人目录!$A$6:$M$68,13,FALSE),0))</f>
        <v>1</v>
      </c>
      <c r="F104" s="17">
        <f t="shared" si="6"/>
        <v>50</v>
      </c>
      <c r="G104" s="17">
        <f>F104*全局设置!$B$7</f>
        <v>50</v>
      </c>
      <c r="H104" s="17">
        <f>G104*全局设置!$B$5</f>
        <v>50</v>
      </c>
      <c r="I104" s="15" t="str">
        <f t="shared" si="7"/>
        <v>可回读</v>
      </c>
    </row>
    <row r="105" spans="1:9" ht="21.95" customHeight="1">
      <c r="A105" s="16">
        <v>12</v>
      </c>
      <c r="B105" s="14"/>
      <c r="C105" s="14"/>
      <c r="D105" s="8">
        <f>IF(B105="",0,ROUNDUP(C105*(1+(全局设置!$B$5-1)*全局设置!$B$6),0))</f>
        <v>0</v>
      </c>
      <c r="E105" s="17">
        <f>IF(B105="",0,IFERROR(VLOOKUP(B105,敌人目录!$A$6:$M$68,13,FALSE),0))</f>
        <v>0</v>
      </c>
      <c r="F105" s="17">
        <f t="shared" si="6"/>
        <v>0</v>
      </c>
      <c r="G105" s="17">
        <f>F105*全局设置!$B$7</f>
        <v>0</v>
      </c>
      <c r="H105" s="17">
        <f>G105*全局设置!$B$5</f>
        <v>0</v>
      </c>
      <c r="I105" s="15" t="str">
        <f t="shared" si="7"/>
        <v/>
      </c>
    </row>
    <row r="106" spans="1:9" ht="21.95" customHeight="1">
      <c r="A106" s="16">
        <v>13</v>
      </c>
      <c r="B106" s="14"/>
      <c r="C106" s="14"/>
      <c r="D106" s="8">
        <f>IF(B106="",0,ROUNDUP(C106*(1+(全局设置!$B$5-1)*全局设置!$B$6),0))</f>
        <v>0</v>
      </c>
      <c r="E106" s="17">
        <f>IF(B106="",0,IFERROR(VLOOKUP(B106,敌人目录!$A$6:$M$68,13,FALSE),0))</f>
        <v>0</v>
      </c>
      <c r="F106" s="17">
        <f t="shared" si="6"/>
        <v>0</v>
      </c>
      <c r="G106" s="17">
        <f>F106*全局设置!$B$7</f>
        <v>0</v>
      </c>
      <c r="H106" s="17">
        <f>G106*全局设置!$B$5</f>
        <v>0</v>
      </c>
      <c r="I106" s="15" t="str">
        <f t="shared" si="7"/>
        <v/>
      </c>
    </row>
    <row r="107" spans="1:9" ht="21.95" customHeight="1">
      <c r="A107" s="16">
        <v>14</v>
      </c>
      <c r="B107" s="14"/>
      <c r="C107" s="14"/>
      <c r="D107" s="8">
        <f>IF(B107="",0,ROUNDUP(C107*(1+(全局设置!$B$5-1)*全局设置!$B$6),0))</f>
        <v>0</v>
      </c>
      <c r="E107" s="17">
        <f>IF(B107="",0,IFERROR(VLOOKUP(B107,敌人目录!$A$6:$M$68,13,FALSE),0))</f>
        <v>0</v>
      </c>
      <c r="F107" s="17">
        <f t="shared" si="6"/>
        <v>0</v>
      </c>
      <c r="G107" s="17">
        <f>F107*全局设置!$B$7</f>
        <v>0</v>
      </c>
      <c r="H107" s="17">
        <f>G107*全局设置!$B$5</f>
        <v>0</v>
      </c>
      <c r="I107" s="15" t="str">
        <f t="shared" si="7"/>
        <v/>
      </c>
    </row>
    <row r="108" spans="1:9" ht="21.95" customHeight="1">
      <c r="A108" s="16">
        <v>15</v>
      </c>
      <c r="B108" s="14"/>
      <c r="C108" s="14"/>
      <c r="D108" s="8">
        <f>IF(B108="",0,ROUNDUP(C108*(1+(全局设置!$B$5-1)*全局设置!$B$6),0))</f>
        <v>0</v>
      </c>
      <c r="E108" s="17">
        <f>IF(B108="",0,IFERROR(VLOOKUP(B108,敌人目录!$A$6:$M$68,13,FALSE),0))</f>
        <v>0</v>
      </c>
      <c r="F108" s="17">
        <f t="shared" si="6"/>
        <v>0</v>
      </c>
      <c r="G108" s="17">
        <f>F108*全局设置!$B$7</f>
        <v>0</v>
      </c>
      <c r="H108" s="17">
        <f>G108*全局设置!$B$5</f>
        <v>0</v>
      </c>
      <c r="I108" s="15" t="str">
        <f t="shared" si="7"/>
        <v/>
      </c>
    </row>
    <row r="109" spans="1:9" ht="21.95" customHeight="1">
      <c r="A109" s="16">
        <v>16</v>
      </c>
      <c r="B109" s="14"/>
      <c r="C109" s="14"/>
      <c r="D109" s="8">
        <f>IF(B109="",0,ROUNDUP(C109*(1+(全局设置!$B$5-1)*全局设置!$B$6),0))</f>
        <v>0</v>
      </c>
      <c r="E109" s="17">
        <f>IF(B109="",0,IFERROR(VLOOKUP(B109,敌人目录!$A$6:$M$68,13,FALSE),0))</f>
        <v>0</v>
      </c>
      <c r="F109" s="17">
        <f t="shared" si="6"/>
        <v>0</v>
      </c>
      <c r="G109" s="17">
        <f>F109*全局设置!$B$7</f>
        <v>0</v>
      </c>
      <c r="H109" s="17">
        <f>G109*全局设置!$B$5</f>
        <v>0</v>
      </c>
      <c r="I109" s="15" t="str">
        <f t="shared" si="7"/>
        <v/>
      </c>
    </row>
    <row r="110" spans="1:9" ht="21.95" customHeight="1">
      <c r="A110" s="16">
        <v>17</v>
      </c>
      <c r="B110" s="14"/>
      <c r="C110" s="14"/>
      <c r="D110" s="8">
        <f>IF(B110="",0,ROUNDUP(C110*(1+(全局设置!$B$5-1)*全局设置!$B$6),0))</f>
        <v>0</v>
      </c>
      <c r="E110" s="17">
        <f>IF(B110="",0,IFERROR(VLOOKUP(B110,敌人目录!$A$6:$M$68,13,FALSE),0))</f>
        <v>0</v>
      </c>
      <c r="F110" s="17">
        <f t="shared" si="6"/>
        <v>0</v>
      </c>
      <c r="G110" s="17">
        <f>F110*全局设置!$B$7</f>
        <v>0</v>
      </c>
      <c r="H110" s="17">
        <f>G110*全局设置!$B$5</f>
        <v>0</v>
      </c>
      <c r="I110" s="15" t="str">
        <f t="shared" si="7"/>
        <v/>
      </c>
    </row>
    <row r="111" spans="1:9" ht="21.95" customHeight="1">
      <c r="A111" s="16">
        <v>18</v>
      </c>
      <c r="B111" s="14"/>
      <c r="C111" s="14"/>
      <c r="D111" s="8">
        <f>IF(B111="",0,ROUNDUP(C111*(1+(全局设置!$B$5-1)*全局设置!$B$6),0))</f>
        <v>0</v>
      </c>
      <c r="E111" s="17">
        <f>IF(B111="",0,IFERROR(VLOOKUP(B111,敌人目录!$A$6:$M$68,13,FALSE),0))</f>
        <v>0</v>
      </c>
      <c r="F111" s="17">
        <f t="shared" si="6"/>
        <v>0</v>
      </c>
      <c r="G111" s="17">
        <f>F111*全局设置!$B$7</f>
        <v>0</v>
      </c>
      <c r="H111" s="17">
        <f>G111*全局设置!$B$5</f>
        <v>0</v>
      </c>
      <c r="I111" s="15" t="str">
        <f t="shared" si="7"/>
        <v/>
      </c>
    </row>
    <row r="112" spans="1:9" ht="21.95" customHeight="1"/>
    <row r="113" spans="1:9" ht="21.95" customHeight="1">
      <c r="A113" s="19" t="s">
        <v>123</v>
      </c>
      <c r="B113" s="8">
        <f>SUM(C94:C111)</f>
        <v>2080</v>
      </c>
      <c r="C113" s="19" t="s">
        <v>124</v>
      </c>
      <c r="D113" s="8">
        <f>SUM(D94:D111)</f>
        <v>2080</v>
      </c>
      <c r="E113" s="19" t="s">
        <v>46</v>
      </c>
      <c r="F113" s="8">
        <f>SUM(F94:F111)</f>
        <v>5140</v>
      </c>
      <c r="G113" s="19" t="s">
        <v>47</v>
      </c>
      <c r="H113" s="8">
        <f>SUM(G94:G111)</f>
        <v>5140</v>
      </c>
      <c r="I113" s="8"/>
    </row>
    <row r="114" spans="1:9" ht="21.95" customHeight="1">
      <c r="A114" s="18" t="s">
        <v>34</v>
      </c>
      <c r="B114" s="4">
        <f>SUM(H94:H111)</f>
        <v>5140</v>
      </c>
      <c r="C114" s="18" t="s">
        <v>125</v>
      </c>
      <c r="D114" s="41" t="s">
        <v>126</v>
      </c>
      <c r="E114" s="41"/>
      <c r="F114" s="41"/>
      <c r="G114" s="41"/>
      <c r="H114" s="41"/>
      <c r="I114" s="41"/>
    </row>
  </sheetData>
  <mergeCells count="17">
    <mergeCell ref="A92:I92"/>
    <mergeCell ref="D114:I114"/>
    <mergeCell ref="B61:C61"/>
    <mergeCell ref="A63:I63"/>
    <mergeCell ref="D85:I85"/>
    <mergeCell ref="A89:I89"/>
    <mergeCell ref="B90:C90"/>
    <mergeCell ref="A31:I31"/>
    <mergeCell ref="B32:C32"/>
    <mergeCell ref="A34:I34"/>
    <mergeCell ref="D56:I56"/>
    <mergeCell ref="A60:I60"/>
    <mergeCell ref="A1:I1"/>
    <mergeCell ref="A2:I2"/>
    <mergeCell ref="B3:C3"/>
    <mergeCell ref="A5:I5"/>
    <mergeCell ref="D27:I27"/>
  </mergeCells>
  <phoneticPr fontId="12" type="noConversion"/>
  <dataValidations count="14">
    <dataValidation type="list" sqref="B4 B91 B62 B33">
      <formula1>"点1·开启,点1·关闭"</formula1>
    </dataValidation>
    <dataValidation type="list" sqref="C4 C91 C62 C33">
      <formula1>"点2·开启,点2·关闭"</formula1>
    </dataValidation>
    <dataValidation type="list" sqref="D4 D91 D62 D33">
      <formula1>"点3·开启,点3·关闭"</formula1>
    </dataValidation>
    <dataValidation type="list" sqref="E4 E91 E62 E33">
      <formula1>"点4·开启,点4·关闭"</formula1>
    </dataValidation>
    <dataValidation type="list" sqref="F4 F91 F62 F33">
      <formula1>"点5·开启,点5·关闭"</formula1>
    </dataValidation>
    <dataValidation type="list" sqref="G4 G91 G62 G33">
      <formula1>"点6·开启,点6·关闭"</formula1>
    </dataValidation>
    <dataValidation type="whole" sqref="C7:C24 C94:C111 C65:C82 C36:C53">
      <formula1>1</formula1>
      <formula2>9999</formula2>
    </dataValidation>
    <dataValidation type="decimal" sqref="E3 E90 E61 E32">
      <formula1>0.025</formula1>
      <formula2>60</formula2>
    </dataValidation>
    <dataValidation type="whole" sqref="G3 G90 G61 G32">
      <formula1>1</formula1>
      <formula2>4</formula2>
    </dataValidation>
    <dataValidation type="whole" sqref="I3 I90 I61 I32">
      <formula1>1</formula1>
      <formula2>999</formula2>
    </dataValidation>
    <dataValidation type="list" errorStyle="stop" showInputMessage="1" showErrorMessage="1" errorTitle="敌人不在目录中" error="请使用单元格下拉列表中的有效敌人。" promptTitle="选择敌人" prompt="请从敌人目录的63名非Boss敌人中选择。" sqref="B7:B24">
      <formula1>INDIRECT("'敌人目录'!$A$6:$A$68")</formula1>
    </dataValidation>
    <dataValidation type="list" errorStyle="stop" showInputMessage="1" showErrorMessage="1" errorTitle="敌人不在目录中" error="请使用单元格下拉列表中的有效敌人。" promptTitle="选择敌人" prompt="请从敌人目录的63名非Boss敌人中选择。" sqref="B36:B53">
      <formula1>INDIRECT("'敌人目录'!$A$6:$A$68")</formula1>
    </dataValidation>
    <dataValidation type="list" errorStyle="stop" showInputMessage="1" showErrorMessage="1" errorTitle="敌人不在目录中" error="请使用单元格下拉列表中的有效敌人。" promptTitle="选择敌人" prompt="请从敌人目录的63名非Boss敌人中选择。" sqref="B65:B82">
      <formula1>INDIRECT("'敌人目录'!$A$6:$A$68")</formula1>
    </dataValidation>
    <dataValidation type="list" errorStyle="stop" showInputMessage="1" showErrorMessage="1" errorTitle="敌人不在目录中" error="请使用单元格下拉列表中的有效敌人。" promptTitle="选择敌人" prompt="请从敌人目录的63名非Boss敌人中选择。" sqref="B94:B111">
      <formula1>INDIRECT("'敌人目录'!$A$6:$A$68")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4"/>
  <sheetViews>
    <sheetView showGridLines="0" topLeftCell="A34" workbookViewId="0">
      <selection activeCell="B39" sqref="B39"/>
    </sheetView>
  </sheetViews>
  <sheetFormatPr defaultRowHeight="14.25"/>
  <cols>
    <col min="1" max="1" width="8" customWidth="1"/>
    <col min="2" max="2" width="26" customWidth="1"/>
    <col min="3" max="4" width="12" customWidth="1"/>
    <col min="5" max="5" width="13" customWidth="1"/>
    <col min="6" max="8" width="17" customWidth="1"/>
    <col min="9" max="9" width="13" customWidth="1"/>
  </cols>
  <sheetData>
    <row r="1" spans="1:9" ht="33.950000000000003" customHeight="1">
      <c r="A1" s="31" t="str">
        <f>"第2日｜4 波配置｜日终地下探索 +"&amp;全局设置!D16&amp;" AP"</f>
        <v>第2日｜4 波配置｜日终地下探索 +5 AP</v>
      </c>
      <c r="B1" s="31"/>
      <c r="C1" s="31"/>
      <c r="D1" s="31"/>
      <c r="E1" s="31"/>
      <c r="F1" s="31"/>
      <c r="G1" s="31"/>
      <c r="H1" s="31"/>
      <c r="I1" s="31"/>
    </row>
    <row r="2" spans="1:9" ht="21.95" customHeight="1">
      <c r="A2" s="33" t="s">
        <v>145</v>
      </c>
      <c r="B2" s="33"/>
      <c r="C2" s="33"/>
      <c r="D2" s="33"/>
      <c r="E2" s="33"/>
      <c r="F2" s="33"/>
      <c r="G2" s="33"/>
      <c r="H2" s="33"/>
      <c r="I2" s="33"/>
    </row>
    <row r="3" spans="1:9" ht="21.95" customHeight="1">
      <c r="A3" s="6" t="s">
        <v>101</v>
      </c>
      <c r="B3" s="39" t="s">
        <v>57</v>
      </c>
      <c r="C3" s="39" t="s">
        <v>146</v>
      </c>
      <c r="D3" s="6" t="s">
        <v>103</v>
      </c>
      <c r="E3" s="7">
        <v>0.1</v>
      </c>
      <c r="F3" s="6" t="s">
        <v>104</v>
      </c>
      <c r="G3" s="7">
        <v>4</v>
      </c>
      <c r="H3" s="6" t="s">
        <v>49</v>
      </c>
      <c r="I3" s="7">
        <v>300</v>
      </c>
    </row>
    <row r="4" spans="1:9" ht="21.95" customHeight="1">
      <c r="A4" s="6" t="s">
        <v>105</v>
      </c>
      <c r="B4" s="11" t="s">
        <v>106</v>
      </c>
      <c r="C4" s="11" t="s">
        <v>107</v>
      </c>
      <c r="D4" s="11" t="s">
        <v>108</v>
      </c>
      <c r="E4" s="11" t="s">
        <v>109</v>
      </c>
      <c r="F4" s="11" t="s">
        <v>133</v>
      </c>
      <c r="G4" s="11" t="s">
        <v>134</v>
      </c>
      <c r="H4" s="6" t="s">
        <v>112</v>
      </c>
      <c r="I4" s="15" t="str">
        <f>IF(COUNTA(B7:B24)=0,"待设计",IF(COUNTIF(I7:I24,"需修正")&gt;0,"需修正","可回读"))</f>
        <v>可回读</v>
      </c>
    </row>
    <row r="5" spans="1:9" ht="21.95" customHeight="1">
      <c r="A5" s="40" t="s">
        <v>113</v>
      </c>
      <c r="B5" s="40"/>
      <c r="C5" s="40"/>
      <c r="D5" s="40"/>
      <c r="E5" s="40"/>
      <c r="F5" s="40"/>
      <c r="G5" s="40"/>
      <c r="H5" s="40"/>
      <c r="I5" s="40"/>
    </row>
    <row r="6" spans="1:9" ht="21.95" customHeight="1">
      <c r="A6" s="6" t="s">
        <v>114</v>
      </c>
      <c r="B6" s="6" t="s">
        <v>115</v>
      </c>
      <c r="C6" s="6" t="s">
        <v>43</v>
      </c>
      <c r="D6" s="6" t="s">
        <v>44</v>
      </c>
      <c r="E6" s="6" t="s">
        <v>116</v>
      </c>
      <c r="F6" s="6" t="s">
        <v>46</v>
      </c>
      <c r="G6" s="6" t="s">
        <v>47</v>
      </c>
      <c r="H6" s="6" t="s">
        <v>34</v>
      </c>
      <c r="I6" s="6" t="s">
        <v>117</v>
      </c>
    </row>
    <row r="7" spans="1:9" ht="21.95" customHeight="1">
      <c r="A7" s="16">
        <v>1</v>
      </c>
      <c r="B7" s="14" t="s">
        <v>118</v>
      </c>
      <c r="C7" s="14">
        <v>350</v>
      </c>
      <c r="D7" s="8">
        <f>IF(B7="",0,ROUNDUP(C7*(1+(全局设置!$B$5-1)*全局设置!$B$6),0))</f>
        <v>350</v>
      </c>
      <c r="E7" s="17">
        <f>IF(B7="",0,IFERROR(VLOOKUP(B7,敌人目录!$A$6:$M$68,13,FALSE),0))</f>
        <v>1</v>
      </c>
      <c r="F7" s="17">
        <f t="shared" ref="F7:F24" si="0">D7*E7</f>
        <v>350</v>
      </c>
      <c r="G7" s="17">
        <f>F7*全局设置!$B$7</f>
        <v>350</v>
      </c>
      <c r="H7" s="17">
        <f>G7*全局设置!$B$5</f>
        <v>350</v>
      </c>
      <c r="I7" s="15" t="str">
        <f t="shared" ref="I7:I24" si="1">IF(AND(B7="",C7=""),"",IF(AND(B7&lt;&gt;"",C7&gt;=1,COUNTIF($B$7:$B$24,B7)=1),"可回读","需修正"))</f>
        <v>可回读</v>
      </c>
    </row>
    <row r="8" spans="1:9" ht="21.95" customHeight="1">
      <c r="A8" s="16">
        <v>2</v>
      </c>
      <c r="B8" s="14" t="s">
        <v>120</v>
      </c>
      <c r="C8" s="14">
        <v>300</v>
      </c>
      <c r="D8" s="8">
        <f>IF(B8="",0,ROUNDUP(C8*(1+(全局设置!$B$5-1)*全局设置!$B$6),0))</f>
        <v>300</v>
      </c>
      <c r="E8" s="17">
        <f>IF(B8="",0,IFERROR(VLOOKUP(B8,敌人目录!$A$6:$M$68,13,FALSE),0))</f>
        <v>1</v>
      </c>
      <c r="F8" s="17">
        <f t="shared" si="0"/>
        <v>300</v>
      </c>
      <c r="G8" s="17">
        <f>F8*全局设置!$B$7</f>
        <v>300</v>
      </c>
      <c r="H8" s="17">
        <f>G8*全局设置!$B$5</f>
        <v>300</v>
      </c>
      <c r="I8" s="15" t="str">
        <f t="shared" si="1"/>
        <v>可回读</v>
      </c>
    </row>
    <row r="9" spans="1:9" ht="21.95" customHeight="1">
      <c r="A9" s="16">
        <v>3</v>
      </c>
      <c r="B9" s="14" t="s">
        <v>121</v>
      </c>
      <c r="C9" s="14">
        <v>250</v>
      </c>
      <c r="D9" s="8">
        <f>IF(B9="",0,ROUNDUP(C9*(1+(全局设置!$B$5-1)*全局设置!$B$6),0))</f>
        <v>250</v>
      </c>
      <c r="E9" s="17">
        <f>IF(B9="",0,IFERROR(VLOOKUP(B9,敌人目录!$A$6:$M$68,13,FALSE),0))</f>
        <v>1</v>
      </c>
      <c r="F9" s="17">
        <f t="shared" si="0"/>
        <v>250</v>
      </c>
      <c r="G9" s="17">
        <f>F9*全局设置!$B$7</f>
        <v>250</v>
      </c>
      <c r="H9" s="17">
        <f>G9*全局设置!$B$5</f>
        <v>250</v>
      </c>
      <c r="I9" s="15" t="str">
        <f t="shared" si="1"/>
        <v>可回读</v>
      </c>
    </row>
    <row r="10" spans="1:9" ht="21.95" customHeight="1">
      <c r="A10" s="16">
        <v>4</v>
      </c>
      <c r="B10" s="14" t="s">
        <v>136</v>
      </c>
      <c r="C10" s="14">
        <v>200</v>
      </c>
      <c r="D10" s="8">
        <f>IF(B10="",0,ROUNDUP(C10*(1+(全局设置!$B$5-1)*全局设置!$B$6),0))</f>
        <v>200</v>
      </c>
      <c r="E10" s="17">
        <f>IF(B10="",0,IFERROR(VLOOKUP(B10,敌人目录!$A$6:$M$68,13,FALSE),0))</f>
        <v>1</v>
      </c>
      <c r="F10" s="17">
        <f t="shared" si="0"/>
        <v>200</v>
      </c>
      <c r="G10" s="17">
        <f>F10*全局设置!$B$7</f>
        <v>200</v>
      </c>
      <c r="H10" s="17">
        <f>G10*全局设置!$B$5</f>
        <v>200</v>
      </c>
      <c r="I10" s="15" t="str">
        <f t="shared" si="1"/>
        <v>可回读</v>
      </c>
    </row>
    <row r="11" spans="1:9" ht="21.95" customHeight="1">
      <c r="A11" s="16">
        <v>5</v>
      </c>
      <c r="B11" s="14" t="s">
        <v>122</v>
      </c>
      <c r="C11" s="14">
        <v>200</v>
      </c>
      <c r="D11" s="8">
        <f>IF(B11="",0,ROUNDUP(C11*(1+(全局设置!$B$5-1)*全局设置!$B$6),0))</f>
        <v>200</v>
      </c>
      <c r="E11" s="17">
        <f>IF(B11="",0,IFERROR(VLOOKUP(B11,敌人目录!$A$6:$M$68,13,FALSE),0))</f>
        <v>1</v>
      </c>
      <c r="F11" s="17">
        <f t="shared" si="0"/>
        <v>200</v>
      </c>
      <c r="G11" s="17">
        <f>F11*全局设置!$B$7</f>
        <v>200</v>
      </c>
      <c r="H11" s="17">
        <f>G11*全局设置!$B$5</f>
        <v>200</v>
      </c>
      <c r="I11" s="15" t="str">
        <f t="shared" si="1"/>
        <v>可回读</v>
      </c>
    </row>
    <row r="12" spans="1:9" ht="21.95" customHeight="1">
      <c r="A12" s="16">
        <v>6</v>
      </c>
      <c r="B12" s="14" t="s">
        <v>129</v>
      </c>
      <c r="C12" s="14">
        <v>250</v>
      </c>
      <c r="D12" s="8">
        <f>IF(B12="",0,ROUNDUP(C12*(1+(全局设置!$B$5-1)*全局设置!$B$6),0))</f>
        <v>250</v>
      </c>
      <c r="E12" s="17">
        <f>IF(B12="",0,IFERROR(VLOOKUP(B12,敌人目录!$A$6:$M$68,13,FALSE),0))</f>
        <v>2</v>
      </c>
      <c r="F12" s="17">
        <f t="shared" si="0"/>
        <v>500</v>
      </c>
      <c r="G12" s="17">
        <f>F12*全局设置!$B$7</f>
        <v>500</v>
      </c>
      <c r="H12" s="17">
        <f>G12*全局设置!$B$5</f>
        <v>500</v>
      </c>
      <c r="I12" s="15" t="str">
        <f t="shared" si="1"/>
        <v>可回读</v>
      </c>
    </row>
    <row r="13" spans="1:9" ht="21.95" customHeight="1">
      <c r="A13" s="16">
        <v>7</v>
      </c>
      <c r="B13" s="14" t="s">
        <v>135</v>
      </c>
      <c r="C13" s="14">
        <v>150</v>
      </c>
      <c r="D13" s="8">
        <f>IF(B13="",0,ROUNDUP(C13*(1+(全局设置!$B$5-1)*全局设置!$B$6),0))</f>
        <v>150</v>
      </c>
      <c r="E13" s="17">
        <f>IF(B13="",0,IFERROR(VLOOKUP(B13,敌人目录!$A$6:$M$68,13,FALSE),0))</f>
        <v>2</v>
      </c>
      <c r="F13" s="17">
        <f t="shared" si="0"/>
        <v>300</v>
      </c>
      <c r="G13" s="17">
        <f>F13*全局设置!$B$7</f>
        <v>300</v>
      </c>
      <c r="H13" s="17">
        <f>G13*全局设置!$B$5</f>
        <v>300</v>
      </c>
      <c r="I13" s="15" t="str">
        <f t="shared" si="1"/>
        <v>可回读</v>
      </c>
    </row>
    <row r="14" spans="1:9" ht="21.95" customHeight="1">
      <c r="A14" s="16">
        <v>8</v>
      </c>
      <c r="B14" s="14" t="s">
        <v>141</v>
      </c>
      <c r="C14" s="14">
        <v>100</v>
      </c>
      <c r="D14" s="8">
        <f>IF(B14="",0,ROUNDUP(C14*(1+(全局设置!$B$5-1)*全局设置!$B$6),0))</f>
        <v>100</v>
      </c>
      <c r="E14" s="17">
        <f>IF(B14="",0,IFERROR(VLOOKUP(B14,敌人目录!$A$6:$M$68,13,FALSE),0))</f>
        <v>2</v>
      </c>
      <c r="F14" s="17">
        <f t="shared" si="0"/>
        <v>200</v>
      </c>
      <c r="G14" s="17">
        <f>F14*全局设置!$B$7</f>
        <v>200</v>
      </c>
      <c r="H14" s="17">
        <f>G14*全局设置!$B$5</f>
        <v>200</v>
      </c>
      <c r="I14" s="15" t="str">
        <f t="shared" si="1"/>
        <v>可回读</v>
      </c>
    </row>
    <row r="15" spans="1:9" ht="21.95" customHeight="1">
      <c r="A15" s="16">
        <v>9</v>
      </c>
      <c r="B15" s="14" t="s">
        <v>433</v>
      </c>
      <c r="C15" s="14">
        <v>80</v>
      </c>
      <c r="D15" s="8">
        <f>IF(B15="",0,ROUNDUP(C15*(1+(全局设置!$B$5-1)*全局设置!$B$6),0))</f>
        <v>80</v>
      </c>
      <c r="E15" s="17">
        <f>IF(B15="",0,IFERROR(VLOOKUP(B15,敌人目录!$A$6:$M$68,13,FALSE),0))</f>
        <v>10</v>
      </c>
      <c r="F15" s="17">
        <f t="shared" si="0"/>
        <v>800</v>
      </c>
      <c r="G15" s="17">
        <f>F15*全局设置!$B$7</f>
        <v>800</v>
      </c>
      <c r="H15" s="17">
        <f>G15*全局设置!$B$5</f>
        <v>800</v>
      </c>
      <c r="I15" s="15" t="str">
        <f t="shared" si="1"/>
        <v>可回读</v>
      </c>
    </row>
    <row r="16" spans="1:9" ht="21.95" customHeight="1">
      <c r="A16" s="16">
        <v>10</v>
      </c>
      <c r="B16" s="14" t="s">
        <v>443</v>
      </c>
      <c r="C16" s="14">
        <v>60</v>
      </c>
      <c r="D16" s="8">
        <f>IF(B16="",0,ROUNDUP(C16*(1+(全局设置!$B$5-1)*全局设置!$B$6),0))</f>
        <v>60</v>
      </c>
      <c r="E16" s="17">
        <f>IF(B16="",0,IFERROR(VLOOKUP(B16,敌人目录!$A$6:$M$68,13,FALSE),0))</f>
        <v>10</v>
      </c>
      <c r="F16" s="17">
        <f t="shared" si="0"/>
        <v>600</v>
      </c>
      <c r="G16" s="17">
        <f>F16*全局设置!$B$7</f>
        <v>600</v>
      </c>
      <c r="H16" s="17">
        <f>G16*全局设置!$B$5</f>
        <v>600</v>
      </c>
      <c r="I16" s="15" t="str">
        <f t="shared" si="1"/>
        <v>可回读</v>
      </c>
    </row>
    <row r="17" spans="1:9" ht="21.95" customHeight="1">
      <c r="A17" s="16">
        <v>11</v>
      </c>
      <c r="B17" s="14" t="s">
        <v>144</v>
      </c>
      <c r="C17" s="14">
        <v>60</v>
      </c>
      <c r="D17" s="8">
        <f>IF(B17="",0,ROUNDUP(C17*(1+(全局设置!$B$5-1)*全局设置!$B$6),0))</f>
        <v>60</v>
      </c>
      <c r="E17" s="17">
        <f>IF(B17="",0,IFERROR(VLOOKUP(B17,敌人目录!$A$6:$M$68,13,FALSE),0))</f>
        <v>20</v>
      </c>
      <c r="F17" s="17">
        <f t="shared" si="0"/>
        <v>1200</v>
      </c>
      <c r="G17" s="17">
        <f>F17*全局设置!$B$7</f>
        <v>1200</v>
      </c>
      <c r="H17" s="17">
        <f>G17*全局设置!$B$5</f>
        <v>1200</v>
      </c>
      <c r="I17" s="15" t="str">
        <f t="shared" si="1"/>
        <v>可回读</v>
      </c>
    </row>
    <row r="18" spans="1:9" ht="21.95" customHeight="1">
      <c r="A18" s="16">
        <v>12</v>
      </c>
      <c r="B18" s="14" t="s">
        <v>143</v>
      </c>
      <c r="C18" s="14">
        <v>40</v>
      </c>
      <c r="D18" s="8">
        <f>IF(B18="",0,ROUNDUP(C18*(1+(全局设置!$B$5-1)*全局设置!$B$6),0))</f>
        <v>40</v>
      </c>
      <c r="E18" s="17">
        <f>IF(B18="",0,IFERROR(VLOOKUP(B18,敌人目录!$A$6:$M$68,13,FALSE),0))</f>
        <v>25</v>
      </c>
      <c r="F18" s="17">
        <f t="shared" si="0"/>
        <v>1000</v>
      </c>
      <c r="G18" s="17">
        <f>F18*全局设置!$B$7</f>
        <v>1000</v>
      </c>
      <c r="H18" s="17">
        <f>G18*全局设置!$B$5</f>
        <v>1000</v>
      </c>
      <c r="I18" s="15" t="str">
        <f t="shared" si="1"/>
        <v>可回读</v>
      </c>
    </row>
    <row r="19" spans="1:9" ht="21.95" customHeight="1">
      <c r="A19" s="16">
        <v>13</v>
      </c>
      <c r="B19" s="14" t="s">
        <v>160</v>
      </c>
      <c r="C19" s="14">
        <v>30</v>
      </c>
      <c r="D19" s="8">
        <f>IF(B19="",0,ROUNDUP(C19*(1+(全局设置!$B$5-1)*全局设置!$B$6),0))</f>
        <v>30</v>
      </c>
      <c r="E19" s="17">
        <f>IF(B19="",0,IFERROR(VLOOKUP(B19,敌人目录!$A$6:$M$68,13,FALSE),0))</f>
        <v>30</v>
      </c>
      <c r="F19" s="17">
        <f t="shared" si="0"/>
        <v>900</v>
      </c>
      <c r="G19" s="17">
        <f>F19*全局设置!$B$7</f>
        <v>900</v>
      </c>
      <c r="H19" s="17">
        <f>G19*全局设置!$B$5</f>
        <v>900</v>
      </c>
      <c r="I19" s="15" t="str">
        <f t="shared" si="1"/>
        <v>可回读</v>
      </c>
    </row>
    <row r="20" spans="1:9" ht="21.95" customHeight="1">
      <c r="A20" s="16">
        <v>14</v>
      </c>
      <c r="B20" s="14" t="s">
        <v>390</v>
      </c>
      <c r="C20" s="14">
        <v>20</v>
      </c>
      <c r="D20" s="8">
        <f>IF(B20="",0,ROUNDUP(C20*(1+(全局设置!$B$5-1)*全局设置!$B$6),0))</f>
        <v>20</v>
      </c>
      <c r="E20" s="17">
        <f>IF(B20="",0,IFERROR(VLOOKUP(B20,敌人目录!$A$6:$M$68,13,FALSE),0))</f>
        <v>35</v>
      </c>
      <c r="F20" s="17">
        <f t="shared" si="0"/>
        <v>700</v>
      </c>
      <c r="G20" s="17">
        <f>F20*全局设置!$B$7</f>
        <v>700</v>
      </c>
      <c r="H20" s="17">
        <f>G20*全局设置!$B$5</f>
        <v>700</v>
      </c>
      <c r="I20" s="15" t="str">
        <f t="shared" si="1"/>
        <v>可回读</v>
      </c>
    </row>
    <row r="21" spans="1:9" ht="21.95" customHeight="1">
      <c r="A21" s="16">
        <v>15</v>
      </c>
      <c r="B21" s="14" t="s">
        <v>161</v>
      </c>
      <c r="C21" s="14">
        <v>10</v>
      </c>
      <c r="D21" s="8">
        <f>IF(B21="",0,ROUNDUP(C21*(1+(全局设置!$B$5-1)*全局设置!$B$6),0))</f>
        <v>10</v>
      </c>
      <c r="E21" s="17">
        <f>IF(B21="",0,IFERROR(VLOOKUP(B21,敌人目录!$A$6:$M$68,13,FALSE),0))</f>
        <v>50</v>
      </c>
      <c r="F21" s="17">
        <f t="shared" si="0"/>
        <v>500</v>
      </c>
      <c r="G21" s="17">
        <f>F21*全局设置!$B$7</f>
        <v>500</v>
      </c>
      <c r="H21" s="17">
        <f>G21*全局设置!$B$5</f>
        <v>500</v>
      </c>
      <c r="I21" s="15" t="str">
        <f t="shared" si="1"/>
        <v>可回读</v>
      </c>
    </row>
    <row r="22" spans="1:9" ht="21.95" customHeight="1">
      <c r="A22" s="16">
        <v>16</v>
      </c>
      <c r="B22" s="14"/>
      <c r="C22" s="14"/>
      <c r="D22" s="8">
        <f>IF(B22="",0,ROUNDUP(C22*(1+(全局设置!$B$5-1)*全局设置!$B$6),0))</f>
        <v>0</v>
      </c>
      <c r="E22" s="17">
        <f>IF(B22="",0,IFERROR(VLOOKUP(B22,敌人目录!$A$6:$M$68,13,FALSE),0))</f>
        <v>0</v>
      </c>
      <c r="F22" s="17">
        <f t="shared" si="0"/>
        <v>0</v>
      </c>
      <c r="G22" s="17">
        <f>F22*全局设置!$B$7</f>
        <v>0</v>
      </c>
      <c r="H22" s="17">
        <f>G22*全局设置!$B$5</f>
        <v>0</v>
      </c>
      <c r="I22" s="15" t="str">
        <f t="shared" si="1"/>
        <v/>
      </c>
    </row>
    <row r="23" spans="1:9" ht="21.95" customHeight="1">
      <c r="A23" s="16">
        <v>17</v>
      </c>
      <c r="B23" s="14"/>
      <c r="C23" s="14"/>
      <c r="D23" s="8">
        <f>IF(B23="",0,ROUNDUP(C23*(1+(全局设置!$B$5-1)*全局设置!$B$6),0))</f>
        <v>0</v>
      </c>
      <c r="E23" s="17">
        <f>IF(B23="",0,IFERROR(VLOOKUP(B23,敌人目录!$A$6:$M$68,13,FALSE),0))</f>
        <v>0</v>
      </c>
      <c r="F23" s="17">
        <f t="shared" si="0"/>
        <v>0</v>
      </c>
      <c r="G23" s="17">
        <f>F23*全局设置!$B$7</f>
        <v>0</v>
      </c>
      <c r="H23" s="17">
        <f>G23*全局设置!$B$5</f>
        <v>0</v>
      </c>
      <c r="I23" s="15" t="str">
        <f t="shared" si="1"/>
        <v/>
      </c>
    </row>
    <row r="24" spans="1:9" ht="21.95" customHeight="1">
      <c r="A24" s="16">
        <v>18</v>
      </c>
      <c r="B24" s="14"/>
      <c r="C24" s="14"/>
      <c r="D24" s="8">
        <f>IF(B24="",0,ROUNDUP(C24*(1+(全局设置!$B$5-1)*全局设置!$B$6),0))</f>
        <v>0</v>
      </c>
      <c r="E24" s="17">
        <f>IF(B24="",0,IFERROR(VLOOKUP(B24,敌人目录!$A$6:$M$68,13,FALSE),0))</f>
        <v>0</v>
      </c>
      <c r="F24" s="17">
        <f t="shared" si="0"/>
        <v>0</v>
      </c>
      <c r="G24" s="17">
        <f>F24*全局设置!$B$7</f>
        <v>0</v>
      </c>
      <c r="H24" s="17">
        <f>G24*全局设置!$B$5</f>
        <v>0</v>
      </c>
      <c r="I24" s="15" t="str">
        <f t="shared" si="1"/>
        <v/>
      </c>
    </row>
    <row r="25" spans="1:9" ht="21.95" customHeight="1"/>
    <row r="26" spans="1:9" ht="21.95" customHeight="1">
      <c r="A26" s="6" t="s">
        <v>123</v>
      </c>
      <c r="B26" s="8">
        <f>SUM(C7:C24)</f>
        <v>2100</v>
      </c>
      <c r="C26" s="6" t="s">
        <v>124</v>
      </c>
      <c r="D26" s="8">
        <f>SUM(D7:D24)</f>
        <v>2100</v>
      </c>
      <c r="E26" s="6" t="s">
        <v>46</v>
      </c>
      <c r="F26" s="8">
        <f>SUM(F7:F24)</f>
        <v>8000</v>
      </c>
      <c r="G26" s="6" t="s">
        <v>47</v>
      </c>
      <c r="H26" s="8">
        <f>SUM(G7:G24)</f>
        <v>8000</v>
      </c>
      <c r="I26" s="8"/>
    </row>
    <row r="27" spans="1:9" ht="21.95" customHeight="1">
      <c r="A27" s="18" t="s">
        <v>34</v>
      </c>
      <c r="B27" s="4">
        <f>SUM(H7:H24)</f>
        <v>8000</v>
      </c>
      <c r="C27" s="18" t="s">
        <v>125</v>
      </c>
      <c r="D27" s="41" t="s">
        <v>126</v>
      </c>
      <c r="E27" s="41"/>
      <c r="F27" s="41"/>
      <c r="G27" s="41"/>
      <c r="H27" s="41"/>
      <c r="I27" s="41"/>
    </row>
    <row r="28" spans="1:9" ht="21.95" customHeight="1"/>
    <row r="29" spans="1:9" ht="21.95" customHeight="1"/>
    <row r="30" spans="1:9" ht="21.95" customHeight="1"/>
    <row r="31" spans="1:9" ht="21.95" customHeight="1">
      <c r="A31" s="33" t="s">
        <v>147</v>
      </c>
      <c r="B31" s="33"/>
      <c r="C31" s="33"/>
      <c r="D31" s="33"/>
      <c r="E31" s="33"/>
      <c r="F31" s="33"/>
      <c r="G31" s="33"/>
      <c r="H31" s="33"/>
      <c r="I31" s="33"/>
    </row>
    <row r="32" spans="1:9" ht="21.95" customHeight="1">
      <c r="A32" s="6" t="s">
        <v>101</v>
      </c>
      <c r="B32" s="39" t="s">
        <v>58</v>
      </c>
      <c r="C32" s="39" t="s">
        <v>148</v>
      </c>
      <c r="D32" s="6" t="s">
        <v>103</v>
      </c>
      <c r="E32" s="7">
        <v>0.09</v>
      </c>
      <c r="F32" s="6" t="s">
        <v>104</v>
      </c>
      <c r="G32" s="7">
        <v>1</v>
      </c>
      <c r="H32" s="6" t="s">
        <v>49</v>
      </c>
      <c r="I32" s="7">
        <v>275</v>
      </c>
    </row>
    <row r="33" spans="1:9" ht="21.95" customHeight="1">
      <c r="A33" s="6" t="s">
        <v>105</v>
      </c>
      <c r="B33" s="11" t="s">
        <v>106</v>
      </c>
      <c r="C33" s="11" t="s">
        <v>107</v>
      </c>
      <c r="D33" s="11" t="s">
        <v>108</v>
      </c>
      <c r="E33" s="11" t="s">
        <v>109</v>
      </c>
      <c r="F33" s="11" t="s">
        <v>133</v>
      </c>
      <c r="G33" s="11" t="s">
        <v>134</v>
      </c>
      <c r="H33" s="6" t="s">
        <v>112</v>
      </c>
      <c r="I33" s="15" t="str">
        <f>IF(COUNTA(B36:B53)=0,"待设计",IF(COUNTIF(I36:I53,"需修正")&gt;0,"需修正","可回读"))</f>
        <v>可回读</v>
      </c>
    </row>
    <row r="34" spans="1:9" ht="21.95" customHeight="1">
      <c r="A34" s="40" t="s">
        <v>113</v>
      </c>
      <c r="B34" s="40"/>
      <c r="C34" s="40"/>
      <c r="D34" s="40"/>
      <c r="E34" s="40"/>
      <c r="F34" s="40"/>
      <c r="G34" s="40"/>
      <c r="H34" s="40"/>
      <c r="I34" s="40"/>
    </row>
    <row r="35" spans="1:9" ht="21.95" customHeight="1">
      <c r="A35" s="6" t="s">
        <v>114</v>
      </c>
      <c r="B35" s="6" t="s">
        <v>115</v>
      </c>
      <c r="C35" s="6" t="s">
        <v>43</v>
      </c>
      <c r="D35" s="6" t="s">
        <v>44</v>
      </c>
      <c r="E35" s="6" t="s">
        <v>116</v>
      </c>
      <c r="F35" s="6" t="s">
        <v>46</v>
      </c>
      <c r="G35" s="6" t="s">
        <v>47</v>
      </c>
      <c r="H35" s="6" t="s">
        <v>34</v>
      </c>
      <c r="I35" s="6" t="s">
        <v>117</v>
      </c>
    </row>
    <row r="36" spans="1:9" ht="21.95" customHeight="1">
      <c r="A36" s="16">
        <v>1</v>
      </c>
      <c r="B36" s="14" t="s">
        <v>118</v>
      </c>
      <c r="C36" s="14">
        <v>300</v>
      </c>
      <c r="D36" s="8">
        <f>IF(B36="",0,ROUNDUP(C36*(1+(全局设置!$B$5-1)*全局设置!$B$6),0))</f>
        <v>300</v>
      </c>
      <c r="E36" s="17">
        <f>IF(B36="",0,IFERROR(VLOOKUP(B36,敌人目录!$A$6:$M$68,13,FALSE),0))</f>
        <v>1</v>
      </c>
      <c r="F36" s="17">
        <f t="shared" ref="F36:F53" si="2">D36*E36</f>
        <v>300</v>
      </c>
      <c r="G36" s="17">
        <f>F36*全局设置!$B$7</f>
        <v>300</v>
      </c>
      <c r="H36" s="17">
        <f>G36*全局设置!$B$5</f>
        <v>300</v>
      </c>
      <c r="I36" s="15" t="str">
        <f t="shared" ref="I36:I53" si="3">IF(AND(B36="",C36=""),"",IF(AND(B36&lt;&gt;"",C36&gt;=1,COUNTIF($B$36:$B$53,B36)=1),"可回读","需修正"))</f>
        <v>可回读</v>
      </c>
    </row>
    <row r="37" spans="1:9" ht="21.95" customHeight="1">
      <c r="A37" s="16">
        <v>2</v>
      </c>
      <c r="B37" s="14" t="s">
        <v>119</v>
      </c>
      <c r="C37" s="14">
        <v>200</v>
      </c>
      <c r="D37" s="8">
        <f>IF(B37="",0,ROUNDUP(C37*(1+(全局设置!$B$5-1)*全局设置!$B$6),0))</f>
        <v>200</v>
      </c>
      <c r="E37" s="17">
        <f>IF(B37="",0,IFERROR(VLOOKUP(B37,敌人目录!$A$6:$M$68,13,FALSE),0))</f>
        <v>1</v>
      </c>
      <c r="F37" s="17">
        <f t="shared" si="2"/>
        <v>200</v>
      </c>
      <c r="G37" s="17">
        <f>F37*全局设置!$B$7</f>
        <v>200</v>
      </c>
      <c r="H37" s="17">
        <f>G37*全局设置!$B$5</f>
        <v>200</v>
      </c>
      <c r="I37" s="15" t="str">
        <f t="shared" si="3"/>
        <v>可回读</v>
      </c>
    </row>
    <row r="38" spans="1:9" ht="21.95" customHeight="1">
      <c r="A38" s="16">
        <v>3</v>
      </c>
      <c r="B38" s="14" t="s">
        <v>569</v>
      </c>
      <c r="C38" s="14">
        <v>200</v>
      </c>
      <c r="D38" s="8">
        <f>IF(B38="",0,ROUNDUP(C38*(1+(全局设置!$B$5-1)*全局设置!$B$6),0))</f>
        <v>200</v>
      </c>
      <c r="E38" s="17">
        <f>IF(B38="",0,IFERROR(VLOOKUP(B38,敌人目录!$A$6:$M$68,13,FALSE),0))</f>
        <v>1</v>
      </c>
      <c r="F38" s="17">
        <f t="shared" si="2"/>
        <v>200</v>
      </c>
      <c r="G38" s="17">
        <f>F38*全局设置!$B$7</f>
        <v>200</v>
      </c>
      <c r="H38" s="17">
        <f>G38*全局设置!$B$5</f>
        <v>200</v>
      </c>
      <c r="I38" s="15" t="str">
        <f t="shared" si="3"/>
        <v>可回读</v>
      </c>
    </row>
    <row r="39" spans="1:9" ht="21.95" customHeight="1">
      <c r="A39" s="16">
        <v>4</v>
      </c>
      <c r="B39" s="14" t="s">
        <v>120</v>
      </c>
      <c r="C39" s="14">
        <v>260</v>
      </c>
      <c r="D39" s="8">
        <f>IF(B39="",0,ROUNDUP(C39*(1+(全局设置!$B$5-1)*全局设置!$B$6),0))</f>
        <v>260</v>
      </c>
      <c r="E39" s="17">
        <f>IF(B39="",0,IFERROR(VLOOKUP(B39,敌人目录!$A$6:$M$68,13,FALSE),0))</f>
        <v>1</v>
      </c>
      <c r="F39" s="17">
        <f t="shared" si="2"/>
        <v>260</v>
      </c>
      <c r="G39" s="17">
        <f>F39*全局设置!$B$7</f>
        <v>260</v>
      </c>
      <c r="H39" s="17">
        <f>G39*全局设置!$B$5</f>
        <v>260</v>
      </c>
      <c r="I39" s="15" t="str">
        <f t="shared" si="3"/>
        <v>可回读</v>
      </c>
    </row>
    <row r="40" spans="1:9" ht="21.95" customHeight="1">
      <c r="A40" s="16">
        <v>5</v>
      </c>
      <c r="B40" s="14" t="s">
        <v>121</v>
      </c>
      <c r="C40" s="14">
        <v>200</v>
      </c>
      <c r="D40" s="8">
        <f>IF(B40="",0,ROUNDUP(C40*(1+(全局设置!$B$5-1)*全局设置!$B$6),0))</f>
        <v>200</v>
      </c>
      <c r="E40" s="17">
        <f>IF(B40="",0,IFERROR(VLOOKUP(B40,敌人目录!$A$6:$M$68,13,FALSE),0))</f>
        <v>1</v>
      </c>
      <c r="F40" s="17">
        <f t="shared" si="2"/>
        <v>200</v>
      </c>
      <c r="G40" s="17">
        <f>F40*全局设置!$B$7</f>
        <v>200</v>
      </c>
      <c r="H40" s="17">
        <f>G40*全局设置!$B$5</f>
        <v>200</v>
      </c>
      <c r="I40" s="15" t="str">
        <f t="shared" si="3"/>
        <v>可回读</v>
      </c>
    </row>
    <row r="41" spans="1:9" ht="21.95" customHeight="1">
      <c r="A41" s="16">
        <v>6</v>
      </c>
      <c r="B41" s="14" t="s">
        <v>136</v>
      </c>
      <c r="C41" s="14">
        <v>150</v>
      </c>
      <c r="D41" s="8">
        <f>IF(B41="",0,ROUNDUP(C41*(1+(全局设置!$B$5-1)*全局设置!$B$6),0))</f>
        <v>150</v>
      </c>
      <c r="E41" s="17">
        <f>IF(B41="",0,IFERROR(VLOOKUP(B41,敌人目录!$A$6:$M$68,13,FALSE),0))</f>
        <v>1</v>
      </c>
      <c r="F41" s="17">
        <f t="shared" si="2"/>
        <v>150</v>
      </c>
      <c r="G41" s="17">
        <f>F41*全局设置!$B$7</f>
        <v>150</v>
      </c>
      <c r="H41" s="17">
        <f>G41*全局设置!$B$5</f>
        <v>150</v>
      </c>
      <c r="I41" s="15" t="str">
        <f t="shared" si="3"/>
        <v>可回读</v>
      </c>
    </row>
    <row r="42" spans="1:9" ht="21.95" customHeight="1">
      <c r="A42" s="16">
        <v>7</v>
      </c>
      <c r="B42" s="14" t="s">
        <v>138</v>
      </c>
      <c r="C42" s="14">
        <v>100</v>
      </c>
      <c r="D42" s="8">
        <f>IF(B42="",0,ROUNDUP(C42*(1+(全局设置!$B$5-1)*全局设置!$B$6),0))</f>
        <v>100</v>
      </c>
      <c r="E42" s="17">
        <f>IF(B42="",0,IFERROR(VLOOKUP(B42,敌人目录!$A$6:$M$68,13,FALSE),0))</f>
        <v>2</v>
      </c>
      <c r="F42" s="17">
        <f t="shared" si="2"/>
        <v>200</v>
      </c>
      <c r="G42" s="17">
        <f>F42*全局设置!$B$7</f>
        <v>200</v>
      </c>
      <c r="H42" s="17">
        <f>G42*全局设置!$B$5</f>
        <v>200</v>
      </c>
      <c r="I42" s="15" t="str">
        <f t="shared" si="3"/>
        <v>可回读</v>
      </c>
    </row>
    <row r="43" spans="1:9" ht="21.95" customHeight="1">
      <c r="A43" s="16">
        <v>8</v>
      </c>
      <c r="B43" s="14" t="s">
        <v>122</v>
      </c>
      <c r="C43" s="14">
        <v>150</v>
      </c>
      <c r="D43" s="8">
        <f>IF(B43="",0,ROUNDUP(C43*(1+(全局设置!$B$5-1)*全局设置!$B$6),0))</f>
        <v>150</v>
      </c>
      <c r="E43" s="17">
        <f>IF(B43="",0,IFERROR(VLOOKUP(B43,敌人目录!$A$6:$M$68,13,FALSE),0))</f>
        <v>1</v>
      </c>
      <c r="F43" s="17">
        <f t="shared" si="2"/>
        <v>150</v>
      </c>
      <c r="G43" s="17">
        <f>F43*全局设置!$B$7</f>
        <v>150</v>
      </c>
      <c r="H43" s="17">
        <f>G43*全局设置!$B$5</f>
        <v>150</v>
      </c>
      <c r="I43" s="15" t="str">
        <f t="shared" si="3"/>
        <v>可回读</v>
      </c>
    </row>
    <row r="44" spans="1:9" ht="21.95" customHeight="1">
      <c r="A44" s="16">
        <v>9</v>
      </c>
      <c r="B44" s="14" t="s">
        <v>129</v>
      </c>
      <c r="C44" s="14">
        <v>300</v>
      </c>
      <c r="D44" s="8">
        <f>IF(B44="",0,ROUNDUP(C44*(1+(全局设置!$B$5-1)*全局设置!$B$6),0))</f>
        <v>300</v>
      </c>
      <c r="E44" s="17">
        <f>IF(B44="",0,IFERROR(VLOOKUP(B44,敌人目录!$A$6:$M$68,13,FALSE),0))</f>
        <v>2</v>
      </c>
      <c r="F44" s="17">
        <f t="shared" si="2"/>
        <v>600</v>
      </c>
      <c r="G44" s="17">
        <f>F44*全局设置!$B$7</f>
        <v>600</v>
      </c>
      <c r="H44" s="17">
        <f>G44*全局设置!$B$5</f>
        <v>600</v>
      </c>
      <c r="I44" s="15" t="str">
        <f t="shared" si="3"/>
        <v>可回读</v>
      </c>
    </row>
    <row r="45" spans="1:9" ht="21.95" customHeight="1">
      <c r="A45" s="16">
        <v>10</v>
      </c>
      <c r="B45" s="14" t="s">
        <v>141</v>
      </c>
      <c r="C45" s="14">
        <v>100</v>
      </c>
      <c r="D45" s="8">
        <f>IF(B45="",0,ROUNDUP(C45*(1+(全局设置!$B$5-1)*全局设置!$B$6),0))</f>
        <v>100</v>
      </c>
      <c r="E45" s="17">
        <f>IF(B45="",0,IFERROR(VLOOKUP(B45,敌人目录!$A$6:$M$68,13,FALSE),0))</f>
        <v>2</v>
      </c>
      <c r="F45" s="17">
        <f t="shared" si="2"/>
        <v>200</v>
      </c>
      <c r="G45" s="17">
        <f>F45*全局设置!$B$7</f>
        <v>200</v>
      </c>
      <c r="H45" s="17">
        <f>G45*全局设置!$B$5</f>
        <v>200</v>
      </c>
      <c r="I45" s="15" t="str">
        <f t="shared" si="3"/>
        <v>可回读</v>
      </c>
    </row>
    <row r="46" spans="1:9" ht="21.95" customHeight="1">
      <c r="A46" s="16">
        <v>11</v>
      </c>
      <c r="B46" s="14" t="s">
        <v>135</v>
      </c>
      <c r="C46" s="14">
        <v>50</v>
      </c>
      <c r="D46" s="8">
        <f>IF(B46="",0,ROUNDUP(C46*(1+(全局设置!$B$5-1)*全局设置!$B$6),0))</f>
        <v>50</v>
      </c>
      <c r="E46" s="17">
        <f>IF(B46="",0,IFERROR(VLOOKUP(B46,敌人目录!$A$6:$M$68,13,FALSE),0))</f>
        <v>2</v>
      </c>
      <c r="F46" s="17">
        <f t="shared" si="2"/>
        <v>100</v>
      </c>
      <c r="G46" s="17">
        <f>F46*全局设置!$B$7</f>
        <v>100</v>
      </c>
      <c r="H46" s="17">
        <f>G46*全局设置!$B$5</f>
        <v>100</v>
      </c>
      <c r="I46" s="15" t="str">
        <f t="shared" si="3"/>
        <v>可回读</v>
      </c>
    </row>
    <row r="47" spans="1:9" ht="21.95" customHeight="1">
      <c r="A47" s="16">
        <v>12</v>
      </c>
      <c r="B47" s="14" t="s">
        <v>443</v>
      </c>
      <c r="C47" s="14">
        <v>25</v>
      </c>
      <c r="D47" s="8">
        <f>IF(B47="",0,ROUNDUP(C47*(1+(全局设置!$B$5-1)*全局设置!$B$6),0))</f>
        <v>25</v>
      </c>
      <c r="E47" s="17">
        <f>IF(B47="",0,IFERROR(VLOOKUP(B47,敌人目录!$A$6:$M$68,13,FALSE),0))</f>
        <v>10</v>
      </c>
      <c r="F47" s="17">
        <f t="shared" si="2"/>
        <v>250</v>
      </c>
      <c r="G47" s="17">
        <f>F47*全局设置!$B$7</f>
        <v>250</v>
      </c>
      <c r="H47" s="17">
        <f>G47*全局设置!$B$5</f>
        <v>250</v>
      </c>
      <c r="I47" s="15" t="str">
        <f t="shared" si="3"/>
        <v>可回读</v>
      </c>
    </row>
    <row r="48" spans="1:9" ht="21.95" customHeight="1">
      <c r="A48" s="16">
        <v>13</v>
      </c>
      <c r="B48" s="14" t="s">
        <v>459</v>
      </c>
      <c r="C48" s="14">
        <v>25</v>
      </c>
      <c r="D48" s="8">
        <f>IF(B48="",0,ROUNDUP(C48*(1+(全局设置!$B$5-1)*全局设置!$B$6),0))</f>
        <v>25</v>
      </c>
      <c r="E48" s="17">
        <f>IF(B48="",0,IFERROR(VLOOKUP(B48,敌人目录!$A$6:$M$68,13,FALSE),0))</f>
        <v>10</v>
      </c>
      <c r="F48" s="17">
        <f t="shared" si="2"/>
        <v>250</v>
      </c>
      <c r="G48" s="17">
        <f>F48*全局设置!$B$7</f>
        <v>250</v>
      </c>
      <c r="H48" s="17">
        <f>G48*全局设置!$B$5</f>
        <v>250</v>
      </c>
      <c r="I48" s="15" t="str">
        <f t="shared" si="3"/>
        <v>可回读</v>
      </c>
    </row>
    <row r="49" spans="1:9" ht="21.95" customHeight="1">
      <c r="A49" s="16">
        <v>14</v>
      </c>
      <c r="B49" s="14" t="s">
        <v>451</v>
      </c>
      <c r="C49" s="14">
        <v>20</v>
      </c>
      <c r="D49" s="8">
        <f>IF(B49="",0,ROUNDUP(C49*(1+(全局设置!$B$5-1)*全局设置!$B$6),0))</f>
        <v>20</v>
      </c>
      <c r="E49" s="17">
        <f>IF(B49="",0,IFERROR(VLOOKUP(B49,敌人目录!$A$6:$M$68,13,FALSE),0))</f>
        <v>10</v>
      </c>
      <c r="F49" s="17">
        <f t="shared" si="2"/>
        <v>200</v>
      </c>
      <c r="G49" s="17">
        <f>F49*全局设置!$B$7</f>
        <v>200</v>
      </c>
      <c r="H49" s="17">
        <f>G49*全局设置!$B$5</f>
        <v>200</v>
      </c>
      <c r="I49" s="15" t="str">
        <f t="shared" si="3"/>
        <v>可回读</v>
      </c>
    </row>
    <row r="50" spans="1:9" ht="21.95" customHeight="1">
      <c r="A50" s="16">
        <v>15</v>
      </c>
      <c r="B50" s="14" t="s">
        <v>160</v>
      </c>
      <c r="C50" s="14">
        <v>50</v>
      </c>
      <c r="D50" s="8">
        <f>IF(B50="",0,ROUNDUP(C50*(1+(全局设置!$B$5-1)*全局设置!$B$6),0))</f>
        <v>50</v>
      </c>
      <c r="E50" s="17">
        <f>IF(B50="",0,IFERROR(VLOOKUP(B50,敌人目录!$A$6:$M$68,13,FALSE),0))</f>
        <v>30</v>
      </c>
      <c r="F50" s="17">
        <f t="shared" si="2"/>
        <v>1500</v>
      </c>
      <c r="G50" s="17">
        <f>F50*全局设置!$B$7</f>
        <v>1500</v>
      </c>
      <c r="H50" s="17">
        <f>G50*全局设置!$B$5</f>
        <v>1500</v>
      </c>
      <c r="I50" s="15" t="str">
        <f t="shared" si="3"/>
        <v>可回读</v>
      </c>
    </row>
    <row r="51" spans="1:9" ht="21.95" customHeight="1">
      <c r="A51" s="16">
        <v>16</v>
      </c>
      <c r="B51" s="14" t="s">
        <v>400</v>
      </c>
      <c r="C51" s="14">
        <v>50</v>
      </c>
      <c r="D51" s="8">
        <f>IF(B51="",0,ROUNDUP(C51*(1+(全局设置!$B$5-1)*全局设置!$B$6),0))</f>
        <v>50</v>
      </c>
      <c r="E51" s="17">
        <f>IF(B51="",0,IFERROR(VLOOKUP(B51,敌人目录!$A$6:$M$68,13,FALSE),0))</f>
        <v>35</v>
      </c>
      <c r="F51" s="17">
        <f t="shared" si="2"/>
        <v>1750</v>
      </c>
      <c r="G51" s="17">
        <f>F51*全局设置!$B$7</f>
        <v>1750</v>
      </c>
      <c r="H51" s="17">
        <f>G51*全局设置!$B$5</f>
        <v>1750</v>
      </c>
      <c r="I51" s="15" t="str">
        <f t="shared" si="3"/>
        <v>可回读</v>
      </c>
    </row>
    <row r="52" spans="1:9" ht="21.95" customHeight="1">
      <c r="A52" s="16">
        <v>17</v>
      </c>
      <c r="B52" s="14" t="s">
        <v>396</v>
      </c>
      <c r="C52" s="14">
        <v>30</v>
      </c>
      <c r="D52" s="8">
        <f>IF(B52="",0,ROUNDUP(C52*(1+(全局设置!$B$5-1)*全局设置!$B$6),0))</f>
        <v>30</v>
      </c>
      <c r="E52" s="17">
        <f>IF(B52="",0,IFERROR(VLOOKUP(B52,敌人目录!$A$6:$M$68,13,FALSE),0))</f>
        <v>35</v>
      </c>
      <c r="F52" s="17">
        <f t="shared" si="2"/>
        <v>1050</v>
      </c>
      <c r="G52" s="17">
        <f>F52*全局设置!$B$7</f>
        <v>1050</v>
      </c>
      <c r="H52" s="17">
        <f>G52*全局设置!$B$5</f>
        <v>1050</v>
      </c>
      <c r="I52" s="15" t="str">
        <f t="shared" si="3"/>
        <v>可回读</v>
      </c>
    </row>
    <row r="53" spans="1:9" ht="21.95" customHeight="1">
      <c r="A53" s="16">
        <v>18</v>
      </c>
      <c r="B53" s="14" t="s">
        <v>161</v>
      </c>
      <c r="C53" s="14">
        <v>30</v>
      </c>
      <c r="D53" s="8">
        <f>IF(B53="",0,ROUNDUP(C53*(1+(全局设置!$B$5-1)*全局设置!$B$6),0))</f>
        <v>30</v>
      </c>
      <c r="E53" s="17">
        <f>IF(B53="",0,IFERROR(VLOOKUP(B53,敌人目录!$A$6:$M$68,13,FALSE),0))</f>
        <v>50</v>
      </c>
      <c r="F53" s="17">
        <f t="shared" si="2"/>
        <v>1500</v>
      </c>
      <c r="G53" s="17">
        <f>F53*全局设置!$B$7</f>
        <v>1500</v>
      </c>
      <c r="H53" s="17">
        <f>G53*全局设置!$B$5</f>
        <v>1500</v>
      </c>
      <c r="I53" s="15" t="str">
        <f t="shared" si="3"/>
        <v>可回读</v>
      </c>
    </row>
    <row r="54" spans="1:9" ht="21.95" customHeight="1"/>
    <row r="55" spans="1:9" ht="21.95" customHeight="1">
      <c r="A55" s="6" t="s">
        <v>123</v>
      </c>
      <c r="B55" s="8">
        <f>SUM(C36:C53)</f>
        <v>2240</v>
      </c>
      <c r="C55" s="6" t="s">
        <v>124</v>
      </c>
      <c r="D55" s="8">
        <f>SUM(D36:D53)</f>
        <v>2240</v>
      </c>
      <c r="E55" s="6" t="s">
        <v>46</v>
      </c>
      <c r="F55" s="8">
        <f>SUM(F36:F53)</f>
        <v>9060</v>
      </c>
      <c r="G55" s="6" t="s">
        <v>47</v>
      </c>
      <c r="H55" s="8">
        <f>SUM(G36:G53)</f>
        <v>9060</v>
      </c>
      <c r="I55" s="8"/>
    </row>
    <row r="56" spans="1:9" ht="21.95" customHeight="1">
      <c r="A56" s="18" t="s">
        <v>34</v>
      </c>
      <c r="B56" s="4">
        <f>SUM(H36:H53)</f>
        <v>9060</v>
      </c>
      <c r="C56" s="18" t="s">
        <v>125</v>
      </c>
      <c r="D56" s="41" t="s">
        <v>126</v>
      </c>
      <c r="E56" s="41"/>
      <c r="F56" s="41"/>
      <c r="G56" s="41"/>
      <c r="H56" s="41"/>
      <c r="I56" s="41"/>
    </row>
    <row r="57" spans="1:9" ht="21.95" customHeight="1"/>
    <row r="58" spans="1:9" ht="21.95" customHeight="1"/>
    <row r="59" spans="1:9" ht="21.95" customHeight="1"/>
    <row r="60" spans="1:9" ht="21.95" customHeight="1">
      <c r="A60" s="34" t="s">
        <v>149</v>
      </c>
      <c r="B60" s="34"/>
      <c r="C60" s="34"/>
      <c r="D60" s="34"/>
      <c r="E60" s="34"/>
      <c r="F60" s="34"/>
      <c r="G60" s="34"/>
      <c r="H60" s="34"/>
      <c r="I60" s="34"/>
    </row>
    <row r="61" spans="1:9" ht="21.95" customHeight="1">
      <c r="A61" s="19" t="s">
        <v>101</v>
      </c>
      <c r="B61" s="39" t="s">
        <v>59</v>
      </c>
      <c r="C61" s="39" t="s">
        <v>150</v>
      </c>
      <c r="D61" s="19" t="s">
        <v>103</v>
      </c>
      <c r="E61" s="7">
        <v>0.08</v>
      </c>
      <c r="F61" s="19" t="s">
        <v>104</v>
      </c>
      <c r="G61" s="7">
        <v>1</v>
      </c>
      <c r="H61" s="19" t="s">
        <v>49</v>
      </c>
      <c r="I61" s="7">
        <v>285</v>
      </c>
    </row>
    <row r="62" spans="1:9" ht="21.95" customHeight="1">
      <c r="A62" s="19" t="s">
        <v>105</v>
      </c>
      <c r="B62" s="11" t="s">
        <v>106</v>
      </c>
      <c r="C62" s="11" t="s">
        <v>107</v>
      </c>
      <c r="D62" s="11" t="s">
        <v>108</v>
      </c>
      <c r="E62" s="11" t="s">
        <v>109</v>
      </c>
      <c r="F62" s="11" t="s">
        <v>133</v>
      </c>
      <c r="G62" s="11" t="s">
        <v>134</v>
      </c>
      <c r="H62" s="19" t="s">
        <v>112</v>
      </c>
      <c r="I62" s="15" t="str">
        <f>IF(COUNTA(B65:B82)=0,"待设计",IF(COUNTIF(I65:I82,"需修正")&gt;0,"需修正","可回读"))</f>
        <v>可回读</v>
      </c>
    </row>
    <row r="63" spans="1:9" ht="21.95" customHeight="1">
      <c r="A63" s="40" t="s">
        <v>113</v>
      </c>
      <c r="B63" s="40"/>
      <c r="C63" s="40"/>
      <c r="D63" s="40"/>
      <c r="E63" s="40"/>
      <c r="F63" s="40"/>
      <c r="G63" s="40"/>
      <c r="H63" s="40"/>
      <c r="I63" s="40"/>
    </row>
    <row r="64" spans="1:9" ht="21.95" customHeight="1">
      <c r="A64" s="19" t="s">
        <v>114</v>
      </c>
      <c r="B64" s="19" t="s">
        <v>115</v>
      </c>
      <c r="C64" s="19" t="s">
        <v>43</v>
      </c>
      <c r="D64" s="19" t="s">
        <v>44</v>
      </c>
      <c r="E64" s="19" t="s">
        <v>116</v>
      </c>
      <c r="F64" s="19" t="s">
        <v>46</v>
      </c>
      <c r="G64" s="19" t="s">
        <v>47</v>
      </c>
      <c r="H64" s="19" t="s">
        <v>34</v>
      </c>
      <c r="I64" s="19" t="s">
        <v>117</v>
      </c>
    </row>
    <row r="65" spans="1:9" ht="21.95" customHeight="1">
      <c r="A65" s="16">
        <v>1</v>
      </c>
      <c r="B65" s="14" t="s">
        <v>118</v>
      </c>
      <c r="C65" s="14">
        <v>250</v>
      </c>
      <c r="D65" s="8">
        <f>IF(B65="",0,ROUNDUP(C65*(1+(全局设置!$B$5-1)*全局设置!$B$6),0))</f>
        <v>250</v>
      </c>
      <c r="E65" s="17">
        <f>IF(B65="",0,IFERROR(VLOOKUP(B65,敌人目录!$A$6:$M$68,13,FALSE),0))</f>
        <v>1</v>
      </c>
      <c r="F65" s="17">
        <f t="shared" ref="F65:F82" si="4">D65*E65</f>
        <v>250</v>
      </c>
      <c r="G65" s="17">
        <f>F65*全局设置!$B$7</f>
        <v>250</v>
      </c>
      <c r="H65" s="17">
        <f>G65*全局设置!$B$5</f>
        <v>250</v>
      </c>
      <c r="I65" s="15" t="str">
        <f t="shared" ref="I65:I82" si="5">IF(AND(B65="",C65=""),"",IF(AND(B65&lt;&gt;"",C65&gt;=1,COUNTIF($B$65:$B$82,B65)=1),"可回读","需修正"))</f>
        <v>可回读</v>
      </c>
    </row>
    <row r="66" spans="1:9" ht="21.95" customHeight="1">
      <c r="A66" s="16">
        <v>2</v>
      </c>
      <c r="B66" s="14" t="s">
        <v>137</v>
      </c>
      <c r="C66" s="14">
        <v>200</v>
      </c>
      <c r="D66" s="8">
        <f>IF(B66="",0,ROUNDUP(C66*(1+(全局设置!$B$5-1)*全局设置!$B$6),0))</f>
        <v>200</v>
      </c>
      <c r="E66" s="17">
        <f>IF(B66="",0,IFERROR(VLOOKUP(B66,敌人目录!$A$6:$M$68,13,FALSE),0))</f>
        <v>1</v>
      </c>
      <c r="F66" s="17">
        <f t="shared" si="4"/>
        <v>200</v>
      </c>
      <c r="G66" s="17">
        <f>F66*全局设置!$B$7</f>
        <v>200</v>
      </c>
      <c r="H66" s="17">
        <f>G66*全局设置!$B$5</f>
        <v>200</v>
      </c>
      <c r="I66" s="15" t="str">
        <f t="shared" si="5"/>
        <v>可回读</v>
      </c>
    </row>
    <row r="67" spans="1:9" ht="21.95" customHeight="1">
      <c r="A67" s="16">
        <v>3</v>
      </c>
      <c r="B67" s="14" t="s">
        <v>120</v>
      </c>
      <c r="C67" s="14">
        <v>250</v>
      </c>
      <c r="D67" s="8">
        <f>IF(B67="",0,ROUNDUP(C67*(1+(全局设置!$B$5-1)*全局设置!$B$6),0))</f>
        <v>250</v>
      </c>
      <c r="E67" s="17">
        <f>IF(B67="",0,IFERROR(VLOOKUP(B67,敌人目录!$A$6:$M$68,13,FALSE),0))</f>
        <v>1</v>
      </c>
      <c r="F67" s="17">
        <f t="shared" si="4"/>
        <v>250</v>
      </c>
      <c r="G67" s="17">
        <f>F67*全局设置!$B$7</f>
        <v>250</v>
      </c>
      <c r="H67" s="17">
        <f>G67*全局设置!$B$5</f>
        <v>250</v>
      </c>
      <c r="I67" s="15" t="str">
        <f t="shared" si="5"/>
        <v>可回读</v>
      </c>
    </row>
    <row r="68" spans="1:9" ht="21.95" customHeight="1">
      <c r="A68" s="16">
        <v>4</v>
      </c>
      <c r="B68" s="14" t="s">
        <v>121</v>
      </c>
      <c r="C68" s="14">
        <v>200</v>
      </c>
      <c r="D68" s="8">
        <f>IF(B68="",0,ROUNDUP(C68*(1+(全局设置!$B$5-1)*全局设置!$B$6),0))</f>
        <v>200</v>
      </c>
      <c r="E68" s="17">
        <f>IF(B68="",0,IFERROR(VLOOKUP(B68,敌人目录!$A$6:$M$68,13,FALSE),0))</f>
        <v>1</v>
      </c>
      <c r="F68" s="17">
        <f t="shared" si="4"/>
        <v>200</v>
      </c>
      <c r="G68" s="17">
        <f>F68*全局设置!$B$7</f>
        <v>200</v>
      </c>
      <c r="H68" s="17">
        <f>G68*全局设置!$B$5</f>
        <v>200</v>
      </c>
      <c r="I68" s="15" t="str">
        <f t="shared" si="5"/>
        <v>可回读</v>
      </c>
    </row>
    <row r="69" spans="1:9" ht="21.95" customHeight="1">
      <c r="A69" s="16">
        <v>5</v>
      </c>
      <c r="B69" s="14" t="s">
        <v>136</v>
      </c>
      <c r="C69" s="14">
        <v>150</v>
      </c>
      <c r="D69" s="8">
        <f>IF(B69="",0,ROUNDUP(C69*(1+(全局设置!$B$5-1)*全局设置!$B$6),0))</f>
        <v>150</v>
      </c>
      <c r="E69" s="17">
        <f>IF(B69="",0,IFERROR(VLOOKUP(B69,敌人目录!$A$6:$M$68,13,FALSE),0))</f>
        <v>1</v>
      </c>
      <c r="F69" s="17">
        <f t="shared" si="4"/>
        <v>150</v>
      </c>
      <c r="G69" s="17">
        <f>F69*全局设置!$B$7</f>
        <v>150</v>
      </c>
      <c r="H69" s="17">
        <f>G69*全局设置!$B$5</f>
        <v>150</v>
      </c>
      <c r="I69" s="15" t="str">
        <f t="shared" si="5"/>
        <v>可回读</v>
      </c>
    </row>
    <row r="70" spans="1:9" ht="21.95" customHeight="1">
      <c r="A70" s="16">
        <v>6</v>
      </c>
      <c r="B70" s="14" t="s">
        <v>138</v>
      </c>
      <c r="C70" s="14">
        <v>100</v>
      </c>
      <c r="D70" s="8">
        <f>IF(B70="",0,ROUNDUP(C70*(1+(全局设置!$B$5-1)*全局设置!$B$6),0))</f>
        <v>100</v>
      </c>
      <c r="E70" s="17">
        <f>IF(B70="",0,IFERROR(VLOOKUP(B70,敌人目录!$A$6:$M$68,13,FALSE),0))</f>
        <v>2</v>
      </c>
      <c r="F70" s="17">
        <f t="shared" si="4"/>
        <v>200</v>
      </c>
      <c r="G70" s="17">
        <f>F70*全局设置!$B$7</f>
        <v>200</v>
      </c>
      <c r="H70" s="17">
        <f>G70*全局设置!$B$5</f>
        <v>200</v>
      </c>
      <c r="I70" s="15" t="str">
        <f t="shared" si="5"/>
        <v>可回读</v>
      </c>
    </row>
    <row r="71" spans="1:9" ht="21.95" customHeight="1">
      <c r="A71" s="16">
        <v>7</v>
      </c>
      <c r="B71" s="14" t="s">
        <v>122</v>
      </c>
      <c r="C71" s="14">
        <v>200</v>
      </c>
      <c r="D71" s="8">
        <f>IF(B71="",0,ROUNDUP(C71*(1+(全局设置!$B$5-1)*全局设置!$B$6),0))</f>
        <v>200</v>
      </c>
      <c r="E71" s="17">
        <f>IF(B71="",0,IFERROR(VLOOKUP(B71,敌人目录!$A$6:$M$68,13,FALSE),0))</f>
        <v>1</v>
      </c>
      <c r="F71" s="17">
        <f t="shared" si="4"/>
        <v>200</v>
      </c>
      <c r="G71" s="17">
        <f>F71*全局设置!$B$7</f>
        <v>200</v>
      </c>
      <c r="H71" s="17">
        <f>G71*全局设置!$B$5</f>
        <v>200</v>
      </c>
      <c r="I71" s="15" t="str">
        <f t="shared" si="5"/>
        <v>可回读</v>
      </c>
    </row>
    <row r="72" spans="1:9" ht="21.95" customHeight="1">
      <c r="A72" s="16">
        <v>8</v>
      </c>
      <c r="B72" s="14" t="s">
        <v>129</v>
      </c>
      <c r="C72" s="14">
        <v>250</v>
      </c>
      <c r="D72" s="8">
        <f>IF(B72="",0,ROUNDUP(C72*(1+(全局设置!$B$5-1)*全局设置!$B$6),0))</f>
        <v>250</v>
      </c>
      <c r="E72" s="17">
        <f>IF(B72="",0,IFERROR(VLOOKUP(B72,敌人目录!$A$6:$M$68,13,FALSE),0))</f>
        <v>2</v>
      </c>
      <c r="F72" s="17">
        <f t="shared" si="4"/>
        <v>500</v>
      </c>
      <c r="G72" s="17">
        <f>F72*全局设置!$B$7</f>
        <v>500</v>
      </c>
      <c r="H72" s="17">
        <f>G72*全局设置!$B$5</f>
        <v>500</v>
      </c>
      <c r="I72" s="15" t="str">
        <f t="shared" si="5"/>
        <v>可回读</v>
      </c>
    </row>
    <row r="73" spans="1:9" ht="21.95" customHeight="1">
      <c r="A73" s="16">
        <v>9</v>
      </c>
      <c r="B73" s="14" t="s">
        <v>141</v>
      </c>
      <c r="C73" s="14">
        <v>150</v>
      </c>
      <c r="D73" s="8">
        <f>IF(B73="",0,ROUNDUP(C73*(1+(全局设置!$B$5-1)*全局设置!$B$6),0))</f>
        <v>150</v>
      </c>
      <c r="E73" s="17">
        <f>IF(B73="",0,IFERROR(VLOOKUP(B73,敌人目录!$A$6:$M$68,13,FALSE),0))</f>
        <v>2</v>
      </c>
      <c r="F73" s="17">
        <f t="shared" si="4"/>
        <v>300</v>
      </c>
      <c r="G73" s="17">
        <f>F73*全局设置!$B$7</f>
        <v>300</v>
      </c>
      <c r="H73" s="17">
        <f>G73*全局设置!$B$5</f>
        <v>300</v>
      </c>
      <c r="I73" s="15" t="str">
        <f t="shared" si="5"/>
        <v>可回读</v>
      </c>
    </row>
    <row r="74" spans="1:9" ht="21.95" customHeight="1">
      <c r="A74" s="16">
        <v>10</v>
      </c>
      <c r="B74" s="14" t="s">
        <v>135</v>
      </c>
      <c r="C74" s="14">
        <v>50</v>
      </c>
      <c r="D74" s="8">
        <v>50</v>
      </c>
      <c r="E74" s="17">
        <f>IF(B74="",0,IFERROR(VLOOKUP(B74,敌人目录!$A$6:$M$68,13,FALSE),0))</f>
        <v>2</v>
      </c>
      <c r="F74" s="17">
        <f t="shared" si="4"/>
        <v>100</v>
      </c>
      <c r="G74" s="17">
        <f>F74*全局设置!$B$7</f>
        <v>100</v>
      </c>
      <c r="H74" s="17">
        <f>G74*全局设置!$B$5</f>
        <v>100</v>
      </c>
      <c r="I74" s="15" t="str">
        <f t="shared" si="5"/>
        <v>可回读</v>
      </c>
    </row>
    <row r="75" spans="1:9" ht="21.95" customHeight="1">
      <c r="A75" s="16">
        <v>11</v>
      </c>
      <c r="B75" s="14" t="s">
        <v>439</v>
      </c>
      <c r="C75" s="14">
        <v>40</v>
      </c>
      <c r="D75" s="8">
        <f>IF(B75="",0,ROUNDUP(C75*(1+(全局设置!$B$5-1)*全局设置!$B$6),0))</f>
        <v>40</v>
      </c>
      <c r="E75" s="17">
        <f>IF(B75="",0,IFERROR(VLOOKUP(B75,敌人目录!$A$6:$M$68,13,FALSE),0))</f>
        <v>10</v>
      </c>
      <c r="F75" s="17">
        <f t="shared" si="4"/>
        <v>400</v>
      </c>
      <c r="G75" s="17">
        <f>F75*全局设置!$B$7</f>
        <v>400</v>
      </c>
      <c r="H75" s="17">
        <f>G75*全局设置!$B$5</f>
        <v>400</v>
      </c>
      <c r="I75" s="15" t="str">
        <f t="shared" si="5"/>
        <v>可回读</v>
      </c>
    </row>
    <row r="76" spans="1:9" ht="21.95" customHeight="1">
      <c r="A76" s="16">
        <v>12</v>
      </c>
      <c r="B76" s="14" t="s">
        <v>447</v>
      </c>
      <c r="C76" s="14">
        <v>40</v>
      </c>
      <c r="D76" s="8">
        <f>IF(B76="",0,ROUNDUP(C76*(1+(全局设置!$B$5-1)*全局设置!$B$6),0))</f>
        <v>40</v>
      </c>
      <c r="E76" s="17">
        <f>IF(B76="",0,IFERROR(VLOOKUP(B76,敌人目录!$A$6:$M$68,13,FALSE),0))</f>
        <v>10</v>
      </c>
      <c r="F76" s="17">
        <f t="shared" si="4"/>
        <v>400</v>
      </c>
      <c r="G76" s="17">
        <f>F76*全局设置!$B$7</f>
        <v>400</v>
      </c>
      <c r="H76" s="17">
        <f>G76*全局设置!$B$5</f>
        <v>400</v>
      </c>
      <c r="I76" s="15" t="str">
        <f t="shared" si="5"/>
        <v>可回读</v>
      </c>
    </row>
    <row r="77" spans="1:9" ht="21.95" customHeight="1">
      <c r="A77" s="16">
        <v>13</v>
      </c>
      <c r="B77" s="14" t="s">
        <v>455</v>
      </c>
      <c r="C77" s="14">
        <v>30</v>
      </c>
      <c r="D77" s="8">
        <f>IF(B77="",0,ROUNDUP(C77*(1+(全局设置!$B$5-1)*全局设置!$B$6),0))</f>
        <v>30</v>
      </c>
      <c r="E77" s="17">
        <f>IF(B77="",0,IFERROR(VLOOKUP(B77,敌人目录!$A$6:$M$68,13,FALSE),0))</f>
        <v>10</v>
      </c>
      <c r="F77" s="17">
        <f t="shared" si="4"/>
        <v>300</v>
      </c>
      <c r="G77" s="17">
        <f>F77*全局设置!$B$7</f>
        <v>300</v>
      </c>
      <c r="H77" s="17">
        <f>G77*全局设置!$B$5</f>
        <v>300</v>
      </c>
      <c r="I77" s="15" t="str">
        <f t="shared" si="5"/>
        <v>可回读</v>
      </c>
    </row>
    <row r="78" spans="1:9" ht="21.95" customHeight="1">
      <c r="A78" s="16">
        <v>14</v>
      </c>
      <c r="B78" s="14" t="s">
        <v>467</v>
      </c>
      <c r="C78" s="14">
        <v>40</v>
      </c>
      <c r="D78" s="8">
        <f>IF(B78="",0,ROUNDUP(C78*(1+(全局设置!$B$5-1)*全局设置!$B$6),0))</f>
        <v>40</v>
      </c>
      <c r="E78" s="17">
        <f>IF(B78="",0,IFERROR(VLOOKUP(B78,敌人目录!$A$6:$M$68,13,FALSE),0))</f>
        <v>10</v>
      </c>
      <c r="F78" s="17">
        <f t="shared" si="4"/>
        <v>400</v>
      </c>
      <c r="G78" s="17">
        <f>F78*全局设置!$B$7</f>
        <v>400</v>
      </c>
      <c r="H78" s="17">
        <f>G78*全局设置!$B$5</f>
        <v>400</v>
      </c>
      <c r="I78" s="15" t="str">
        <f t="shared" si="5"/>
        <v>可回读</v>
      </c>
    </row>
    <row r="79" spans="1:9" ht="21.95" customHeight="1">
      <c r="A79" s="16">
        <v>15</v>
      </c>
      <c r="B79" s="14" t="s">
        <v>164</v>
      </c>
      <c r="C79" s="14">
        <v>40</v>
      </c>
      <c r="D79" s="8">
        <f>IF(B79="",0,ROUNDUP(C79*(1+(全局设置!$B$5-1)*全局设置!$B$6),0))</f>
        <v>40</v>
      </c>
      <c r="E79" s="17">
        <f>IF(B79="",0,IFERROR(VLOOKUP(B79,敌人目录!$A$6:$M$68,13,FALSE),0))</f>
        <v>24</v>
      </c>
      <c r="F79" s="17">
        <f t="shared" si="4"/>
        <v>960</v>
      </c>
      <c r="G79" s="17">
        <f>F79*全局设置!$B$7</f>
        <v>960</v>
      </c>
      <c r="H79" s="17">
        <f>G79*全局设置!$B$5</f>
        <v>960</v>
      </c>
      <c r="I79" s="15" t="str">
        <f t="shared" si="5"/>
        <v>可回读</v>
      </c>
    </row>
    <row r="80" spans="1:9" ht="21.95" customHeight="1">
      <c r="A80" s="16">
        <v>16</v>
      </c>
      <c r="B80" s="14" t="s">
        <v>396</v>
      </c>
      <c r="C80" s="14">
        <v>50</v>
      </c>
      <c r="D80" s="8">
        <f>IF(B80="",0,ROUNDUP(C80*(1+(全局设置!$B$5-1)*全局设置!$B$6),0))</f>
        <v>50</v>
      </c>
      <c r="E80" s="17">
        <f>IF(B80="",0,IFERROR(VLOOKUP(B80,敌人目录!$A$6:$M$68,13,FALSE),0))</f>
        <v>35</v>
      </c>
      <c r="F80" s="17">
        <f t="shared" si="4"/>
        <v>1750</v>
      </c>
      <c r="G80" s="17">
        <f>F80*全局设置!$B$7</f>
        <v>1750</v>
      </c>
      <c r="H80" s="17">
        <f>G80*全局设置!$B$5</f>
        <v>1750</v>
      </c>
      <c r="I80" s="15" t="str">
        <f t="shared" si="5"/>
        <v>可回读</v>
      </c>
    </row>
    <row r="81" spans="1:9" ht="21.95" customHeight="1">
      <c r="A81" s="16">
        <v>17</v>
      </c>
      <c r="B81" s="14" t="s">
        <v>404</v>
      </c>
      <c r="C81" s="14">
        <v>50</v>
      </c>
      <c r="D81" s="8">
        <f>IF(B81="",0,ROUNDUP(C81*(1+(全局设置!$B$5-1)*全局设置!$B$6),0))</f>
        <v>50</v>
      </c>
      <c r="E81" s="17">
        <f>IF(B81="",0,IFERROR(VLOOKUP(B81,敌人目录!$A$6:$M$68,13,FALSE),0))</f>
        <v>35</v>
      </c>
      <c r="F81" s="17">
        <f t="shared" si="4"/>
        <v>1750</v>
      </c>
      <c r="G81" s="17">
        <f>F81*全局设置!$B$7</f>
        <v>1750</v>
      </c>
      <c r="H81" s="17">
        <f>G81*全局设置!$B$5</f>
        <v>1750</v>
      </c>
      <c r="I81" s="15" t="str">
        <f t="shared" si="5"/>
        <v>可回读</v>
      </c>
    </row>
    <row r="82" spans="1:9" ht="21.95" customHeight="1">
      <c r="A82" s="16">
        <v>18</v>
      </c>
      <c r="B82" s="14" t="s">
        <v>408</v>
      </c>
      <c r="C82" s="14">
        <v>60</v>
      </c>
      <c r="D82" s="8">
        <f>IF(B82="",0,ROUNDUP(C82*(1+(全局设置!$B$5-1)*全局设置!$B$6),0))</f>
        <v>60</v>
      </c>
      <c r="E82" s="17">
        <f>IF(B82="",0,IFERROR(VLOOKUP(B82,敌人目录!$A$6:$M$68,13,FALSE),0))</f>
        <v>35</v>
      </c>
      <c r="F82" s="17">
        <f t="shared" si="4"/>
        <v>2100</v>
      </c>
      <c r="G82" s="17">
        <f>F82*全局设置!$B$7</f>
        <v>2100</v>
      </c>
      <c r="H82" s="17">
        <f>G82*全局设置!$B$5</f>
        <v>2100</v>
      </c>
      <c r="I82" s="15" t="str">
        <f t="shared" si="5"/>
        <v>可回读</v>
      </c>
    </row>
    <row r="83" spans="1:9" ht="21.95" customHeight="1"/>
    <row r="84" spans="1:9" ht="21.95" customHeight="1">
      <c r="A84" s="19" t="s">
        <v>123</v>
      </c>
      <c r="B84" s="8">
        <f>SUM(C65:C82)</f>
        <v>2150</v>
      </c>
      <c r="C84" s="19" t="s">
        <v>124</v>
      </c>
      <c r="D84" s="8">
        <f>SUM(D65:D82)</f>
        <v>2150</v>
      </c>
      <c r="E84" s="19" t="s">
        <v>46</v>
      </c>
      <c r="F84" s="8">
        <f>SUM(F65:F82)</f>
        <v>10410</v>
      </c>
      <c r="G84" s="19" t="s">
        <v>47</v>
      </c>
      <c r="H84" s="8">
        <f>SUM(G65:G82)</f>
        <v>10410</v>
      </c>
      <c r="I84" s="8"/>
    </row>
    <row r="85" spans="1:9" ht="21.95" customHeight="1">
      <c r="A85" s="18" t="s">
        <v>34</v>
      </c>
      <c r="B85" s="4">
        <f>SUM(H65:H82)</f>
        <v>10410</v>
      </c>
      <c r="C85" s="18" t="s">
        <v>125</v>
      </c>
      <c r="D85" s="41" t="s">
        <v>126</v>
      </c>
      <c r="E85" s="41"/>
      <c r="F85" s="41"/>
      <c r="G85" s="41"/>
      <c r="H85" s="41"/>
      <c r="I85" s="41"/>
    </row>
    <row r="86" spans="1:9" ht="21.95" customHeight="1"/>
    <row r="87" spans="1:9" ht="21.95" customHeight="1"/>
    <row r="88" spans="1:9" ht="21.95" customHeight="1"/>
    <row r="89" spans="1:9" ht="21.95" customHeight="1">
      <c r="A89" s="34" t="s">
        <v>151</v>
      </c>
      <c r="B89" s="34"/>
      <c r="C89" s="34"/>
      <c r="D89" s="34"/>
      <c r="E89" s="34"/>
      <c r="F89" s="34"/>
      <c r="G89" s="34"/>
      <c r="H89" s="34"/>
      <c r="I89" s="34"/>
    </row>
    <row r="90" spans="1:9" ht="21.95" customHeight="1">
      <c r="A90" s="19" t="s">
        <v>101</v>
      </c>
      <c r="B90" s="39" t="s">
        <v>60</v>
      </c>
      <c r="C90" s="39" t="s">
        <v>152</v>
      </c>
      <c r="D90" s="19" t="s">
        <v>103</v>
      </c>
      <c r="E90" s="7">
        <v>7.4999999999999997E-2</v>
      </c>
      <c r="F90" s="19" t="s">
        <v>104</v>
      </c>
      <c r="G90" s="7">
        <v>1</v>
      </c>
      <c r="H90" s="19" t="s">
        <v>49</v>
      </c>
      <c r="I90" s="7">
        <v>300</v>
      </c>
    </row>
    <row r="91" spans="1:9" ht="21.95" customHeight="1">
      <c r="A91" s="19" t="s">
        <v>105</v>
      </c>
      <c r="B91" s="11" t="s">
        <v>106</v>
      </c>
      <c r="C91" s="11" t="s">
        <v>107</v>
      </c>
      <c r="D91" s="11" t="s">
        <v>108</v>
      </c>
      <c r="E91" s="11" t="s">
        <v>109</v>
      </c>
      <c r="F91" s="11" t="s">
        <v>133</v>
      </c>
      <c r="G91" s="11" t="s">
        <v>134</v>
      </c>
      <c r="H91" s="19" t="s">
        <v>112</v>
      </c>
      <c r="I91" s="15" t="str">
        <f>IF(COUNTA(B94:B111)=0,"待设计",IF(COUNTIF(I94:I111,"需修正")&gt;0,"需修正","可回读"))</f>
        <v>可回读</v>
      </c>
    </row>
    <row r="92" spans="1:9" ht="21.95" customHeight="1">
      <c r="A92" s="40" t="s">
        <v>113</v>
      </c>
      <c r="B92" s="40"/>
      <c r="C92" s="40"/>
      <c r="D92" s="40"/>
      <c r="E92" s="40"/>
      <c r="F92" s="40"/>
      <c r="G92" s="40"/>
      <c r="H92" s="40"/>
      <c r="I92" s="40"/>
    </row>
    <row r="93" spans="1:9" ht="21.95" customHeight="1">
      <c r="A93" s="19" t="s">
        <v>114</v>
      </c>
      <c r="B93" s="19" t="s">
        <v>115</v>
      </c>
      <c r="C93" s="19" t="s">
        <v>43</v>
      </c>
      <c r="D93" s="19" t="s">
        <v>44</v>
      </c>
      <c r="E93" s="19" t="s">
        <v>116</v>
      </c>
      <c r="F93" s="19" t="s">
        <v>46</v>
      </c>
      <c r="G93" s="19" t="s">
        <v>47</v>
      </c>
      <c r="H93" s="19" t="s">
        <v>34</v>
      </c>
      <c r="I93" s="19" t="s">
        <v>117</v>
      </c>
    </row>
    <row r="94" spans="1:9" ht="21.95" customHeight="1">
      <c r="A94" s="16">
        <v>1</v>
      </c>
      <c r="B94" s="14" t="s">
        <v>119</v>
      </c>
      <c r="C94" s="14">
        <v>200</v>
      </c>
      <c r="D94" s="8">
        <f>IF(B94="",0,ROUNDUP(C94*(1+(全局设置!$B$5-1)*全局设置!$B$6),0))</f>
        <v>200</v>
      </c>
      <c r="E94" s="17">
        <f>IF(B94="",0,IFERROR(VLOOKUP(B94,敌人目录!$A$6:$M$68,13,FALSE),0))</f>
        <v>1</v>
      </c>
      <c r="F94" s="17">
        <f t="shared" ref="F94:F111" si="6">D94*E94</f>
        <v>200</v>
      </c>
      <c r="G94" s="17">
        <f>F94*全局设置!$B$7</f>
        <v>200</v>
      </c>
      <c r="H94" s="17">
        <f>G94*全局设置!$B$5</f>
        <v>200</v>
      </c>
      <c r="I94" s="15" t="str">
        <f t="shared" ref="I94:I111" si="7">IF(AND(B94="",C94=""),"",IF(AND(B94&lt;&gt;"",C94&gt;=1,COUNTIF($B$94:$B$111,B94)=1),"可回读","需修正"))</f>
        <v>可回读</v>
      </c>
    </row>
    <row r="95" spans="1:9" ht="21.95" customHeight="1">
      <c r="A95" s="16">
        <v>2</v>
      </c>
      <c r="B95" s="14" t="s">
        <v>130</v>
      </c>
      <c r="C95" s="14">
        <v>200</v>
      </c>
      <c r="D95" s="8">
        <f>IF(B95="",0,ROUNDUP(C95*(1+(全局设置!$B$5-1)*全局设置!$B$6),0))</f>
        <v>200</v>
      </c>
      <c r="E95" s="17">
        <f>IF(B95="",0,IFERROR(VLOOKUP(B95,敌人目录!$A$6:$M$68,13,FALSE),0))</f>
        <v>1</v>
      </c>
      <c r="F95" s="17">
        <f t="shared" si="6"/>
        <v>200</v>
      </c>
      <c r="G95" s="17">
        <f>F95*全局设置!$B$7</f>
        <v>200</v>
      </c>
      <c r="H95" s="17">
        <f>G95*全局设置!$B$5</f>
        <v>200</v>
      </c>
      <c r="I95" s="15" t="str">
        <f t="shared" si="7"/>
        <v>可回读</v>
      </c>
    </row>
    <row r="96" spans="1:9" ht="21.95" customHeight="1">
      <c r="A96" s="16">
        <v>3</v>
      </c>
      <c r="B96" s="14" t="s">
        <v>137</v>
      </c>
      <c r="C96" s="14">
        <v>200</v>
      </c>
      <c r="D96" s="8">
        <f>IF(B96="",0,ROUNDUP(C96*(1+(全局设置!$B$5-1)*全局设置!$B$6),0))</f>
        <v>200</v>
      </c>
      <c r="E96" s="17">
        <f>IF(B96="",0,IFERROR(VLOOKUP(B96,敌人目录!$A$6:$M$68,13,FALSE),0))</f>
        <v>1</v>
      </c>
      <c r="F96" s="17">
        <f t="shared" si="6"/>
        <v>200</v>
      </c>
      <c r="G96" s="17">
        <f>F96*全局设置!$B$7</f>
        <v>200</v>
      </c>
      <c r="H96" s="17">
        <f>G96*全局设置!$B$5</f>
        <v>200</v>
      </c>
      <c r="I96" s="15" t="str">
        <f t="shared" si="7"/>
        <v>可回读</v>
      </c>
    </row>
    <row r="97" spans="1:9" ht="21.95" customHeight="1">
      <c r="A97" s="16">
        <v>4</v>
      </c>
      <c r="B97" s="14" t="s">
        <v>120</v>
      </c>
      <c r="C97" s="14">
        <v>200</v>
      </c>
      <c r="D97" s="8">
        <f>IF(B97="",0,ROUNDUP(C97*(1+(全局设置!$B$5-1)*全局设置!$B$6),0))</f>
        <v>200</v>
      </c>
      <c r="E97" s="17">
        <f>IF(B97="",0,IFERROR(VLOOKUP(B97,敌人目录!$A$6:$M$68,13,FALSE),0))</f>
        <v>1</v>
      </c>
      <c r="F97" s="17">
        <f t="shared" si="6"/>
        <v>200</v>
      </c>
      <c r="G97" s="17">
        <f>F97*全局设置!$B$7</f>
        <v>200</v>
      </c>
      <c r="H97" s="17">
        <f>G97*全局设置!$B$5</f>
        <v>200</v>
      </c>
      <c r="I97" s="15" t="str">
        <f t="shared" si="7"/>
        <v>可回读</v>
      </c>
    </row>
    <row r="98" spans="1:9" ht="21.95" customHeight="1">
      <c r="A98" s="16">
        <v>5</v>
      </c>
      <c r="B98" s="14" t="s">
        <v>121</v>
      </c>
      <c r="C98" s="14">
        <v>200</v>
      </c>
      <c r="D98" s="8">
        <f>IF(B98="",0,ROUNDUP(C98*(1+(全局设置!$B$5-1)*全局设置!$B$6),0))</f>
        <v>200</v>
      </c>
      <c r="E98" s="17">
        <f>IF(B98="",0,IFERROR(VLOOKUP(B98,敌人目录!$A$6:$M$68,13,FALSE),0))</f>
        <v>1</v>
      </c>
      <c r="F98" s="17">
        <f t="shared" si="6"/>
        <v>200</v>
      </c>
      <c r="G98" s="17">
        <f>F98*全局设置!$B$7</f>
        <v>200</v>
      </c>
      <c r="H98" s="17">
        <f>G98*全局设置!$B$5</f>
        <v>200</v>
      </c>
      <c r="I98" s="15" t="str">
        <f t="shared" si="7"/>
        <v>可回读</v>
      </c>
    </row>
    <row r="99" spans="1:9" ht="21.95" customHeight="1">
      <c r="A99" s="16">
        <v>6</v>
      </c>
      <c r="B99" s="14" t="s">
        <v>136</v>
      </c>
      <c r="C99" s="14">
        <v>150</v>
      </c>
      <c r="D99" s="8">
        <f>IF(B99="",0,ROUNDUP(C99*(1+(全局设置!$B$5-1)*全局设置!$B$6),0))</f>
        <v>150</v>
      </c>
      <c r="E99" s="17">
        <f>IF(B99="",0,IFERROR(VLOOKUP(B99,敌人目录!$A$6:$M$68,13,FALSE),0))</f>
        <v>1</v>
      </c>
      <c r="F99" s="17">
        <f t="shared" si="6"/>
        <v>150</v>
      </c>
      <c r="G99" s="17">
        <f>F99*全局设置!$B$7</f>
        <v>150</v>
      </c>
      <c r="H99" s="17">
        <f>G99*全局设置!$B$5</f>
        <v>150</v>
      </c>
      <c r="I99" s="15" t="str">
        <f t="shared" si="7"/>
        <v>可回读</v>
      </c>
    </row>
    <row r="100" spans="1:9" ht="21.95" customHeight="1">
      <c r="A100" s="16">
        <v>7</v>
      </c>
      <c r="B100" s="14" t="s">
        <v>138</v>
      </c>
      <c r="C100" s="14">
        <v>150</v>
      </c>
      <c r="D100" s="8">
        <f>IF(B100="",0,ROUNDUP(C100*(1+(全局设置!$B$5-1)*全局设置!$B$6),0))</f>
        <v>150</v>
      </c>
      <c r="E100" s="17">
        <f>IF(B100="",0,IFERROR(VLOOKUP(B100,敌人目录!$A$6:$M$68,13,FALSE),0))</f>
        <v>2</v>
      </c>
      <c r="F100" s="17">
        <f t="shared" si="6"/>
        <v>300</v>
      </c>
      <c r="G100" s="17">
        <f>F100*全局设置!$B$7</f>
        <v>300</v>
      </c>
      <c r="H100" s="17">
        <f>G100*全局设置!$B$5</f>
        <v>300</v>
      </c>
      <c r="I100" s="15" t="str">
        <f t="shared" si="7"/>
        <v>可回读</v>
      </c>
    </row>
    <row r="101" spans="1:9" ht="21.95" customHeight="1">
      <c r="A101" s="16">
        <v>8</v>
      </c>
      <c r="B101" s="14" t="s">
        <v>122</v>
      </c>
      <c r="C101" s="14">
        <v>200</v>
      </c>
      <c r="D101" s="8">
        <f>IF(B101="",0,ROUNDUP(C101*(1+(全局设置!$B$5-1)*全局设置!$B$6),0))</f>
        <v>200</v>
      </c>
      <c r="E101" s="17">
        <f>IF(B101="",0,IFERROR(VLOOKUP(B101,敌人目录!$A$6:$M$68,13,FALSE),0))</f>
        <v>1</v>
      </c>
      <c r="F101" s="17">
        <f t="shared" si="6"/>
        <v>200</v>
      </c>
      <c r="G101" s="17">
        <f>F101*全局设置!$B$7</f>
        <v>200</v>
      </c>
      <c r="H101" s="17">
        <f>G101*全局设置!$B$5</f>
        <v>200</v>
      </c>
      <c r="I101" s="15" t="str">
        <f t="shared" si="7"/>
        <v>可回读</v>
      </c>
    </row>
    <row r="102" spans="1:9" ht="21.95" customHeight="1">
      <c r="A102" s="16">
        <v>9</v>
      </c>
      <c r="B102" s="14" t="s">
        <v>129</v>
      </c>
      <c r="C102" s="14">
        <v>250</v>
      </c>
      <c r="D102" s="8">
        <f>IF(B102="",0,ROUNDUP(C102*(1+(全局设置!$B$5-1)*全局设置!$B$6),0))</f>
        <v>250</v>
      </c>
      <c r="E102" s="17">
        <f>IF(B102="",0,IFERROR(VLOOKUP(B102,敌人目录!$A$6:$M$68,13,FALSE),0))</f>
        <v>2</v>
      </c>
      <c r="F102" s="17">
        <f t="shared" si="6"/>
        <v>500</v>
      </c>
      <c r="G102" s="17">
        <f>F102*全局设置!$B$7</f>
        <v>500</v>
      </c>
      <c r="H102" s="17">
        <f>G102*全局设置!$B$5</f>
        <v>500</v>
      </c>
      <c r="I102" s="15" t="str">
        <f t="shared" si="7"/>
        <v>可回读</v>
      </c>
    </row>
    <row r="103" spans="1:9" ht="21.95" customHeight="1">
      <c r="A103" s="16">
        <v>10</v>
      </c>
      <c r="B103" s="14" t="s">
        <v>135</v>
      </c>
      <c r="C103" s="14">
        <v>150</v>
      </c>
      <c r="D103" s="8">
        <f>IF(B103="",0,ROUNDUP(C103*(1+(全局设置!$B$5-1)*全局设置!$B$6),0))</f>
        <v>150</v>
      </c>
      <c r="E103" s="17">
        <f>IF(B103="",0,IFERROR(VLOOKUP(B103,敌人目录!$A$6:$M$68,13,FALSE),0))</f>
        <v>2</v>
      </c>
      <c r="F103" s="17">
        <f t="shared" si="6"/>
        <v>300</v>
      </c>
      <c r="G103" s="17">
        <f>F103*全局设置!$B$7</f>
        <v>300</v>
      </c>
      <c r="H103" s="17">
        <f>G103*全局设置!$B$5</f>
        <v>300</v>
      </c>
      <c r="I103" s="15" t="str">
        <f t="shared" si="7"/>
        <v>可回读</v>
      </c>
    </row>
    <row r="104" spans="1:9" ht="21.95" customHeight="1">
      <c r="A104" s="16">
        <v>11</v>
      </c>
      <c r="B104" s="14" t="s">
        <v>463</v>
      </c>
      <c r="C104" s="14">
        <v>50</v>
      </c>
      <c r="D104" s="8">
        <f>IF(B104="",0,ROUNDUP(C104*(1+(全局设置!$B$5-1)*全局设置!$B$6),0))</f>
        <v>50</v>
      </c>
      <c r="E104" s="17">
        <f>IF(B104="",0,IFERROR(VLOOKUP(B104,敌人目录!$A$6:$M$68,13,FALSE),0))</f>
        <v>10</v>
      </c>
      <c r="F104" s="17">
        <f t="shared" si="6"/>
        <v>500</v>
      </c>
      <c r="G104" s="17">
        <f>F104*全局设置!$B$7</f>
        <v>500</v>
      </c>
      <c r="H104" s="17">
        <f>G104*全局设置!$B$5</f>
        <v>500</v>
      </c>
      <c r="I104" s="15" t="str">
        <f t="shared" si="7"/>
        <v>可回读</v>
      </c>
    </row>
    <row r="105" spans="1:9" ht="21.95" customHeight="1">
      <c r="A105" s="16">
        <v>12</v>
      </c>
      <c r="B105" s="14" t="s">
        <v>471</v>
      </c>
      <c r="C105" s="14">
        <v>50</v>
      </c>
      <c r="D105" s="8">
        <f>IF(B105="",0,ROUNDUP(C105*(1+(全局设置!$B$5-1)*全局设置!$B$6),0))</f>
        <v>50</v>
      </c>
      <c r="E105" s="17">
        <f>IF(B105="",0,IFERROR(VLOOKUP(B105,敌人目录!$A$6:$M$68,13,FALSE),0))</f>
        <v>10</v>
      </c>
      <c r="F105" s="17">
        <f t="shared" si="6"/>
        <v>500</v>
      </c>
      <c r="G105" s="17">
        <f>F105*全局设置!$B$7</f>
        <v>500</v>
      </c>
      <c r="H105" s="17">
        <f>G105*全局设置!$B$5</f>
        <v>500</v>
      </c>
      <c r="I105" s="15" t="str">
        <f t="shared" si="7"/>
        <v>可回读</v>
      </c>
    </row>
    <row r="106" spans="1:9" ht="21.95" customHeight="1">
      <c r="A106" s="16">
        <v>13</v>
      </c>
      <c r="B106" s="14" t="s">
        <v>475</v>
      </c>
      <c r="C106" s="14">
        <v>10</v>
      </c>
      <c r="D106" s="8">
        <f>IF(B106="",0,ROUNDUP(C106*(1+(全局设置!$B$5-1)*全局设置!$B$6),0))</f>
        <v>10</v>
      </c>
      <c r="E106" s="17">
        <f>IF(B106="",0,IFERROR(VLOOKUP(B106,敌人目录!$A$6:$M$68,13,FALSE),0))</f>
        <v>10</v>
      </c>
      <c r="F106" s="17">
        <f t="shared" si="6"/>
        <v>100</v>
      </c>
      <c r="G106" s="17">
        <f>F106*全局设置!$B$7</f>
        <v>100</v>
      </c>
      <c r="H106" s="17">
        <f>G106*全局设置!$B$5</f>
        <v>100</v>
      </c>
      <c r="I106" s="15" t="str">
        <f t="shared" si="7"/>
        <v>可回读</v>
      </c>
    </row>
    <row r="107" spans="1:9" ht="21.95" customHeight="1">
      <c r="A107" s="16">
        <v>14</v>
      </c>
      <c r="B107" s="14" t="s">
        <v>353</v>
      </c>
      <c r="C107" s="14">
        <v>50</v>
      </c>
      <c r="D107" s="8">
        <f>IF(B107="",0,ROUNDUP(C107*(1+(全局设置!$B$5-1)*全局设置!$B$6),0))</f>
        <v>50</v>
      </c>
      <c r="E107" s="17">
        <f>IF(B107="",0,IFERROR(VLOOKUP(B107,敌人目录!$A$6:$M$68,13,FALSE),0))</f>
        <v>35</v>
      </c>
      <c r="F107" s="17">
        <f t="shared" si="6"/>
        <v>1750</v>
      </c>
      <c r="G107" s="17">
        <f>F107*全局设置!$B$7</f>
        <v>1750</v>
      </c>
      <c r="H107" s="17">
        <f>G107*全局设置!$B$5</f>
        <v>1750</v>
      </c>
      <c r="I107" s="15" t="str">
        <f t="shared" si="7"/>
        <v>可回读</v>
      </c>
    </row>
    <row r="108" spans="1:9" ht="21.95" customHeight="1">
      <c r="A108" s="16">
        <v>15</v>
      </c>
      <c r="B108" s="14" t="s">
        <v>396</v>
      </c>
      <c r="C108" s="14">
        <v>50</v>
      </c>
      <c r="D108" s="8">
        <f>IF(B108="",0,ROUNDUP(C108*(1+(全局设置!$B$5-1)*全局设置!$B$6),0))</f>
        <v>50</v>
      </c>
      <c r="E108" s="17">
        <f>IF(B108="",0,IFERROR(VLOOKUP(B108,敌人目录!$A$6:$M$68,13,FALSE),0))</f>
        <v>35</v>
      </c>
      <c r="F108" s="17">
        <f t="shared" si="6"/>
        <v>1750</v>
      </c>
      <c r="G108" s="17">
        <f>F108*全局设置!$B$7</f>
        <v>1750</v>
      </c>
      <c r="H108" s="17">
        <f>G108*全局设置!$B$5</f>
        <v>1750</v>
      </c>
      <c r="I108" s="15" t="str">
        <f t="shared" si="7"/>
        <v>可回读</v>
      </c>
    </row>
    <row r="109" spans="1:9" ht="21.95" customHeight="1">
      <c r="A109" s="16">
        <v>16</v>
      </c>
      <c r="B109" s="14" t="s">
        <v>404</v>
      </c>
      <c r="C109" s="14">
        <v>50</v>
      </c>
      <c r="D109" s="8">
        <f>IF(B109="",0,ROUNDUP(C109*(1+(全局设置!$B$5-1)*全局设置!$B$6),0))</f>
        <v>50</v>
      </c>
      <c r="E109" s="17">
        <f>IF(B109="",0,IFERROR(VLOOKUP(B109,敌人目录!$A$6:$M$68,13,FALSE),0))</f>
        <v>35</v>
      </c>
      <c r="F109" s="17">
        <f t="shared" si="6"/>
        <v>1750</v>
      </c>
      <c r="G109" s="17">
        <f>F109*全局设置!$B$7</f>
        <v>1750</v>
      </c>
      <c r="H109" s="17">
        <f>G109*全局设置!$B$5</f>
        <v>1750</v>
      </c>
      <c r="I109" s="15" t="str">
        <f t="shared" si="7"/>
        <v>可回读</v>
      </c>
    </row>
    <row r="110" spans="1:9" ht="21.95" customHeight="1">
      <c r="A110" s="16">
        <v>17</v>
      </c>
      <c r="B110" s="14" t="s">
        <v>412</v>
      </c>
      <c r="C110" s="14">
        <v>70</v>
      </c>
      <c r="D110" s="8">
        <f>IF(B110="",0,ROUNDUP(C110*(1+(全局设置!$B$5-1)*全局设置!$B$6),0))</f>
        <v>70</v>
      </c>
      <c r="E110" s="17">
        <f>IF(B110="",0,IFERROR(VLOOKUP(B110,敌人目录!$A$6:$M$68,13,FALSE),0))</f>
        <v>35</v>
      </c>
      <c r="F110" s="17">
        <f t="shared" si="6"/>
        <v>2450</v>
      </c>
      <c r="G110" s="17">
        <f>F110*全局设置!$B$7</f>
        <v>2450</v>
      </c>
      <c r="H110" s="17">
        <f>G110*全局设置!$B$5</f>
        <v>2450</v>
      </c>
      <c r="I110" s="15" t="str">
        <f t="shared" si="7"/>
        <v>可回读</v>
      </c>
    </row>
    <row r="111" spans="1:9" ht="21.95" customHeight="1">
      <c r="A111" s="16">
        <v>18</v>
      </c>
      <c r="B111" s="14" t="s">
        <v>421</v>
      </c>
      <c r="C111" s="14">
        <v>10</v>
      </c>
      <c r="D111" s="8">
        <f>IF(B111="",0,ROUNDUP(C111*(1+(全局设置!$B$5-1)*全局设置!$B$6),0))</f>
        <v>10</v>
      </c>
      <c r="E111" s="17">
        <f>IF(B111="",0,IFERROR(VLOOKUP(B111,敌人目录!$A$6:$M$68,13,FALSE),0))</f>
        <v>50</v>
      </c>
      <c r="F111" s="17">
        <f t="shared" si="6"/>
        <v>500</v>
      </c>
      <c r="G111" s="17">
        <f>F111*全局设置!$B$7</f>
        <v>500</v>
      </c>
      <c r="H111" s="17">
        <f>G111*全局设置!$B$5</f>
        <v>500</v>
      </c>
      <c r="I111" s="15" t="str">
        <f t="shared" si="7"/>
        <v>可回读</v>
      </c>
    </row>
    <row r="112" spans="1:9" ht="21.95" customHeight="1"/>
    <row r="113" spans="1:9" ht="21.95" customHeight="1">
      <c r="A113" s="19" t="s">
        <v>123</v>
      </c>
      <c r="B113" s="8">
        <f>SUM(C94:C111)</f>
        <v>2240</v>
      </c>
      <c r="C113" s="19" t="s">
        <v>124</v>
      </c>
      <c r="D113" s="8">
        <f>SUM(D94:D111)</f>
        <v>2240</v>
      </c>
      <c r="E113" s="19" t="s">
        <v>46</v>
      </c>
      <c r="F113" s="8">
        <f>SUM(F94:F111)</f>
        <v>11750</v>
      </c>
      <c r="G113" s="19" t="s">
        <v>47</v>
      </c>
      <c r="H113" s="8">
        <f>SUM(G94:G111)</f>
        <v>11750</v>
      </c>
      <c r="I113" s="8"/>
    </row>
    <row r="114" spans="1:9" ht="21.95" customHeight="1">
      <c r="A114" s="18" t="s">
        <v>34</v>
      </c>
      <c r="B114" s="4">
        <f>SUM(H94:H111)</f>
        <v>11750</v>
      </c>
      <c r="C114" s="18" t="s">
        <v>125</v>
      </c>
      <c r="D114" s="41" t="s">
        <v>126</v>
      </c>
      <c r="E114" s="41"/>
      <c r="F114" s="41"/>
      <c r="G114" s="41"/>
      <c r="H114" s="41"/>
      <c r="I114" s="41"/>
    </row>
  </sheetData>
  <mergeCells count="17">
    <mergeCell ref="A92:I92"/>
    <mergeCell ref="D114:I114"/>
    <mergeCell ref="B61:C61"/>
    <mergeCell ref="A63:I63"/>
    <mergeCell ref="D85:I85"/>
    <mergeCell ref="A89:I89"/>
    <mergeCell ref="B90:C90"/>
    <mergeCell ref="A31:I31"/>
    <mergeCell ref="B32:C32"/>
    <mergeCell ref="A34:I34"/>
    <mergeCell ref="D56:I56"/>
    <mergeCell ref="A60:I60"/>
    <mergeCell ref="A1:I1"/>
    <mergeCell ref="A2:I2"/>
    <mergeCell ref="B3:C3"/>
    <mergeCell ref="A5:I5"/>
    <mergeCell ref="D27:I27"/>
  </mergeCells>
  <phoneticPr fontId="12" type="noConversion"/>
  <dataValidations count="14">
    <dataValidation type="list" sqref="B4 B91 B62 B33">
      <formula1>"点1·开启,点1·关闭"</formula1>
    </dataValidation>
    <dataValidation type="list" sqref="C4 C91 C62 C33">
      <formula1>"点2·开启,点2·关闭"</formula1>
    </dataValidation>
    <dataValidation type="list" sqref="D4 D91 D62 D33">
      <formula1>"点3·开启,点3·关闭"</formula1>
    </dataValidation>
    <dataValidation type="list" sqref="E4 E91 E62 E33">
      <formula1>"点4·开启,点4·关闭"</formula1>
    </dataValidation>
    <dataValidation type="list" sqref="F4 F91 F62 F33">
      <formula1>"点5·开启,点5·关闭"</formula1>
    </dataValidation>
    <dataValidation type="list" sqref="G4 G91 G62 G33">
      <formula1>"点6·开启,点6·关闭"</formula1>
    </dataValidation>
    <dataValidation type="whole" sqref="C7:C24 C94:C111 C65:C82 C36:C53">
      <formula1>1</formula1>
      <formula2>9999</formula2>
    </dataValidation>
    <dataValidation type="decimal" sqref="E3 E90 E61 E32">
      <formula1>0.025</formula1>
      <formula2>60</formula2>
    </dataValidation>
    <dataValidation type="whole" sqref="G3 G90 G61 G32">
      <formula1>1</formula1>
      <formula2>4</formula2>
    </dataValidation>
    <dataValidation type="whole" sqref="I3 I90 I61 I32">
      <formula1>1</formula1>
      <formula2>999</formula2>
    </dataValidation>
    <dataValidation type="list" errorStyle="stop" showInputMessage="1" showErrorMessage="1" errorTitle="敌人不在目录中" error="请使用单元格下拉列表中的有效敌人。" promptTitle="选择敌人" prompt="请从敌人目录的63名非Boss敌人中选择。" sqref="B7:B24">
      <formula1>INDIRECT("'敌人目录'!$A$6:$A$68")</formula1>
    </dataValidation>
    <dataValidation type="list" errorStyle="stop" showInputMessage="1" showErrorMessage="1" errorTitle="敌人不在目录中" error="请使用单元格下拉列表中的有效敌人。" promptTitle="选择敌人" prompt="请从敌人目录的63名非Boss敌人中选择。" sqref="B36:B53">
      <formula1>INDIRECT("'敌人目录'!$A$6:$A$68")</formula1>
    </dataValidation>
    <dataValidation type="list" errorStyle="stop" showInputMessage="1" showErrorMessage="1" errorTitle="敌人不在目录中" error="请使用单元格下拉列表中的有效敌人。" promptTitle="选择敌人" prompt="请从敌人目录的63名非Boss敌人中选择。" sqref="B65:B82">
      <formula1>INDIRECT("'敌人目录'!$A$6:$A$68")</formula1>
    </dataValidation>
    <dataValidation type="list" errorStyle="stop" showInputMessage="1" showErrorMessage="1" errorTitle="敌人不在目录中" error="请使用单元格下拉列表中的有效敌人。" promptTitle="选择敌人" prompt="请从敌人目录的63名非Boss敌人中选择。" sqref="B94:B111">
      <formula1>INDIRECT("'敌人目录'!$A$6:$A$68")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4"/>
  <sheetViews>
    <sheetView showGridLines="0" tabSelected="1" workbookViewId="0">
      <selection activeCell="B16" sqref="B16"/>
    </sheetView>
  </sheetViews>
  <sheetFormatPr defaultRowHeight="14.25"/>
  <cols>
    <col min="1" max="1" width="8" customWidth="1"/>
    <col min="2" max="2" width="26" customWidth="1"/>
    <col min="3" max="4" width="12" customWidth="1"/>
    <col min="5" max="5" width="13" customWidth="1"/>
    <col min="6" max="8" width="17" customWidth="1"/>
    <col min="9" max="9" width="13" customWidth="1"/>
  </cols>
  <sheetData>
    <row r="1" spans="1:9" ht="33.950000000000003" customHeight="1">
      <c r="A1" s="34" t="str">
        <f>"第3日｜4 波配置｜日终地下探索 +"&amp;全局设置!F16&amp;" AP"</f>
        <v>第3日｜4 波配置｜日终地下探索 +5 AP</v>
      </c>
      <c r="B1" s="34"/>
      <c r="C1" s="34"/>
      <c r="D1" s="34"/>
      <c r="E1" s="34"/>
      <c r="F1" s="34"/>
      <c r="G1" s="34"/>
      <c r="H1" s="34"/>
      <c r="I1" s="34"/>
    </row>
    <row r="2" spans="1:9" ht="21.95" customHeight="1">
      <c r="A2" s="33" t="s">
        <v>153</v>
      </c>
      <c r="B2" s="33"/>
      <c r="C2" s="33"/>
      <c r="D2" s="33"/>
      <c r="E2" s="33"/>
      <c r="F2" s="33"/>
      <c r="G2" s="33"/>
      <c r="H2" s="33"/>
      <c r="I2" s="33"/>
    </row>
    <row r="3" spans="1:9" ht="21.95" customHeight="1">
      <c r="A3" s="6" t="s">
        <v>101</v>
      </c>
      <c r="B3" s="39" t="s">
        <v>61</v>
      </c>
      <c r="C3" s="39" t="s">
        <v>154</v>
      </c>
      <c r="D3" s="6" t="s">
        <v>103</v>
      </c>
      <c r="E3" s="7">
        <v>0.28000000000000003</v>
      </c>
      <c r="F3" s="6" t="s">
        <v>104</v>
      </c>
      <c r="G3" s="7">
        <v>1</v>
      </c>
      <c r="H3" s="6" t="s">
        <v>49</v>
      </c>
      <c r="I3" s="7">
        <v>300</v>
      </c>
    </row>
    <row r="4" spans="1:9" ht="21.95" customHeight="1">
      <c r="A4" s="6" t="s">
        <v>105</v>
      </c>
      <c r="B4" s="11" t="s">
        <v>106</v>
      </c>
      <c r="C4" s="11" t="s">
        <v>107</v>
      </c>
      <c r="D4" s="11" t="s">
        <v>108</v>
      </c>
      <c r="E4" s="11" t="s">
        <v>109</v>
      </c>
      <c r="F4" s="11" t="s">
        <v>133</v>
      </c>
      <c r="G4" s="11" t="s">
        <v>134</v>
      </c>
      <c r="H4" s="6" t="s">
        <v>112</v>
      </c>
      <c r="I4" s="15" t="str">
        <f>IF(COUNTA(B7:B24)=0,"待设计",IF(COUNTIF(I7:I24,"需修正")&gt;0,"需修正","可回读"))</f>
        <v>可回读</v>
      </c>
    </row>
    <row r="5" spans="1:9" ht="21.95" customHeight="1">
      <c r="A5" s="40" t="s">
        <v>113</v>
      </c>
      <c r="B5" s="40"/>
      <c r="C5" s="40"/>
      <c r="D5" s="40"/>
      <c r="E5" s="40"/>
      <c r="F5" s="40"/>
      <c r="G5" s="40"/>
      <c r="H5" s="40"/>
      <c r="I5" s="40"/>
    </row>
    <row r="6" spans="1:9" ht="21.95" customHeight="1">
      <c r="A6" s="6" t="s">
        <v>114</v>
      </c>
      <c r="B6" s="6" t="s">
        <v>115</v>
      </c>
      <c r="C6" s="6" t="s">
        <v>43</v>
      </c>
      <c r="D6" s="6" t="s">
        <v>44</v>
      </c>
      <c r="E6" s="6" t="s">
        <v>116</v>
      </c>
      <c r="F6" s="6" t="s">
        <v>46</v>
      </c>
      <c r="G6" s="6" t="s">
        <v>47</v>
      </c>
      <c r="H6" s="6" t="s">
        <v>34</v>
      </c>
      <c r="I6" s="6" t="s">
        <v>117</v>
      </c>
    </row>
    <row r="7" spans="1:9" ht="21.95" customHeight="1">
      <c r="A7" s="16">
        <v>1</v>
      </c>
      <c r="B7" s="14" t="s">
        <v>120</v>
      </c>
      <c r="C7" s="14">
        <v>26</v>
      </c>
      <c r="D7" s="8">
        <f>IF(B7="",0,ROUNDUP(C7*(1+(全局设置!$B$5-1)*全局设置!$B$6),0))</f>
        <v>26</v>
      </c>
      <c r="E7" s="17">
        <f>IF(B7="",0,IFERROR(VLOOKUP(B7,敌人目录!$A$6:$M$68,13,FALSE),0))</f>
        <v>1</v>
      </c>
      <c r="F7" s="17">
        <f t="shared" ref="F7:F24" si="0">D7*E7</f>
        <v>26</v>
      </c>
      <c r="G7" s="17">
        <f>F7*全局设置!$B$7</f>
        <v>26</v>
      </c>
      <c r="H7" s="17">
        <f>G7*全局设置!$B$5</f>
        <v>26</v>
      </c>
      <c r="I7" s="15" t="str">
        <f t="shared" ref="I7:I24" si="1">IF(AND(B7="",C7=""),"",IF(AND(B7&lt;&gt;"",C7&gt;=1,COUNTIF($B$7:$B$24,B7)=1),"可回读","需修正"))</f>
        <v>可回读</v>
      </c>
    </row>
    <row r="8" spans="1:9" ht="21.95" customHeight="1">
      <c r="A8" s="16">
        <v>2</v>
      </c>
      <c r="B8" s="14" t="s">
        <v>121</v>
      </c>
      <c r="C8" s="14">
        <v>20</v>
      </c>
      <c r="D8" s="8">
        <f>IF(B8="",0,ROUNDUP(C8*(1+(全局设置!$B$5-1)*全局设置!$B$6),0))</f>
        <v>20</v>
      </c>
      <c r="E8" s="17">
        <f>IF(B8="",0,IFERROR(VLOOKUP(B8,敌人目录!$A$6:$M$68,13,FALSE),0))</f>
        <v>1</v>
      </c>
      <c r="F8" s="17">
        <f t="shared" si="0"/>
        <v>20</v>
      </c>
      <c r="G8" s="17">
        <f>F8*全局设置!$B$7</f>
        <v>20</v>
      </c>
      <c r="H8" s="17">
        <f>G8*全局设置!$B$5</f>
        <v>20</v>
      </c>
      <c r="I8" s="15" t="str">
        <f t="shared" si="1"/>
        <v>可回读</v>
      </c>
    </row>
    <row r="9" spans="1:9" ht="21.95" customHeight="1">
      <c r="A9" s="16">
        <v>3</v>
      </c>
      <c r="B9" s="14" t="s">
        <v>129</v>
      </c>
      <c r="C9" s="14">
        <v>20</v>
      </c>
      <c r="D9" s="8">
        <f>IF(B9="",0,ROUNDUP(C9*(1+(全局设置!$B$5-1)*全局设置!$B$6),0))</f>
        <v>20</v>
      </c>
      <c r="E9" s="17">
        <f>IF(B9="",0,IFERROR(VLOOKUP(B9,敌人目录!$A$6:$M$68,13,FALSE),0))</f>
        <v>2</v>
      </c>
      <c r="F9" s="17">
        <f t="shared" si="0"/>
        <v>40</v>
      </c>
      <c r="G9" s="17">
        <f>F9*全局设置!$B$7</f>
        <v>40</v>
      </c>
      <c r="H9" s="17">
        <f>G9*全局设置!$B$5</f>
        <v>40</v>
      </c>
      <c r="I9" s="15" t="str">
        <f t="shared" si="1"/>
        <v>可回读</v>
      </c>
    </row>
    <row r="10" spans="1:9" ht="21.95" customHeight="1">
      <c r="A10" s="16">
        <v>4</v>
      </c>
      <c r="B10" s="14" t="s">
        <v>136</v>
      </c>
      <c r="C10" s="14">
        <v>16</v>
      </c>
      <c r="D10" s="8">
        <f>IF(B10="",0,ROUNDUP(C10*(1+(全局设置!$B$5-1)*全局设置!$B$6),0))</f>
        <v>16</v>
      </c>
      <c r="E10" s="17">
        <f>IF(B10="",0,IFERROR(VLOOKUP(B10,敌人目录!$A$6:$M$68,13,FALSE),0))</f>
        <v>1</v>
      </c>
      <c r="F10" s="17">
        <f t="shared" si="0"/>
        <v>16</v>
      </c>
      <c r="G10" s="17">
        <f>F10*全局设置!$B$7</f>
        <v>16</v>
      </c>
      <c r="H10" s="17">
        <f>G10*全局设置!$B$5</f>
        <v>16</v>
      </c>
      <c r="I10" s="15" t="str">
        <f t="shared" si="1"/>
        <v>可回读</v>
      </c>
    </row>
    <row r="11" spans="1:9" ht="21.95" customHeight="1">
      <c r="A11" s="16">
        <v>5</v>
      </c>
      <c r="B11" s="14" t="s">
        <v>138</v>
      </c>
      <c r="C11" s="14">
        <v>12</v>
      </c>
      <c r="D11" s="8">
        <f>IF(B11="",0,ROUNDUP(C11*(1+(全局设置!$B$5-1)*全局设置!$B$6),0))</f>
        <v>12</v>
      </c>
      <c r="E11" s="17">
        <f>IF(B11="",0,IFERROR(VLOOKUP(B11,敌人目录!$A$6:$M$68,13,FALSE),0))</f>
        <v>2</v>
      </c>
      <c r="F11" s="17">
        <f t="shared" si="0"/>
        <v>24</v>
      </c>
      <c r="G11" s="17">
        <f>F11*全局设置!$B$7</f>
        <v>24</v>
      </c>
      <c r="H11" s="17">
        <f>G11*全局设置!$B$5</f>
        <v>24</v>
      </c>
      <c r="I11" s="15" t="str">
        <f t="shared" si="1"/>
        <v>可回读</v>
      </c>
    </row>
    <row r="12" spans="1:9" ht="21.95" customHeight="1">
      <c r="A12" s="16">
        <v>6</v>
      </c>
      <c r="B12" s="14" t="s">
        <v>122</v>
      </c>
      <c r="C12" s="14">
        <v>20</v>
      </c>
      <c r="D12" s="8">
        <f>IF(B12="",0,ROUNDUP(C12*(1+(全局设置!$B$5-1)*全局设置!$B$6),0))</f>
        <v>20</v>
      </c>
      <c r="E12" s="17">
        <f>IF(B12="",0,IFERROR(VLOOKUP(B12,敌人目录!$A$6:$M$68,13,FALSE),0))</f>
        <v>1</v>
      </c>
      <c r="F12" s="17">
        <f t="shared" si="0"/>
        <v>20</v>
      </c>
      <c r="G12" s="17">
        <f>F12*全局设置!$B$7</f>
        <v>20</v>
      </c>
      <c r="H12" s="17">
        <f>G12*全局设置!$B$5</f>
        <v>20</v>
      </c>
      <c r="I12" s="15" t="str">
        <f t="shared" si="1"/>
        <v>可回读</v>
      </c>
    </row>
    <row r="13" spans="1:9" ht="21.95" customHeight="1">
      <c r="A13" s="16">
        <v>7</v>
      </c>
      <c r="B13" s="14" t="s">
        <v>141</v>
      </c>
      <c r="C13" s="14">
        <v>16</v>
      </c>
      <c r="D13" s="8">
        <f>IF(B13="",0,ROUNDUP(C13*(1+(全局设置!$B$5-1)*全局设置!$B$6),0))</f>
        <v>16</v>
      </c>
      <c r="E13" s="17">
        <f>IF(B13="",0,IFERROR(VLOOKUP(B13,敌人目录!$A$6:$M$68,13,FALSE),0))</f>
        <v>2</v>
      </c>
      <c r="F13" s="17">
        <f t="shared" si="0"/>
        <v>32</v>
      </c>
      <c r="G13" s="17">
        <f>F13*全局设置!$B$7</f>
        <v>32</v>
      </c>
      <c r="H13" s="17">
        <f>G13*全局设置!$B$5</f>
        <v>32</v>
      </c>
      <c r="I13" s="15" t="str">
        <f t="shared" si="1"/>
        <v>可回读</v>
      </c>
    </row>
    <row r="14" spans="1:9" ht="21.95" customHeight="1">
      <c r="A14" s="16">
        <v>8</v>
      </c>
      <c r="B14" s="14" t="s">
        <v>135</v>
      </c>
      <c r="C14" s="14">
        <v>12</v>
      </c>
      <c r="D14" s="8">
        <f>IF(B14="",0,ROUNDUP(C14*(1+(全局设置!$B$5-1)*全局设置!$B$6),0))</f>
        <v>12</v>
      </c>
      <c r="E14" s="17">
        <f>IF(B14="",0,IFERROR(VLOOKUP(B14,敌人目录!$A$6:$M$68,13,FALSE),0))</f>
        <v>2</v>
      </c>
      <c r="F14" s="17">
        <f t="shared" si="0"/>
        <v>24</v>
      </c>
      <c r="G14" s="17">
        <f>F14*全局设置!$B$7</f>
        <v>24</v>
      </c>
      <c r="H14" s="17">
        <f>G14*全局设置!$B$5</f>
        <v>24</v>
      </c>
      <c r="I14" s="15" t="str">
        <f t="shared" si="1"/>
        <v>可回读</v>
      </c>
    </row>
    <row r="15" spans="1:9" ht="21.95" customHeight="1">
      <c r="A15" s="16">
        <v>9</v>
      </c>
      <c r="B15" s="14" t="s">
        <v>155</v>
      </c>
      <c r="C15" s="14">
        <v>2</v>
      </c>
      <c r="D15" s="8">
        <f>IF(B15="",0,ROUNDUP(C15*(1+(全局设置!$B$5-1)*全局设置!$B$6),0))</f>
        <v>2</v>
      </c>
      <c r="E15" s="17">
        <f>IF(B15="",0,IFERROR(VLOOKUP(B15,敌人目录!$A$6:$M$68,13,FALSE),0))</f>
        <v>20</v>
      </c>
      <c r="F15" s="17">
        <f t="shared" si="0"/>
        <v>40</v>
      </c>
      <c r="G15" s="17">
        <f>F15*全局设置!$B$7</f>
        <v>40</v>
      </c>
      <c r="H15" s="17">
        <f>G15*全局设置!$B$5</f>
        <v>40</v>
      </c>
      <c r="I15" s="15" t="str">
        <f t="shared" si="1"/>
        <v>可回读</v>
      </c>
    </row>
    <row r="16" spans="1:9" ht="21.95" customHeight="1">
      <c r="A16" s="16">
        <v>10</v>
      </c>
      <c r="B16" s="14"/>
      <c r="C16" s="14"/>
      <c r="D16" s="8">
        <f>IF(B16="",0,ROUNDUP(C16*(1+(全局设置!$B$5-1)*全局设置!$B$6),0))</f>
        <v>0</v>
      </c>
      <c r="E16" s="17">
        <f>IF(B16="",0,IFERROR(VLOOKUP(B16,敌人目录!$A$6:$M$68,13,FALSE),0))</f>
        <v>0</v>
      </c>
      <c r="F16" s="17">
        <f t="shared" si="0"/>
        <v>0</v>
      </c>
      <c r="G16" s="17">
        <f>F16*全局设置!$B$7</f>
        <v>0</v>
      </c>
      <c r="H16" s="17">
        <f>G16*全局设置!$B$5</f>
        <v>0</v>
      </c>
      <c r="I16" s="15" t="str">
        <f t="shared" si="1"/>
        <v/>
      </c>
    </row>
    <row r="17" spans="1:9" ht="21.95" customHeight="1">
      <c r="A17" s="16">
        <v>11</v>
      </c>
      <c r="B17" s="14"/>
      <c r="C17" s="14"/>
      <c r="D17" s="8">
        <f>IF(B17="",0,ROUNDUP(C17*(1+(全局设置!$B$5-1)*全局设置!$B$6),0))</f>
        <v>0</v>
      </c>
      <c r="E17" s="17">
        <f>IF(B17="",0,IFERROR(VLOOKUP(B17,敌人目录!$A$6:$M$68,13,FALSE),0))</f>
        <v>0</v>
      </c>
      <c r="F17" s="17">
        <f t="shared" si="0"/>
        <v>0</v>
      </c>
      <c r="G17" s="17">
        <f>F17*全局设置!$B$7</f>
        <v>0</v>
      </c>
      <c r="H17" s="17">
        <f>G17*全局设置!$B$5</f>
        <v>0</v>
      </c>
      <c r="I17" s="15" t="str">
        <f t="shared" si="1"/>
        <v/>
      </c>
    </row>
    <row r="18" spans="1:9" ht="21.95" customHeight="1">
      <c r="A18" s="16">
        <v>12</v>
      </c>
      <c r="B18" s="14"/>
      <c r="C18" s="14"/>
      <c r="D18" s="8">
        <f>IF(B18="",0,ROUNDUP(C18*(1+(全局设置!$B$5-1)*全局设置!$B$6),0))</f>
        <v>0</v>
      </c>
      <c r="E18" s="17">
        <f>IF(B18="",0,IFERROR(VLOOKUP(B18,敌人目录!$A$6:$M$68,13,FALSE),0))</f>
        <v>0</v>
      </c>
      <c r="F18" s="17">
        <f t="shared" si="0"/>
        <v>0</v>
      </c>
      <c r="G18" s="17">
        <f>F18*全局设置!$B$7</f>
        <v>0</v>
      </c>
      <c r="H18" s="17">
        <f>G18*全局设置!$B$5</f>
        <v>0</v>
      </c>
      <c r="I18" s="15" t="str">
        <f t="shared" si="1"/>
        <v/>
      </c>
    </row>
    <row r="19" spans="1:9" ht="21.95" customHeight="1">
      <c r="A19" s="16">
        <v>13</v>
      </c>
      <c r="B19" s="14"/>
      <c r="C19" s="14"/>
      <c r="D19" s="8">
        <f>IF(B19="",0,ROUNDUP(C19*(1+(全局设置!$B$5-1)*全局设置!$B$6),0))</f>
        <v>0</v>
      </c>
      <c r="E19" s="17">
        <f>IF(B19="",0,IFERROR(VLOOKUP(B19,敌人目录!$A$6:$M$68,13,FALSE),0))</f>
        <v>0</v>
      </c>
      <c r="F19" s="17">
        <f t="shared" si="0"/>
        <v>0</v>
      </c>
      <c r="G19" s="17">
        <f>F19*全局设置!$B$7</f>
        <v>0</v>
      </c>
      <c r="H19" s="17">
        <f>G19*全局设置!$B$5</f>
        <v>0</v>
      </c>
      <c r="I19" s="15" t="str">
        <f t="shared" si="1"/>
        <v/>
      </c>
    </row>
    <row r="20" spans="1:9" ht="21.95" customHeight="1">
      <c r="A20" s="16">
        <v>14</v>
      </c>
      <c r="B20" s="14"/>
      <c r="C20" s="14"/>
      <c r="D20" s="8">
        <f>IF(B20="",0,ROUNDUP(C20*(1+(全局设置!$B$5-1)*全局设置!$B$6),0))</f>
        <v>0</v>
      </c>
      <c r="E20" s="17">
        <f>IF(B20="",0,IFERROR(VLOOKUP(B20,敌人目录!$A$6:$M$68,13,FALSE),0))</f>
        <v>0</v>
      </c>
      <c r="F20" s="17">
        <f t="shared" si="0"/>
        <v>0</v>
      </c>
      <c r="G20" s="17">
        <f>F20*全局设置!$B$7</f>
        <v>0</v>
      </c>
      <c r="H20" s="17">
        <f>G20*全局设置!$B$5</f>
        <v>0</v>
      </c>
      <c r="I20" s="15" t="str">
        <f t="shared" si="1"/>
        <v/>
      </c>
    </row>
    <row r="21" spans="1:9" ht="21.95" customHeight="1">
      <c r="A21" s="16">
        <v>15</v>
      </c>
      <c r="B21" s="14"/>
      <c r="C21" s="14"/>
      <c r="D21" s="8">
        <f>IF(B21="",0,ROUNDUP(C21*(1+(全局设置!$B$5-1)*全局设置!$B$6),0))</f>
        <v>0</v>
      </c>
      <c r="E21" s="17">
        <f>IF(B21="",0,IFERROR(VLOOKUP(B21,敌人目录!$A$6:$M$68,13,FALSE),0))</f>
        <v>0</v>
      </c>
      <c r="F21" s="17">
        <f t="shared" si="0"/>
        <v>0</v>
      </c>
      <c r="G21" s="17">
        <f>F21*全局设置!$B$7</f>
        <v>0</v>
      </c>
      <c r="H21" s="17">
        <f>G21*全局设置!$B$5</f>
        <v>0</v>
      </c>
      <c r="I21" s="15" t="str">
        <f t="shared" si="1"/>
        <v/>
      </c>
    </row>
    <row r="22" spans="1:9" ht="21.95" customHeight="1">
      <c r="A22" s="16">
        <v>16</v>
      </c>
      <c r="B22" s="14"/>
      <c r="C22" s="14"/>
      <c r="D22" s="8">
        <f>IF(B22="",0,ROUNDUP(C22*(1+(全局设置!$B$5-1)*全局设置!$B$6),0))</f>
        <v>0</v>
      </c>
      <c r="E22" s="17">
        <f>IF(B22="",0,IFERROR(VLOOKUP(B22,敌人目录!$A$6:$M$68,13,FALSE),0))</f>
        <v>0</v>
      </c>
      <c r="F22" s="17">
        <f t="shared" si="0"/>
        <v>0</v>
      </c>
      <c r="G22" s="17">
        <f>F22*全局设置!$B$7</f>
        <v>0</v>
      </c>
      <c r="H22" s="17">
        <f>G22*全局设置!$B$5</f>
        <v>0</v>
      </c>
      <c r="I22" s="15" t="str">
        <f t="shared" si="1"/>
        <v/>
      </c>
    </row>
    <row r="23" spans="1:9" ht="21.95" customHeight="1">
      <c r="A23" s="16">
        <v>17</v>
      </c>
      <c r="B23" s="14"/>
      <c r="C23" s="14"/>
      <c r="D23" s="8">
        <f>IF(B23="",0,ROUNDUP(C23*(1+(全局设置!$B$5-1)*全局设置!$B$6),0))</f>
        <v>0</v>
      </c>
      <c r="E23" s="17">
        <f>IF(B23="",0,IFERROR(VLOOKUP(B23,敌人目录!$A$6:$M$68,13,FALSE),0))</f>
        <v>0</v>
      </c>
      <c r="F23" s="17">
        <f t="shared" si="0"/>
        <v>0</v>
      </c>
      <c r="G23" s="17">
        <f>F23*全局设置!$B$7</f>
        <v>0</v>
      </c>
      <c r="H23" s="17">
        <f>G23*全局设置!$B$5</f>
        <v>0</v>
      </c>
      <c r="I23" s="15" t="str">
        <f t="shared" si="1"/>
        <v/>
      </c>
    </row>
    <row r="24" spans="1:9" ht="21.95" customHeight="1">
      <c r="A24" s="16">
        <v>18</v>
      </c>
      <c r="B24" s="14"/>
      <c r="C24" s="14"/>
      <c r="D24" s="8">
        <f>IF(B24="",0,ROUNDUP(C24*(1+(全局设置!$B$5-1)*全局设置!$B$6),0))</f>
        <v>0</v>
      </c>
      <c r="E24" s="17">
        <f>IF(B24="",0,IFERROR(VLOOKUP(B24,敌人目录!$A$6:$M$68,13,FALSE),0))</f>
        <v>0</v>
      </c>
      <c r="F24" s="17">
        <f t="shared" si="0"/>
        <v>0</v>
      </c>
      <c r="G24" s="17">
        <f>F24*全局设置!$B$7</f>
        <v>0</v>
      </c>
      <c r="H24" s="17">
        <f>G24*全局设置!$B$5</f>
        <v>0</v>
      </c>
      <c r="I24" s="15" t="str">
        <f t="shared" si="1"/>
        <v/>
      </c>
    </row>
    <row r="25" spans="1:9" ht="21.95" customHeight="1"/>
    <row r="26" spans="1:9" ht="21.95" customHeight="1">
      <c r="A26" s="6" t="s">
        <v>123</v>
      </c>
      <c r="B26" s="8">
        <f>SUM(C7:C24)</f>
        <v>144</v>
      </c>
      <c r="C26" s="6" t="s">
        <v>124</v>
      </c>
      <c r="D26" s="8">
        <f>SUM(D7:D24)</f>
        <v>144</v>
      </c>
      <c r="E26" s="6" t="s">
        <v>46</v>
      </c>
      <c r="F26" s="8">
        <f>SUM(F7:F24)</f>
        <v>242</v>
      </c>
      <c r="G26" s="6" t="s">
        <v>47</v>
      </c>
      <c r="H26" s="8">
        <f>SUM(G7:G24)</f>
        <v>242</v>
      </c>
      <c r="I26" s="8"/>
    </row>
    <row r="27" spans="1:9" ht="21.95" customHeight="1">
      <c r="A27" s="18" t="s">
        <v>34</v>
      </c>
      <c r="B27" s="4">
        <f>SUM(H7:H24)</f>
        <v>242</v>
      </c>
      <c r="C27" s="18" t="s">
        <v>125</v>
      </c>
      <c r="D27" s="41" t="s">
        <v>126</v>
      </c>
      <c r="E27" s="41"/>
      <c r="F27" s="41"/>
      <c r="G27" s="41"/>
      <c r="H27" s="41"/>
      <c r="I27" s="41"/>
    </row>
    <row r="28" spans="1:9" ht="21.95" customHeight="1"/>
    <row r="29" spans="1:9" ht="21.95" customHeight="1"/>
    <row r="30" spans="1:9" ht="21.95" customHeight="1"/>
    <row r="31" spans="1:9" ht="21.95" customHeight="1">
      <c r="A31" s="33" t="s">
        <v>156</v>
      </c>
      <c r="B31" s="33"/>
      <c r="C31" s="33"/>
      <c r="D31" s="33"/>
      <c r="E31" s="33"/>
      <c r="F31" s="33"/>
      <c r="G31" s="33"/>
      <c r="H31" s="33"/>
      <c r="I31" s="33"/>
    </row>
    <row r="32" spans="1:9" ht="21.95" customHeight="1">
      <c r="A32" s="6" t="s">
        <v>101</v>
      </c>
      <c r="B32" s="39" t="s">
        <v>62</v>
      </c>
      <c r="C32" s="39" t="s">
        <v>157</v>
      </c>
      <c r="D32" s="6" t="s">
        <v>103</v>
      </c>
      <c r="E32" s="7">
        <v>0.26</v>
      </c>
      <c r="F32" s="6" t="s">
        <v>104</v>
      </c>
      <c r="G32" s="7">
        <v>1</v>
      </c>
      <c r="H32" s="6" t="s">
        <v>49</v>
      </c>
      <c r="I32" s="7">
        <v>300</v>
      </c>
    </row>
    <row r="33" spans="1:9" ht="21.95" customHeight="1">
      <c r="A33" s="6" t="s">
        <v>105</v>
      </c>
      <c r="B33" s="11" t="s">
        <v>106</v>
      </c>
      <c r="C33" s="11" t="s">
        <v>107</v>
      </c>
      <c r="D33" s="11" t="s">
        <v>108</v>
      </c>
      <c r="E33" s="11" t="s">
        <v>109</v>
      </c>
      <c r="F33" s="11" t="s">
        <v>133</v>
      </c>
      <c r="G33" s="11" t="s">
        <v>134</v>
      </c>
      <c r="H33" s="6" t="s">
        <v>112</v>
      </c>
      <c r="I33" s="15" t="str">
        <f>IF(COUNTA(B36:B53)=0,"待设计",IF(COUNTIF(I36:I53,"需修正")&gt;0,"需修正","可回读"))</f>
        <v>可回读</v>
      </c>
    </row>
    <row r="34" spans="1:9" ht="21.95" customHeight="1">
      <c r="A34" s="40" t="s">
        <v>113</v>
      </c>
      <c r="B34" s="40"/>
      <c r="C34" s="40"/>
      <c r="D34" s="40"/>
      <c r="E34" s="40"/>
      <c r="F34" s="40"/>
      <c r="G34" s="40"/>
      <c r="H34" s="40"/>
      <c r="I34" s="40"/>
    </row>
    <row r="35" spans="1:9" ht="21.95" customHeight="1">
      <c r="A35" s="6" t="s">
        <v>114</v>
      </c>
      <c r="B35" s="6" t="s">
        <v>115</v>
      </c>
      <c r="C35" s="6" t="s">
        <v>43</v>
      </c>
      <c r="D35" s="6" t="s">
        <v>44</v>
      </c>
      <c r="E35" s="6" t="s">
        <v>116</v>
      </c>
      <c r="F35" s="6" t="s">
        <v>46</v>
      </c>
      <c r="G35" s="6" t="s">
        <v>47</v>
      </c>
      <c r="H35" s="6" t="s">
        <v>34</v>
      </c>
      <c r="I35" s="6" t="s">
        <v>117</v>
      </c>
    </row>
    <row r="36" spans="1:9" ht="21.95" customHeight="1">
      <c r="A36" s="16">
        <v>1</v>
      </c>
      <c r="B36" s="14" t="s">
        <v>120</v>
      </c>
      <c r="C36" s="14">
        <v>20</v>
      </c>
      <c r="D36" s="8">
        <f>IF(B36="",0,ROUNDUP(C36*(1+(全局设置!$B$5-1)*全局设置!$B$6),0))</f>
        <v>20</v>
      </c>
      <c r="E36" s="17">
        <f>IF(B36="",0,IFERROR(VLOOKUP(B36,敌人目录!$A$6:$M$68,13,FALSE),0))</f>
        <v>1</v>
      </c>
      <c r="F36" s="17">
        <f t="shared" ref="F36:F53" si="2">D36*E36</f>
        <v>20</v>
      </c>
      <c r="G36" s="17">
        <f>F36*全局设置!$B$7</f>
        <v>20</v>
      </c>
      <c r="H36" s="17">
        <f>G36*全局设置!$B$5</f>
        <v>20</v>
      </c>
      <c r="I36" s="15" t="str">
        <f t="shared" ref="I36:I53" si="3">IF(AND(B36="",C36=""),"",IF(AND(B36&lt;&gt;"",C36&gt;=1,COUNTIF($B$36:$B$53,B36)=1),"可回读","需修正"))</f>
        <v>可回读</v>
      </c>
    </row>
    <row r="37" spans="1:9" ht="21.95" customHeight="1">
      <c r="A37" s="16">
        <v>2</v>
      </c>
      <c r="B37" s="14" t="s">
        <v>121</v>
      </c>
      <c r="C37" s="14">
        <v>24</v>
      </c>
      <c r="D37" s="8">
        <f>IF(B37="",0,ROUNDUP(C37*(1+(全局设置!$B$5-1)*全局设置!$B$6),0))</f>
        <v>24</v>
      </c>
      <c r="E37" s="17">
        <f>IF(B37="",0,IFERROR(VLOOKUP(B37,敌人目录!$A$6:$M$68,13,FALSE),0))</f>
        <v>1</v>
      </c>
      <c r="F37" s="17">
        <f t="shared" si="2"/>
        <v>24</v>
      </c>
      <c r="G37" s="17">
        <f>F37*全局设置!$B$7</f>
        <v>24</v>
      </c>
      <c r="H37" s="17">
        <f>G37*全局设置!$B$5</f>
        <v>24</v>
      </c>
      <c r="I37" s="15" t="str">
        <f t="shared" si="3"/>
        <v>可回读</v>
      </c>
    </row>
    <row r="38" spans="1:9" ht="21.95" customHeight="1">
      <c r="A38" s="16">
        <v>3</v>
      </c>
      <c r="B38" s="14" t="s">
        <v>129</v>
      </c>
      <c r="C38" s="14">
        <v>24</v>
      </c>
      <c r="D38" s="8">
        <f>IF(B38="",0,ROUNDUP(C38*(1+(全局设置!$B$5-1)*全局设置!$B$6),0))</f>
        <v>24</v>
      </c>
      <c r="E38" s="17">
        <f>IF(B38="",0,IFERROR(VLOOKUP(B38,敌人目录!$A$6:$M$68,13,FALSE),0))</f>
        <v>2</v>
      </c>
      <c r="F38" s="17">
        <f t="shared" si="2"/>
        <v>48</v>
      </c>
      <c r="G38" s="17">
        <f>F38*全局设置!$B$7</f>
        <v>48</v>
      </c>
      <c r="H38" s="17">
        <f>G38*全局设置!$B$5</f>
        <v>48</v>
      </c>
      <c r="I38" s="15" t="str">
        <f t="shared" si="3"/>
        <v>可回读</v>
      </c>
    </row>
    <row r="39" spans="1:9" ht="21.95" customHeight="1">
      <c r="A39" s="16">
        <v>4</v>
      </c>
      <c r="B39" s="14" t="s">
        <v>136</v>
      </c>
      <c r="C39" s="14">
        <v>20</v>
      </c>
      <c r="D39" s="8">
        <f>IF(B39="",0,ROUNDUP(C39*(1+(全局设置!$B$5-1)*全局设置!$B$6),0))</f>
        <v>20</v>
      </c>
      <c r="E39" s="17">
        <f>IF(B39="",0,IFERROR(VLOOKUP(B39,敌人目录!$A$6:$M$68,13,FALSE),0))</f>
        <v>1</v>
      </c>
      <c r="F39" s="17">
        <f t="shared" si="2"/>
        <v>20</v>
      </c>
      <c r="G39" s="17">
        <f>F39*全局设置!$B$7</f>
        <v>20</v>
      </c>
      <c r="H39" s="17">
        <f>G39*全局设置!$B$5</f>
        <v>20</v>
      </c>
      <c r="I39" s="15" t="str">
        <f t="shared" si="3"/>
        <v>可回读</v>
      </c>
    </row>
    <row r="40" spans="1:9" ht="21.95" customHeight="1">
      <c r="A40" s="16">
        <v>5</v>
      </c>
      <c r="B40" s="14" t="s">
        <v>138</v>
      </c>
      <c r="C40" s="14">
        <v>16</v>
      </c>
      <c r="D40" s="8">
        <f>IF(B40="",0,ROUNDUP(C40*(1+(全局设置!$B$5-1)*全局设置!$B$6),0))</f>
        <v>16</v>
      </c>
      <c r="E40" s="17">
        <f>IF(B40="",0,IFERROR(VLOOKUP(B40,敌人目录!$A$6:$M$68,13,FALSE),0))</f>
        <v>2</v>
      </c>
      <c r="F40" s="17">
        <f t="shared" si="2"/>
        <v>32</v>
      </c>
      <c r="G40" s="17">
        <f>F40*全局设置!$B$7</f>
        <v>32</v>
      </c>
      <c r="H40" s="17">
        <f>G40*全局设置!$B$5</f>
        <v>32</v>
      </c>
      <c r="I40" s="15" t="str">
        <f t="shared" si="3"/>
        <v>可回读</v>
      </c>
    </row>
    <row r="41" spans="1:9" ht="21.95" customHeight="1">
      <c r="A41" s="16">
        <v>6</v>
      </c>
      <c r="B41" s="14" t="s">
        <v>122</v>
      </c>
      <c r="C41" s="14">
        <v>20</v>
      </c>
      <c r="D41" s="8">
        <f>IF(B41="",0,ROUNDUP(C41*(1+(全局设置!$B$5-1)*全局设置!$B$6),0))</f>
        <v>20</v>
      </c>
      <c r="E41" s="17">
        <f>IF(B41="",0,IFERROR(VLOOKUP(B41,敌人目录!$A$6:$M$68,13,FALSE),0))</f>
        <v>1</v>
      </c>
      <c r="F41" s="17">
        <f t="shared" si="2"/>
        <v>20</v>
      </c>
      <c r="G41" s="17">
        <f>F41*全局设置!$B$7</f>
        <v>20</v>
      </c>
      <c r="H41" s="17">
        <f>G41*全局设置!$B$5</f>
        <v>20</v>
      </c>
      <c r="I41" s="15" t="str">
        <f t="shared" si="3"/>
        <v>可回读</v>
      </c>
    </row>
    <row r="42" spans="1:9" ht="21.95" customHeight="1">
      <c r="A42" s="16">
        <v>7</v>
      </c>
      <c r="B42" s="14" t="s">
        <v>141</v>
      </c>
      <c r="C42" s="14">
        <v>16</v>
      </c>
      <c r="D42" s="8">
        <f>IF(B42="",0,ROUNDUP(C42*(1+(全局设置!$B$5-1)*全局设置!$B$6),0))</f>
        <v>16</v>
      </c>
      <c r="E42" s="17">
        <f>IF(B42="",0,IFERROR(VLOOKUP(B42,敌人目录!$A$6:$M$68,13,FALSE),0))</f>
        <v>2</v>
      </c>
      <c r="F42" s="17">
        <f t="shared" si="2"/>
        <v>32</v>
      </c>
      <c r="G42" s="17">
        <f>F42*全局设置!$B$7</f>
        <v>32</v>
      </c>
      <c r="H42" s="17">
        <f>G42*全局设置!$B$5</f>
        <v>32</v>
      </c>
      <c r="I42" s="15" t="str">
        <f t="shared" si="3"/>
        <v>可回读</v>
      </c>
    </row>
    <row r="43" spans="1:9" ht="21.95" customHeight="1">
      <c r="A43" s="16">
        <v>8</v>
      </c>
      <c r="B43" s="14" t="s">
        <v>135</v>
      </c>
      <c r="C43" s="14">
        <v>16</v>
      </c>
      <c r="D43" s="8">
        <f>IF(B43="",0,ROUNDUP(C43*(1+(全局设置!$B$5-1)*全局设置!$B$6),0))</f>
        <v>16</v>
      </c>
      <c r="E43" s="17">
        <f>IF(B43="",0,IFERROR(VLOOKUP(B43,敌人目录!$A$6:$M$68,13,FALSE),0))</f>
        <v>2</v>
      </c>
      <c r="F43" s="17">
        <f t="shared" si="2"/>
        <v>32</v>
      </c>
      <c r="G43" s="17">
        <f>F43*全局设置!$B$7</f>
        <v>32</v>
      </c>
      <c r="H43" s="17">
        <f>G43*全局设置!$B$5</f>
        <v>32</v>
      </c>
      <c r="I43" s="15" t="str">
        <f t="shared" si="3"/>
        <v>可回读</v>
      </c>
    </row>
    <row r="44" spans="1:9" ht="21.95" customHeight="1">
      <c r="A44" s="16">
        <v>9</v>
      </c>
      <c r="B44" s="14" t="s">
        <v>144</v>
      </c>
      <c r="C44" s="14">
        <v>2</v>
      </c>
      <c r="D44" s="8">
        <f>IF(B44="",0,ROUNDUP(C44*(1+(全局设置!$B$5-1)*全局设置!$B$6),0))</f>
        <v>2</v>
      </c>
      <c r="E44" s="17">
        <f>IF(B44="",0,IFERROR(VLOOKUP(B44,敌人目录!$A$6:$M$68,13,FALSE),0))</f>
        <v>20</v>
      </c>
      <c r="F44" s="17">
        <f t="shared" si="2"/>
        <v>40</v>
      </c>
      <c r="G44" s="17">
        <f>F44*全局设置!$B$7</f>
        <v>40</v>
      </c>
      <c r="H44" s="17">
        <f>G44*全局设置!$B$5</f>
        <v>40</v>
      </c>
      <c r="I44" s="15" t="str">
        <f t="shared" si="3"/>
        <v>可回读</v>
      </c>
    </row>
    <row r="45" spans="1:9" ht="21.95" customHeight="1">
      <c r="A45" s="16">
        <v>10</v>
      </c>
      <c r="B45" s="14" t="s">
        <v>155</v>
      </c>
      <c r="C45" s="14">
        <v>2</v>
      </c>
      <c r="D45" s="8">
        <f>IF(B45="",0,ROUNDUP(C45*(1+(全局设置!$B$5-1)*全局设置!$B$6),0))</f>
        <v>2</v>
      </c>
      <c r="E45" s="17">
        <f>IF(B45="",0,IFERROR(VLOOKUP(B45,敌人目录!$A$6:$M$68,13,FALSE),0))</f>
        <v>20</v>
      </c>
      <c r="F45" s="17">
        <f t="shared" si="2"/>
        <v>40</v>
      </c>
      <c r="G45" s="17">
        <f>F45*全局设置!$B$7</f>
        <v>40</v>
      </c>
      <c r="H45" s="17">
        <f>G45*全局设置!$B$5</f>
        <v>40</v>
      </c>
      <c r="I45" s="15" t="str">
        <f t="shared" si="3"/>
        <v>可回读</v>
      </c>
    </row>
    <row r="46" spans="1:9" ht="21.95" customHeight="1">
      <c r="A46" s="16">
        <v>11</v>
      </c>
      <c r="B46" s="14"/>
      <c r="C46" s="14"/>
      <c r="D46" s="8">
        <f>IF(B46="",0,ROUNDUP(C46*(1+(全局设置!$B$5-1)*全局设置!$B$6),0))</f>
        <v>0</v>
      </c>
      <c r="E46" s="17">
        <f>IF(B46="",0,IFERROR(VLOOKUP(B46,敌人目录!$A$6:$M$68,13,FALSE),0))</f>
        <v>0</v>
      </c>
      <c r="F46" s="17">
        <f t="shared" si="2"/>
        <v>0</v>
      </c>
      <c r="G46" s="17">
        <f>F46*全局设置!$B$7</f>
        <v>0</v>
      </c>
      <c r="H46" s="17">
        <f>G46*全局设置!$B$5</f>
        <v>0</v>
      </c>
      <c r="I46" s="15" t="str">
        <f t="shared" si="3"/>
        <v/>
      </c>
    </row>
    <row r="47" spans="1:9" ht="21.95" customHeight="1">
      <c r="A47" s="16">
        <v>12</v>
      </c>
      <c r="B47" s="14"/>
      <c r="C47" s="14"/>
      <c r="D47" s="8">
        <f>IF(B47="",0,ROUNDUP(C47*(1+(全局设置!$B$5-1)*全局设置!$B$6),0))</f>
        <v>0</v>
      </c>
      <c r="E47" s="17">
        <f>IF(B47="",0,IFERROR(VLOOKUP(B47,敌人目录!$A$6:$M$68,13,FALSE),0))</f>
        <v>0</v>
      </c>
      <c r="F47" s="17">
        <f t="shared" si="2"/>
        <v>0</v>
      </c>
      <c r="G47" s="17">
        <f>F47*全局设置!$B$7</f>
        <v>0</v>
      </c>
      <c r="H47" s="17">
        <f>G47*全局设置!$B$5</f>
        <v>0</v>
      </c>
      <c r="I47" s="15" t="str">
        <f t="shared" si="3"/>
        <v/>
      </c>
    </row>
    <row r="48" spans="1:9" ht="21.95" customHeight="1">
      <c r="A48" s="16">
        <v>13</v>
      </c>
      <c r="B48" s="14"/>
      <c r="C48" s="14"/>
      <c r="D48" s="8">
        <f>IF(B48="",0,ROUNDUP(C48*(1+(全局设置!$B$5-1)*全局设置!$B$6),0))</f>
        <v>0</v>
      </c>
      <c r="E48" s="17">
        <f>IF(B48="",0,IFERROR(VLOOKUP(B48,敌人目录!$A$6:$M$68,13,FALSE),0))</f>
        <v>0</v>
      </c>
      <c r="F48" s="17">
        <f t="shared" si="2"/>
        <v>0</v>
      </c>
      <c r="G48" s="17">
        <f>F48*全局设置!$B$7</f>
        <v>0</v>
      </c>
      <c r="H48" s="17">
        <f>G48*全局设置!$B$5</f>
        <v>0</v>
      </c>
      <c r="I48" s="15" t="str">
        <f t="shared" si="3"/>
        <v/>
      </c>
    </row>
    <row r="49" spans="1:9" ht="21.95" customHeight="1">
      <c r="A49" s="16">
        <v>14</v>
      </c>
      <c r="B49" s="14"/>
      <c r="C49" s="14"/>
      <c r="D49" s="8">
        <f>IF(B49="",0,ROUNDUP(C49*(1+(全局设置!$B$5-1)*全局设置!$B$6),0))</f>
        <v>0</v>
      </c>
      <c r="E49" s="17">
        <f>IF(B49="",0,IFERROR(VLOOKUP(B49,敌人目录!$A$6:$M$68,13,FALSE),0))</f>
        <v>0</v>
      </c>
      <c r="F49" s="17">
        <f t="shared" si="2"/>
        <v>0</v>
      </c>
      <c r="G49" s="17">
        <f>F49*全局设置!$B$7</f>
        <v>0</v>
      </c>
      <c r="H49" s="17">
        <f>G49*全局设置!$B$5</f>
        <v>0</v>
      </c>
      <c r="I49" s="15" t="str">
        <f t="shared" si="3"/>
        <v/>
      </c>
    </row>
    <row r="50" spans="1:9" ht="21.95" customHeight="1">
      <c r="A50" s="16">
        <v>15</v>
      </c>
      <c r="B50" s="14"/>
      <c r="C50" s="14"/>
      <c r="D50" s="8">
        <f>IF(B50="",0,ROUNDUP(C50*(1+(全局设置!$B$5-1)*全局设置!$B$6),0))</f>
        <v>0</v>
      </c>
      <c r="E50" s="17">
        <f>IF(B50="",0,IFERROR(VLOOKUP(B50,敌人目录!$A$6:$M$68,13,FALSE),0))</f>
        <v>0</v>
      </c>
      <c r="F50" s="17">
        <f t="shared" si="2"/>
        <v>0</v>
      </c>
      <c r="G50" s="17">
        <f>F50*全局设置!$B$7</f>
        <v>0</v>
      </c>
      <c r="H50" s="17">
        <f>G50*全局设置!$B$5</f>
        <v>0</v>
      </c>
      <c r="I50" s="15" t="str">
        <f t="shared" si="3"/>
        <v/>
      </c>
    </row>
    <row r="51" spans="1:9" ht="21.95" customHeight="1">
      <c r="A51" s="16">
        <v>16</v>
      </c>
      <c r="B51" s="14"/>
      <c r="C51" s="14"/>
      <c r="D51" s="8">
        <f>IF(B51="",0,ROUNDUP(C51*(1+(全局设置!$B$5-1)*全局设置!$B$6),0))</f>
        <v>0</v>
      </c>
      <c r="E51" s="17">
        <f>IF(B51="",0,IFERROR(VLOOKUP(B51,敌人目录!$A$6:$M$68,13,FALSE),0))</f>
        <v>0</v>
      </c>
      <c r="F51" s="17">
        <f t="shared" si="2"/>
        <v>0</v>
      </c>
      <c r="G51" s="17">
        <f>F51*全局设置!$B$7</f>
        <v>0</v>
      </c>
      <c r="H51" s="17">
        <f>G51*全局设置!$B$5</f>
        <v>0</v>
      </c>
      <c r="I51" s="15" t="str">
        <f t="shared" si="3"/>
        <v/>
      </c>
    </row>
    <row r="52" spans="1:9" ht="21.95" customHeight="1">
      <c r="A52" s="16">
        <v>17</v>
      </c>
      <c r="B52" s="14"/>
      <c r="C52" s="14"/>
      <c r="D52" s="8">
        <f>IF(B52="",0,ROUNDUP(C52*(1+(全局设置!$B$5-1)*全局设置!$B$6),0))</f>
        <v>0</v>
      </c>
      <c r="E52" s="17">
        <f>IF(B52="",0,IFERROR(VLOOKUP(B52,敌人目录!$A$6:$M$68,13,FALSE),0))</f>
        <v>0</v>
      </c>
      <c r="F52" s="17">
        <f t="shared" si="2"/>
        <v>0</v>
      </c>
      <c r="G52" s="17">
        <f>F52*全局设置!$B$7</f>
        <v>0</v>
      </c>
      <c r="H52" s="17">
        <f>G52*全局设置!$B$5</f>
        <v>0</v>
      </c>
      <c r="I52" s="15" t="str">
        <f t="shared" si="3"/>
        <v/>
      </c>
    </row>
    <row r="53" spans="1:9" ht="21.95" customHeight="1">
      <c r="A53" s="16">
        <v>18</v>
      </c>
      <c r="B53" s="14"/>
      <c r="C53" s="14"/>
      <c r="D53" s="8">
        <f>IF(B53="",0,ROUNDUP(C53*(1+(全局设置!$B$5-1)*全局设置!$B$6),0))</f>
        <v>0</v>
      </c>
      <c r="E53" s="17">
        <f>IF(B53="",0,IFERROR(VLOOKUP(B53,敌人目录!$A$6:$M$68,13,FALSE),0))</f>
        <v>0</v>
      </c>
      <c r="F53" s="17">
        <f t="shared" si="2"/>
        <v>0</v>
      </c>
      <c r="G53" s="17">
        <f>F53*全局设置!$B$7</f>
        <v>0</v>
      </c>
      <c r="H53" s="17">
        <f>G53*全局设置!$B$5</f>
        <v>0</v>
      </c>
      <c r="I53" s="15" t="str">
        <f t="shared" si="3"/>
        <v/>
      </c>
    </row>
    <row r="54" spans="1:9" ht="21.95" customHeight="1"/>
    <row r="55" spans="1:9" ht="21.95" customHeight="1">
      <c r="A55" s="6" t="s">
        <v>123</v>
      </c>
      <c r="B55" s="8">
        <f>SUM(C36:C53)</f>
        <v>160</v>
      </c>
      <c r="C55" s="6" t="s">
        <v>124</v>
      </c>
      <c r="D55" s="8">
        <f>SUM(D36:D53)</f>
        <v>160</v>
      </c>
      <c r="E55" s="6" t="s">
        <v>46</v>
      </c>
      <c r="F55" s="8">
        <f>SUM(F36:F53)</f>
        <v>308</v>
      </c>
      <c r="G55" s="6" t="s">
        <v>47</v>
      </c>
      <c r="H55" s="8">
        <f>SUM(G36:G53)</f>
        <v>308</v>
      </c>
      <c r="I55" s="8"/>
    </row>
    <row r="56" spans="1:9" ht="21.95" customHeight="1">
      <c r="A56" s="18" t="s">
        <v>34</v>
      </c>
      <c r="B56" s="4">
        <f>SUM(H36:H53)</f>
        <v>308</v>
      </c>
      <c r="C56" s="18" t="s">
        <v>125</v>
      </c>
      <c r="D56" s="41" t="s">
        <v>126</v>
      </c>
      <c r="E56" s="41"/>
      <c r="F56" s="41"/>
      <c r="G56" s="41"/>
      <c r="H56" s="41"/>
      <c r="I56" s="41"/>
    </row>
    <row r="57" spans="1:9" ht="21.95" customHeight="1"/>
    <row r="58" spans="1:9" ht="21.95" customHeight="1"/>
    <row r="59" spans="1:9" ht="21.95" customHeight="1"/>
    <row r="60" spans="1:9" ht="21.95" customHeight="1">
      <c r="A60" s="34" t="s">
        <v>158</v>
      </c>
      <c r="B60" s="34"/>
      <c r="C60" s="34"/>
      <c r="D60" s="34"/>
      <c r="E60" s="34"/>
      <c r="F60" s="34"/>
      <c r="G60" s="34"/>
      <c r="H60" s="34"/>
      <c r="I60" s="34"/>
    </row>
    <row r="61" spans="1:9" ht="21.95" customHeight="1">
      <c r="A61" s="19" t="s">
        <v>101</v>
      </c>
      <c r="B61" s="39" t="s">
        <v>63</v>
      </c>
      <c r="C61" s="39" t="s">
        <v>159</v>
      </c>
      <c r="D61" s="19" t="s">
        <v>103</v>
      </c>
      <c r="E61" s="7">
        <v>0.24</v>
      </c>
      <c r="F61" s="19" t="s">
        <v>104</v>
      </c>
      <c r="G61" s="7">
        <v>1</v>
      </c>
      <c r="H61" s="19" t="s">
        <v>49</v>
      </c>
      <c r="I61" s="7">
        <v>300</v>
      </c>
    </row>
    <row r="62" spans="1:9" ht="21.95" customHeight="1">
      <c r="A62" s="19" t="s">
        <v>105</v>
      </c>
      <c r="B62" s="11" t="s">
        <v>106</v>
      </c>
      <c r="C62" s="11" t="s">
        <v>107</v>
      </c>
      <c r="D62" s="11" t="s">
        <v>108</v>
      </c>
      <c r="E62" s="11" t="s">
        <v>109</v>
      </c>
      <c r="F62" s="11" t="s">
        <v>133</v>
      </c>
      <c r="G62" s="11" t="s">
        <v>134</v>
      </c>
      <c r="H62" s="19" t="s">
        <v>112</v>
      </c>
      <c r="I62" s="15" t="str">
        <f>IF(COUNTA(B65:B82)=0,"待设计",IF(COUNTIF(I65:I82,"需修正")&gt;0,"需修正","可回读"))</f>
        <v>可回读</v>
      </c>
    </row>
    <row r="63" spans="1:9" ht="21.95" customHeight="1">
      <c r="A63" s="40" t="s">
        <v>113</v>
      </c>
      <c r="B63" s="40"/>
      <c r="C63" s="40"/>
      <c r="D63" s="40"/>
      <c r="E63" s="40"/>
      <c r="F63" s="40"/>
      <c r="G63" s="40"/>
      <c r="H63" s="40"/>
      <c r="I63" s="40"/>
    </row>
    <row r="64" spans="1:9" ht="21.95" customHeight="1">
      <c r="A64" s="19" t="s">
        <v>114</v>
      </c>
      <c r="B64" s="19" t="s">
        <v>115</v>
      </c>
      <c r="C64" s="19" t="s">
        <v>43</v>
      </c>
      <c r="D64" s="19" t="s">
        <v>44</v>
      </c>
      <c r="E64" s="19" t="s">
        <v>116</v>
      </c>
      <c r="F64" s="19" t="s">
        <v>46</v>
      </c>
      <c r="G64" s="19" t="s">
        <v>47</v>
      </c>
      <c r="H64" s="19" t="s">
        <v>34</v>
      </c>
      <c r="I64" s="19" t="s">
        <v>117</v>
      </c>
    </row>
    <row r="65" spans="1:9" ht="21.95" customHeight="1">
      <c r="A65" s="16">
        <v>1</v>
      </c>
      <c r="B65" s="14" t="s">
        <v>120</v>
      </c>
      <c r="C65" s="14">
        <v>46</v>
      </c>
      <c r="D65" s="8">
        <f>IF(B65="",0,ROUNDUP(C65*(1+(全局设置!$B$5-1)*全局设置!$B$6),0))</f>
        <v>46</v>
      </c>
      <c r="E65" s="17">
        <f>IF(B65="",0,IFERROR(VLOOKUP(B65,敌人目录!$A$6:$M$68,13,FALSE),0))</f>
        <v>1</v>
      </c>
      <c r="F65" s="17">
        <f t="shared" ref="F65:F82" si="4">D65*E65</f>
        <v>46</v>
      </c>
      <c r="G65" s="17">
        <f>F65*全局设置!$B$7</f>
        <v>46</v>
      </c>
      <c r="H65" s="17">
        <f>G65*全局设置!$B$5</f>
        <v>46</v>
      </c>
      <c r="I65" s="15" t="str">
        <f t="shared" ref="I65:I82" si="5">IF(AND(B65="",C65=""),"",IF(AND(B65&lt;&gt;"",C65&gt;=1,COUNTIF($B$65:$B$82,B65)=1),"可回读","需修正"))</f>
        <v>可回读</v>
      </c>
    </row>
    <row r="66" spans="1:9" ht="21.95" customHeight="1">
      <c r="A66" s="16">
        <v>2</v>
      </c>
      <c r="B66" s="14" t="s">
        <v>121</v>
      </c>
      <c r="C66" s="14">
        <v>20</v>
      </c>
      <c r="D66" s="8">
        <f>IF(B66="",0,ROUNDUP(C66*(1+(全局设置!$B$5-1)*全局设置!$B$6),0))</f>
        <v>20</v>
      </c>
      <c r="E66" s="17">
        <f>IF(B66="",0,IFERROR(VLOOKUP(B66,敌人目录!$A$6:$M$68,13,FALSE),0))</f>
        <v>1</v>
      </c>
      <c r="F66" s="17">
        <f t="shared" si="4"/>
        <v>20</v>
      </c>
      <c r="G66" s="17">
        <f>F66*全局设置!$B$7</f>
        <v>20</v>
      </c>
      <c r="H66" s="17">
        <f>G66*全局设置!$B$5</f>
        <v>20</v>
      </c>
      <c r="I66" s="15" t="str">
        <f t="shared" si="5"/>
        <v>可回读</v>
      </c>
    </row>
    <row r="67" spans="1:9" ht="21.95" customHeight="1">
      <c r="A67" s="16">
        <v>3</v>
      </c>
      <c r="B67" s="14" t="s">
        <v>129</v>
      </c>
      <c r="C67" s="14">
        <v>20</v>
      </c>
      <c r="D67" s="8">
        <f>IF(B67="",0,ROUNDUP(C67*(1+(全局设置!$B$5-1)*全局设置!$B$6),0))</f>
        <v>20</v>
      </c>
      <c r="E67" s="17">
        <f>IF(B67="",0,IFERROR(VLOOKUP(B67,敌人目录!$A$6:$M$68,13,FALSE),0))</f>
        <v>2</v>
      </c>
      <c r="F67" s="17">
        <f t="shared" si="4"/>
        <v>40</v>
      </c>
      <c r="G67" s="17">
        <f>F67*全局设置!$B$7</f>
        <v>40</v>
      </c>
      <c r="H67" s="17">
        <f>G67*全局设置!$B$5</f>
        <v>40</v>
      </c>
      <c r="I67" s="15" t="str">
        <f t="shared" si="5"/>
        <v>可回读</v>
      </c>
    </row>
    <row r="68" spans="1:9" ht="21.95" customHeight="1">
      <c r="A68" s="16">
        <v>4</v>
      </c>
      <c r="B68" s="14" t="s">
        <v>136</v>
      </c>
      <c r="C68" s="14">
        <v>16</v>
      </c>
      <c r="D68" s="8">
        <f>IF(B68="",0,ROUNDUP(C68*(1+(全局设置!$B$5-1)*全局设置!$B$6),0))</f>
        <v>16</v>
      </c>
      <c r="E68" s="17">
        <f>IF(B68="",0,IFERROR(VLOOKUP(B68,敌人目录!$A$6:$M$68,13,FALSE),0))</f>
        <v>1</v>
      </c>
      <c r="F68" s="17">
        <f t="shared" si="4"/>
        <v>16</v>
      </c>
      <c r="G68" s="17">
        <f>F68*全局设置!$B$7</f>
        <v>16</v>
      </c>
      <c r="H68" s="17">
        <f>G68*全局设置!$B$5</f>
        <v>16</v>
      </c>
      <c r="I68" s="15" t="str">
        <f t="shared" si="5"/>
        <v>可回读</v>
      </c>
    </row>
    <row r="69" spans="1:9" ht="21.95" customHeight="1">
      <c r="A69" s="16">
        <v>5</v>
      </c>
      <c r="B69" s="14" t="s">
        <v>138</v>
      </c>
      <c r="C69" s="14">
        <v>16</v>
      </c>
      <c r="D69" s="8">
        <f>IF(B69="",0,ROUNDUP(C69*(1+(全局设置!$B$5-1)*全局设置!$B$6),0))</f>
        <v>16</v>
      </c>
      <c r="E69" s="17">
        <f>IF(B69="",0,IFERROR(VLOOKUP(B69,敌人目录!$A$6:$M$68,13,FALSE),0))</f>
        <v>2</v>
      </c>
      <c r="F69" s="17">
        <f t="shared" si="4"/>
        <v>32</v>
      </c>
      <c r="G69" s="17">
        <f>F69*全局设置!$B$7</f>
        <v>32</v>
      </c>
      <c r="H69" s="17">
        <f>G69*全局设置!$B$5</f>
        <v>32</v>
      </c>
      <c r="I69" s="15" t="str">
        <f t="shared" si="5"/>
        <v>可回读</v>
      </c>
    </row>
    <row r="70" spans="1:9" ht="21.95" customHeight="1">
      <c r="A70" s="16">
        <v>6</v>
      </c>
      <c r="B70" s="14" t="s">
        <v>122</v>
      </c>
      <c r="C70" s="14">
        <v>20</v>
      </c>
      <c r="D70" s="8">
        <f>IF(B70="",0,ROUNDUP(C70*(1+(全局设置!$B$5-1)*全局设置!$B$6),0))</f>
        <v>20</v>
      </c>
      <c r="E70" s="17">
        <f>IF(B70="",0,IFERROR(VLOOKUP(B70,敌人目录!$A$6:$M$68,13,FALSE),0))</f>
        <v>1</v>
      </c>
      <c r="F70" s="17">
        <f t="shared" si="4"/>
        <v>20</v>
      </c>
      <c r="G70" s="17">
        <f>F70*全局设置!$B$7</f>
        <v>20</v>
      </c>
      <c r="H70" s="17">
        <f>G70*全局设置!$B$5</f>
        <v>20</v>
      </c>
      <c r="I70" s="15" t="str">
        <f t="shared" si="5"/>
        <v>可回读</v>
      </c>
    </row>
    <row r="71" spans="1:9" ht="21.95" customHeight="1">
      <c r="A71" s="16">
        <v>7</v>
      </c>
      <c r="B71" s="14" t="s">
        <v>141</v>
      </c>
      <c r="C71" s="14">
        <v>16</v>
      </c>
      <c r="D71" s="8">
        <f>IF(B71="",0,ROUNDUP(C71*(1+(全局设置!$B$5-1)*全局设置!$B$6),0))</f>
        <v>16</v>
      </c>
      <c r="E71" s="17">
        <f>IF(B71="",0,IFERROR(VLOOKUP(B71,敌人目录!$A$6:$M$68,13,FALSE),0))</f>
        <v>2</v>
      </c>
      <c r="F71" s="17">
        <f t="shared" si="4"/>
        <v>32</v>
      </c>
      <c r="G71" s="17">
        <f>F71*全局设置!$B$7</f>
        <v>32</v>
      </c>
      <c r="H71" s="17">
        <f>G71*全局设置!$B$5</f>
        <v>32</v>
      </c>
      <c r="I71" s="15" t="str">
        <f t="shared" si="5"/>
        <v>可回读</v>
      </c>
    </row>
    <row r="72" spans="1:9" ht="21.95" customHeight="1">
      <c r="A72" s="16">
        <v>8</v>
      </c>
      <c r="B72" s="14" t="s">
        <v>135</v>
      </c>
      <c r="C72" s="14">
        <v>16</v>
      </c>
      <c r="D72" s="8">
        <f>IF(B72="",0,ROUNDUP(C72*(1+(全局设置!$B$5-1)*全局设置!$B$6),0))</f>
        <v>16</v>
      </c>
      <c r="E72" s="17">
        <f>IF(B72="",0,IFERROR(VLOOKUP(B72,敌人目录!$A$6:$M$68,13,FALSE),0))</f>
        <v>2</v>
      </c>
      <c r="F72" s="17">
        <f t="shared" si="4"/>
        <v>32</v>
      </c>
      <c r="G72" s="17">
        <f>F72*全局设置!$B$7</f>
        <v>32</v>
      </c>
      <c r="H72" s="17">
        <f>G72*全局设置!$B$5</f>
        <v>32</v>
      </c>
      <c r="I72" s="15" t="str">
        <f t="shared" si="5"/>
        <v>可回读</v>
      </c>
    </row>
    <row r="73" spans="1:9" ht="21.95" customHeight="1">
      <c r="A73" s="16">
        <v>9</v>
      </c>
      <c r="B73" s="14" t="s">
        <v>144</v>
      </c>
      <c r="C73" s="14">
        <v>2</v>
      </c>
      <c r="D73" s="8">
        <f>IF(B73="",0,ROUNDUP(C73*(1+(全局设置!$B$5-1)*全局设置!$B$6),0))</f>
        <v>2</v>
      </c>
      <c r="E73" s="17">
        <f>IF(B73="",0,IFERROR(VLOOKUP(B73,敌人目录!$A$6:$M$68,13,FALSE),0))</f>
        <v>20</v>
      </c>
      <c r="F73" s="17">
        <f t="shared" si="4"/>
        <v>40</v>
      </c>
      <c r="G73" s="17">
        <f>F73*全局设置!$B$7</f>
        <v>40</v>
      </c>
      <c r="H73" s="17">
        <f>G73*全局设置!$B$5</f>
        <v>40</v>
      </c>
      <c r="I73" s="15" t="str">
        <f t="shared" si="5"/>
        <v>可回读</v>
      </c>
    </row>
    <row r="74" spans="1:9" ht="21.95" customHeight="1">
      <c r="A74" s="16">
        <v>10</v>
      </c>
      <c r="B74" s="14" t="s">
        <v>155</v>
      </c>
      <c r="C74" s="14">
        <v>2</v>
      </c>
      <c r="D74" s="8">
        <f>IF(B74="",0,ROUNDUP(C74*(1+(全局设置!$B$5-1)*全局设置!$B$6),0))</f>
        <v>2</v>
      </c>
      <c r="E74" s="17">
        <f>IF(B74="",0,IFERROR(VLOOKUP(B74,敌人目录!$A$6:$M$68,13,FALSE),0))</f>
        <v>20</v>
      </c>
      <c r="F74" s="17">
        <f t="shared" si="4"/>
        <v>40</v>
      </c>
      <c r="G74" s="17">
        <f>F74*全局设置!$B$7</f>
        <v>40</v>
      </c>
      <c r="H74" s="17">
        <f>G74*全局设置!$B$5</f>
        <v>40</v>
      </c>
      <c r="I74" s="15" t="str">
        <f t="shared" si="5"/>
        <v>可回读</v>
      </c>
    </row>
    <row r="75" spans="1:9" ht="21.95" customHeight="1">
      <c r="A75" s="16">
        <v>11</v>
      </c>
      <c r="B75" s="14" t="s">
        <v>160</v>
      </c>
      <c r="C75" s="14">
        <v>1</v>
      </c>
      <c r="D75" s="8">
        <f>IF(B75="",0,ROUNDUP(C75*(1+(全局设置!$B$5-1)*全局设置!$B$6),0))</f>
        <v>1</v>
      </c>
      <c r="E75" s="17">
        <f>IF(B75="",0,IFERROR(VLOOKUP(B75,敌人目录!$A$6:$M$68,13,FALSE),0))</f>
        <v>30</v>
      </c>
      <c r="F75" s="17">
        <f t="shared" si="4"/>
        <v>30</v>
      </c>
      <c r="G75" s="17">
        <f>F75*全局设置!$B$7</f>
        <v>30</v>
      </c>
      <c r="H75" s="17">
        <f>G75*全局设置!$B$5</f>
        <v>30</v>
      </c>
      <c r="I75" s="15" t="str">
        <f t="shared" si="5"/>
        <v>可回读</v>
      </c>
    </row>
    <row r="76" spans="1:9" ht="21.95" customHeight="1">
      <c r="A76" s="16">
        <v>12</v>
      </c>
      <c r="B76" s="14" t="s">
        <v>161</v>
      </c>
      <c r="C76" s="14">
        <v>1</v>
      </c>
      <c r="D76" s="8">
        <f>IF(B76="",0,ROUNDUP(C76*(1+(全局设置!$B$5-1)*全局设置!$B$6),0))</f>
        <v>1</v>
      </c>
      <c r="E76" s="17">
        <f>IF(B76="",0,IFERROR(VLOOKUP(B76,敌人目录!$A$6:$M$68,13,FALSE),0))</f>
        <v>50</v>
      </c>
      <c r="F76" s="17">
        <f t="shared" si="4"/>
        <v>50</v>
      </c>
      <c r="G76" s="17">
        <f>F76*全局设置!$B$7</f>
        <v>50</v>
      </c>
      <c r="H76" s="17">
        <f>G76*全局设置!$B$5</f>
        <v>50</v>
      </c>
      <c r="I76" s="15" t="str">
        <f t="shared" si="5"/>
        <v>可回读</v>
      </c>
    </row>
    <row r="77" spans="1:9" ht="21.95" customHeight="1">
      <c r="A77" s="16">
        <v>13</v>
      </c>
      <c r="B77" s="14"/>
      <c r="C77" s="14"/>
      <c r="D77" s="8">
        <f>IF(B77="",0,ROUNDUP(C77*(1+(全局设置!$B$5-1)*全局设置!$B$6),0))</f>
        <v>0</v>
      </c>
      <c r="E77" s="17">
        <f>IF(B77="",0,IFERROR(VLOOKUP(B77,敌人目录!$A$6:$M$68,13,FALSE),0))</f>
        <v>0</v>
      </c>
      <c r="F77" s="17">
        <f t="shared" si="4"/>
        <v>0</v>
      </c>
      <c r="G77" s="17">
        <f>F77*全局设置!$B$7</f>
        <v>0</v>
      </c>
      <c r="H77" s="17">
        <f>G77*全局设置!$B$5</f>
        <v>0</v>
      </c>
      <c r="I77" s="15" t="str">
        <f t="shared" si="5"/>
        <v/>
      </c>
    </row>
    <row r="78" spans="1:9" ht="21.95" customHeight="1">
      <c r="A78" s="16">
        <v>14</v>
      </c>
      <c r="B78" s="14"/>
      <c r="C78" s="14"/>
      <c r="D78" s="8">
        <f>IF(B78="",0,ROUNDUP(C78*(1+(全局设置!$B$5-1)*全局设置!$B$6),0))</f>
        <v>0</v>
      </c>
      <c r="E78" s="17">
        <f>IF(B78="",0,IFERROR(VLOOKUP(B78,敌人目录!$A$6:$M$68,13,FALSE),0))</f>
        <v>0</v>
      </c>
      <c r="F78" s="17">
        <f t="shared" si="4"/>
        <v>0</v>
      </c>
      <c r="G78" s="17">
        <f>F78*全局设置!$B$7</f>
        <v>0</v>
      </c>
      <c r="H78" s="17">
        <f>G78*全局设置!$B$5</f>
        <v>0</v>
      </c>
      <c r="I78" s="15" t="str">
        <f t="shared" si="5"/>
        <v/>
      </c>
    </row>
    <row r="79" spans="1:9" ht="21.95" customHeight="1">
      <c r="A79" s="16">
        <v>15</v>
      </c>
      <c r="B79" s="14"/>
      <c r="C79" s="14"/>
      <c r="D79" s="8">
        <f>IF(B79="",0,ROUNDUP(C79*(1+(全局设置!$B$5-1)*全局设置!$B$6),0))</f>
        <v>0</v>
      </c>
      <c r="E79" s="17">
        <f>IF(B79="",0,IFERROR(VLOOKUP(B79,敌人目录!$A$6:$M$68,13,FALSE),0))</f>
        <v>0</v>
      </c>
      <c r="F79" s="17">
        <f t="shared" si="4"/>
        <v>0</v>
      </c>
      <c r="G79" s="17">
        <f>F79*全局设置!$B$7</f>
        <v>0</v>
      </c>
      <c r="H79" s="17">
        <f>G79*全局设置!$B$5</f>
        <v>0</v>
      </c>
      <c r="I79" s="15" t="str">
        <f t="shared" si="5"/>
        <v/>
      </c>
    </row>
    <row r="80" spans="1:9" ht="21.95" customHeight="1">
      <c r="A80" s="16">
        <v>16</v>
      </c>
      <c r="B80" s="14"/>
      <c r="C80" s="14"/>
      <c r="D80" s="8">
        <f>IF(B80="",0,ROUNDUP(C80*(1+(全局设置!$B$5-1)*全局设置!$B$6),0))</f>
        <v>0</v>
      </c>
      <c r="E80" s="17">
        <f>IF(B80="",0,IFERROR(VLOOKUP(B80,敌人目录!$A$6:$M$68,13,FALSE),0))</f>
        <v>0</v>
      </c>
      <c r="F80" s="17">
        <f t="shared" si="4"/>
        <v>0</v>
      </c>
      <c r="G80" s="17">
        <f>F80*全局设置!$B$7</f>
        <v>0</v>
      </c>
      <c r="H80" s="17">
        <f>G80*全局设置!$B$5</f>
        <v>0</v>
      </c>
      <c r="I80" s="15" t="str">
        <f t="shared" si="5"/>
        <v/>
      </c>
    </row>
    <row r="81" spans="1:9" ht="21.95" customHeight="1">
      <c r="A81" s="16">
        <v>17</v>
      </c>
      <c r="B81" s="14"/>
      <c r="C81" s="14"/>
      <c r="D81" s="8">
        <f>IF(B81="",0,ROUNDUP(C81*(1+(全局设置!$B$5-1)*全局设置!$B$6),0))</f>
        <v>0</v>
      </c>
      <c r="E81" s="17">
        <f>IF(B81="",0,IFERROR(VLOOKUP(B81,敌人目录!$A$6:$M$68,13,FALSE),0))</f>
        <v>0</v>
      </c>
      <c r="F81" s="17">
        <f t="shared" si="4"/>
        <v>0</v>
      </c>
      <c r="G81" s="17">
        <f>F81*全局设置!$B$7</f>
        <v>0</v>
      </c>
      <c r="H81" s="17">
        <f>G81*全局设置!$B$5</f>
        <v>0</v>
      </c>
      <c r="I81" s="15" t="str">
        <f t="shared" si="5"/>
        <v/>
      </c>
    </row>
    <row r="82" spans="1:9" ht="21.95" customHeight="1">
      <c r="A82" s="16">
        <v>18</v>
      </c>
      <c r="B82" s="14"/>
      <c r="C82" s="14"/>
      <c r="D82" s="8">
        <f>IF(B82="",0,ROUNDUP(C82*(1+(全局设置!$B$5-1)*全局设置!$B$6),0))</f>
        <v>0</v>
      </c>
      <c r="E82" s="17">
        <f>IF(B82="",0,IFERROR(VLOOKUP(B82,敌人目录!$A$6:$M$68,13,FALSE),0))</f>
        <v>0</v>
      </c>
      <c r="F82" s="17">
        <f t="shared" si="4"/>
        <v>0</v>
      </c>
      <c r="G82" s="17">
        <f>F82*全局设置!$B$7</f>
        <v>0</v>
      </c>
      <c r="H82" s="17">
        <f>G82*全局设置!$B$5</f>
        <v>0</v>
      </c>
      <c r="I82" s="15" t="str">
        <f t="shared" si="5"/>
        <v/>
      </c>
    </row>
    <row r="83" spans="1:9" ht="21.95" customHeight="1"/>
    <row r="84" spans="1:9" ht="21.95" customHeight="1">
      <c r="A84" s="19" t="s">
        <v>123</v>
      </c>
      <c r="B84" s="8">
        <f>SUM(C65:C82)</f>
        <v>176</v>
      </c>
      <c r="C84" s="19" t="s">
        <v>124</v>
      </c>
      <c r="D84" s="8">
        <f>SUM(D65:D82)</f>
        <v>176</v>
      </c>
      <c r="E84" s="19" t="s">
        <v>46</v>
      </c>
      <c r="F84" s="8">
        <f>SUM(F65:F82)</f>
        <v>398</v>
      </c>
      <c r="G84" s="19" t="s">
        <v>47</v>
      </c>
      <c r="H84" s="8">
        <f>SUM(G65:G82)</f>
        <v>398</v>
      </c>
      <c r="I84" s="8"/>
    </row>
    <row r="85" spans="1:9" ht="21.95" customHeight="1">
      <c r="A85" s="18" t="s">
        <v>34</v>
      </c>
      <c r="B85" s="4">
        <f>SUM(H65:H82)</f>
        <v>398</v>
      </c>
      <c r="C85" s="18" t="s">
        <v>125</v>
      </c>
      <c r="D85" s="41" t="s">
        <v>126</v>
      </c>
      <c r="E85" s="41"/>
      <c r="F85" s="41"/>
      <c r="G85" s="41"/>
      <c r="H85" s="41"/>
      <c r="I85" s="41"/>
    </row>
    <row r="86" spans="1:9" ht="21.95" customHeight="1"/>
    <row r="87" spans="1:9" ht="21.95" customHeight="1"/>
    <row r="88" spans="1:9" ht="21.95" customHeight="1"/>
    <row r="89" spans="1:9" ht="21.95" customHeight="1">
      <c r="A89" s="34" t="s">
        <v>162</v>
      </c>
      <c r="B89" s="34"/>
      <c r="C89" s="34"/>
      <c r="D89" s="34"/>
      <c r="E89" s="34"/>
      <c r="F89" s="34"/>
      <c r="G89" s="34"/>
      <c r="H89" s="34"/>
      <c r="I89" s="34"/>
    </row>
    <row r="90" spans="1:9" ht="21.95" customHeight="1">
      <c r="A90" s="19" t="s">
        <v>101</v>
      </c>
      <c r="B90" s="39" t="s">
        <v>64</v>
      </c>
      <c r="C90" s="39" t="s">
        <v>163</v>
      </c>
      <c r="D90" s="19" t="s">
        <v>103</v>
      </c>
      <c r="E90" s="7">
        <v>0.22</v>
      </c>
      <c r="F90" s="19" t="s">
        <v>104</v>
      </c>
      <c r="G90" s="7">
        <v>1</v>
      </c>
      <c r="H90" s="19" t="s">
        <v>49</v>
      </c>
      <c r="I90" s="7">
        <v>300</v>
      </c>
    </row>
    <row r="91" spans="1:9" ht="21.95" customHeight="1">
      <c r="A91" s="19" t="s">
        <v>105</v>
      </c>
      <c r="B91" s="11" t="s">
        <v>106</v>
      </c>
      <c r="C91" s="11" t="s">
        <v>107</v>
      </c>
      <c r="D91" s="11" t="s">
        <v>108</v>
      </c>
      <c r="E91" s="11" t="s">
        <v>109</v>
      </c>
      <c r="F91" s="11" t="s">
        <v>133</v>
      </c>
      <c r="G91" s="11" t="s">
        <v>134</v>
      </c>
      <c r="H91" s="19" t="s">
        <v>112</v>
      </c>
      <c r="I91" s="15" t="str">
        <f>IF(COUNTA(B94:B111)=0,"待设计",IF(COUNTIF(I94:I111,"需修正")&gt;0,"需修正","可回读"))</f>
        <v>可回读</v>
      </c>
    </row>
    <row r="92" spans="1:9" ht="21.95" customHeight="1">
      <c r="A92" s="40" t="s">
        <v>113</v>
      </c>
      <c r="B92" s="40"/>
      <c r="C92" s="40"/>
      <c r="D92" s="40"/>
      <c r="E92" s="40"/>
      <c r="F92" s="40"/>
      <c r="G92" s="40"/>
      <c r="H92" s="40"/>
      <c r="I92" s="40"/>
    </row>
    <row r="93" spans="1:9" ht="21.95" customHeight="1">
      <c r="A93" s="19" t="s">
        <v>114</v>
      </c>
      <c r="B93" s="19" t="s">
        <v>115</v>
      </c>
      <c r="C93" s="19" t="s">
        <v>43</v>
      </c>
      <c r="D93" s="19" t="s">
        <v>44</v>
      </c>
      <c r="E93" s="19" t="s">
        <v>116</v>
      </c>
      <c r="F93" s="19" t="s">
        <v>46</v>
      </c>
      <c r="G93" s="19" t="s">
        <v>47</v>
      </c>
      <c r="H93" s="19" t="s">
        <v>34</v>
      </c>
      <c r="I93" s="19" t="s">
        <v>117</v>
      </c>
    </row>
    <row r="94" spans="1:9" ht="21.95" customHeight="1">
      <c r="A94" s="16">
        <v>1</v>
      </c>
      <c r="B94" s="14" t="s">
        <v>120</v>
      </c>
      <c r="C94" s="14">
        <v>53</v>
      </c>
      <c r="D94" s="8">
        <f>IF(B94="",0,ROUNDUP(C94*(1+(全局设置!$B$5-1)*全局设置!$B$6),0))</f>
        <v>53</v>
      </c>
      <c r="E94" s="17">
        <f>IF(B94="",0,IFERROR(VLOOKUP(B94,敌人目录!$A$6:$M$68,13,FALSE),0))</f>
        <v>1</v>
      </c>
      <c r="F94" s="17">
        <f t="shared" ref="F94:F111" si="6">D94*E94</f>
        <v>53</v>
      </c>
      <c r="G94" s="17">
        <f>F94*全局设置!$B$7</f>
        <v>53</v>
      </c>
      <c r="H94" s="17">
        <f>G94*全局设置!$B$5</f>
        <v>53</v>
      </c>
      <c r="I94" s="15" t="str">
        <f t="shared" ref="I94:I111" si="7">IF(AND(B94="",C94=""),"",IF(AND(B94&lt;&gt;"",C94&gt;=1,COUNTIF($B$94:$B$111,B94)=1),"可回读","需修正"))</f>
        <v>可回读</v>
      </c>
    </row>
    <row r="95" spans="1:9" ht="21.95" customHeight="1">
      <c r="A95" s="16">
        <v>2</v>
      </c>
      <c r="B95" s="14" t="s">
        <v>121</v>
      </c>
      <c r="C95" s="14">
        <v>24</v>
      </c>
      <c r="D95" s="8">
        <f>IF(B95="",0,ROUNDUP(C95*(1+(全局设置!$B$5-1)*全局设置!$B$6),0))</f>
        <v>24</v>
      </c>
      <c r="E95" s="17">
        <f>IF(B95="",0,IFERROR(VLOOKUP(B95,敌人目录!$A$6:$M$68,13,FALSE),0))</f>
        <v>1</v>
      </c>
      <c r="F95" s="17">
        <f t="shared" si="6"/>
        <v>24</v>
      </c>
      <c r="G95" s="17">
        <f>F95*全局设置!$B$7</f>
        <v>24</v>
      </c>
      <c r="H95" s="17">
        <f>G95*全局设置!$B$5</f>
        <v>24</v>
      </c>
      <c r="I95" s="15" t="str">
        <f t="shared" si="7"/>
        <v>可回读</v>
      </c>
    </row>
    <row r="96" spans="1:9" ht="21.95" customHeight="1">
      <c r="A96" s="16">
        <v>3</v>
      </c>
      <c r="B96" s="14" t="s">
        <v>129</v>
      </c>
      <c r="C96" s="14">
        <v>24</v>
      </c>
      <c r="D96" s="8">
        <f>IF(B96="",0,ROUNDUP(C96*(1+(全局设置!$B$5-1)*全局设置!$B$6),0))</f>
        <v>24</v>
      </c>
      <c r="E96" s="17">
        <f>IF(B96="",0,IFERROR(VLOOKUP(B96,敌人目录!$A$6:$M$68,13,FALSE),0))</f>
        <v>2</v>
      </c>
      <c r="F96" s="17">
        <f t="shared" si="6"/>
        <v>48</v>
      </c>
      <c r="G96" s="17">
        <f>F96*全局设置!$B$7</f>
        <v>48</v>
      </c>
      <c r="H96" s="17">
        <f>G96*全局设置!$B$5</f>
        <v>48</v>
      </c>
      <c r="I96" s="15" t="str">
        <f t="shared" si="7"/>
        <v>可回读</v>
      </c>
    </row>
    <row r="97" spans="1:9" ht="21.95" customHeight="1">
      <c r="A97" s="16">
        <v>4</v>
      </c>
      <c r="B97" s="14" t="s">
        <v>136</v>
      </c>
      <c r="C97" s="14">
        <v>20</v>
      </c>
      <c r="D97" s="8">
        <f>IF(B97="",0,ROUNDUP(C97*(1+(全局设置!$B$5-1)*全局设置!$B$6),0))</f>
        <v>20</v>
      </c>
      <c r="E97" s="17">
        <f>IF(B97="",0,IFERROR(VLOOKUP(B97,敌人目录!$A$6:$M$68,13,FALSE),0))</f>
        <v>1</v>
      </c>
      <c r="F97" s="17">
        <f t="shared" si="6"/>
        <v>20</v>
      </c>
      <c r="G97" s="17">
        <f>F97*全局设置!$B$7</f>
        <v>20</v>
      </c>
      <c r="H97" s="17">
        <f>G97*全局设置!$B$5</f>
        <v>20</v>
      </c>
      <c r="I97" s="15" t="str">
        <f t="shared" si="7"/>
        <v>可回读</v>
      </c>
    </row>
    <row r="98" spans="1:9" ht="21.95" customHeight="1">
      <c r="A98" s="16">
        <v>5</v>
      </c>
      <c r="B98" s="14" t="s">
        <v>138</v>
      </c>
      <c r="C98" s="14">
        <v>16</v>
      </c>
      <c r="D98" s="8">
        <f>IF(B98="",0,ROUNDUP(C98*(1+(全局设置!$B$5-1)*全局设置!$B$6),0))</f>
        <v>16</v>
      </c>
      <c r="E98" s="17">
        <f>IF(B98="",0,IFERROR(VLOOKUP(B98,敌人目录!$A$6:$M$68,13,FALSE),0))</f>
        <v>2</v>
      </c>
      <c r="F98" s="17">
        <f t="shared" si="6"/>
        <v>32</v>
      </c>
      <c r="G98" s="17">
        <f>F98*全局设置!$B$7</f>
        <v>32</v>
      </c>
      <c r="H98" s="17">
        <f>G98*全局设置!$B$5</f>
        <v>32</v>
      </c>
      <c r="I98" s="15" t="str">
        <f t="shared" si="7"/>
        <v>可回读</v>
      </c>
    </row>
    <row r="99" spans="1:9" ht="21.95" customHeight="1">
      <c r="A99" s="16">
        <v>6</v>
      </c>
      <c r="B99" s="14" t="s">
        <v>122</v>
      </c>
      <c r="C99" s="14">
        <v>20</v>
      </c>
      <c r="D99" s="8">
        <f>IF(B99="",0,ROUNDUP(C99*(1+(全局设置!$B$5-1)*全局设置!$B$6),0))</f>
        <v>20</v>
      </c>
      <c r="E99" s="17">
        <f>IF(B99="",0,IFERROR(VLOOKUP(B99,敌人目录!$A$6:$M$68,13,FALSE),0))</f>
        <v>1</v>
      </c>
      <c r="F99" s="17">
        <f t="shared" si="6"/>
        <v>20</v>
      </c>
      <c r="G99" s="17">
        <f>F99*全局设置!$B$7</f>
        <v>20</v>
      </c>
      <c r="H99" s="17">
        <f>G99*全局设置!$B$5</f>
        <v>20</v>
      </c>
      <c r="I99" s="15" t="str">
        <f t="shared" si="7"/>
        <v>可回读</v>
      </c>
    </row>
    <row r="100" spans="1:9" ht="21.95" customHeight="1">
      <c r="A100" s="16">
        <v>7</v>
      </c>
      <c r="B100" s="14" t="s">
        <v>141</v>
      </c>
      <c r="C100" s="14">
        <v>20</v>
      </c>
      <c r="D100" s="8">
        <f>IF(B100="",0,ROUNDUP(C100*(1+(全局设置!$B$5-1)*全局设置!$B$6),0))</f>
        <v>20</v>
      </c>
      <c r="E100" s="17">
        <f>IF(B100="",0,IFERROR(VLOOKUP(B100,敌人目录!$A$6:$M$68,13,FALSE),0))</f>
        <v>2</v>
      </c>
      <c r="F100" s="17">
        <f t="shared" si="6"/>
        <v>40</v>
      </c>
      <c r="G100" s="17">
        <f>F100*全局设置!$B$7</f>
        <v>40</v>
      </c>
      <c r="H100" s="17">
        <f>G100*全局设置!$B$5</f>
        <v>40</v>
      </c>
      <c r="I100" s="15" t="str">
        <f t="shared" si="7"/>
        <v>可回读</v>
      </c>
    </row>
    <row r="101" spans="1:9" ht="21.95" customHeight="1">
      <c r="A101" s="16">
        <v>8</v>
      </c>
      <c r="B101" s="14" t="s">
        <v>135</v>
      </c>
      <c r="C101" s="14">
        <v>16</v>
      </c>
      <c r="D101" s="8">
        <f>IF(B101="",0,ROUNDUP(C101*(1+(全局设置!$B$5-1)*全局设置!$B$6),0))</f>
        <v>16</v>
      </c>
      <c r="E101" s="17">
        <f>IF(B101="",0,IFERROR(VLOOKUP(B101,敌人目录!$A$6:$M$68,13,FALSE),0))</f>
        <v>2</v>
      </c>
      <c r="F101" s="17">
        <f t="shared" si="6"/>
        <v>32</v>
      </c>
      <c r="G101" s="17">
        <f>F101*全局设置!$B$7</f>
        <v>32</v>
      </c>
      <c r="H101" s="17">
        <f>G101*全局设置!$B$5</f>
        <v>32</v>
      </c>
      <c r="I101" s="15" t="str">
        <f t="shared" si="7"/>
        <v>可回读</v>
      </c>
    </row>
    <row r="102" spans="1:9" ht="21.95" customHeight="1">
      <c r="A102" s="16">
        <v>9</v>
      </c>
      <c r="B102" s="14" t="s">
        <v>144</v>
      </c>
      <c r="C102" s="14">
        <v>2</v>
      </c>
      <c r="D102" s="8">
        <f>IF(B102="",0,ROUNDUP(C102*(1+(全局设置!$B$5-1)*全局设置!$B$6),0))</f>
        <v>2</v>
      </c>
      <c r="E102" s="17">
        <f>IF(B102="",0,IFERROR(VLOOKUP(B102,敌人目录!$A$6:$M$68,13,FALSE),0))</f>
        <v>20</v>
      </c>
      <c r="F102" s="17">
        <f t="shared" si="6"/>
        <v>40</v>
      </c>
      <c r="G102" s="17">
        <f>F102*全局设置!$B$7</f>
        <v>40</v>
      </c>
      <c r="H102" s="17">
        <f>G102*全局设置!$B$5</f>
        <v>40</v>
      </c>
      <c r="I102" s="15" t="str">
        <f t="shared" si="7"/>
        <v>可回读</v>
      </c>
    </row>
    <row r="103" spans="1:9" ht="21.95" customHeight="1">
      <c r="A103" s="16">
        <v>10</v>
      </c>
      <c r="B103" s="14" t="s">
        <v>155</v>
      </c>
      <c r="C103" s="14">
        <v>2</v>
      </c>
      <c r="D103" s="8">
        <f>IF(B103="",0,ROUNDUP(C103*(1+(全局设置!$B$5-1)*全局设置!$B$6),0))</f>
        <v>2</v>
      </c>
      <c r="E103" s="17">
        <f>IF(B103="",0,IFERROR(VLOOKUP(B103,敌人目录!$A$6:$M$68,13,FALSE),0))</f>
        <v>20</v>
      </c>
      <c r="F103" s="17">
        <f t="shared" si="6"/>
        <v>40</v>
      </c>
      <c r="G103" s="17">
        <f>F103*全局设置!$B$7</f>
        <v>40</v>
      </c>
      <c r="H103" s="17">
        <f>G103*全局设置!$B$5</f>
        <v>40</v>
      </c>
      <c r="I103" s="15" t="str">
        <f t="shared" si="7"/>
        <v>可回读</v>
      </c>
    </row>
    <row r="104" spans="1:9" ht="21.95" customHeight="1">
      <c r="A104" s="16">
        <v>11</v>
      </c>
      <c r="B104" s="14" t="s">
        <v>160</v>
      </c>
      <c r="C104" s="14">
        <v>1</v>
      </c>
      <c r="D104" s="8">
        <f>IF(B104="",0,ROUNDUP(C104*(1+(全局设置!$B$5-1)*全局设置!$B$6),0))</f>
        <v>1</v>
      </c>
      <c r="E104" s="17">
        <f>IF(B104="",0,IFERROR(VLOOKUP(B104,敌人目录!$A$6:$M$68,13,FALSE),0))</f>
        <v>30</v>
      </c>
      <c r="F104" s="17">
        <f t="shared" si="6"/>
        <v>30</v>
      </c>
      <c r="G104" s="17">
        <f>F104*全局设置!$B$7</f>
        <v>30</v>
      </c>
      <c r="H104" s="17">
        <f>G104*全局设置!$B$5</f>
        <v>30</v>
      </c>
      <c r="I104" s="15" t="str">
        <f t="shared" si="7"/>
        <v>可回读</v>
      </c>
    </row>
    <row r="105" spans="1:9" ht="21.95" customHeight="1">
      <c r="A105" s="16">
        <v>12</v>
      </c>
      <c r="B105" s="14" t="s">
        <v>164</v>
      </c>
      <c r="C105" s="14">
        <v>1</v>
      </c>
      <c r="D105" s="8">
        <f>IF(B105="",0,ROUNDUP(C105*(1+(全局设置!$B$5-1)*全局设置!$B$6),0))</f>
        <v>1</v>
      </c>
      <c r="E105" s="17">
        <f>IF(B105="",0,IFERROR(VLOOKUP(B105,敌人目录!$A$6:$M$68,13,FALSE),0))</f>
        <v>24</v>
      </c>
      <c r="F105" s="17">
        <f t="shared" si="6"/>
        <v>24</v>
      </c>
      <c r="G105" s="17">
        <f>F105*全局设置!$B$7</f>
        <v>24</v>
      </c>
      <c r="H105" s="17">
        <f>G105*全局设置!$B$5</f>
        <v>24</v>
      </c>
      <c r="I105" s="15" t="str">
        <f t="shared" si="7"/>
        <v>可回读</v>
      </c>
    </row>
    <row r="106" spans="1:9" ht="21.95" customHeight="1">
      <c r="A106" s="16">
        <v>13</v>
      </c>
      <c r="B106" s="14" t="s">
        <v>161</v>
      </c>
      <c r="C106" s="14">
        <v>1</v>
      </c>
      <c r="D106" s="8">
        <f>IF(B106="",0,ROUNDUP(C106*(1+(全局设置!$B$5-1)*全局设置!$B$6),0))</f>
        <v>1</v>
      </c>
      <c r="E106" s="17">
        <f>IF(B106="",0,IFERROR(VLOOKUP(B106,敌人目录!$A$6:$M$68,13,FALSE),0))</f>
        <v>50</v>
      </c>
      <c r="F106" s="17">
        <f t="shared" si="6"/>
        <v>50</v>
      </c>
      <c r="G106" s="17">
        <f>F106*全局设置!$B$7</f>
        <v>50</v>
      </c>
      <c r="H106" s="17">
        <f>G106*全局设置!$B$5</f>
        <v>50</v>
      </c>
      <c r="I106" s="15" t="str">
        <f t="shared" si="7"/>
        <v>可回读</v>
      </c>
    </row>
    <row r="107" spans="1:9" ht="21.95" customHeight="1">
      <c r="A107" s="16">
        <v>14</v>
      </c>
      <c r="B107" s="14"/>
      <c r="C107" s="14"/>
      <c r="D107" s="8">
        <f>IF(B107="",0,ROUNDUP(C107*(1+(全局设置!$B$5-1)*全局设置!$B$6),0))</f>
        <v>0</v>
      </c>
      <c r="E107" s="17">
        <f>IF(B107="",0,IFERROR(VLOOKUP(B107,敌人目录!$A$6:$M$68,13,FALSE),0))</f>
        <v>0</v>
      </c>
      <c r="F107" s="17">
        <f t="shared" si="6"/>
        <v>0</v>
      </c>
      <c r="G107" s="17">
        <f>F107*全局设置!$B$7</f>
        <v>0</v>
      </c>
      <c r="H107" s="17">
        <f>G107*全局设置!$B$5</f>
        <v>0</v>
      </c>
      <c r="I107" s="15" t="str">
        <f t="shared" si="7"/>
        <v/>
      </c>
    </row>
    <row r="108" spans="1:9" ht="21.95" customHeight="1">
      <c r="A108" s="16">
        <v>15</v>
      </c>
      <c r="B108" s="14"/>
      <c r="C108" s="14"/>
      <c r="D108" s="8">
        <f>IF(B108="",0,ROUNDUP(C108*(1+(全局设置!$B$5-1)*全局设置!$B$6),0))</f>
        <v>0</v>
      </c>
      <c r="E108" s="17">
        <f>IF(B108="",0,IFERROR(VLOOKUP(B108,敌人目录!$A$6:$M$68,13,FALSE),0))</f>
        <v>0</v>
      </c>
      <c r="F108" s="17">
        <f t="shared" si="6"/>
        <v>0</v>
      </c>
      <c r="G108" s="17">
        <f>F108*全局设置!$B$7</f>
        <v>0</v>
      </c>
      <c r="H108" s="17">
        <f>G108*全局设置!$B$5</f>
        <v>0</v>
      </c>
      <c r="I108" s="15" t="str">
        <f t="shared" si="7"/>
        <v/>
      </c>
    </row>
    <row r="109" spans="1:9" ht="21.95" customHeight="1">
      <c r="A109" s="16">
        <v>16</v>
      </c>
      <c r="B109" s="14"/>
      <c r="C109" s="14"/>
      <c r="D109" s="8">
        <f>IF(B109="",0,ROUNDUP(C109*(1+(全局设置!$B$5-1)*全局设置!$B$6),0))</f>
        <v>0</v>
      </c>
      <c r="E109" s="17">
        <f>IF(B109="",0,IFERROR(VLOOKUP(B109,敌人目录!$A$6:$M$68,13,FALSE),0))</f>
        <v>0</v>
      </c>
      <c r="F109" s="17">
        <f t="shared" si="6"/>
        <v>0</v>
      </c>
      <c r="G109" s="17">
        <f>F109*全局设置!$B$7</f>
        <v>0</v>
      </c>
      <c r="H109" s="17">
        <f>G109*全局设置!$B$5</f>
        <v>0</v>
      </c>
      <c r="I109" s="15" t="str">
        <f t="shared" si="7"/>
        <v/>
      </c>
    </row>
    <row r="110" spans="1:9" ht="21.95" customHeight="1">
      <c r="A110" s="16">
        <v>17</v>
      </c>
      <c r="B110" s="14"/>
      <c r="C110" s="14"/>
      <c r="D110" s="8">
        <f>IF(B110="",0,ROUNDUP(C110*(1+(全局设置!$B$5-1)*全局设置!$B$6),0))</f>
        <v>0</v>
      </c>
      <c r="E110" s="17">
        <f>IF(B110="",0,IFERROR(VLOOKUP(B110,敌人目录!$A$6:$M$68,13,FALSE),0))</f>
        <v>0</v>
      </c>
      <c r="F110" s="17">
        <f t="shared" si="6"/>
        <v>0</v>
      </c>
      <c r="G110" s="17">
        <f>F110*全局设置!$B$7</f>
        <v>0</v>
      </c>
      <c r="H110" s="17">
        <f>G110*全局设置!$B$5</f>
        <v>0</v>
      </c>
      <c r="I110" s="15" t="str">
        <f t="shared" si="7"/>
        <v/>
      </c>
    </row>
    <row r="111" spans="1:9" ht="21.95" customHeight="1">
      <c r="A111" s="16">
        <v>18</v>
      </c>
      <c r="B111" s="14"/>
      <c r="C111" s="14"/>
      <c r="D111" s="8">
        <f>IF(B111="",0,ROUNDUP(C111*(1+(全局设置!$B$5-1)*全局设置!$B$6),0))</f>
        <v>0</v>
      </c>
      <c r="E111" s="17">
        <f>IF(B111="",0,IFERROR(VLOOKUP(B111,敌人目录!$A$6:$M$68,13,FALSE),0))</f>
        <v>0</v>
      </c>
      <c r="F111" s="17">
        <f t="shared" si="6"/>
        <v>0</v>
      </c>
      <c r="G111" s="17">
        <f>F111*全局设置!$B$7</f>
        <v>0</v>
      </c>
      <c r="H111" s="17">
        <f>G111*全局设置!$B$5</f>
        <v>0</v>
      </c>
      <c r="I111" s="15" t="str">
        <f t="shared" si="7"/>
        <v/>
      </c>
    </row>
    <row r="112" spans="1:9" ht="21.95" customHeight="1"/>
    <row r="113" spans="1:9" ht="21.95" customHeight="1">
      <c r="A113" s="19" t="s">
        <v>123</v>
      </c>
      <c r="B113" s="8">
        <f>SUM(C94:C111)</f>
        <v>200</v>
      </c>
      <c r="C113" s="19" t="s">
        <v>124</v>
      </c>
      <c r="D113" s="8">
        <f>SUM(D94:D111)</f>
        <v>200</v>
      </c>
      <c r="E113" s="19" t="s">
        <v>46</v>
      </c>
      <c r="F113" s="8">
        <f>SUM(F94:F111)</f>
        <v>453</v>
      </c>
      <c r="G113" s="19" t="s">
        <v>47</v>
      </c>
      <c r="H113" s="8">
        <f>SUM(G94:G111)</f>
        <v>453</v>
      </c>
      <c r="I113" s="8"/>
    </row>
    <row r="114" spans="1:9" ht="21.95" customHeight="1">
      <c r="A114" s="18" t="s">
        <v>34</v>
      </c>
      <c r="B114" s="4">
        <f>SUM(H94:H111)</f>
        <v>453</v>
      </c>
      <c r="C114" s="18" t="s">
        <v>125</v>
      </c>
      <c r="D114" s="41" t="s">
        <v>126</v>
      </c>
      <c r="E114" s="41"/>
      <c r="F114" s="41"/>
      <c r="G114" s="41"/>
      <c r="H114" s="41"/>
      <c r="I114" s="41"/>
    </row>
  </sheetData>
  <mergeCells count="17">
    <mergeCell ref="A92:I92"/>
    <mergeCell ref="D114:I114"/>
    <mergeCell ref="B61:C61"/>
    <mergeCell ref="A63:I63"/>
    <mergeCell ref="D85:I85"/>
    <mergeCell ref="A89:I89"/>
    <mergeCell ref="B90:C90"/>
    <mergeCell ref="A31:I31"/>
    <mergeCell ref="B32:C32"/>
    <mergeCell ref="A34:I34"/>
    <mergeCell ref="D56:I56"/>
    <mergeCell ref="A60:I60"/>
    <mergeCell ref="A1:I1"/>
    <mergeCell ref="A2:I2"/>
    <mergeCell ref="B3:C3"/>
    <mergeCell ref="A5:I5"/>
    <mergeCell ref="D27:I27"/>
  </mergeCells>
  <phoneticPr fontId="12" type="noConversion"/>
  <dataValidations count="14">
    <dataValidation type="list" sqref="B4 B91 B62 B33">
      <formula1>"点1·开启,点1·关闭"</formula1>
    </dataValidation>
    <dataValidation type="list" sqref="C4 C91 C62 C33">
      <formula1>"点2·开启,点2·关闭"</formula1>
    </dataValidation>
    <dataValidation type="list" sqref="D4 D91 D62 D33">
      <formula1>"点3·开启,点3·关闭"</formula1>
    </dataValidation>
    <dataValidation type="list" sqref="E4 E91 E62 E33">
      <formula1>"点4·开启,点4·关闭"</formula1>
    </dataValidation>
    <dataValidation type="list" sqref="F4 F91 F62 F33">
      <formula1>"点5·开启,点5·关闭"</formula1>
    </dataValidation>
    <dataValidation type="list" sqref="G4 G91 G62 G33">
      <formula1>"点6·开启,点6·关闭"</formula1>
    </dataValidation>
    <dataValidation type="whole" sqref="C7:C24 C94:C111 C65:C82 C36:C53">
      <formula1>1</formula1>
      <formula2>9999</formula2>
    </dataValidation>
    <dataValidation type="decimal" sqref="E3 E90 E61 E32">
      <formula1>0.025</formula1>
      <formula2>60</formula2>
    </dataValidation>
    <dataValidation type="whole" sqref="G3 G90 G61 G32">
      <formula1>1</formula1>
      <formula2>4</formula2>
    </dataValidation>
    <dataValidation type="whole" sqref="I3 I90 I61 I32">
      <formula1>1</formula1>
      <formula2>999</formula2>
    </dataValidation>
    <dataValidation type="list" errorStyle="stop" showInputMessage="1" showErrorMessage="1" errorTitle="敌人不在目录中" error="请使用单元格下拉列表中的有效敌人。" promptTitle="选择敌人" prompt="请从敌人目录的63名非Boss敌人中选择。" sqref="B7:B24">
      <formula1>INDIRECT("'敌人目录'!$A$6:$A$68")</formula1>
    </dataValidation>
    <dataValidation type="list" errorStyle="stop" showInputMessage="1" showErrorMessage="1" errorTitle="敌人不在目录中" error="请使用单元格下拉列表中的有效敌人。" promptTitle="选择敌人" prompt="请从敌人目录的63名非Boss敌人中选择。" sqref="B36:B53">
      <formula1>INDIRECT("'敌人目录'!$A$6:$A$68")</formula1>
    </dataValidation>
    <dataValidation type="list" errorStyle="stop" showInputMessage="1" showErrorMessage="1" errorTitle="敌人不在目录中" error="请使用单元格下拉列表中的有效敌人。" promptTitle="选择敌人" prompt="请从敌人目录的63名非Boss敌人中选择。" sqref="B65:B82">
      <formula1>INDIRECT("'敌人目录'!$A$6:$A$68")</formula1>
    </dataValidation>
    <dataValidation type="list" errorStyle="stop" showInputMessage="1" showErrorMessage="1" errorTitle="敌人不在目录中" error="请使用单元格下拉列表中的有效敌人。" promptTitle="选择敌人" prompt="请从敌人目录的63名非Boss敌人中选择。" sqref="B94:B111">
      <formula1>INDIRECT("'敌人目录'!$A$6:$A$68")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showGridLines="0" workbookViewId="0">
      <selection sqref="A1:I1"/>
    </sheetView>
  </sheetViews>
  <sheetFormatPr defaultRowHeight="14.25"/>
  <cols>
    <col min="1" max="1" width="16" customWidth="1"/>
    <col min="2" max="2" width="23" customWidth="1"/>
    <col min="3" max="3" width="13" customWidth="1"/>
    <col min="4" max="4" width="15" customWidth="1"/>
    <col min="5" max="5" width="18" customWidth="1"/>
    <col min="6" max="6" width="22" customWidth="1"/>
    <col min="7" max="7" width="13" customWidth="1"/>
    <col min="8" max="9" width="20" customWidth="1"/>
  </cols>
  <sheetData>
    <row r="1" spans="1:9" ht="36" customHeight="1">
      <c r="A1" s="34" t="s">
        <v>165</v>
      </c>
      <c r="B1" s="34"/>
      <c r="C1" s="34"/>
      <c r="D1" s="34"/>
      <c r="E1" s="34"/>
      <c r="F1" s="34"/>
      <c r="G1" s="34"/>
      <c r="H1" s="34"/>
      <c r="I1" s="34"/>
    </row>
    <row r="2" spans="1:9" ht="24.95" customHeight="1">
      <c r="A2" s="32" t="s">
        <v>166</v>
      </c>
      <c r="B2" s="32"/>
      <c r="C2" s="32"/>
      <c r="D2" s="32"/>
      <c r="E2" s="32"/>
      <c r="F2" s="32"/>
      <c r="G2" s="32"/>
      <c r="H2" s="32"/>
      <c r="I2" s="32"/>
    </row>
    <row r="3" spans="1:9" ht="24.95" customHeight="1"/>
    <row r="4" spans="1:9" ht="24.95" customHeight="1">
      <c r="A4" s="34" t="s">
        <v>167</v>
      </c>
      <c r="B4" s="34"/>
      <c r="C4" s="34"/>
      <c r="D4" s="34"/>
      <c r="E4" s="34"/>
      <c r="F4" s="34"/>
      <c r="G4" s="34"/>
      <c r="H4" s="34"/>
      <c r="I4" s="34"/>
    </row>
    <row r="5" spans="1:9" ht="24.95" customHeight="1">
      <c r="A5" s="20" t="s">
        <v>168</v>
      </c>
      <c r="B5" s="13" t="s">
        <v>24</v>
      </c>
      <c r="C5" s="20" t="s">
        <v>40</v>
      </c>
      <c r="D5" s="13" t="s">
        <v>52</v>
      </c>
      <c r="E5" s="20" t="s">
        <v>169</v>
      </c>
      <c r="F5" s="13" t="s">
        <v>170</v>
      </c>
      <c r="G5" s="20" t="s">
        <v>171</v>
      </c>
      <c r="H5" s="13" t="s">
        <v>172</v>
      </c>
      <c r="I5" s="13"/>
    </row>
    <row r="6" spans="1:9" ht="24.95" customHeight="1">
      <c r="A6" s="20" t="s">
        <v>173</v>
      </c>
      <c r="B6" s="42" t="s">
        <v>174</v>
      </c>
      <c r="C6" s="42"/>
      <c r="D6" s="42"/>
      <c r="E6" s="20" t="s">
        <v>175</v>
      </c>
      <c r="F6" s="42" t="s">
        <v>176</v>
      </c>
      <c r="G6" s="42"/>
      <c r="H6" s="42"/>
      <c r="I6" s="42"/>
    </row>
    <row r="7" spans="1:9" ht="24.95" customHeight="1">
      <c r="A7" s="20" t="s">
        <v>177</v>
      </c>
      <c r="B7" s="42" t="s">
        <v>36</v>
      </c>
      <c r="C7" s="42"/>
      <c r="D7" s="42"/>
      <c r="E7" s="20" t="s">
        <v>178</v>
      </c>
      <c r="F7" s="42" t="s">
        <v>179</v>
      </c>
      <c r="G7" s="42"/>
      <c r="H7" s="42"/>
      <c r="I7" s="42"/>
    </row>
    <row r="8" spans="1:9" ht="24.95" customHeight="1">
      <c r="A8" s="20" t="s">
        <v>180</v>
      </c>
      <c r="B8" s="42" t="s">
        <v>181</v>
      </c>
      <c r="C8" s="42"/>
      <c r="D8" s="42"/>
      <c r="E8" s="42"/>
      <c r="F8" s="42"/>
      <c r="G8" s="42"/>
      <c r="H8" s="42"/>
      <c r="I8" s="42"/>
    </row>
    <row r="9" spans="1:9" ht="24.95" customHeight="1">
      <c r="A9" s="20" t="s">
        <v>182</v>
      </c>
      <c r="B9" s="42" t="s">
        <v>183</v>
      </c>
      <c r="C9" s="42"/>
      <c r="D9" s="42"/>
      <c r="E9" s="42"/>
      <c r="F9" s="42"/>
      <c r="G9" s="42"/>
      <c r="H9" s="42"/>
      <c r="I9" s="42"/>
    </row>
    <row r="10" spans="1:9" ht="24.95" customHeight="1">
      <c r="A10" s="20" t="s">
        <v>184</v>
      </c>
      <c r="B10" s="42" t="s">
        <v>185</v>
      </c>
      <c r="C10" s="42"/>
      <c r="D10" s="42"/>
      <c r="E10" s="42"/>
      <c r="F10" s="42"/>
      <c r="G10" s="42"/>
      <c r="H10" s="42"/>
      <c r="I10" s="42"/>
    </row>
    <row r="11" spans="1:9" ht="24.95" customHeight="1"/>
    <row r="12" spans="1:9" ht="24.95" customHeight="1">
      <c r="A12" s="33" t="s">
        <v>186</v>
      </c>
      <c r="B12" s="33"/>
      <c r="C12" s="33"/>
      <c r="D12" s="33"/>
      <c r="E12" s="33"/>
      <c r="F12" s="33"/>
      <c r="G12" s="33"/>
      <c r="H12" s="33"/>
      <c r="I12" s="33"/>
    </row>
    <row r="13" spans="1:9" ht="32.1" customHeight="1">
      <c r="A13" s="43" t="s">
        <v>187</v>
      </c>
      <c r="B13" s="43"/>
      <c r="C13" s="43"/>
      <c r="D13" s="43"/>
      <c r="E13" s="43"/>
      <c r="F13" s="43"/>
      <c r="G13" s="43"/>
      <c r="H13" s="43"/>
      <c r="I13" s="43"/>
    </row>
    <row r="14" spans="1:9" ht="32.1" customHeight="1">
      <c r="A14" s="43"/>
      <c r="B14" s="43"/>
      <c r="C14" s="43"/>
      <c r="D14" s="43"/>
      <c r="E14" s="43"/>
      <c r="F14" s="43"/>
      <c r="G14" s="43"/>
      <c r="H14" s="43"/>
      <c r="I14" s="43"/>
    </row>
    <row r="15" spans="1:9" ht="32.1" customHeight="1">
      <c r="A15" s="43"/>
      <c r="B15" s="43"/>
      <c r="C15" s="43"/>
      <c r="D15" s="43"/>
      <c r="E15" s="43"/>
      <c r="F15" s="43"/>
      <c r="G15" s="43"/>
      <c r="H15" s="43"/>
      <c r="I15" s="43"/>
    </row>
    <row r="16" spans="1:9" ht="24.95" customHeight="1"/>
    <row r="17" spans="1:9" ht="24.95" customHeight="1">
      <c r="A17" s="44" t="s">
        <v>188</v>
      </c>
      <c r="B17" s="44"/>
      <c r="C17" s="44"/>
      <c r="D17" s="44"/>
      <c r="E17" s="44"/>
      <c r="F17" s="44"/>
      <c r="G17" s="44"/>
      <c r="H17" s="44"/>
      <c r="I17" s="44"/>
    </row>
  </sheetData>
  <mergeCells count="13">
    <mergeCell ref="A12:I12"/>
    <mergeCell ref="A13:I15"/>
    <mergeCell ref="A17:I17"/>
    <mergeCell ref="B7:D7"/>
    <mergeCell ref="F7:I7"/>
    <mergeCell ref="B8:I8"/>
    <mergeCell ref="B9:I9"/>
    <mergeCell ref="B10:I10"/>
    <mergeCell ref="A1:I1"/>
    <mergeCell ref="A2:I2"/>
    <mergeCell ref="A4:I4"/>
    <mergeCell ref="B6:D6"/>
    <mergeCell ref="F6:I6"/>
  </mergeCells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68"/>
  <sheetViews>
    <sheetView showGridLines="0" workbookViewId="0"/>
  </sheetViews>
  <sheetFormatPr defaultRowHeight="14.25"/>
  <cols>
    <col min="1" max="1" width="23" customWidth="1"/>
    <col min="2" max="2" width="28" customWidth="1"/>
    <col min="3" max="3" width="19" customWidth="1"/>
    <col min="4" max="4" width="15" customWidth="1"/>
    <col min="5" max="5" width="11" customWidth="1"/>
    <col min="6" max="6" width="14" customWidth="1"/>
    <col min="7" max="8" width="11" customWidth="1"/>
    <col min="9" max="10" width="12" customWidth="1"/>
    <col min="11" max="11" width="11" customWidth="1"/>
    <col min="12" max="12" width="12" customWidth="1"/>
    <col min="13" max="13" width="13" customWidth="1"/>
    <col min="14" max="14" width="17" customWidth="1"/>
    <col min="15" max="15" width="12" customWidth="1"/>
    <col min="16" max="16" width="13" customWidth="1"/>
    <col min="17" max="17" width="12" customWidth="1"/>
    <col min="18" max="18" width="13" customWidth="1"/>
    <col min="19" max="19" width="15" customWidth="1"/>
    <col min="20" max="27" width="12" customWidth="1"/>
    <col min="28" max="28" width="24" customWidth="1"/>
    <col min="29" max="30" width="48" customWidth="1"/>
  </cols>
  <sheetData>
    <row r="1" spans="1:30" ht="33.950000000000003" customHeight="1">
      <c r="A1" s="31" t="s">
        <v>189</v>
      </c>
      <c r="B1" s="31" t="s">
        <v>190</v>
      </c>
      <c r="C1" s="31" t="s">
        <v>190</v>
      </c>
      <c r="D1" s="31" t="s">
        <v>190</v>
      </c>
      <c r="E1" s="31" t="s">
        <v>190</v>
      </c>
      <c r="F1" s="31" t="s">
        <v>190</v>
      </c>
      <c r="G1" s="31" t="s">
        <v>190</v>
      </c>
      <c r="H1" s="31" t="s">
        <v>190</v>
      </c>
      <c r="I1" s="31" t="s">
        <v>190</v>
      </c>
      <c r="J1" s="31" t="s">
        <v>190</v>
      </c>
      <c r="K1" s="31" t="s">
        <v>190</v>
      </c>
      <c r="L1" s="31" t="s">
        <v>190</v>
      </c>
      <c r="M1" s="31" t="s">
        <v>190</v>
      </c>
      <c r="N1" s="31" t="s">
        <v>190</v>
      </c>
      <c r="O1" s="31" t="s">
        <v>190</v>
      </c>
      <c r="P1" s="31" t="s">
        <v>190</v>
      </c>
      <c r="Q1" s="31" t="s">
        <v>190</v>
      </c>
      <c r="R1" s="31" t="s">
        <v>190</v>
      </c>
      <c r="S1" s="31" t="s">
        <v>190</v>
      </c>
      <c r="T1" s="31" t="s">
        <v>190</v>
      </c>
      <c r="U1" s="31" t="s">
        <v>190</v>
      </c>
      <c r="V1" s="31" t="s">
        <v>190</v>
      </c>
      <c r="W1" s="31" t="s">
        <v>190</v>
      </c>
      <c r="X1" s="31" t="s">
        <v>190</v>
      </c>
      <c r="Y1" s="31" t="s">
        <v>190</v>
      </c>
      <c r="Z1" s="31" t="s">
        <v>190</v>
      </c>
      <c r="AA1" s="31" t="s">
        <v>190</v>
      </c>
      <c r="AB1" s="31" t="s">
        <v>190</v>
      </c>
      <c r="AC1" s="31" t="s">
        <v>190</v>
      </c>
      <c r="AD1" s="31" t="s">
        <v>190</v>
      </c>
    </row>
    <row r="2" spans="1:30" ht="23.1" customHeight="1">
      <c r="A2" s="36" t="s">
        <v>191</v>
      </c>
      <c r="B2" s="36" t="s">
        <v>192</v>
      </c>
      <c r="C2" s="36" t="s">
        <v>192</v>
      </c>
      <c r="D2" s="36" t="s">
        <v>192</v>
      </c>
      <c r="E2" s="36" t="s">
        <v>192</v>
      </c>
      <c r="F2" s="36" t="s">
        <v>192</v>
      </c>
      <c r="G2" s="36" t="s">
        <v>192</v>
      </c>
      <c r="H2" s="36" t="s">
        <v>192</v>
      </c>
      <c r="I2" s="36" t="s">
        <v>192</v>
      </c>
      <c r="J2" s="36" t="s">
        <v>192</v>
      </c>
      <c r="K2" s="36" t="s">
        <v>192</v>
      </c>
      <c r="L2" s="36" t="s">
        <v>192</v>
      </c>
      <c r="M2" s="36" t="s">
        <v>192</v>
      </c>
      <c r="N2" s="36" t="s">
        <v>192</v>
      </c>
      <c r="O2" s="36" t="s">
        <v>192</v>
      </c>
      <c r="P2" s="36" t="s">
        <v>192</v>
      </c>
      <c r="Q2" s="36" t="s">
        <v>192</v>
      </c>
      <c r="R2" s="36" t="s">
        <v>192</v>
      </c>
      <c r="S2" s="36" t="s">
        <v>192</v>
      </c>
      <c r="T2" s="36" t="s">
        <v>192</v>
      </c>
      <c r="U2" s="36" t="s">
        <v>192</v>
      </c>
      <c r="V2" s="36" t="s">
        <v>192</v>
      </c>
      <c r="W2" s="36" t="s">
        <v>192</v>
      </c>
      <c r="X2" s="36" t="s">
        <v>192</v>
      </c>
      <c r="Y2" s="36" t="s">
        <v>192</v>
      </c>
      <c r="Z2" s="36" t="s">
        <v>192</v>
      </c>
      <c r="AA2" s="36" t="s">
        <v>192</v>
      </c>
      <c r="AB2" s="36" t="s">
        <v>192</v>
      </c>
      <c r="AC2" s="36" t="s">
        <v>192</v>
      </c>
      <c r="AD2" s="36" t="s">
        <v>192</v>
      </c>
    </row>
    <row r="3" spans="1:30" ht="23.1" customHeight="1"/>
    <row r="4" spans="1:30" ht="23.1" customHeight="1">
      <c r="A4" s="45" t="s">
        <v>193</v>
      </c>
      <c r="B4" s="45" t="s">
        <v>193</v>
      </c>
      <c r="C4" s="45" t="s">
        <v>193</v>
      </c>
      <c r="D4" s="45" t="s">
        <v>193</v>
      </c>
      <c r="E4" s="45" t="s">
        <v>193</v>
      </c>
      <c r="F4" s="45" t="s">
        <v>193</v>
      </c>
      <c r="G4" s="45" t="s">
        <v>194</v>
      </c>
      <c r="H4" s="45" t="s">
        <v>194</v>
      </c>
      <c r="I4" s="45" t="s">
        <v>194</v>
      </c>
      <c r="J4" s="45" t="s">
        <v>194</v>
      </c>
      <c r="K4" s="45" t="s">
        <v>194</v>
      </c>
      <c r="L4" s="45" t="s">
        <v>194</v>
      </c>
      <c r="M4" s="19" t="s">
        <v>195</v>
      </c>
      <c r="N4" s="19" t="s">
        <v>196</v>
      </c>
      <c r="O4" s="45" t="s">
        <v>197</v>
      </c>
      <c r="P4" s="45" t="s">
        <v>197</v>
      </c>
      <c r="Q4" s="45" t="s">
        <v>197</v>
      </c>
      <c r="R4" s="45" t="s">
        <v>197</v>
      </c>
      <c r="S4" s="45" t="s">
        <v>197</v>
      </c>
      <c r="T4" s="45" t="s">
        <v>197</v>
      </c>
      <c r="U4" s="45" t="s">
        <v>197</v>
      </c>
      <c r="V4" s="45" t="s">
        <v>198</v>
      </c>
      <c r="W4" s="45" t="s">
        <v>198</v>
      </c>
      <c r="X4" s="45" t="s">
        <v>198</v>
      </c>
      <c r="Y4" s="45" t="s">
        <v>198</v>
      </c>
      <c r="Z4" s="45" t="s">
        <v>198</v>
      </c>
      <c r="AA4" s="45" t="s">
        <v>199</v>
      </c>
      <c r="AB4" s="45" t="s">
        <v>199</v>
      </c>
      <c r="AC4" s="45" t="s">
        <v>199</v>
      </c>
      <c r="AD4" s="45" t="s">
        <v>199</v>
      </c>
    </row>
    <row r="5" spans="1:30" ht="23.1" customHeight="1">
      <c r="A5" s="20" t="s">
        <v>200</v>
      </c>
      <c r="B5" s="20" t="s">
        <v>201</v>
      </c>
      <c r="C5" s="20" t="s">
        <v>41</v>
      </c>
      <c r="D5" s="20" t="s">
        <v>202</v>
      </c>
      <c r="E5" s="20" t="s">
        <v>203</v>
      </c>
      <c r="F5" s="20" t="s">
        <v>204</v>
      </c>
      <c r="G5" s="20" t="s">
        <v>205</v>
      </c>
      <c r="H5" s="20" t="s">
        <v>206</v>
      </c>
      <c r="I5" s="20" t="s">
        <v>207</v>
      </c>
      <c r="J5" s="20" t="s">
        <v>208</v>
      </c>
      <c r="K5" s="20" t="s">
        <v>209</v>
      </c>
      <c r="L5" s="20" t="s">
        <v>210</v>
      </c>
      <c r="M5" s="20" t="s">
        <v>116</v>
      </c>
      <c r="N5" s="20" t="s">
        <v>211</v>
      </c>
      <c r="O5" s="20" t="s">
        <v>212</v>
      </c>
      <c r="P5" s="20" t="s">
        <v>213</v>
      </c>
      <c r="Q5" s="20" t="s">
        <v>214</v>
      </c>
      <c r="R5" s="20" t="s">
        <v>215</v>
      </c>
      <c r="S5" s="20" t="s">
        <v>216</v>
      </c>
      <c r="T5" s="20" t="s">
        <v>217</v>
      </c>
      <c r="U5" s="20" t="s">
        <v>218</v>
      </c>
      <c r="V5" s="20" t="s">
        <v>219</v>
      </c>
      <c r="W5" s="20" t="s">
        <v>220</v>
      </c>
      <c r="X5" s="20" t="s">
        <v>221</v>
      </c>
      <c r="Y5" s="20" t="s">
        <v>222</v>
      </c>
      <c r="Z5" s="20" t="s">
        <v>223</v>
      </c>
      <c r="AA5" s="20" t="s">
        <v>224</v>
      </c>
      <c r="AB5" s="20" t="s">
        <v>225</v>
      </c>
      <c r="AC5" s="20" t="s">
        <v>226</v>
      </c>
      <c r="AD5" s="20" t="s">
        <v>227</v>
      </c>
    </row>
    <row r="6" spans="1:30" ht="23.1" customHeight="1">
      <c r="A6" s="13" t="s">
        <v>120</v>
      </c>
      <c r="B6" s="13" t="s">
        <v>228</v>
      </c>
      <c r="C6" s="13" t="s">
        <v>120</v>
      </c>
      <c r="D6" s="13" t="s">
        <v>229</v>
      </c>
      <c r="E6" s="13" t="s">
        <v>230</v>
      </c>
      <c r="F6" s="13" t="s">
        <v>231</v>
      </c>
      <c r="G6" s="7">
        <v>40</v>
      </c>
      <c r="H6" s="7">
        <v>10</v>
      </c>
      <c r="I6" s="7">
        <v>0</v>
      </c>
      <c r="J6" s="7">
        <v>0</v>
      </c>
      <c r="K6" s="7">
        <v>20</v>
      </c>
      <c r="L6" s="7">
        <v>1</v>
      </c>
      <c r="M6" s="17">
        <v>1</v>
      </c>
      <c r="N6" s="17">
        <f t="shared" ref="N6:N37" si="0">SUM(O6:Z6)</f>
        <v>4.6000000000000013E-2</v>
      </c>
      <c r="O6" s="21">
        <v>0.02</v>
      </c>
      <c r="P6" s="21">
        <v>2E-3</v>
      </c>
      <c r="Q6" s="21">
        <v>0.01</v>
      </c>
      <c r="R6" s="21">
        <v>0</v>
      </c>
      <c r="S6" s="21">
        <v>0</v>
      </c>
      <c r="T6" s="21">
        <v>0</v>
      </c>
      <c r="U6" s="21">
        <v>0</v>
      </c>
      <c r="V6" s="22">
        <v>4.0000000000000001E-3</v>
      </c>
      <c r="W6" s="22">
        <v>4.0000000000000001E-3</v>
      </c>
      <c r="X6" s="22">
        <v>4.0000000000000001E-3</v>
      </c>
      <c r="Y6" s="22">
        <v>0</v>
      </c>
      <c r="Z6" s="22">
        <v>2E-3</v>
      </c>
      <c r="AA6" s="13" t="str">
        <f t="shared" ref="AA6:AA37" si="1">IF(AND(A6&lt;&gt;"",B6&lt;&gt;"",G6&gt;0,M6&gt;=0,M6&lt;=999),"可回读","需修正")</f>
        <v>可回读</v>
      </c>
      <c r="AB6" s="13" t="s">
        <v>232</v>
      </c>
      <c r="AC6" s="13" t="s">
        <v>233</v>
      </c>
      <c r="AD6" s="13" t="s">
        <v>234</v>
      </c>
    </row>
    <row r="7" spans="1:30" ht="23.1" customHeight="1">
      <c r="A7" s="13" t="s">
        <v>129</v>
      </c>
      <c r="B7" s="13" t="s">
        <v>235</v>
      </c>
      <c r="C7" s="13" t="s">
        <v>129</v>
      </c>
      <c r="D7" s="13" t="s">
        <v>229</v>
      </c>
      <c r="E7" s="13" t="s">
        <v>230</v>
      </c>
      <c r="F7" s="13" t="s">
        <v>231</v>
      </c>
      <c r="G7" s="7">
        <v>140</v>
      </c>
      <c r="H7" s="7">
        <v>14</v>
      </c>
      <c r="I7" s="7">
        <v>3</v>
      </c>
      <c r="J7" s="7">
        <v>0</v>
      </c>
      <c r="K7" s="7">
        <v>20</v>
      </c>
      <c r="L7" s="7">
        <v>2</v>
      </c>
      <c r="M7" s="17">
        <v>2</v>
      </c>
      <c r="N7" s="17">
        <f t="shared" si="0"/>
        <v>4.6000000000000013E-2</v>
      </c>
      <c r="O7" s="21">
        <v>0.02</v>
      </c>
      <c r="P7" s="21">
        <v>2E-3</v>
      </c>
      <c r="Q7" s="21">
        <v>0.01</v>
      </c>
      <c r="R7" s="21">
        <v>0</v>
      </c>
      <c r="S7" s="21">
        <v>0</v>
      </c>
      <c r="T7" s="21">
        <v>0</v>
      </c>
      <c r="U7" s="21">
        <v>0</v>
      </c>
      <c r="V7" s="22">
        <v>4.0000000000000001E-3</v>
      </c>
      <c r="W7" s="22">
        <v>4.0000000000000001E-3</v>
      </c>
      <c r="X7" s="22">
        <v>4.0000000000000001E-3</v>
      </c>
      <c r="Y7" s="22">
        <v>0</v>
      </c>
      <c r="Z7" s="22">
        <v>2E-3</v>
      </c>
      <c r="AA7" s="13" t="str">
        <f t="shared" si="1"/>
        <v>可回读</v>
      </c>
      <c r="AB7" s="13" t="s">
        <v>232</v>
      </c>
      <c r="AC7" s="13" t="s">
        <v>236</v>
      </c>
      <c r="AD7" s="13" t="s">
        <v>237</v>
      </c>
    </row>
    <row r="8" spans="1:30" ht="23.1" customHeight="1">
      <c r="A8" s="13" t="s">
        <v>121</v>
      </c>
      <c r="B8" s="13" t="s">
        <v>238</v>
      </c>
      <c r="C8" s="13" t="s">
        <v>121</v>
      </c>
      <c r="D8" s="13" t="s">
        <v>229</v>
      </c>
      <c r="E8" s="13" t="s">
        <v>230</v>
      </c>
      <c r="F8" s="13" t="s">
        <v>231</v>
      </c>
      <c r="G8" s="7">
        <v>35</v>
      </c>
      <c r="H8" s="7">
        <v>10</v>
      </c>
      <c r="I8" s="7">
        <v>0</v>
      </c>
      <c r="J8" s="7">
        <v>0</v>
      </c>
      <c r="K8" s="7">
        <v>40</v>
      </c>
      <c r="L8" s="7">
        <v>1</v>
      </c>
      <c r="M8" s="17">
        <v>1</v>
      </c>
      <c r="N8" s="17">
        <f t="shared" si="0"/>
        <v>4.6000000000000013E-2</v>
      </c>
      <c r="O8" s="21">
        <v>0.02</v>
      </c>
      <c r="P8" s="21">
        <v>2E-3</v>
      </c>
      <c r="Q8" s="21">
        <v>0.01</v>
      </c>
      <c r="R8" s="21">
        <v>0</v>
      </c>
      <c r="S8" s="21">
        <v>0</v>
      </c>
      <c r="T8" s="21">
        <v>0</v>
      </c>
      <c r="U8" s="21">
        <v>0</v>
      </c>
      <c r="V8" s="22">
        <v>4.0000000000000001E-3</v>
      </c>
      <c r="W8" s="22">
        <v>4.0000000000000001E-3</v>
      </c>
      <c r="X8" s="22">
        <v>4.0000000000000001E-3</v>
      </c>
      <c r="Y8" s="22">
        <v>0</v>
      </c>
      <c r="Z8" s="22">
        <v>2E-3</v>
      </c>
      <c r="AA8" s="13" t="str">
        <f t="shared" si="1"/>
        <v>可回读</v>
      </c>
      <c r="AB8" s="13" t="s">
        <v>232</v>
      </c>
      <c r="AC8" s="13" t="s">
        <v>239</v>
      </c>
      <c r="AD8" s="13" t="s">
        <v>240</v>
      </c>
    </row>
    <row r="9" spans="1:30" ht="23.1" customHeight="1">
      <c r="A9" s="13" t="s">
        <v>136</v>
      </c>
      <c r="B9" s="13" t="s">
        <v>241</v>
      </c>
      <c r="C9" s="13" t="s">
        <v>136</v>
      </c>
      <c r="D9" s="13" t="s">
        <v>229</v>
      </c>
      <c r="E9" s="13" t="s">
        <v>230</v>
      </c>
      <c r="F9" s="13" t="s">
        <v>231</v>
      </c>
      <c r="G9" s="7">
        <v>30</v>
      </c>
      <c r="H9" s="7">
        <v>10</v>
      </c>
      <c r="I9" s="7">
        <v>0</v>
      </c>
      <c r="J9" s="7">
        <v>0</v>
      </c>
      <c r="K9" s="7">
        <v>18</v>
      </c>
      <c r="L9" s="7">
        <v>1</v>
      </c>
      <c r="M9" s="17">
        <v>1</v>
      </c>
      <c r="N9" s="17">
        <f t="shared" si="0"/>
        <v>4.6000000000000013E-2</v>
      </c>
      <c r="O9" s="21">
        <v>0.02</v>
      </c>
      <c r="P9" s="21">
        <v>2E-3</v>
      </c>
      <c r="Q9" s="21">
        <v>0.01</v>
      </c>
      <c r="R9" s="21">
        <v>0</v>
      </c>
      <c r="S9" s="21">
        <v>0</v>
      </c>
      <c r="T9" s="21">
        <v>0</v>
      </c>
      <c r="U9" s="21">
        <v>0</v>
      </c>
      <c r="V9" s="22">
        <v>4.0000000000000001E-3</v>
      </c>
      <c r="W9" s="22">
        <v>4.0000000000000001E-3</v>
      </c>
      <c r="X9" s="22">
        <v>4.0000000000000001E-3</v>
      </c>
      <c r="Y9" s="22">
        <v>0</v>
      </c>
      <c r="Z9" s="22">
        <v>2E-3</v>
      </c>
      <c r="AA9" s="13" t="str">
        <f t="shared" si="1"/>
        <v>可回读</v>
      </c>
      <c r="AB9" s="13" t="s">
        <v>232</v>
      </c>
      <c r="AC9" s="13" t="s">
        <v>242</v>
      </c>
      <c r="AD9" s="13" t="s">
        <v>243</v>
      </c>
    </row>
    <row r="10" spans="1:30" ht="23.1" customHeight="1">
      <c r="A10" s="13" t="s">
        <v>138</v>
      </c>
      <c r="B10" s="13" t="s">
        <v>244</v>
      </c>
      <c r="C10" s="13" t="s">
        <v>138</v>
      </c>
      <c r="D10" s="13" t="s">
        <v>229</v>
      </c>
      <c r="E10" s="13" t="s">
        <v>230</v>
      </c>
      <c r="F10" s="13" t="s">
        <v>231</v>
      </c>
      <c r="G10" s="7">
        <v>40</v>
      </c>
      <c r="H10" s="7">
        <v>10</v>
      </c>
      <c r="I10" s="7">
        <v>0</v>
      </c>
      <c r="J10" s="7">
        <v>0</v>
      </c>
      <c r="K10" s="7">
        <v>32</v>
      </c>
      <c r="L10" s="7">
        <v>1</v>
      </c>
      <c r="M10" s="17">
        <v>2</v>
      </c>
      <c r="N10" s="17">
        <f t="shared" si="0"/>
        <v>4.6000000000000013E-2</v>
      </c>
      <c r="O10" s="21">
        <v>0.02</v>
      </c>
      <c r="P10" s="21">
        <v>2E-3</v>
      </c>
      <c r="Q10" s="21">
        <v>0.01</v>
      </c>
      <c r="R10" s="21">
        <v>0</v>
      </c>
      <c r="S10" s="21">
        <v>0</v>
      </c>
      <c r="T10" s="21">
        <v>0</v>
      </c>
      <c r="U10" s="21">
        <v>0</v>
      </c>
      <c r="V10" s="22">
        <v>4.0000000000000001E-3</v>
      </c>
      <c r="W10" s="22">
        <v>4.0000000000000001E-3</v>
      </c>
      <c r="X10" s="22">
        <v>4.0000000000000001E-3</v>
      </c>
      <c r="Y10" s="22">
        <v>0</v>
      </c>
      <c r="Z10" s="22">
        <v>2E-3</v>
      </c>
      <c r="AA10" s="13" t="str">
        <f t="shared" si="1"/>
        <v>可回读</v>
      </c>
      <c r="AB10" s="13" t="s">
        <v>232</v>
      </c>
      <c r="AC10" s="13" t="s">
        <v>245</v>
      </c>
      <c r="AD10" s="13" t="s">
        <v>246</v>
      </c>
    </row>
    <row r="11" spans="1:30" ht="23.1" customHeight="1">
      <c r="A11" s="13" t="s">
        <v>141</v>
      </c>
      <c r="B11" s="13" t="s">
        <v>247</v>
      </c>
      <c r="C11" s="13" t="s">
        <v>141</v>
      </c>
      <c r="D11" s="13" t="s">
        <v>229</v>
      </c>
      <c r="E11" s="13" t="s">
        <v>230</v>
      </c>
      <c r="F11" s="13" t="s">
        <v>231</v>
      </c>
      <c r="G11" s="7">
        <v>200</v>
      </c>
      <c r="H11" s="7">
        <v>20</v>
      </c>
      <c r="I11" s="7">
        <v>5</v>
      </c>
      <c r="J11" s="7">
        <v>0</v>
      </c>
      <c r="K11" s="7">
        <v>15</v>
      </c>
      <c r="L11" s="7">
        <v>5</v>
      </c>
      <c r="M11" s="17">
        <v>2</v>
      </c>
      <c r="N11" s="17">
        <f t="shared" si="0"/>
        <v>4.6000000000000013E-2</v>
      </c>
      <c r="O11" s="21">
        <v>0.02</v>
      </c>
      <c r="P11" s="21">
        <v>2E-3</v>
      </c>
      <c r="Q11" s="21">
        <v>0.01</v>
      </c>
      <c r="R11" s="21">
        <v>0</v>
      </c>
      <c r="S11" s="21">
        <v>0</v>
      </c>
      <c r="T11" s="21">
        <v>0</v>
      </c>
      <c r="U11" s="21">
        <v>0</v>
      </c>
      <c r="V11" s="22">
        <v>4.0000000000000001E-3</v>
      </c>
      <c r="W11" s="22">
        <v>4.0000000000000001E-3</v>
      </c>
      <c r="X11" s="22">
        <v>4.0000000000000001E-3</v>
      </c>
      <c r="Y11" s="22">
        <v>0</v>
      </c>
      <c r="Z11" s="22">
        <v>2E-3</v>
      </c>
      <c r="AA11" s="13" t="str">
        <f t="shared" si="1"/>
        <v>可回读</v>
      </c>
      <c r="AB11" s="13" t="s">
        <v>232</v>
      </c>
      <c r="AC11" s="13" t="s">
        <v>248</v>
      </c>
      <c r="AD11" s="13" t="s">
        <v>249</v>
      </c>
    </row>
    <row r="12" spans="1:30" ht="23.1" customHeight="1">
      <c r="A12" s="13" t="s">
        <v>122</v>
      </c>
      <c r="B12" s="13" t="s">
        <v>250</v>
      </c>
      <c r="C12" s="13" t="s">
        <v>122</v>
      </c>
      <c r="D12" s="13" t="s">
        <v>229</v>
      </c>
      <c r="E12" s="13" t="s">
        <v>230</v>
      </c>
      <c r="F12" s="13" t="s">
        <v>231</v>
      </c>
      <c r="G12" s="7">
        <v>40</v>
      </c>
      <c r="H12" s="7">
        <v>25</v>
      </c>
      <c r="I12" s="7">
        <v>0</v>
      </c>
      <c r="J12" s="7">
        <v>0</v>
      </c>
      <c r="K12" s="7">
        <v>22</v>
      </c>
      <c r="L12" s="7">
        <v>2</v>
      </c>
      <c r="M12" s="17">
        <v>1</v>
      </c>
      <c r="N12" s="17">
        <f t="shared" si="0"/>
        <v>4.6000000000000013E-2</v>
      </c>
      <c r="O12" s="21">
        <v>0.02</v>
      </c>
      <c r="P12" s="21">
        <v>2E-3</v>
      </c>
      <c r="Q12" s="21">
        <v>0.01</v>
      </c>
      <c r="R12" s="21">
        <v>0</v>
      </c>
      <c r="S12" s="21">
        <v>0</v>
      </c>
      <c r="T12" s="21">
        <v>0</v>
      </c>
      <c r="U12" s="21">
        <v>0</v>
      </c>
      <c r="V12" s="22">
        <v>4.0000000000000001E-3</v>
      </c>
      <c r="W12" s="22">
        <v>4.0000000000000001E-3</v>
      </c>
      <c r="X12" s="22">
        <v>4.0000000000000001E-3</v>
      </c>
      <c r="Y12" s="22">
        <v>0</v>
      </c>
      <c r="Z12" s="22">
        <v>2E-3</v>
      </c>
      <c r="AA12" s="13" t="str">
        <f t="shared" si="1"/>
        <v>可回读</v>
      </c>
      <c r="AB12" s="13" t="s">
        <v>232</v>
      </c>
      <c r="AC12" s="13" t="s">
        <v>251</v>
      </c>
      <c r="AD12" s="13" t="s">
        <v>252</v>
      </c>
    </row>
    <row r="13" spans="1:30" ht="23.1" customHeight="1">
      <c r="A13" s="13" t="s">
        <v>135</v>
      </c>
      <c r="B13" s="13" t="s">
        <v>253</v>
      </c>
      <c r="C13" s="13" t="s">
        <v>135</v>
      </c>
      <c r="D13" s="13" t="s">
        <v>229</v>
      </c>
      <c r="E13" s="13" t="s">
        <v>230</v>
      </c>
      <c r="F13" s="13" t="s">
        <v>231</v>
      </c>
      <c r="G13" s="7">
        <v>150</v>
      </c>
      <c r="H13" s="7">
        <v>10</v>
      </c>
      <c r="I13" s="7">
        <v>5</v>
      </c>
      <c r="J13" s="7">
        <v>0</v>
      </c>
      <c r="K13" s="7">
        <v>20</v>
      </c>
      <c r="L13" s="7">
        <v>5</v>
      </c>
      <c r="M13" s="17">
        <v>2</v>
      </c>
      <c r="N13" s="17">
        <f t="shared" si="0"/>
        <v>4.6000000000000013E-2</v>
      </c>
      <c r="O13" s="21">
        <v>0.02</v>
      </c>
      <c r="P13" s="21">
        <v>2E-3</v>
      </c>
      <c r="Q13" s="21">
        <v>0.01</v>
      </c>
      <c r="R13" s="21">
        <v>0</v>
      </c>
      <c r="S13" s="21">
        <v>0</v>
      </c>
      <c r="T13" s="21">
        <v>0</v>
      </c>
      <c r="U13" s="21">
        <v>0</v>
      </c>
      <c r="V13" s="22">
        <v>4.0000000000000001E-3</v>
      </c>
      <c r="W13" s="22">
        <v>4.0000000000000001E-3</v>
      </c>
      <c r="X13" s="22">
        <v>4.0000000000000001E-3</v>
      </c>
      <c r="Y13" s="22">
        <v>0</v>
      </c>
      <c r="Z13" s="22">
        <v>2E-3</v>
      </c>
      <c r="AA13" s="13" t="str">
        <f t="shared" si="1"/>
        <v>可回读</v>
      </c>
      <c r="AB13" s="13" t="s">
        <v>232</v>
      </c>
      <c r="AC13" s="13" t="s">
        <v>254</v>
      </c>
      <c r="AD13" s="13" t="s">
        <v>255</v>
      </c>
    </row>
    <row r="14" spans="1:30" ht="23.1" customHeight="1">
      <c r="A14" s="13" t="s">
        <v>256</v>
      </c>
      <c r="B14" s="13" t="s">
        <v>257</v>
      </c>
      <c r="C14" s="13" t="s">
        <v>256</v>
      </c>
      <c r="D14" s="13" t="s">
        <v>229</v>
      </c>
      <c r="E14" s="13" t="s">
        <v>230</v>
      </c>
      <c r="F14" s="13" t="s">
        <v>258</v>
      </c>
      <c r="G14" s="7">
        <v>80</v>
      </c>
      <c r="H14" s="7">
        <v>10</v>
      </c>
      <c r="I14" s="7">
        <v>150</v>
      </c>
      <c r="J14" s="7">
        <v>0</v>
      </c>
      <c r="K14" s="7">
        <v>20</v>
      </c>
      <c r="L14" s="7">
        <v>1</v>
      </c>
      <c r="M14" s="17">
        <v>1</v>
      </c>
      <c r="N14" s="17">
        <f t="shared" si="0"/>
        <v>4.6000000000000013E-2</v>
      </c>
      <c r="O14" s="21">
        <v>0.02</v>
      </c>
      <c r="P14" s="21">
        <v>2E-3</v>
      </c>
      <c r="Q14" s="21">
        <v>0.01</v>
      </c>
      <c r="R14" s="21">
        <v>0</v>
      </c>
      <c r="S14" s="21">
        <v>0</v>
      </c>
      <c r="T14" s="21">
        <v>0</v>
      </c>
      <c r="U14" s="21">
        <v>0</v>
      </c>
      <c r="V14" s="22">
        <v>4.0000000000000001E-3</v>
      </c>
      <c r="W14" s="22">
        <v>4.0000000000000001E-3</v>
      </c>
      <c r="X14" s="22">
        <v>4.0000000000000001E-3</v>
      </c>
      <c r="Y14" s="22">
        <v>0</v>
      </c>
      <c r="Z14" s="22">
        <v>2E-3</v>
      </c>
      <c r="AA14" s="13" t="str">
        <f t="shared" si="1"/>
        <v>可回读</v>
      </c>
      <c r="AB14" s="13" t="s">
        <v>259</v>
      </c>
      <c r="AC14" s="13" t="s">
        <v>260</v>
      </c>
      <c r="AD14" s="13" t="s">
        <v>261</v>
      </c>
    </row>
    <row r="15" spans="1:30" ht="23.1" customHeight="1">
      <c r="A15" s="13" t="s">
        <v>262</v>
      </c>
      <c r="B15" s="13" t="s">
        <v>263</v>
      </c>
      <c r="C15" s="13" t="s">
        <v>262</v>
      </c>
      <c r="D15" s="13" t="s">
        <v>229</v>
      </c>
      <c r="E15" s="13" t="s">
        <v>230</v>
      </c>
      <c r="F15" s="13" t="s">
        <v>258</v>
      </c>
      <c r="G15" s="7">
        <v>280</v>
      </c>
      <c r="H15" s="7">
        <v>14</v>
      </c>
      <c r="I15" s="7">
        <v>150</v>
      </c>
      <c r="J15" s="7">
        <v>0</v>
      </c>
      <c r="K15" s="7">
        <v>20</v>
      </c>
      <c r="L15" s="7">
        <v>2</v>
      </c>
      <c r="M15" s="17">
        <v>2</v>
      </c>
      <c r="N15" s="17">
        <f t="shared" si="0"/>
        <v>4.6000000000000013E-2</v>
      </c>
      <c r="O15" s="21">
        <v>0.02</v>
      </c>
      <c r="P15" s="21">
        <v>2E-3</v>
      </c>
      <c r="Q15" s="21">
        <v>0.01</v>
      </c>
      <c r="R15" s="21">
        <v>0</v>
      </c>
      <c r="S15" s="21">
        <v>0</v>
      </c>
      <c r="T15" s="21">
        <v>0</v>
      </c>
      <c r="U15" s="21">
        <v>0</v>
      </c>
      <c r="V15" s="22">
        <v>4.0000000000000001E-3</v>
      </c>
      <c r="W15" s="22">
        <v>4.0000000000000001E-3</v>
      </c>
      <c r="X15" s="22">
        <v>4.0000000000000001E-3</v>
      </c>
      <c r="Y15" s="22">
        <v>0</v>
      </c>
      <c r="Z15" s="22">
        <v>2E-3</v>
      </c>
      <c r="AA15" s="13" t="str">
        <f t="shared" si="1"/>
        <v>可回读</v>
      </c>
      <c r="AB15" s="13" t="s">
        <v>259</v>
      </c>
      <c r="AC15" s="13" t="s">
        <v>264</v>
      </c>
      <c r="AD15" s="13" t="s">
        <v>265</v>
      </c>
    </row>
    <row r="16" spans="1:30" ht="23.1" customHeight="1">
      <c r="A16" s="13" t="s">
        <v>266</v>
      </c>
      <c r="B16" s="13" t="s">
        <v>267</v>
      </c>
      <c r="C16" s="13" t="s">
        <v>266</v>
      </c>
      <c r="D16" s="13" t="s">
        <v>229</v>
      </c>
      <c r="E16" s="13" t="s">
        <v>230</v>
      </c>
      <c r="F16" s="13" t="s">
        <v>258</v>
      </c>
      <c r="G16" s="7">
        <v>70</v>
      </c>
      <c r="H16" s="7">
        <v>10</v>
      </c>
      <c r="I16" s="7">
        <v>150</v>
      </c>
      <c r="J16" s="7">
        <v>0</v>
      </c>
      <c r="K16" s="7">
        <v>40</v>
      </c>
      <c r="L16" s="7">
        <v>1</v>
      </c>
      <c r="M16" s="17">
        <v>1</v>
      </c>
      <c r="N16" s="17">
        <f t="shared" si="0"/>
        <v>4.6000000000000013E-2</v>
      </c>
      <c r="O16" s="21">
        <v>0.02</v>
      </c>
      <c r="P16" s="21">
        <v>2E-3</v>
      </c>
      <c r="Q16" s="21">
        <v>0.01</v>
      </c>
      <c r="R16" s="21">
        <v>0</v>
      </c>
      <c r="S16" s="21">
        <v>0</v>
      </c>
      <c r="T16" s="21">
        <v>0</v>
      </c>
      <c r="U16" s="21">
        <v>0</v>
      </c>
      <c r="V16" s="22">
        <v>4.0000000000000001E-3</v>
      </c>
      <c r="W16" s="22">
        <v>4.0000000000000001E-3</v>
      </c>
      <c r="X16" s="22">
        <v>4.0000000000000001E-3</v>
      </c>
      <c r="Y16" s="22">
        <v>0</v>
      </c>
      <c r="Z16" s="22">
        <v>2E-3</v>
      </c>
      <c r="AA16" s="13" t="str">
        <f t="shared" si="1"/>
        <v>可回读</v>
      </c>
      <c r="AB16" s="13" t="s">
        <v>259</v>
      </c>
      <c r="AC16" s="13" t="s">
        <v>268</v>
      </c>
      <c r="AD16" s="13" t="s">
        <v>269</v>
      </c>
    </row>
    <row r="17" spans="1:30" ht="23.1" customHeight="1">
      <c r="A17" s="13" t="s">
        <v>270</v>
      </c>
      <c r="B17" s="13" t="s">
        <v>271</v>
      </c>
      <c r="C17" s="13" t="s">
        <v>270</v>
      </c>
      <c r="D17" s="13" t="s">
        <v>229</v>
      </c>
      <c r="E17" s="13" t="s">
        <v>230</v>
      </c>
      <c r="F17" s="13" t="s">
        <v>258</v>
      </c>
      <c r="G17" s="7">
        <v>60</v>
      </c>
      <c r="H17" s="7">
        <v>10</v>
      </c>
      <c r="I17" s="7">
        <v>150</v>
      </c>
      <c r="J17" s="7">
        <v>0</v>
      </c>
      <c r="K17" s="7">
        <v>18</v>
      </c>
      <c r="L17" s="7">
        <v>1</v>
      </c>
      <c r="M17" s="17">
        <v>1</v>
      </c>
      <c r="N17" s="17">
        <f t="shared" si="0"/>
        <v>4.6000000000000013E-2</v>
      </c>
      <c r="O17" s="21">
        <v>0.02</v>
      </c>
      <c r="P17" s="21">
        <v>2E-3</v>
      </c>
      <c r="Q17" s="21">
        <v>0.01</v>
      </c>
      <c r="R17" s="21">
        <v>0</v>
      </c>
      <c r="S17" s="21">
        <v>0</v>
      </c>
      <c r="T17" s="21">
        <v>0</v>
      </c>
      <c r="U17" s="21">
        <v>0</v>
      </c>
      <c r="V17" s="22">
        <v>4.0000000000000001E-3</v>
      </c>
      <c r="W17" s="22">
        <v>4.0000000000000001E-3</v>
      </c>
      <c r="X17" s="22">
        <v>4.0000000000000001E-3</v>
      </c>
      <c r="Y17" s="22">
        <v>0</v>
      </c>
      <c r="Z17" s="22">
        <v>2E-3</v>
      </c>
      <c r="AA17" s="13" t="str">
        <f t="shared" si="1"/>
        <v>可回读</v>
      </c>
      <c r="AB17" s="13" t="s">
        <v>259</v>
      </c>
      <c r="AC17" s="13" t="s">
        <v>272</v>
      </c>
      <c r="AD17" s="13" t="s">
        <v>273</v>
      </c>
    </row>
    <row r="18" spans="1:30" ht="23.1" customHeight="1">
      <c r="A18" s="13" t="s">
        <v>274</v>
      </c>
      <c r="B18" s="13" t="s">
        <v>275</v>
      </c>
      <c r="C18" s="13" t="s">
        <v>274</v>
      </c>
      <c r="D18" s="13" t="s">
        <v>229</v>
      </c>
      <c r="E18" s="13" t="s">
        <v>230</v>
      </c>
      <c r="F18" s="13" t="s">
        <v>258</v>
      </c>
      <c r="G18" s="7">
        <v>80</v>
      </c>
      <c r="H18" s="7">
        <v>10</v>
      </c>
      <c r="I18" s="7">
        <v>150</v>
      </c>
      <c r="J18" s="7">
        <v>0</v>
      </c>
      <c r="K18" s="7">
        <v>32</v>
      </c>
      <c r="L18" s="7">
        <v>1</v>
      </c>
      <c r="M18" s="17">
        <v>2</v>
      </c>
      <c r="N18" s="17">
        <f t="shared" si="0"/>
        <v>4.6000000000000013E-2</v>
      </c>
      <c r="O18" s="21">
        <v>0.02</v>
      </c>
      <c r="P18" s="21">
        <v>2E-3</v>
      </c>
      <c r="Q18" s="21">
        <v>0.01</v>
      </c>
      <c r="R18" s="21">
        <v>0</v>
      </c>
      <c r="S18" s="21">
        <v>0</v>
      </c>
      <c r="T18" s="21">
        <v>0</v>
      </c>
      <c r="U18" s="21">
        <v>0</v>
      </c>
      <c r="V18" s="22">
        <v>4.0000000000000001E-3</v>
      </c>
      <c r="W18" s="22">
        <v>4.0000000000000001E-3</v>
      </c>
      <c r="X18" s="22">
        <v>4.0000000000000001E-3</v>
      </c>
      <c r="Y18" s="22">
        <v>0</v>
      </c>
      <c r="Z18" s="22">
        <v>2E-3</v>
      </c>
      <c r="AA18" s="13" t="str">
        <f t="shared" si="1"/>
        <v>可回读</v>
      </c>
      <c r="AB18" s="13" t="s">
        <v>259</v>
      </c>
      <c r="AC18" s="13" t="s">
        <v>276</v>
      </c>
      <c r="AD18" s="13" t="s">
        <v>277</v>
      </c>
    </row>
    <row r="19" spans="1:30" ht="23.1" customHeight="1">
      <c r="A19" s="13" t="s">
        <v>278</v>
      </c>
      <c r="B19" s="13" t="s">
        <v>279</v>
      </c>
      <c r="C19" s="13" t="s">
        <v>278</v>
      </c>
      <c r="D19" s="13" t="s">
        <v>229</v>
      </c>
      <c r="E19" s="13" t="s">
        <v>230</v>
      </c>
      <c r="F19" s="13" t="s">
        <v>258</v>
      </c>
      <c r="G19" s="7">
        <v>400</v>
      </c>
      <c r="H19" s="7">
        <v>20</v>
      </c>
      <c r="I19" s="7">
        <v>150</v>
      </c>
      <c r="J19" s="7">
        <v>0</v>
      </c>
      <c r="K19" s="7">
        <v>15</v>
      </c>
      <c r="L19" s="7">
        <v>5</v>
      </c>
      <c r="M19" s="17">
        <v>2</v>
      </c>
      <c r="N19" s="17">
        <f t="shared" si="0"/>
        <v>4.6000000000000013E-2</v>
      </c>
      <c r="O19" s="21">
        <v>0.02</v>
      </c>
      <c r="P19" s="21">
        <v>2E-3</v>
      </c>
      <c r="Q19" s="21">
        <v>0.01</v>
      </c>
      <c r="R19" s="21">
        <v>0</v>
      </c>
      <c r="S19" s="21">
        <v>0</v>
      </c>
      <c r="T19" s="21">
        <v>0</v>
      </c>
      <c r="U19" s="21">
        <v>0</v>
      </c>
      <c r="V19" s="22">
        <v>4.0000000000000001E-3</v>
      </c>
      <c r="W19" s="22">
        <v>4.0000000000000001E-3</v>
      </c>
      <c r="X19" s="22">
        <v>4.0000000000000001E-3</v>
      </c>
      <c r="Y19" s="22">
        <v>0</v>
      </c>
      <c r="Z19" s="22">
        <v>2E-3</v>
      </c>
      <c r="AA19" s="13" t="str">
        <f t="shared" si="1"/>
        <v>可回读</v>
      </c>
      <c r="AB19" s="13" t="s">
        <v>259</v>
      </c>
      <c r="AC19" s="13" t="s">
        <v>280</v>
      </c>
      <c r="AD19" s="13" t="s">
        <v>281</v>
      </c>
    </row>
    <row r="20" spans="1:30" ht="23.1" customHeight="1">
      <c r="A20" s="13" t="s">
        <v>282</v>
      </c>
      <c r="B20" s="13" t="s">
        <v>283</v>
      </c>
      <c r="C20" s="13" t="s">
        <v>282</v>
      </c>
      <c r="D20" s="13" t="s">
        <v>229</v>
      </c>
      <c r="E20" s="13" t="s">
        <v>230</v>
      </c>
      <c r="F20" s="13" t="s">
        <v>258</v>
      </c>
      <c r="G20" s="7">
        <v>80</v>
      </c>
      <c r="H20" s="7">
        <v>25</v>
      </c>
      <c r="I20" s="7">
        <v>150</v>
      </c>
      <c r="J20" s="7">
        <v>0</v>
      </c>
      <c r="K20" s="7">
        <v>22</v>
      </c>
      <c r="L20" s="7">
        <v>2</v>
      </c>
      <c r="M20" s="17">
        <v>1</v>
      </c>
      <c r="N20" s="17">
        <f t="shared" si="0"/>
        <v>4.6000000000000013E-2</v>
      </c>
      <c r="O20" s="21">
        <v>0.02</v>
      </c>
      <c r="P20" s="21">
        <v>2E-3</v>
      </c>
      <c r="Q20" s="21">
        <v>0.01</v>
      </c>
      <c r="R20" s="21">
        <v>0</v>
      </c>
      <c r="S20" s="21">
        <v>0</v>
      </c>
      <c r="T20" s="21">
        <v>0</v>
      </c>
      <c r="U20" s="21">
        <v>0</v>
      </c>
      <c r="V20" s="22">
        <v>4.0000000000000001E-3</v>
      </c>
      <c r="W20" s="22">
        <v>4.0000000000000001E-3</v>
      </c>
      <c r="X20" s="22">
        <v>4.0000000000000001E-3</v>
      </c>
      <c r="Y20" s="22">
        <v>0</v>
      </c>
      <c r="Z20" s="22">
        <v>2E-3</v>
      </c>
      <c r="AA20" s="13" t="str">
        <f t="shared" si="1"/>
        <v>可回读</v>
      </c>
      <c r="AB20" s="13" t="s">
        <v>259</v>
      </c>
      <c r="AC20" s="13" t="s">
        <v>284</v>
      </c>
      <c r="AD20" s="13" t="s">
        <v>285</v>
      </c>
    </row>
    <row r="21" spans="1:30" ht="23.1" customHeight="1">
      <c r="A21" s="13" t="s">
        <v>286</v>
      </c>
      <c r="B21" s="13" t="s">
        <v>287</v>
      </c>
      <c r="C21" s="13" t="s">
        <v>286</v>
      </c>
      <c r="D21" s="13" t="s">
        <v>229</v>
      </c>
      <c r="E21" s="13" t="s">
        <v>230</v>
      </c>
      <c r="F21" s="13" t="s">
        <v>258</v>
      </c>
      <c r="G21" s="7">
        <v>300</v>
      </c>
      <c r="H21" s="7">
        <v>10</v>
      </c>
      <c r="I21" s="7">
        <v>150</v>
      </c>
      <c r="J21" s="7">
        <v>0</v>
      </c>
      <c r="K21" s="7">
        <v>20</v>
      </c>
      <c r="L21" s="7">
        <v>5</v>
      </c>
      <c r="M21" s="17">
        <v>2</v>
      </c>
      <c r="N21" s="17">
        <f t="shared" si="0"/>
        <v>4.6000000000000013E-2</v>
      </c>
      <c r="O21" s="21">
        <v>0.02</v>
      </c>
      <c r="P21" s="21">
        <v>2E-3</v>
      </c>
      <c r="Q21" s="21">
        <v>0.01</v>
      </c>
      <c r="R21" s="21">
        <v>0</v>
      </c>
      <c r="S21" s="21">
        <v>0</v>
      </c>
      <c r="T21" s="21">
        <v>0</v>
      </c>
      <c r="U21" s="21">
        <v>0</v>
      </c>
      <c r="V21" s="22">
        <v>4.0000000000000001E-3</v>
      </c>
      <c r="W21" s="22">
        <v>4.0000000000000001E-3</v>
      </c>
      <c r="X21" s="22">
        <v>4.0000000000000001E-3</v>
      </c>
      <c r="Y21" s="22">
        <v>0</v>
      </c>
      <c r="Z21" s="22">
        <v>2E-3</v>
      </c>
      <c r="AA21" s="13" t="str">
        <f t="shared" si="1"/>
        <v>可回读</v>
      </c>
      <c r="AB21" s="13" t="s">
        <v>259</v>
      </c>
      <c r="AC21" s="13" t="s">
        <v>288</v>
      </c>
      <c r="AD21" s="13" t="s">
        <v>289</v>
      </c>
    </row>
    <row r="22" spans="1:30" ht="23.1" customHeight="1">
      <c r="A22" s="13" t="s">
        <v>118</v>
      </c>
      <c r="B22" s="13" t="s">
        <v>290</v>
      </c>
      <c r="C22" s="13" t="s">
        <v>118</v>
      </c>
      <c r="D22" s="13" t="s">
        <v>118</v>
      </c>
      <c r="E22" s="13" t="s">
        <v>230</v>
      </c>
      <c r="F22" s="13" t="s">
        <v>258</v>
      </c>
      <c r="G22" s="7">
        <v>100</v>
      </c>
      <c r="H22" s="7">
        <v>10</v>
      </c>
      <c r="I22" s="7">
        <v>0</v>
      </c>
      <c r="J22" s="7">
        <v>0</v>
      </c>
      <c r="K22" s="7">
        <v>20</v>
      </c>
      <c r="L22" s="7">
        <v>1</v>
      </c>
      <c r="M22" s="17">
        <v>1</v>
      </c>
      <c r="N22" s="17">
        <f t="shared" si="0"/>
        <v>6.6000000000000017E-2</v>
      </c>
      <c r="O22" s="21">
        <v>0.02</v>
      </c>
      <c r="P22" s="21">
        <v>2E-3</v>
      </c>
      <c r="Q22" s="21">
        <v>0.01</v>
      </c>
      <c r="R22" s="21">
        <v>0</v>
      </c>
      <c r="S22" s="21">
        <v>0</v>
      </c>
      <c r="T22" s="21">
        <v>0.02</v>
      </c>
      <c r="U22" s="21">
        <v>0</v>
      </c>
      <c r="V22" s="22">
        <v>4.0000000000000001E-3</v>
      </c>
      <c r="W22" s="22">
        <v>4.0000000000000001E-3</v>
      </c>
      <c r="X22" s="22">
        <v>4.0000000000000001E-3</v>
      </c>
      <c r="Y22" s="22">
        <v>0</v>
      </c>
      <c r="Z22" s="22">
        <v>2E-3</v>
      </c>
      <c r="AA22" s="13" t="str">
        <f t="shared" si="1"/>
        <v>可回读</v>
      </c>
      <c r="AB22" s="13" t="s">
        <v>291</v>
      </c>
      <c r="AC22" s="13" t="s">
        <v>292</v>
      </c>
      <c r="AD22" s="13" t="s">
        <v>293</v>
      </c>
    </row>
    <row r="23" spans="1:30" ht="23.1" customHeight="1">
      <c r="A23" s="13" t="s">
        <v>119</v>
      </c>
      <c r="B23" s="13" t="s">
        <v>294</v>
      </c>
      <c r="C23" s="13" t="s">
        <v>119</v>
      </c>
      <c r="D23" s="13" t="s">
        <v>118</v>
      </c>
      <c r="E23" s="13" t="s">
        <v>230</v>
      </c>
      <c r="F23" s="13" t="s">
        <v>258</v>
      </c>
      <c r="G23" s="7">
        <v>200</v>
      </c>
      <c r="H23" s="7">
        <v>10</v>
      </c>
      <c r="I23" s="7">
        <v>0</v>
      </c>
      <c r="J23" s="7">
        <v>0</v>
      </c>
      <c r="K23" s="7">
        <v>20</v>
      </c>
      <c r="L23" s="7">
        <v>1</v>
      </c>
      <c r="M23" s="17">
        <v>1</v>
      </c>
      <c r="N23" s="17">
        <f t="shared" si="0"/>
        <v>6.6000000000000017E-2</v>
      </c>
      <c r="O23" s="21">
        <v>0.02</v>
      </c>
      <c r="P23" s="21">
        <v>2E-3</v>
      </c>
      <c r="Q23" s="21">
        <v>0.01</v>
      </c>
      <c r="R23" s="21">
        <v>0</v>
      </c>
      <c r="S23" s="21">
        <v>0</v>
      </c>
      <c r="T23" s="21">
        <v>0.02</v>
      </c>
      <c r="U23" s="21">
        <v>0</v>
      </c>
      <c r="V23" s="22">
        <v>4.0000000000000001E-3</v>
      </c>
      <c r="W23" s="22">
        <v>4.0000000000000001E-3</v>
      </c>
      <c r="X23" s="22">
        <v>4.0000000000000001E-3</v>
      </c>
      <c r="Y23" s="22">
        <v>0</v>
      </c>
      <c r="Z23" s="22">
        <v>2E-3</v>
      </c>
      <c r="AA23" s="13" t="str">
        <f t="shared" si="1"/>
        <v>可回读</v>
      </c>
      <c r="AB23" s="13" t="s">
        <v>291</v>
      </c>
      <c r="AC23" s="13" t="s">
        <v>295</v>
      </c>
      <c r="AD23" s="13" t="s">
        <v>296</v>
      </c>
    </row>
    <row r="24" spans="1:30" ht="23.1" customHeight="1">
      <c r="A24" s="13" t="s">
        <v>130</v>
      </c>
      <c r="B24" s="13" t="s">
        <v>297</v>
      </c>
      <c r="C24" s="13" t="s">
        <v>130</v>
      </c>
      <c r="D24" s="13" t="s">
        <v>118</v>
      </c>
      <c r="E24" s="13" t="s">
        <v>230</v>
      </c>
      <c r="F24" s="13" t="s">
        <v>258</v>
      </c>
      <c r="G24" s="7">
        <v>200</v>
      </c>
      <c r="H24" s="7">
        <v>10</v>
      </c>
      <c r="I24" s="7">
        <v>0</v>
      </c>
      <c r="J24" s="7">
        <v>0</v>
      </c>
      <c r="K24" s="7">
        <v>20</v>
      </c>
      <c r="L24" s="7">
        <v>1</v>
      </c>
      <c r="M24" s="17">
        <v>1</v>
      </c>
      <c r="N24" s="17">
        <f t="shared" si="0"/>
        <v>6.6000000000000017E-2</v>
      </c>
      <c r="O24" s="21">
        <v>0.02</v>
      </c>
      <c r="P24" s="21">
        <v>2E-3</v>
      </c>
      <c r="Q24" s="21">
        <v>0.01</v>
      </c>
      <c r="R24" s="21">
        <v>0</v>
      </c>
      <c r="S24" s="21">
        <v>0</v>
      </c>
      <c r="T24" s="21">
        <v>0.02</v>
      </c>
      <c r="U24" s="21">
        <v>0</v>
      </c>
      <c r="V24" s="22">
        <v>4.0000000000000001E-3</v>
      </c>
      <c r="W24" s="22">
        <v>4.0000000000000001E-3</v>
      </c>
      <c r="X24" s="22">
        <v>4.0000000000000001E-3</v>
      </c>
      <c r="Y24" s="22">
        <v>0</v>
      </c>
      <c r="Z24" s="22">
        <v>2E-3</v>
      </c>
      <c r="AA24" s="13" t="str">
        <f t="shared" si="1"/>
        <v>可回读</v>
      </c>
      <c r="AB24" s="13" t="s">
        <v>291</v>
      </c>
      <c r="AC24" s="13" t="s">
        <v>298</v>
      </c>
      <c r="AD24" s="13" t="s">
        <v>299</v>
      </c>
    </row>
    <row r="25" spans="1:30" ht="23.1" customHeight="1">
      <c r="A25" s="13" t="s">
        <v>137</v>
      </c>
      <c r="B25" s="13" t="s">
        <v>300</v>
      </c>
      <c r="C25" s="13" t="s">
        <v>137</v>
      </c>
      <c r="D25" s="13" t="s">
        <v>118</v>
      </c>
      <c r="E25" s="13" t="s">
        <v>230</v>
      </c>
      <c r="F25" s="13" t="s">
        <v>258</v>
      </c>
      <c r="G25" s="7">
        <v>300</v>
      </c>
      <c r="H25" s="7">
        <v>10</v>
      </c>
      <c r="I25" s="7">
        <v>50</v>
      </c>
      <c r="J25" s="7">
        <v>50</v>
      </c>
      <c r="K25" s="7">
        <v>20</v>
      </c>
      <c r="L25" s="7">
        <v>1</v>
      </c>
      <c r="M25" s="17">
        <v>1</v>
      </c>
      <c r="N25" s="17">
        <f t="shared" si="0"/>
        <v>6.6000000000000017E-2</v>
      </c>
      <c r="O25" s="21">
        <v>0.02</v>
      </c>
      <c r="P25" s="21">
        <v>2E-3</v>
      </c>
      <c r="Q25" s="21">
        <v>0.01</v>
      </c>
      <c r="R25" s="21">
        <v>0</v>
      </c>
      <c r="S25" s="21">
        <v>0</v>
      </c>
      <c r="T25" s="21">
        <v>0.02</v>
      </c>
      <c r="U25" s="21">
        <v>0</v>
      </c>
      <c r="V25" s="22">
        <v>4.0000000000000001E-3</v>
      </c>
      <c r="W25" s="22">
        <v>4.0000000000000001E-3</v>
      </c>
      <c r="X25" s="22">
        <v>4.0000000000000001E-3</v>
      </c>
      <c r="Y25" s="22">
        <v>0</v>
      </c>
      <c r="Z25" s="22">
        <v>2E-3</v>
      </c>
      <c r="AA25" s="13" t="str">
        <f t="shared" si="1"/>
        <v>可回读</v>
      </c>
      <c r="AB25" s="13" t="s">
        <v>291</v>
      </c>
      <c r="AC25" s="13" t="s">
        <v>301</v>
      </c>
      <c r="AD25" s="13" t="s">
        <v>302</v>
      </c>
    </row>
    <row r="26" spans="1:30" ht="23.1" customHeight="1">
      <c r="A26" s="13" t="s">
        <v>142</v>
      </c>
      <c r="B26" s="13" t="s">
        <v>303</v>
      </c>
      <c r="C26" s="13" t="s">
        <v>142</v>
      </c>
      <c r="D26" s="13" t="s">
        <v>118</v>
      </c>
      <c r="E26" s="13" t="s">
        <v>230</v>
      </c>
      <c r="F26" s="13" t="s">
        <v>258</v>
      </c>
      <c r="G26" s="7">
        <v>1000</v>
      </c>
      <c r="H26" s="7">
        <v>50</v>
      </c>
      <c r="I26" s="7">
        <v>0</v>
      </c>
      <c r="J26" s="7">
        <v>0</v>
      </c>
      <c r="K26" s="7">
        <v>20</v>
      </c>
      <c r="L26" s="7">
        <v>1</v>
      </c>
      <c r="M26" s="17">
        <v>1</v>
      </c>
      <c r="N26" s="17">
        <f t="shared" si="0"/>
        <v>6.6000000000000017E-2</v>
      </c>
      <c r="O26" s="21">
        <v>0.02</v>
      </c>
      <c r="P26" s="21">
        <v>2E-3</v>
      </c>
      <c r="Q26" s="21">
        <v>0.01</v>
      </c>
      <c r="R26" s="21">
        <v>0</v>
      </c>
      <c r="S26" s="21">
        <v>0</v>
      </c>
      <c r="T26" s="21">
        <v>0.02</v>
      </c>
      <c r="U26" s="21">
        <v>0</v>
      </c>
      <c r="V26" s="22">
        <v>4.0000000000000001E-3</v>
      </c>
      <c r="W26" s="22">
        <v>4.0000000000000001E-3</v>
      </c>
      <c r="X26" s="22">
        <v>4.0000000000000001E-3</v>
      </c>
      <c r="Y26" s="22">
        <v>0</v>
      </c>
      <c r="Z26" s="22">
        <v>2E-3</v>
      </c>
      <c r="AA26" s="13" t="str">
        <f t="shared" si="1"/>
        <v>可回读</v>
      </c>
      <c r="AB26" s="13" t="s">
        <v>291</v>
      </c>
      <c r="AC26" s="13" t="s">
        <v>304</v>
      </c>
      <c r="AD26" s="13" t="s">
        <v>305</v>
      </c>
    </row>
    <row r="27" spans="1:30" ht="23.1" customHeight="1">
      <c r="A27" s="13" t="s">
        <v>306</v>
      </c>
      <c r="B27" s="13" t="s">
        <v>307</v>
      </c>
      <c r="C27" s="13" t="s">
        <v>306</v>
      </c>
      <c r="D27" s="13" t="s">
        <v>118</v>
      </c>
      <c r="E27" s="13" t="s">
        <v>230</v>
      </c>
      <c r="F27" s="13" t="s">
        <v>258</v>
      </c>
      <c r="G27" s="7">
        <v>200</v>
      </c>
      <c r="H27" s="7">
        <v>10</v>
      </c>
      <c r="I27" s="7">
        <v>150</v>
      </c>
      <c r="J27" s="7">
        <v>0</v>
      </c>
      <c r="K27" s="7">
        <v>20</v>
      </c>
      <c r="L27" s="7">
        <v>1</v>
      </c>
      <c r="M27" s="17">
        <v>1</v>
      </c>
      <c r="N27" s="17">
        <f t="shared" si="0"/>
        <v>6.6000000000000017E-2</v>
      </c>
      <c r="O27" s="21">
        <v>0.02</v>
      </c>
      <c r="P27" s="21">
        <v>2E-3</v>
      </c>
      <c r="Q27" s="21">
        <v>0.01</v>
      </c>
      <c r="R27" s="21">
        <v>0</v>
      </c>
      <c r="S27" s="21">
        <v>0</v>
      </c>
      <c r="T27" s="21">
        <v>0.02</v>
      </c>
      <c r="U27" s="21">
        <v>0</v>
      </c>
      <c r="V27" s="22">
        <v>4.0000000000000001E-3</v>
      </c>
      <c r="W27" s="22">
        <v>4.0000000000000001E-3</v>
      </c>
      <c r="X27" s="22">
        <v>4.0000000000000001E-3</v>
      </c>
      <c r="Y27" s="22">
        <v>0</v>
      </c>
      <c r="Z27" s="22">
        <v>2E-3</v>
      </c>
      <c r="AA27" s="13" t="str">
        <f t="shared" si="1"/>
        <v>可回读</v>
      </c>
      <c r="AB27" s="13" t="s">
        <v>308</v>
      </c>
      <c r="AC27" s="13" t="s">
        <v>309</v>
      </c>
      <c r="AD27" s="13" t="s">
        <v>310</v>
      </c>
    </row>
    <row r="28" spans="1:30" ht="23.1" customHeight="1">
      <c r="A28" s="13" t="s">
        <v>311</v>
      </c>
      <c r="B28" s="13" t="s">
        <v>312</v>
      </c>
      <c r="C28" s="13" t="s">
        <v>311</v>
      </c>
      <c r="D28" s="13" t="s">
        <v>118</v>
      </c>
      <c r="E28" s="13" t="s">
        <v>230</v>
      </c>
      <c r="F28" s="13" t="s">
        <v>258</v>
      </c>
      <c r="G28" s="7">
        <v>400</v>
      </c>
      <c r="H28" s="7">
        <v>10</v>
      </c>
      <c r="I28" s="7">
        <v>150</v>
      </c>
      <c r="J28" s="7">
        <v>0</v>
      </c>
      <c r="K28" s="7">
        <v>20</v>
      </c>
      <c r="L28" s="7">
        <v>1</v>
      </c>
      <c r="M28" s="17">
        <v>1</v>
      </c>
      <c r="N28" s="17">
        <f t="shared" si="0"/>
        <v>6.6000000000000017E-2</v>
      </c>
      <c r="O28" s="21">
        <v>0.02</v>
      </c>
      <c r="P28" s="21">
        <v>2E-3</v>
      </c>
      <c r="Q28" s="21">
        <v>0.01</v>
      </c>
      <c r="R28" s="21">
        <v>0</v>
      </c>
      <c r="S28" s="21">
        <v>0</v>
      </c>
      <c r="T28" s="21">
        <v>0.02</v>
      </c>
      <c r="U28" s="21">
        <v>0</v>
      </c>
      <c r="V28" s="22">
        <v>4.0000000000000001E-3</v>
      </c>
      <c r="W28" s="22">
        <v>4.0000000000000001E-3</v>
      </c>
      <c r="X28" s="22">
        <v>4.0000000000000001E-3</v>
      </c>
      <c r="Y28" s="22">
        <v>0</v>
      </c>
      <c r="Z28" s="22">
        <v>2E-3</v>
      </c>
      <c r="AA28" s="13" t="str">
        <f t="shared" si="1"/>
        <v>可回读</v>
      </c>
      <c r="AB28" s="13" t="s">
        <v>308</v>
      </c>
      <c r="AC28" s="13" t="s">
        <v>313</v>
      </c>
      <c r="AD28" s="13" t="s">
        <v>314</v>
      </c>
    </row>
    <row r="29" spans="1:30" ht="23.1" customHeight="1">
      <c r="A29" s="13" t="s">
        <v>315</v>
      </c>
      <c r="B29" s="13" t="s">
        <v>316</v>
      </c>
      <c r="C29" s="13" t="s">
        <v>315</v>
      </c>
      <c r="D29" s="13" t="s">
        <v>118</v>
      </c>
      <c r="E29" s="13" t="s">
        <v>230</v>
      </c>
      <c r="F29" s="13" t="s">
        <v>258</v>
      </c>
      <c r="G29" s="7">
        <v>400</v>
      </c>
      <c r="H29" s="7">
        <v>10</v>
      </c>
      <c r="I29" s="7">
        <v>150</v>
      </c>
      <c r="J29" s="7">
        <v>0</v>
      </c>
      <c r="K29" s="7">
        <v>20</v>
      </c>
      <c r="L29" s="7">
        <v>1</v>
      </c>
      <c r="M29" s="17">
        <v>1</v>
      </c>
      <c r="N29" s="17">
        <f t="shared" si="0"/>
        <v>6.6000000000000017E-2</v>
      </c>
      <c r="O29" s="21">
        <v>0.02</v>
      </c>
      <c r="P29" s="21">
        <v>2E-3</v>
      </c>
      <c r="Q29" s="21">
        <v>0.01</v>
      </c>
      <c r="R29" s="21">
        <v>0</v>
      </c>
      <c r="S29" s="21">
        <v>0</v>
      </c>
      <c r="T29" s="21">
        <v>0.02</v>
      </c>
      <c r="U29" s="21">
        <v>0</v>
      </c>
      <c r="V29" s="22">
        <v>4.0000000000000001E-3</v>
      </c>
      <c r="W29" s="22">
        <v>4.0000000000000001E-3</v>
      </c>
      <c r="X29" s="22">
        <v>4.0000000000000001E-3</v>
      </c>
      <c r="Y29" s="22">
        <v>0</v>
      </c>
      <c r="Z29" s="22">
        <v>2E-3</v>
      </c>
      <c r="AA29" s="13" t="str">
        <f t="shared" si="1"/>
        <v>可回读</v>
      </c>
      <c r="AB29" s="13" t="s">
        <v>308</v>
      </c>
      <c r="AC29" s="13" t="s">
        <v>317</v>
      </c>
      <c r="AD29" s="13" t="s">
        <v>318</v>
      </c>
    </row>
    <row r="30" spans="1:30" ht="23.1" customHeight="1">
      <c r="A30" s="13" t="s">
        <v>319</v>
      </c>
      <c r="B30" s="13" t="s">
        <v>320</v>
      </c>
      <c r="C30" s="13" t="s">
        <v>319</v>
      </c>
      <c r="D30" s="13" t="s">
        <v>118</v>
      </c>
      <c r="E30" s="13" t="s">
        <v>230</v>
      </c>
      <c r="F30" s="13" t="s">
        <v>258</v>
      </c>
      <c r="G30" s="7">
        <v>600</v>
      </c>
      <c r="H30" s="7">
        <v>10</v>
      </c>
      <c r="I30" s="7">
        <v>150</v>
      </c>
      <c r="J30" s="7">
        <v>50</v>
      </c>
      <c r="K30" s="7">
        <v>20</v>
      </c>
      <c r="L30" s="7">
        <v>1</v>
      </c>
      <c r="M30" s="17">
        <v>1</v>
      </c>
      <c r="N30" s="17">
        <f t="shared" si="0"/>
        <v>6.6000000000000017E-2</v>
      </c>
      <c r="O30" s="21">
        <v>0.02</v>
      </c>
      <c r="P30" s="21">
        <v>2E-3</v>
      </c>
      <c r="Q30" s="21">
        <v>0.01</v>
      </c>
      <c r="R30" s="21">
        <v>0</v>
      </c>
      <c r="S30" s="21">
        <v>0</v>
      </c>
      <c r="T30" s="21">
        <v>0.02</v>
      </c>
      <c r="U30" s="21">
        <v>0</v>
      </c>
      <c r="V30" s="22">
        <v>4.0000000000000001E-3</v>
      </c>
      <c r="W30" s="22">
        <v>4.0000000000000001E-3</v>
      </c>
      <c r="X30" s="22">
        <v>4.0000000000000001E-3</v>
      </c>
      <c r="Y30" s="22">
        <v>0</v>
      </c>
      <c r="Z30" s="22">
        <v>2E-3</v>
      </c>
      <c r="AA30" s="13" t="str">
        <f t="shared" si="1"/>
        <v>可回读</v>
      </c>
      <c r="AB30" s="13" t="s">
        <v>308</v>
      </c>
      <c r="AC30" s="13" t="s">
        <v>321</v>
      </c>
      <c r="AD30" s="13" t="s">
        <v>322</v>
      </c>
    </row>
    <row r="31" spans="1:30" ht="23.1" customHeight="1">
      <c r="A31" s="13" t="s">
        <v>323</v>
      </c>
      <c r="B31" s="13" t="s">
        <v>324</v>
      </c>
      <c r="C31" s="13" t="s">
        <v>323</v>
      </c>
      <c r="D31" s="13" t="s">
        <v>118</v>
      </c>
      <c r="E31" s="13" t="s">
        <v>230</v>
      </c>
      <c r="F31" s="13" t="s">
        <v>258</v>
      </c>
      <c r="G31" s="7">
        <v>2000</v>
      </c>
      <c r="H31" s="7">
        <v>50</v>
      </c>
      <c r="I31" s="7">
        <v>150</v>
      </c>
      <c r="J31" s="7">
        <v>0</v>
      </c>
      <c r="K31" s="7">
        <v>20</v>
      </c>
      <c r="L31" s="7">
        <v>1</v>
      </c>
      <c r="M31" s="17">
        <v>1</v>
      </c>
      <c r="N31" s="17">
        <f t="shared" si="0"/>
        <v>6.6000000000000017E-2</v>
      </c>
      <c r="O31" s="21">
        <v>0.02</v>
      </c>
      <c r="P31" s="21">
        <v>2E-3</v>
      </c>
      <c r="Q31" s="21">
        <v>0.01</v>
      </c>
      <c r="R31" s="21">
        <v>0</v>
      </c>
      <c r="S31" s="21">
        <v>0</v>
      </c>
      <c r="T31" s="21">
        <v>0.02</v>
      </c>
      <c r="U31" s="21">
        <v>0</v>
      </c>
      <c r="V31" s="22">
        <v>4.0000000000000001E-3</v>
      </c>
      <c r="W31" s="22">
        <v>4.0000000000000001E-3</v>
      </c>
      <c r="X31" s="22">
        <v>4.0000000000000001E-3</v>
      </c>
      <c r="Y31" s="22">
        <v>0</v>
      </c>
      <c r="Z31" s="22">
        <v>2E-3</v>
      </c>
      <c r="AA31" s="13" t="str">
        <f t="shared" si="1"/>
        <v>可回读</v>
      </c>
      <c r="AB31" s="13" t="s">
        <v>308</v>
      </c>
      <c r="AC31" s="13" t="s">
        <v>325</v>
      </c>
      <c r="AD31" s="13" t="s">
        <v>326</v>
      </c>
    </row>
    <row r="32" spans="1:30" ht="23.1" customHeight="1">
      <c r="A32" s="13" t="s">
        <v>155</v>
      </c>
      <c r="B32" s="13" t="s">
        <v>327</v>
      </c>
      <c r="C32" s="13" t="s">
        <v>155</v>
      </c>
      <c r="D32" s="13" t="s">
        <v>328</v>
      </c>
      <c r="E32" s="13" t="s">
        <v>230</v>
      </c>
      <c r="F32" s="13" t="s">
        <v>231</v>
      </c>
      <c r="G32" s="7">
        <v>200</v>
      </c>
      <c r="H32" s="7">
        <v>28</v>
      </c>
      <c r="I32" s="7">
        <v>10</v>
      </c>
      <c r="J32" s="7">
        <v>0</v>
      </c>
      <c r="K32" s="7">
        <v>34</v>
      </c>
      <c r="L32" s="7">
        <v>5</v>
      </c>
      <c r="M32" s="17">
        <v>20</v>
      </c>
      <c r="N32" s="17">
        <f t="shared" si="0"/>
        <v>5.6000000000000008E-2</v>
      </c>
      <c r="O32" s="21">
        <v>0.02</v>
      </c>
      <c r="P32" s="21">
        <v>2E-3</v>
      </c>
      <c r="Q32" s="21">
        <v>0.01</v>
      </c>
      <c r="R32" s="21">
        <v>0.01</v>
      </c>
      <c r="S32" s="21">
        <v>0</v>
      </c>
      <c r="T32" s="21">
        <v>0</v>
      </c>
      <c r="U32" s="21">
        <v>0</v>
      </c>
      <c r="V32" s="22">
        <v>4.0000000000000001E-3</v>
      </c>
      <c r="W32" s="22">
        <v>4.0000000000000001E-3</v>
      </c>
      <c r="X32" s="22">
        <v>4.0000000000000001E-3</v>
      </c>
      <c r="Y32" s="22">
        <v>0</v>
      </c>
      <c r="Z32" s="22">
        <v>2E-3</v>
      </c>
      <c r="AA32" s="13" t="str">
        <f t="shared" si="1"/>
        <v>可回读</v>
      </c>
      <c r="AB32" s="13" t="s">
        <v>329</v>
      </c>
      <c r="AC32" s="13" t="s">
        <v>330</v>
      </c>
      <c r="AD32" s="13" t="s">
        <v>331</v>
      </c>
    </row>
    <row r="33" spans="1:30" ht="23.1" customHeight="1">
      <c r="A33" s="13" t="s">
        <v>332</v>
      </c>
      <c r="B33" s="13" t="s">
        <v>333</v>
      </c>
      <c r="C33" s="13" t="s">
        <v>332</v>
      </c>
      <c r="D33" s="13" t="s">
        <v>328</v>
      </c>
      <c r="E33" s="13" t="s">
        <v>334</v>
      </c>
      <c r="F33" s="13" t="s">
        <v>258</v>
      </c>
      <c r="G33" s="7">
        <v>350</v>
      </c>
      <c r="H33" s="7">
        <v>28</v>
      </c>
      <c r="I33" s="7">
        <v>15</v>
      </c>
      <c r="J33" s="7">
        <v>0</v>
      </c>
      <c r="K33" s="7">
        <v>34</v>
      </c>
      <c r="L33" s="7">
        <v>8</v>
      </c>
      <c r="M33" s="17">
        <v>20</v>
      </c>
      <c r="N33" s="17">
        <f t="shared" si="0"/>
        <v>5.6000000000000008E-2</v>
      </c>
      <c r="O33" s="21">
        <v>0.02</v>
      </c>
      <c r="P33" s="21">
        <v>2E-3</v>
      </c>
      <c r="Q33" s="21">
        <v>0.01</v>
      </c>
      <c r="R33" s="21">
        <v>0.01</v>
      </c>
      <c r="S33" s="21">
        <v>0</v>
      </c>
      <c r="T33" s="21">
        <v>0</v>
      </c>
      <c r="U33" s="21">
        <v>0</v>
      </c>
      <c r="V33" s="22">
        <v>4.0000000000000001E-3</v>
      </c>
      <c r="W33" s="22">
        <v>4.0000000000000001E-3</v>
      </c>
      <c r="X33" s="22">
        <v>4.0000000000000001E-3</v>
      </c>
      <c r="Y33" s="22">
        <v>0</v>
      </c>
      <c r="Z33" s="22">
        <v>2E-3</v>
      </c>
      <c r="AA33" s="13" t="str">
        <f t="shared" si="1"/>
        <v>可回读</v>
      </c>
      <c r="AB33" s="13" t="s">
        <v>329</v>
      </c>
      <c r="AC33" s="13" t="s">
        <v>335</v>
      </c>
      <c r="AD33" s="13" t="s">
        <v>336</v>
      </c>
    </row>
    <row r="34" spans="1:30" ht="23.1" customHeight="1">
      <c r="A34" s="13" t="s">
        <v>337</v>
      </c>
      <c r="B34" s="13" t="s">
        <v>338</v>
      </c>
      <c r="C34" s="13" t="s">
        <v>337</v>
      </c>
      <c r="D34" s="13" t="s">
        <v>328</v>
      </c>
      <c r="E34" s="13" t="s">
        <v>230</v>
      </c>
      <c r="F34" s="13" t="s">
        <v>258</v>
      </c>
      <c r="G34" s="7">
        <v>400</v>
      </c>
      <c r="H34" s="7">
        <v>24</v>
      </c>
      <c r="I34" s="7">
        <v>5</v>
      </c>
      <c r="J34" s="7">
        <v>0</v>
      </c>
      <c r="K34" s="7">
        <v>38</v>
      </c>
      <c r="L34" s="7">
        <v>5</v>
      </c>
      <c r="M34" s="17">
        <v>20</v>
      </c>
      <c r="N34" s="17">
        <f t="shared" si="0"/>
        <v>5.6000000000000008E-2</v>
      </c>
      <c r="O34" s="21">
        <v>0.02</v>
      </c>
      <c r="P34" s="21">
        <v>2E-3</v>
      </c>
      <c r="Q34" s="21">
        <v>0.01</v>
      </c>
      <c r="R34" s="21">
        <v>0.01</v>
      </c>
      <c r="S34" s="21">
        <v>0</v>
      </c>
      <c r="T34" s="21">
        <v>0</v>
      </c>
      <c r="U34" s="21">
        <v>0</v>
      </c>
      <c r="V34" s="22">
        <v>4.0000000000000001E-3</v>
      </c>
      <c r="W34" s="22">
        <v>4.0000000000000001E-3</v>
      </c>
      <c r="X34" s="22">
        <v>4.0000000000000001E-3</v>
      </c>
      <c r="Y34" s="22">
        <v>0</v>
      </c>
      <c r="Z34" s="22">
        <v>2E-3</v>
      </c>
      <c r="AA34" s="13" t="str">
        <f t="shared" si="1"/>
        <v>可回读</v>
      </c>
      <c r="AB34" s="13" t="s">
        <v>329</v>
      </c>
      <c r="AC34" s="13" t="s">
        <v>339</v>
      </c>
      <c r="AD34" s="13" t="s">
        <v>340</v>
      </c>
    </row>
    <row r="35" spans="1:30" ht="23.1" customHeight="1">
      <c r="A35" s="13" t="s">
        <v>143</v>
      </c>
      <c r="B35" s="13" t="s">
        <v>341</v>
      </c>
      <c r="C35" s="13" t="s">
        <v>143</v>
      </c>
      <c r="D35" s="13" t="s">
        <v>328</v>
      </c>
      <c r="E35" s="13" t="s">
        <v>230</v>
      </c>
      <c r="F35" s="13" t="s">
        <v>258</v>
      </c>
      <c r="G35" s="7">
        <v>200</v>
      </c>
      <c r="H35" s="7">
        <v>30</v>
      </c>
      <c r="I35" s="7">
        <v>0</v>
      </c>
      <c r="J35" s="7">
        <v>0</v>
      </c>
      <c r="K35" s="7">
        <v>100</v>
      </c>
      <c r="L35" s="7">
        <v>2</v>
      </c>
      <c r="M35" s="17">
        <v>25</v>
      </c>
      <c r="N35" s="17">
        <f t="shared" si="0"/>
        <v>5.6000000000000008E-2</v>
      </c>
      <c r="O35" s="21">
        <v>0.02</v>
      </c>
      <c r="P35" s="21">
        <v>2E-3</v>
      </c>
      <c r="Q35" s="21">
        <v>0.01</v>
      </c>
      <c r="R35" s="21">
        <v>0.01</v>
      </c>
      <c r="S35" s="21">
        <v>0</v>
      </c>
      <c r="T35" s="21">
        <v>0</v>
      </c>
      <c r="U35" s="21">
        <v>0</v>
      </c>
      <c r="V35" s="22">
        <v>4.0000000000000001E-3</v>
      </c>
      <c r="W35" s="22">
        <v>4.0000000000000001E-3</v>
      </c>
      <c r="X35" s="22">
        <v>4.0000000000000001E-3</v>
      </c>
      <c r="Y35" s="22">
        <v>0</v>
      </c>
      <c r="Z35" s="22">
        <v>2E-3</v>
      </c>
      <c r="AA35" s="13" t="str">
        <f t="shared" si="1"/>
        <v>可回读</v>
      </c>
      <c r="AB35" s="13" t="s">
        <v>329</v>
      </c>
      <c r="AC35" s="13" t="s">
        <v>342</v>
      </c>
      <c r="AD35" s="13" t="s">
        <v>343</v>
      </c>
    </row>
    <row r="36" spans="1:30" ht="23.1" customHeight="1">
      <c r="A36" s="13" t="s">
        <v>144</v>
      </c>
      <c r="B36" s="13" t="s">
        <v>344</v>
      </c>
      <c r="C36" s="13" t="s">
        <v>144</v>
      </c>
      <c r="D36" s="13" t="s">
        <v>328</v>
      </c>
      <c r="E36" s="13" t="s">
        <v>230</v>
      </c>
      <c r="F36" s="13" t="s">
        <v>231</v>
      </c>
      <c r="G36" s="7">
        <v>150</v>
      </c>
      <c r="H36" s="7">
        <v>20</v>
      </c>
      <c r="I36" s="7">
        <v>0</v>
      </c>
      <c r="J36" s="7">
        <v>0</v>
      </c>
      <c r="K36" s="7">
        <v>18</v>
      </c>
      <c r="L36" s="7">
        <v>2</v>
      </c>
      <c r="M36" s="17">
        <v>20</v>
      </c>
      <c r="N36" s="17">
        <f t="shared" si="0"/>
        <v>5.6000000000000008E-2</v>
      </c>
      <c r="O36" s="21">
        <v>0.02</v>
      </c>
      <c r="P36" s="21">
        <v>2E-3</v>
      </c>
      <c r="Q36" s="21">
        <v>0.01</v>
      </c>
      <c r="R36" s="21">
        <v>0.01</v>
      </c>
      <c r="S36" s="21">
        <v>0</v>
      </c>
      <c r="T36" s="21">
        <v>0</v>
      </c>
      <c r="U36" s="21">
        <v>0</v>
      </c>
      <c r="V36" s="22">
        <v>4.0000000000000001E-3</v>
      </c>
      <c r="W36" s="22">
        <v>4.0000000000000001E-3</v>
      </c>
      <c r="X36" s="22">
        <v>4.0000000000000001E-3</v>
      </c>
      <c r="Y36" s="22">
        <v>0</v>
      </c>
      <c r="Z36" s="22">
        <v>2E-3</v>
      </c>
      <c r="AA36" s="13" t="str">
        <f t="shared" si="1"/>
        <v>可回读</v>
      </c>
      <c r="AB36" s="13" t="s">
        <v>329</v>
      </c>
      <c r="AC36" s="13" t="s">
        <v>345</v>
      </c>
      <c r="AD36" s="13" t="s">
        <v>346</v>
      </c>
    </row>
    <row r="37" spans="1:30" ht="23.1" customHeight="1">
      <c r="A37" s="13" t="s">
        <v>164</v>
      </c>
      <c r="B37" s="13" t="s">
        <v>347</v>
      </c>
      <c r="C37" s="13" t="s">
        <v>164</v>
      </c>
      <c r="D37" s="13" t="s">
        <v>328</v>
      </c>
      <c r="E37" s="13" t="s">
        <v>230</v>
      </c>
      <c r="F37" s="13" t="s">
        <v>231</v>
      </c>
      <c r="G37" s="7">
        <v>200</v>
      </c>
      <c r="H37" s="7">
        <v>20</v>
      </c>
      <c r="I37" s="7">
        <v>0</v>
      </c>
      <c r="J37" s="7">
        <v>0</v>
      </c>
      <c r="K37" s="7">
        <v>16</v>
      </c>
      <c r="L37" s="7">
        <v>5</v>
      </c>
      <c r="M37" s="17">
        <v>24</v>
      </c>
      <c r="N37" s="17">
        <f t="shared" si="0"/>
        <v>5.6000000000000008E-2</v>
      </c>
      <c r="O37" s="21">
        <v>0.02</v>
      </c>
      <c r="P37" s="21">
        <v>2E-3</v>
      </c>
      <c r="Q37" s="21">
        <v>0.01</v>
      </c>
      <c r="R37" s="21">
        <v>0.01</v>
      </c>
      <c r="S37" s="21">
        <v>0</v>
      </c>
      <c r="T37" s="21">
        <v>0</v>
      </c>
      <c r="U37" s="21">
        <v>0</v>
      </c>
      <c r="V37" s="22">
        <v>4.0000000000000001E-3</v>
      </c>
      <c r="W37" s="22">
        <v>4.0000000000000001E-3</v>
      </c>
      <c r="X37" s="22">
        <v>4.0000000000000001E-3</v>
      </c>
      <c r="Y37" s="22">
        <v>0</v>
      </c>
      <c r="Z37" s="22">
        <v>2E-3</v>
      </c>
      <c r="AA37" s="13" t="str">
        <f t="shared" si="1"/>
        <v>可回读</v>
      </c>
      <c r="AB37" s="13" t="s">
        <v>329</v>
      </c>
      <c r="AC37" s="13" t="s">
        <v>348</v>
      </c>
      <c r="AD37" s="13" t="s">
        <v>349</v>
      </c>
    </row>
    <row r="38" spans="1:30" ht="23.1" customHeight="1">
      <c r="A38" s="13" t="s">
        <v>160</v>
      </c>
      <c r="B38" s="13" t="s">
        <v>350</v>
      </c>
      <c r="C38" s="13" t="s">
        <v>160</v>
      </c>
      <c r="D38" s="13" t="s">
        <v>328</v>
      </c>
      <c r="E38" s="13" t="s">
        <v>230</v>
      </c>
      <c r="F38" s="13" t="s">
        <v>231</v>
      </c>
      <c r="G38" s="7">
        <v>200</v>
      </c>
      <c r="H38" s="7">
        <v>35</v>
      </c>
      <c r="I38" s="7">
        <v>0</v>
      </c>
      <c r="J38" s="7">
        <v>0</v>
      </c>
      <c r="K38" s="7">
        <v>24</v>
      </c>
      <c r="L38" s="7">
        <v>5</v>
      </c>
      <c r="M38" s="17">
        <v>30</v>
      </c>
      <c r="N38" s="17">
        <f t="shared" ref="N38:N68" si="2">SUM(O38:Z38)</f>
        <v>5.6000000000000008E-2</v>
      </c>
      <c r="O38" s="21">
        <v>0.02</v>
      </c>
      <c r="P38" s="21">
        <v>2E-3</v>
      </c>
      <c r="Q38" s="21">
        <v>0.01</v>
      </c>
      <c r="R38" s="21">
        <v>0.01</v>
      </c>
      <c r="S38" s="21">
        <v>0</v>
      </c>
      <c r="T38" s="21">
        <v>0</v>
      </c>
      <c r="U38" s="21">
        <v>0</v>
      </c>
      <c r="V38" s="22">
        <v>4.0000000000000001E-3</v>
      </c>
      <c r="W38" s="22">
        <v>4.0000000000000001E-3</v>
      </c>
      <c r="X38" s="22">
        <v>4.0000000000000001E-3</v>
      </c>
      <c r="Y38" s="22">
        <v>0</v>
      </c>
      <c r="Z38" s="22">
        <v>2E-3</v>
      </c>
      <c r="AA38" s="13" t="str">
        <f t="shared" ref="AA38:AA68" si="3">IF(AND(A38&lt;&gt;"",B38&lt;&gt;"",G38&gt;0,M38&gt;=0,M38&lt;=999),"可回读","需修正")</f>
        <v>可回读</v>
      </c>
      <c r="AB38" s="13" t="s">
        <v>329</v>
      </c>
      <c r="AC38" s="13" t="s">
        <v>351</v>
      </c>
      <c r="AD38" s="13" t="s">
        <v>352</v>
      </c>
    </row>
    <row r="39" spans="1:30" ht="23.1" customHeight="1">
      <c r="A39" s="13" t="s">
        <v>353</v>
      </c>
      <c r="B39" s="13" t="s">
        <v>354</v>
      </c>
      <c r="C39" s="13" t="s">
        <v>353</v>
      </c>
      <c r="D39" s="13" t="s">
        <v>328</v>
      </c>
      <c r="E39" s="13" t="s">
        <v>230</v>
      </c>
      <c r="F39" s="13" t="s">
        <v>258</v>
      </c>
      <c r="G39" s="7">
        <v>100</v>
      </c>
      <c r="H39" s="7">
        <v>200</v>
      </c>
      <c r="I39" s="7">
        <v>20</v>
      </c>
      <c r="J39" s="7">
        <v>0</v>
      </c>
      <c r="K39" s="7">
        <v>80</v>
      </c>
      <c r="L39" s="7">
        <v>2</v>
      </c>
      <c r="M39" s="17">
        <v>35</v>
      </c>
      <c r="N39" s="17">
        <f t="shared" si="2"/>
        <v>5.6000000000000008E-2</v>
      </c>
      <c r="O39" s="21">
        <v>0.02</v>
      </c>
      <c r="P39" s="21">
        <v>2E-3</v>
      </c>
      <c r="Q39" s="21">
        <v>0.01</v>
      </c>
      <c r="R39" s="21">
        <v>0.01</v>
      </c>
      <c r="S39" s="21">
        <v>0</v>
      </c>
      <c r="T39" s="21">
        <v>0</v>
      </c>
      <c r="U39" s="21">
        <v>0</v>
      </c>
      <c r="V39" s="22">
        <v>4.0000000000000001E-3</v>
      </c>
      <c r="W39" s="22">
        <v>4.0000000000000001E-3</v>
      </c>
      <c r="X39" s="22">
        <v>4.0000000000000001E-3</v>
      </c>
      <c r="Y39" s="22">
        <v>0</v>
      </c>
      <c r="Z39" s="22">
        <v>2E-3</v>
      </c>
      <c r="AA39" s="13" t="str">
        <f t="shared" si="3"/>
        <v>可回读</v>
      </c>
      <c r="AB39" s="13" t="s">
        <v>329</v>
      </c>
      <c r="AC39" s="13" t="s">
        <v>355</v>
      </c>
      <c r="AD39" s="13" t="s">
        <v>356</v>
      </c>
    </row>
    <row r="40" spans="1:30" ht="23.1" customHeight="1">
      <c r="A40" s="13" t="s">
        <v>357</v>
      </c>
      <c r="B40" s="13" t="s">
        <v>358</v>
      </c>
      <c r="C40" s="13" t="s">
        <v>357</v>
      </c>
      <c r="D40" s="13" t="s">
        <v>328</v>
      </c>
      <c r="E40" s="13" t="s">
        <v>230</v>
      </c>
      <c r="F40" s="13" t="s">
        <v>258</v>
      </c>
      <c r="G40" s="7">
        <v>400</v>
      </c>
      <c r="H40" s="7">
        <v>28</v>
      </c>
      <c r="I40" s="7">
        <v>150</v>
      </c>
      <c r="J40" s="7">
        <v>0</v>
      </c>
      <c r="K40" s="7">
        <v>34</v>
      </c>
      <c r="L40" s="7">
        <v>5</v>
      </c>
      <c r="M40" s="17">
        <v>20</v>
      </c>
      <c r="N40" s="17">
        <f t="shared" si="2"/>
        <v>5.6000000000000008E-2</v>
      </c>
      <c r="O40" s="21">
        <v>0.02</v>
      </c>
      <c r="P40" s="21">
        <v>2E-3</v>
      </c>
      <c r="Q40" s="21">
        <v>0.01</v>
      </c>
      <c r="R40" s="21">
        <v>0.01</v>
      </c>
      <c r="S40" s="21">
        <v>0</v>
      </c>
      <c r="T40" s="21">
        <v>0</v>
      </c>
      <c r="U40" s="21">
        <v>0</v>
      </c>
      <c r="V40" s="22">
        <v>4.0000000000000001E-3</v>
      </c>
      <c r="W40" s="22">
        <v>4.0000000000000001E-3</v>
      </c>
      <c r="X40" s="22">
        <v>4.0000000000000001E-3</v>
      </c>
      <c r="Y40" s="22">
        <v>0</v>
      </c>
      <c r="Z40" s="22">
        <v>2E-3</v>
      </c>
      <c r="AA40" s="13" t="str">
        <f t="shared" si="3"/>
        <v>可回读</v>
      </c>
      <c r="AB40" s="13" t="s">
        <v>359</v>
      </c>
      <c r="AC40" s="13" t="s">
        <v>360</v>
      </c>
      <c r="AD40" s="13" t="s">
        <v>361</v>
      </c>
    </row>
    <row r="41" spans="1:30" ht="23.1" customHeight="1">
      <c r="A41" s="13" t="s">
        <v>362</v>
      </c>
      <c r="B41" s="13" t="s">
        <v>363</v>
      </c>
      <c r="C41" s="13" t="s">
        <v>362</v>
      </c>
      <c r="D41" s="13" t="s">
        <v>328</v>
      </c>
      <c r="E41" s="13" t="s">
        <v>334</v>
      </c>
      <c r="F41" s="13" t="s">
        <v>258</v>
      </c>
      <c r="G41" s="7">
        <v>700</v>
      </c>
      <c r="H41" s="7">
        <v>28</v>
      </c>
      <c r="I41" s="7">
        <v>150</v>
      </c>
      <c r="J41" s="7">
        <v>0</v>
      </c>
      <c r="K41" s="7">
        <v>34</v>
      </c>
      <c r="L41" s="7">
        <v>8</v>
      </c>
      <c r="M41" s="17">
        <v>20</v>
      </c>
      <c r="N41" s="17">
        <f t="shared" si="2"/>
        <v>5.6000000000000008E-2</v>
      </c>
      <c r="O41" s="21">
        <v>0.02</v>
      </c>
      <c r="P41" s="21">
        <v>2E-3</v>
      </c>
      <c r="Q41" s="21">
        <v>0.01</v>
      </c>
      <c r="R41" s="21">
        <v>0.01</v>
      </c>
      <c r="S41" s="21">
        <v>0</v>
      </c>
      <c r="T41" s="21">
        <v>0</v>
      </c>
      <c r="U41" s="21">
        <v>0</v>
      </c>
      <c r="V41" s="22">
        <v>4.0000000000000001E-3</v>
      </c>
      <c r="W41" s="22">
        <v>4.0000000000000001E-3</v>
      </c>
      <c r="X41" s="22">
        <v>4.0000000000000001E-3</v>
      </c>
      <c r="Y41" s="22">
        <v>0</v>
      </c>
      <c r="Z41" s="22">
        <v>2E-3</v>
      </c>
      <c r="AA41" s="13" t="str">
        <f t="shared" si="3"/>
        <v>可回读</v>
      </c>
      <c r="AB41" s="13" t="s">
        <v>359</v>
      </c>
      <c r="AC41" s="13" t="s">
        <v>364</v>
      </c>
      <c r="AD41" s="13" t="s">
        <v>365</v>
      </c>
    </row>
    <row r="42" spans="1:30" ht="23.1" customHeight="1">
      <c r="A42" s="13" t="s">
        <v>366</v>
      </c>
      <c r="B42" s="13" t="s">
        <v>367</v>
      </c>
      <c r="C42" s="13" t="s">
        <v>366</v>
      </c>
      <c r="D42" s="13" t="s">
        <v>328</v>
      </c>
      <c r="E42" s="13" t="s">
        <v>230</v>
      </c>
      <c r="F42" s="13" t="s">
        <v>258</v>
      </c>
      <c r="G42" s="7">
        <v>800</v>
      </c>
      <c r="H42" s="7">
        <v>24</v>
      </c>
      <c r="I42" s="7">
        <v>150</v>
      </c>
      <c r="J42" s="7">
        <v>0</v>
      </c>
      <c r="K42" s="7">
        <v>38</v>
      </c>
      <c r="L42" s="7">
        <v>5</v>
      </c>
      <c r="M42" s="17">
        <v>20</v>
      </c>
      <c r="N42" s="17">
        <f t="shared" si="2"/>
        <v>5.6000000000000008E-2</v>
      </c>
      <c r="O42" s="21">
        <v>0.02</v>
      </c>
      <c r="P42" s="21">
        <v>2E-3</v>
      </c>
      <c r="Q42" s="21">
        <v>0.01</v>
      </c>
      <c r="R42" s="21">
        <v>0.01</v>
      </c>
      <c r="S42" s="21">
        <v>0</v>
      </c>
      <c r="T42" s="21">
        <v>0</v>
      </c>
      <c r="U42" s="21">
        <v>0</v>
      </c>
      <c r="V42" s="22">
        <v>4.0000000000000001E-3</v>
      </c>
      <c r="W42" s="22">
        <v>4.0000000000000001E-3</v>
      </c>
      <c r="X42" s="22">
        <v>4.0000000000000001E-3</v>
      </c>
      <c r="Y42" s="22">
        <v>0</v>
      </c>
      <c r="Z42" s="22">
        <v>2E-3</v>
      </c>
      <c r="AA42" s="13" t="str">
        <f t="shared" si="3"/>
        <v>可回读</v>
      </c>
      <c r="AB42" s="13" t="s">
        <v>359</v>
      </c>
      <c r="AC42" s="13" t="s">
        <v>368</v>
      </c>
      <c r="AD42" s="13" t="s">
        <v>369</v>
      </c>
    </row>
    <row r="43" spans="1:30" ht="23.1" customHeight="1">
      <c r="A43" s="13" t="s">
        <v>370</v>
      </c>
      <c r="B43" s="13" t="s">
        <v>371</v>
      </c>
      <c r="C43" s="13" t="s">
        <v>370</v>
      </c>
      <c r="D43" s="13" t="s">
        <v>328</v>
      </c>
      <c r="E43" s="13" t="s">
        <v>230</v>
      </c>
      <c r="F43" s="13" t="s">
        <v>258</v>
      </c>
      <c r="G43" s="7">
        <v>400</v>
      </c>
      <c r="H43" s="7">
        <v>30</v>
      </c>
      <c r="I43" s="7">
        <v>150</v>
      </c>
      <c r="J43" s="7">
        <v>0</v>
      </c>
      <c r="K43" s="7">
        <v>100</v>
      </c>
      <c r="L43" s="7">
        <v>2</v>
      </c>
      <c r="M43" s="17">
        <v>25</v>
      </c>
      <c r="N43" s="17">
        <f t="shared" si="2"/>
        <v>5.6000000000000008E-2</v>
      </c>
      <c r="O43" s="21">
        <v>0.02</v>
      </c>
      <c r="P43" s="21">
        <v>2E-3</v>
      </c>
      <c r="Q43" s="21">
        <v>0.01</v>
      </c>
      <c r="R43" s="21">
        <v>0.01</v>
      </c>
      <c r="S43" s="21">
        <v>0</v>
      </c>
      <c r="T43" s="21">
        <v>0</v>
      </c>
      <c r="U43" s="21">
        <v>0</v>
      </c>
      <c r="V43" s="22">
        <v>4.0000000000000001E-3</v>
      </c>
      <c r="W43" s="22">
        <v>4.0000000000000001E-3</v>
      </c>
      <c r="X43" s="22">
        <v>4.0000000000000001E-3</v>
      </c>
      <c r="Y43" s="22">
        <v>0</v>
      </c>
      <c r="Z43" s="22">
        <v>2E-3</v>
      </c>
      <c r="AA43" s="13" t="str">
        <f t="shared" si="3"/>
        <v>可回读</v>
      </c>
      <c r="AB43" s="13" t="s">
        <v>359</v>
      </c>
      <c r="AC43" s="13" t="s">
        <v>372</v>
      </c>
      <c r="AD43" s="13" t="s">
        <v>373</v>
      </c>
    </row>
    <row r="44" spans="1:30" ht="23.1" customHeight="1">
      <c r="A44" s="13" t="s">
        <v>374</v>
      </c>
      <c r="B44" s="13" t="s">
        <v>375</v>
      </c>
      <c r="C44" s="13" t="s">
        <v>374</v>
      </c>
      <c r="D44" s="13" t="s">
        <v>328</v>
      </c>
      <c r="E44" s="13" t="s">
        <v>230</v>
      </c>
      <c r="F44" s="13" t="s">
        <v>258</v>
      </c>
      <c r="G44" s="7">
        <v>300</v>
      </c>
      <c r="H44" s="7">
        <v>20</v>
      </c>
      <c r="I44" s="7">
        <v>150</v>
      </c>
      <c r="J44" s="7">
        <v>0</v>
      </c>
      <c r="K44" s="7">
        <v>18</v>
      </c>
      <c r="L44" s="7">
        <v>2</v>
      </c>
      <c r="M44" s="17">
        <v>20</v>
      </c>
      <c r="N44" s="17">
        <f t="shared" si="2"/>
        <v>5.6000000000000008E-2</v>
      </c>
      <c r="O44" s="21">
        <v>0.02</v>
      </c>
      <c r="P44" s="21">
        <v>2E-3</v>
      </c>
      <c r="Q44" s="21">
        <v>0.01</v>
      </c>
      <c r="R44" s="21">
        <v>0.01</v>
      </c>
      <c r="S44" s="21">
        <v>0</v>
      </c>
      <c r="T44" s="21">
        <v>0</v>
      </c>
      <c r="U44" s="21">
        <v>0</v>
      </c>
      <c r="V44" s="22">
        <v>4.0000000000000001E-3</v>
      </c>
      <c r="W44" s="22">
        <v>4.0000000000000001E-3</v>
      </c>
      <c r="X44" s="22">
        <v>4.0000000000000001E-3</v>
      </c>
      <c r="Y44" s="22">
        <v>0</v>
      </c>
      <c r="Z44" s="22">
        <v>2E-3</v>
      </c>
      <c r="AA44" s="13" t="str">
        <f t="shared" si="3"/>
        <v>可回读</v>
      </c>
      <c r="AB44" s="13" t="s">
        <v>359</v>
      </c>
      <c r="AC44" s="13" t="s">
        <v>376</v>
      </c>
      <c r="AD44" s="13" t="s">
        <v>377</v>
      </c>
    </row>
    <row r="45" spans="1:30" ht="23.1" customHeight="1">
      <c r="A45" s="13" t="s">
        <v>378</v>
      </c>
      <c r="B45" s="13" t="s">
        <v>379</v>
      </c>
      <c r="C45" s="13" t="s">
        <v>378</v>
      </c>
      <c r="D45" s="13" t="s">
        <v>328</v>
      </c>
      <c r="E45" s="13" t="s">
        <v>230</v>
      </c>
      <c r="F45" s="13" t="s">
        <v>258</v>
      </c>
      <c r="G45" s="7">
        <v>400</v>
      </c>
      <c r="H45" s="7">
        <v>20</v>
      </c>
      <c r="I45" s="7">
        <v>150</v>
      </c>
      <c r="J45" s="7">
        <v>0</v>
      </c>
      <c r="K45" s="7">
        <v>16</v>
      </c>
      <c r="L45" s="7">
        <v>5</v>
      </c>
      <c r="M45" s="17">
        <v>24</v>
      </c>
      <c r="N45" s="17">
        <f t="shared" si="2"/>
        <v>5.6000000000000008E-2</v>
      </c>
      <c r="O45" s="21">
        <v>0.02</v>
      </c>
      <c r="P45" s="21">
        <v>2E-3</v>
      </c>
      <c r="Q45" s="21">
        <v>0.01</v>
      </c>
      <c r="R45" s="21">
        <v>0.01</v>
      </c>
      <c r="S45" s="21">
        <v>0</v>
      </c>
      <c r="T45" s="21">
        <v>0</v>
      </c>
      <c r="U45" s="21">
        <v>0</v>
      </c>
      <c r="V45" s="22">
        <v>4.0000000000000001E-3</v>
      </c>
      <c r="W45" s="22">
        <v>4.0000000000000001E-3</v>
      </c>
      <c r="X45" s="22">
        <v>4.0000000000000001E-3</v>
      </c>
      <c r="Y45" s="22">
        <v>0</v>
      </c>
      <c r="Z45" s="22">
        <v>2E-3</v>
      </c>
      <c r="AA45" s="13" t="str">
        <f t="shared" si="3"/>
        <v>可回读</v>
      </c>
      <c r="AB45" s="13" t="s">
        <v>359</v>
      </c>
      <c r="AC45" s="13" t="s">
        <v>380</v>
      </c>
      <c r="AD45" s="13" t="s">
        <v>381</v>
      </c>
    </row>
    <row r="46" spans="1:30" ht="23.1" customHeight="1">
      <c r="A46" s="13" t="s">
        <v>382</v>
      </c>
      <c r="B46" s="13" t="s">
        <v>383</v>
      </c>
      <c r="C46" s="13" t="s">
        <v>382</v>
      </c>
      <c r="D46" s="13" t="s">
        <v>328</v>
      </c>
      <c r="E46" s="13" t="s">
        <v>230</v>
      </c>
      <c r="F46" s="13" t="s">
        <v>258</v>
      </c>
      <c r="G46" s="7">
        <v>400</v>
      </c>
      <c r="H46" s="7">
        <v>35</v>
      </c>
      <c r="I46" s="7">
        <v>150</v>
      </c>
      <c r="J46" s="7">
        <v>0</v>
      </c>
      <c r="K46" s="7">
        <v>24</v>
      </c>
      <c r="L46" s="7">
        <v>5</v>
      </c>
      <c r="M46" s="17">
        <v>30</v>
      </c>
      <c r="N46" s="17">
        <f t="shared" si="2"/>
        <v>5.6000000000000008E-2</v>
      </c>
      <c r="O46" s="21">
        <v>0.02</v>
      </c>
      <c r="P46" s="21">
        <v>2E-3</v>
      </c>
      <c r="Q46" s="21">
        <v>0.01</v>
      </c>
      <c r="R46" s="21">
        <v>0.01</v>
      </c>
      <c r="S46" s="21">
        <v>0</v>
      </c>
      <c r="T46" s="21">
        <v>0</v>
      </c>
      <c r="U46" s="21">
        <v>0</v>
      </c>
      <c r="V46" s="22">
        <v>4.0000000000000001E-3</v>
      </c>
      <c r="W46" s="22">
        <v>4.0000000000000001E-3</v>
      </c>
      <c r="X46" s="22">
        <v>4.0000000000000001E-3</v>
      </c>
      <c r="Y46" s="22">
        <v>0</v>
      </c>
      <c r="Z46" s="22">
        <v>2E-3</v>
      </c>
      <c r="AA46" s="13" t="str">
        <f t="shared" si="3"/>
        <v>可回读</v>
      </c>
      <c r="AB46" s="13" t="s">
        <v>359</v>
      </c>
      <c r="AC46" s="13" t="s">
        <v>384</v>
      </c>
      <c r="AD46" s="13" t="s">
        <v>385</v>
      </c>
    </row>
    <row r="47" spans="1:30" ht="23.1" customHeight="1">
      <c r="A47" s="13" t="s">
        <v>386</v>
      </c>
      <c r="B47" s="13" t="s">
        <v>387</v>
      </c>
      <c r="C47" s="13" t="s">
        <v>386</v>
      </c>
      <c r="D47" s="13" t="s">
        <v>328</v>
      </c>
      <c r="E47" s="13" t="s">
        <v>230</v>
      </c>
      <c r="F47" s="13" t="s">
        <v>258</v>
      </c>
      <c r="G47" s="7">
        <v>200</v>
      </c>
      <c r="H47" s="7">
        <v>200</v>
      </c>
      <c r="I47" s="7">
        <v>150</v>
      </c>
      <c r="J47" s="7">
        <v>0</v>
      </c>
      <c r="K47" s="7">
        <v>80</v>
      </c>
      <c r="L47" s="7">
        <v>2</v>
      </c>
      <c r="M47" s="17">
        <v>35</v>
      </c>
      <c r="N47" s="17">
        <f t="shared" si="2"/>
        <v>5.6000000000000008E-2</v>
      </c>
      <c r="O47" s="21">
        <v>0.02</v>
      </c>
      <c r="P47" s="21">
        <v>2E-3</v>
      </c>
      <c r="Q47" s="21">
        <v>0.01</v>
      </c>
      <c r="R47" s="21">
        <v>0.01</v>
      </c>
      <c r="S47" s="21">
        <v>0</v>
      </c>
      <c r="T47" s="21">
        <v>0</v>
      </c>
      <c r="U47" s="21">
        <v>0</v>
      </c>
      <c r="V47" s="22">
        <v>4.0000000000000001E-3</v>
      </c>
      <c r="W47" s="22">
        <v>4.0000000000000001E-3</v>
      </c>
      <c r="X47" s="22">
        <v>4.0000000000000001E-3</v>
      </c>
      <c r="Y47" s="22">
        <v>0</v>
      </c>
      <c r="Z47" s="22">
        <v>2E-3</v>
      </c>
      <c r="AA47" s="13" t="str">
        <f t="shared" si="3"/>
        <v>可回读</v>
      </c>
      <c r="AB47" s="13" t="s">
        <v>359</v>
      </c>
      <c r="AC47" s="13" t="s">
        <v>388</v>
      </c>
      <c r="AD47" s="13" t="s">
        <v>389</v>
      </c>
    </row>
    <row r="48" spans="1:30" ht="23.1" customHeight="1">
      <c r="A48" s="13" t="s">
        <v>390</v>
      </c>
      <c r="B48" s="13" t="s">
        <v>391</v>
      </c>
      <c r="C48" s="13" t="s">
        <v>390</v>
      </c>
      <c r="D48" s="13" t="s">
        <v>392</v>
      </c>
      <c r="E48" s="13" t="s">
        <v>230</v>
      </c>
      <c r="F48" s="13" t="s">
        <v>258</v>
      </c>
      <c r="G48" s="7">
        <v>200</v>
      </c>
      <c r="H48" s="7">
        <v>40</v>
      </c>
      <c r="I48" s="7">
        <v>20</v>
      </c>
      <c r="J48" s="7">
        <v>80</v>
      </c>
      <c r="K48" s="7">
        <v>24</v>
      </c>
      <c r="L48" s="7">
        <v>5</v>
      </c>
      <c r="M48" s="17">
        <v>35</v>
      </c>
      <c r="N48" s="17">
        <f t="shared" si="2"/>
        <v>5.6000000000000008E-2</v>
      </c>
      <c r="O48" s="21">
        <v>0.02</v>
      </c>
      <c r="P48" s="21">
        <v>2E-3</v>
      </c>
      <c r="Q48" s="21">
        <v>0.01</v>
      </c>
      <c r="R48" s="21">
        <v>0</v>
      </c>
      <c r="S48" s="21">
        <v>0.01</v>
      </c>
      <c r="T48" s="21">
        <v>0</v>
      </c>
      <c r="U48" s="21">
        <v>0</v>
      </c>
      <c r="V48" s="22">
        <v>4.0000000000000001E-3</v>
      </c>
      <c r="W48" s="22">
        <v>4.0000000000000001E-3</v>
      </c>
      <c r="X48" s="22">
        <v>4.0000000000000001E-3</v>
      </c>
      <c r="Y48" s="22">
        <v>0</v>
      </c>
      <c r="Z48" s="22">
        <v>2E-3</v>
      </c>
      <c r="AA48" s="13" t="str">
        <f t="shared" si="3"/>
        <v>可回读</v>
      </c>
      <c r="AB48" s="13" t="s">
        <v>393</v>
      </c>
      <c r="AC48" s="13" t="s">
        <v>394</v>
      </c>
      <c r="AD48" s="13" t="s">
        <v>395</v>
      </c>
    </row>
    <row r="49" spans="1:30" ht="23.1" customHeight="1">
      <c r="A49" s="13" t="s">
        <v>396</v>
      </c>
      <c r="B49" s="13" t="s">
        <v>397</v>
      </c>
      <c r="C49" s="13" t="s">
        <v>396</v>
      </c>
      <c r="D49" s="13" t="s">
        <v>392</v>
      </c>
      <c r="E49" s="13" t="s">
        <v>334</v>
      </c>
      <c r="F49" s="13" t="s">
        <v>258</v>
      </c>
      <c r="G49" s="7">
        <v>300</v>
      </c>
      <c r="H49" s="7">
        <v>70</v>
      </c>
      <c r="I49" s="7">
        <v>40</v>
      </c>
      <c r="J49" s="7">
        <v>80</v>
      </c>
      <c r="K49" s="7">
        <v>24</v>
      </c>
      <c r="L49" s="7">
        <v>5</v>
      </c>
      <c r="M49" s="17">
        <v>35</v>
      </c>
      <c r="N49" s="17">
        <f t="shared" si="2"/>
        <v>5.6000000000000008E-2</v>
      </c>
      <c r="O49" s="21">
        <v>0.02</v>
      </c>
      <c r="P49" s="21">
        <v>2E-3</v>
      </c>
      <c r="Q49" s="21">
        <v>0.01</v>
      </c>
      <c r="R49" s="21">
        <v>0</v>
      </c>
      <c r="S49" s="21">
        <v>0.01</v>
      </c>
      <c r="T49" s="21">
        <v>0</v>
      </c>
      <c r="U49" s="21">
        <v>0</v>
      </c>
      <c r="V49" s="22">
        <v>4.0000000000000001E-3</v>
      </c>
      <c r="W49" s="22">
        <v>4.0000000000000001E-3</v>
      </c>
      <c r="X49" s="22">
        <v>4.0000000000000001E-3</v>
      </c>
      <c r="Y49" s="22">
        <v>0</v>
      </c>
      <c r="Z49" s="22">
        <v>2E-3</v>
      </c>
      <c r="AA49" s="13" t="str">
        <f t="shared" si="3"/>
        <v>可回读</v>
      </c>
      <c r="AB49" s="13" t="s">
        <v>393</v>
      </c>
      <c r="AC49" s="13" t="s">
        <v>398</v>
      </c>
      <c r="AD49" s="13" t="s">
        <v>399</v>
      </c>
    </row>
    <row r="50" spans="1:30" ht="23.1" customHeight="1">
      <c r="A50" s="13" t="s">
        <v>400</v>
      </c>
      <c r="B50" s="13" t="s">
        <v>401</v>
      </c>
      <c r="C50" s="13" t="s">
        <v>400</v>
      </c>
      <c r="D50" s="13" t="s">
        <v>392</v>
      </c>
      <c r="E50" s="13" t="s">
        <v>230</v>
      </c>
      <c r="F50" s="13" t="s">
        <v>258</v>
      </c>
      <c r="G50" s="7">
        <v>200</v>
      </c>
      <c r="H50" s="7">
        <v>50</v>
      </c>
      <c r="I50" s="7">
        <v>20</v>
      </c>
      <c r="J50" s="7">
        <v>80</v>
      </c>
      <c r="K50" s="7">
        <v>24</v>
      </c>
      <c r="L50" s="7">
        <v>5</v>
      </c>
      <c r="M50" s="17">
        <v>35</v>
      </c>
      <c r="N50" s="17">
        <f t="shared" si="2"/>
        <v>5.6000000000000008E-2</v>
      </c>
      <c r="O50" s="21">
        <v>0.02</v>
      </c>
      <c r="P50" s="21">
        <v>2E-3</v>
      </c>
      <c r="Q50" s="21">
        <v>0.01</v>
      </c>
      <c r="R50" s="21">
        <v>0</v>
      </c>
      <c r="S50" s="21">
        <v>0.01</v>
      </c>
      <c r="T50" s="21">
        <v>0</v>
      </c>
      <c r="U50" s="21">
        <v>0</v>
      </c>
      <c r="V50" s="22">
        <v>4.0000000000000001E-3</v>
      </c>
      <c r="W50" s="22">
        <v>4.0000000000000001E-3</v>
      </c>
      <c r="X50" s="22">
        <v>4.0000000000000001E-3</v>
      </c>
      <c r="Y50" s="22">
        <v>0</v>
      </c>
      <c r="Z50" s="22">
        <v>2E-3</v>
      </c>
      <c r="AA50" s="13" t="str">
        <f t="shared" si="3"/>
        <v>可回读</v>
      </c>
      <c r="AB50" s="13" t="s">
        <v>393</v>
      </c>
      <c r="AC50" s="13" t="s">
        <v>402</v>
      </c>
      <c r="AD50" s="13" t="s">
        <v>403</v>
      </c>
    </row>
    <row r="51" spans="1:30" ht="23.1" customHeight="1">
      <c r="A51" s="13" t="s">
        <v>404</v>
      </c>
      <c r="B51" s="13" t="s">
        <v>405</v>
      </c>
      <c r="C51" s="13" t="s">
        <v>404</v>
      </c>
      <c r="D51" s="13" t="s">
        <v>392</v>
      </c>
      <c r="E51" s="13" t="s">
        <v>334</v>
      </c>
      <c r="F51" s="13" t="s">
        <v>258</v>
      </c>
      <c r="G51" s="7">
        <v>300</v>
      </c>
      <c r="H51" s="7">
        <v>80</v>
      </c>
      <c r="I51" s="7">
        <v>20</v>
      </c>
      <c r="J51" s="7">
        <v>80</v>
      </c>
      <c r="K51" s="7">
        <v>24</v>
      </c>
      <c r="L51" s="7">
        <v>5</v>
      </c>
      <c r="M51" s="17">
        <v>35</v>
      </c>
      <c r="N51" s="17">
        <f t="shared" si="2"/>
        <v>5.6000000000000008E-2</v>
      </c>
      <c r="O51" s="21">
        <v>0.02</v>
      </c>
      <c r="P51" s="21">
        <v>2E-3</v>
      </c>
      <c r="Q51" s="21">
        <v>0.01</v>
      </c>
      <c r="R51" s="21">
        <v>0</v>
      </c>
      <c r="S51" s="21">
        <v>0.01</v>
      </c>
      <c r="T51" s="21">
        <v>0</v>
      </c>
      <c r="U51" s="21">
        <v>0</v>
      </c>
      <c r="V51" s="22">
        <v>4.0000000000000001E-3</v>
      </c>
      <c r="W51" s="22">
        <v>4.0000000000000001E-3</v>
      </c>
      <c r="X51" s="22">
        <v>4.0000000000000001E-3</v>
      </c>
      <c r="Y51" s="22">
        <v>0</v>
      </c>
      <c r="Z51" s="22">
        <v>2E-3</v>
      </c>
      <c r="AA51" s="13" t="str">
        <f t="shared" si="3"/>
        <v>可回读</v>
      </c>
      <c r="AB51" s="13" t="s">
        <v>393</v>
      </c>
      <c r="AC51" s="13" t="s">
        <v>406</v>
      </c>
      <c r="AD51" s="13" t="s">
        <v>407</v>
      </c>
    </row>
    <row r="52" spans="1:30" ht="23.1" customHeight="1">
      <c r="A52" s="13" t="s">
        <v>408</v>
      </c>
      <c r="B52" s="13" t="s">
        <v>409</v>
      </c>
      <c r="C52" s="13" t="s">
        <v>408</v>
      </c>
      <c r="D52" s="13" t="s">
        <v>392</v>
      </c>
      <c r="E52" s="13" t="s">
        <v>230</v>
      </c>
      <c r="F52" s="13" t="s">
        <v>258</v>
      </c>
      <c r="G52" s="7">
        <v>200</v>
      </c>
      <c r="H52" s="7">
        <v>50</v>
      </c>
      <c r="I52" s="7">
        <v>20</v>
      </c>
      <c r="J52" s="7">
        <v>80</v>
      </c>
      <c r="K52" s="7">
        <v>24</v>
      </c>
      <c r="L52" s="7">
        <v>5</v>
      </c>
      <c r="M52" s="17">
        <v>35</v>
      </c>
      <c r="N52" s="17">
        <f t="shared" si="2"/>
        <v>5.6000000000000008E-2</v>
      </c>
      <c r="O52" s="21">
        <v>0.02</v>
      </c>
      <c r="P52" s="21">
        <v>2E-3</v>
      </c>
      <c r="Q52" s="21">
        <v>0.01</v>
      </c>
      <c r="R52" s="21">
        <v>0</v>
      </c>
      <c r="S52" s="21">
        <v>0.01</v>
      </c>
      <c r="T52" s="21">
        <v>0</v>
      </c>
      <c r="U52" s="21">
        <v>0</v>
      </c>
      <c r="V52" s="22">
        <v>4.0000000000000001E-3</v>
      </c>
      <c r="W52" s="22">
        <v>4.0000000000000001E-3</v>
      </c>
      <c r="X52" s="22">
        <v>4.0000000000000001E-3</v>
      </c>
      <c r="Y52" s="22">
        <v>0</v>
      </c>
      <c r="Z52" s="22">
        <v>2E-3</v>
      </c>
      <c r="AA52" s="13" t="str">
        <f t="shared" si="3"/>
        <v>可回读</v>
      </c>
      <c r="AB52" s="13" t="s">
        <v>393</v>
      </c>
      <c r="AC52" s="13" t="s">
        <v>410</v>
      </c>
      <c r="AD52" s="13" t="s">
        <v>411</v>
      </c>
    </row>
    <row r="53" spans="1:30" ht="23.1" customHeight="1">
      <c r="A53" s="13" t="s">
        <v>412</v>
      </c>
      <c r="B53" s="13" t="s">
        <v>413</v>
      </c>
      <c r="C53" s="13" t="s">
        <v>412</v>
      </c>
      <c r="D53" s="13" t="s">
        <v>392</v>
      </c>
      <c r="E53" s="13" t="s">
        <v>334</v>
      </c>
      <c r="F53" s="13" t="s">
        <v>258</v>
      </c>
      <c r="G53" s="7">
        <v>300</v>
      </c>
      <c r="H53" s="7">
        <v>80</v>
      </c>
      <c r="I53" s="7">
        <v>20</v>
      </c>
      <c r="J53" s="7">
        <v>80</v>
      </c>
      <c r="K53" s="7">
        <v>24</v>
      </c>
      <c r="L53" s="7">
        <v>5</v>
      </c>
      <c r="M53" s="17">
        <v>35</v>
      </c>
      <c r="N53" s="17">
        <f t="shared" si="2"/>
        <v>5.6000000000000008E-2</v>
      </c>
      <c r="O53" s="21">
        <v>0.02</v>
      </c>
      <c r="P53" s="21">
        <v>2E-3</v>
      </c>
      <c r="Q53" s="21">
        <v>0.01</v>
      </c>
      <c r="R53" s="21">
        <v>0</v>
      </c>
      <c r="S53" s="21">
        <v>0.01</v>
      </c>
      <c r="T53" s="21">
        <v>0</v>
      </c>
      <c r="U53" s="21">
        <v>0</v>
      </c>
      <c r="V53" s="22">
        <v>4.0000000000000001E-3</v>
      </c>
      <c r="W53" s="22">
        <v>4.0000000000000001E-3</v>
      </c>
      <c r="X53" s="22">
        <v>4.0000000000000001E-3</v>
      </c>
      <c r="Y53" s="22">
        <v>0</v>
      </c>
      <c r="Z53" s="22">
        <v>2E-3</v>
      </c>
      <c r="AA53" s="13" t="str">
        <f t="shared" si="3"/>
        <v>可回读</v>
      </c>
      <c r="AB53" s="13" t="s">
        <v>393</v>
      </c>
      <c r="AC53" s="13" t="s">
        <v>414</v>
      </c>
      <c r="AD53" s="13" t="s">
        <v>415</v>
      </c>
    </row>
    <row r="54" spans="1:30" ht="23.1" customHeight="1">
      <c r="A54" s="13" t="s">
        <v>161</v>
      </c>
      <c r="B54" s="13" t="s">
        <v>416</v>
      </c>
      <c r="C54" s="13" t="s">
        <v>161</v>
      </c>
      <c r="D54" s="13" t="s">
        <v>417</v>
      </c>
      <c r="E54" s="13" t="s">
        <v>230</v>
      </c>
      <c r="F54" s="13" t="s">
        <v>231</v>
      </c>
      <c r="G54" s="7">
        <v>1000</v>
      </c>
      <c r="H54" s="7">
        <v>100</v>
      </c>
      <c r="I54" s="7">
        <v>50</v>
      </c>
      <c r="J54" s="7">
        <v>0</v>
      </c>
      <c r="K54" s="7">
        <v>15</v>
      </c>
      <c r="L54" s="7">
        <v>25</v>
      </c>
      <c r="M54" s="17">
        <v>50</v>
      </c>
      <c r="N54" s="17">
        <f t="shared" si="2"/>
        <v>0.54600000000000004</v>
      </c>
      <c r="O54" s="21">
        <v>0.02</v>
      </c>
      <c r="P54" s="21">
        <v>2E-3</v>
      </c>
      <c r="Q54" s="21">
        <v>0.01</v>
      </c>
      <c r="R54" s="21">
        <v>0</v>
      </c>
      <c r="S54" s="21">
        <v>0</v>
      </c>
      <c r="T54" s="21">
        <v>0</v>
      </c>
      <c r="U54" s="21">
        <v>0.5</v>
      </c>
      <c r="V54" s="22">
        <v>4.0000000000000001E-3</v>
      </c>
      <c r="W54" s="22">
        <v>4.0000000000000001E-3</v>
      </c>
      <c r="X54" s="22">
        <v>4.0000000000000001E-3</v>
      </c>
      <c r="Y54" s="22">
        <v>0</v>
      </c>
      <c r="Z54" s="22">
        <v>2E-3</v>
      </c>
      <c r="AA54" s="13" t="str">
        <f t="shared" si="3"/>
        <v>可回读</v>
      </c>
      <c r="AB54" s="13" t="s">
        <v>418</v>
      </c>
      <c r="AC54" s="13" t="s">
        <v>419</v>
      </c>
      <c r="AD54" s="13" t="s">
        <v>420</v>
      </c>
    </row>
    <row r="55" spans="1:30" ht="23.1" customHeight="1">
      <c r="A55" s="25" t="s">
        <v>421</v>
      </c>
      <c r="B55" s="25" t="s">
        <v>422</v>
      </c>
      <c r="C55" s="25" t="s">
        <v>421</v>
      </c>
      <c r="D55" s="25" t="s">
        <v>417</v>
      </c>
      <c r="E55" s="25" t="s">
        <v>334</v>
      </c>
      <c r="F55" s="25" t="s">
        <v>258</v>
      </c>
      <c r="G55" s="26">
        <v>1800</v>
      </c>
      <c r="H55" s="26">
        <v>150</v>
      </c>
      <c r="I55" s="26">
        <v>75</v>
      </c>
      <c r="J55" s="26">
        <v>0</v>
      </c>
      <c r="K55" s="26">
        <v>15</v>
      </c>
      <c r="L55" s="26">
        <v>25</v>
      </c>
      <c r="M55" s="27">
        <v>50</v>
      </c>
      <c r="N55" s="27">
        <f t="shared" si="2"/>
        <v>0.54600000000000004</v>
      </c>
      <c r="O55" s="28">
        <v>0.02</v>
      </c>
      <c r="P55" s="28">
        <v>2E-3</v>
      </c>
      <c r="Q55" s="28">
        <v>0.01</v>
      </c>
      <c r="R55" s="28">
        <v>0</v>
      </c>
      <c r="S55" s="28">
        <v>0</v>
      </c>
      <c r="T55" s="28">
        <v>0</v>
      </c>
      <c r="U55" s="28">
        <v>0.5</v>
      </c>
      <c r="V55" s="29">
        <v>4.0000000000000001E-3</v>
      </c>
      <c r="W55" s="29">
        <v>4.0000000000000001E-3</v>
      </c>
      <c r="X55" s="29">
        <v>4.0000000000000001E-3</v>
      </c>
      <c r="Y55" s="29">
        <v>0</v>
      </c>
      <c r="Z55" s="29">
        <v>2E-3</v>
      </c>
      <c r="AA55" s="25" t="str">
        <f t="shared" si="3"/>
        <v>可回读</v>
      </c>
      <c r="AB55" s="25" t="s">
        <v>418</v>
      </c>
      <c r="AC55" s="25" t="s">
        <v>423</v>
      </c>
      <c r="AD55" s="25" t="s">
        <v>424</v>
      </c>
    </row>
    <row r="56" spans="1:30" ht="23.1" customHeight="1">
      <c r="A56" s="25" t="s">
        <v>425</v>
      </c>
      <c r="B56" s="25" t="s">
        <v>426</v>
      </c>
      <c r="C56" s="25" t="s">
        <v>425</v>
      </c>
      <c r="D56" s="25" t="s">
        <v>417</v>
      </c>
      <c r="E56" s="25" t="s">
        <v>230</v>
      </c>
      <c r="F56" s="25" t="s">
        <v>258</v>
      </c>
      <c r="G56" s="26">
        <v>6</v>
      </c>
      <c r="H56" s="26">
        <v>25</v>
      </c>
      <c r="I56" s="26">
        <v>0</v>
      </c>
      <c r="J56" s="26">
        <v>0</v>
      </c>
      <c r="K56" s="26">
        <v>32</v>
      </c>
      <c r="L56" s="26">
        <v>1</v>
      </c>
      <c r="M56" s="27">
        <v>3</v>
      </c>
      <c r="N56" s="27">
        <f t="shared" si="2"/>
        <v>4.6000000000000013E-2</v>
      </c>
      <c r="O56" s="28">
        <v>0.02</v>
      </c>
      <c r="P56" s="28">
        <v>2E-3</v>
      </c>
      <c r="Q56" s="28">
        <v>0.01</v>
      </c>
      <c r="R56" s="28">
        <v>0</v>
      </c>
      <c r="S56" s="28">
        <v>0</v>
      </c>
      <c r="T56" s="28">
        <v>0</v>
      </c>
      <c r="U56" s="28">
        <v>0</v>
      </c>
      <c r="V56" s="29">
        <v>4.0000000000000001E-3</v>
      </c>
      <c r="W56" s="29">
        <v>4.0000000000000001E-3</v>
      </c>
      <c r="X56" s="29">
        <v>4.0000000000000001E-3</v>
      </c>
      <c r="Y56" s="29">
        <v>0</v>
      </c>
      <c r="Z56" s="29">
        <v>2E-3</v>
      </c>
      <c r="AA56" s="25" t="str">
        <f t="shared" si="3"/>
        <v>可回读</v>
      </c>
      <c r="AB56" s="25" t="s">
        <v>418</v>
      </c>
      <c r="AC56" s="25" t="s">
        <v>427</v>
      </c>
      <c r="AD56" s="25" t="s">
        <v>428</v>
      </c>
    </row>
    <row r="57" spans="1:30" ht="23.1" customHeight="1">
      <c r="A57" s="25" t="s">
        <v>429</v>
      </c>
      <c r="B57" s="25" t="s">
        <v>430</v>
      </c>
      <c r="C57" s="25" t="s">
        <v>429</v>
      </c>
      <c r="D57" s="25" t="s">
        <v>417</v>
      </c>
      <c r="E57" s="25" t="s">
        <v>230</v>
      </c>
      <c r="F57" s="25" t="s">
        <v>258</v>
      </c>
      <c r="G57" s="26">
        <v>15</v>
      </c>
      <c r="H57" s="26">
        <v>40</v>
      </c>
      <c r="I57" s="26">
        <v>0</v>
      </c>
      <c r="J57" s="26">
        <v>0</v>
      </c>
      <c r="K57" s="26">
        <v>22</v>
      </c>
      <c r="L57" s="26">
        <v>2</v>
      </c>
      <c r="M57" s="27">
        <v>6</v>
      </c>
      <c r="N57" s="27">
        <f t="shared" si="2"/>
        <v>4.6000000000000013E-2</v>
      </c>
      <c r="O57" s="28">
        <v>0.02</v>
      </c>
      <c r="P57" s="28">
        <v>2E-3</v>
      </c>
      <c r="Q57" s="28">
        <v>0.01</v>
      </c>
      <c r="R57" s="28">
        <v>0</v>
      </c>
      <c r="S57" s="28">
        <v>0</v>
      </c>
      <c r="T57" s="28">
        <v>0</v>
      </c>
      <c r="U57" s="28">
        <v>0</v>
      </c>
      <c r="V57" s="29">
        <v>4.0000000000000001E-3</v>
      </c>
      <c r="W57" s="29">
        <v>4.0000000000000001E-3</v>
      </c>
      <c r="X57" s="29">
        <v>4.0000000000000001E-3</v>
      </c>
      <c r="Y57" s="29">
        <v>0</v>
      </c>
      <c r="Z57" s="29">
        <v>2E-3</v>
      </c>
      <c r="AA57" s="25" t="str">
        <f t="shared" si="3"/>
        <v>可回读</v>
      </c>
      <c r="AB57" s="25" t="s">
        <v>418</v>
      </c>
      <c r="AC57" s="25" t="s">
        <v>431</v>
      </c>
      <c r="AD57" s="25" t="s">
        <v>432</v>
      </c>
    </row>
    <row r="58" spans="1:30" ht="23.1" customHeight="1">
      <c r="A58" s="25" t="s">
        <v>433</v>
      </c>
      <c r="B58" s="25" t="s">
        <v>434</v>
      </c>
      <c r="C58" s="25" t="s">
        <v>433</v>
      </c>
      <c r="D58" s="25" t="s">
        <v>435</v>
      </c>
      <c r="E58" s="25" t="s">
        <v>230</v>
      </c>
      <c r="F58" s="25" t="s">
        <v>258</v>
      </c>
      <c r="G58" s="26">
        <v>180</v>
      </c>
      <c r="H58" s="26">
        <v>35</v>
      </c>
      <c r="I58" s="26">
        <v>15</v>
      </c>
      <c r="J58" s="26">
        <v>20</v>
      </c>
      <c r="K58" s="26">
        <v>30</v>
      </c>
      <c r="L58" s="26">
        <v>2</v>
      </c>
      <c r="M58" s="27">
        <v>10</v>
      </c>
      <c r="N58" s="27">
        <f t="shared" si="2"/>
        <v>4.6000000000000013E-2</v>
      </c>
      <c r="O58" s="28">
        <v>0.02</v>
      </c>
      <c r="P58" s="28">
        <v>2E-3</v>
      </c>
      <c r="Q58" s="28">
        <v>0.01</v>
      </c>
      <c r="R58" s="28">
        <v>0</v>
      </c>
      <c r="S58" s="28">
        <v>0</v>
      </c>
      <c r="T58" s="28">
        <v>0</v>
      </c>
      <c r="U58" s="28">
        <v>0</v>
      </c>
      <c r="V58" s="29">
        <v>4.0000000000000001E-3</v>
      </c>
      <c r="W58" s="29">
        <v>4.0000000000000001E-3</v>
      </c>
      <c r="X58" s="29">
        <v>4.0000000000000001E-3</v>
      </c>
      <c r="Y58" s="29">
        <v>0</v>
      </c>
      <c r="Z58" s="29">
        <v>2E-3</v>
      </c>
      <c r="AA58" s="25" t="str">
        <f t="shared" si="3"/>
        <v>可回读</v>
      </c>
      <c r="AB58" s="25" t="s">
        <v>436</v>
      </c>
      <c r="AC58" s="25" t="s">
        <v>437</v>
      </c>
      <c r="AD58" s="25" t="s">
        <v>438</v>
      </c>
    </row>
    <row r="59" spans="1:30" ht="23.1" customHeight="1">
      <c r="A59" s="25" t="s">
        <v>439</v>
      </c>
      <c r="B59" s="25" t="s">
        <v>440</v>
      </c>
      <c r="C59" s="25" t="s">
        <v>439</v>
      </c>
      <c r="D59" s="25" t="s">
        <v>435</v>
      </c>
      <c r="E59" s="25" t="s">
        <v>334</v>
      </c>
      <c r="F59" s="25" t="s">
        <v>258</v>
      </c>
      <c r="G59" s="26">
        <v>360</v>
      </c>
      <c r="H59" s="26">
        <v>70</v>
      </c>
      <c r="I59" s="26">
        <v>15</v>
      </c>
      <c r="J59" s="26">
        <v>20</v>
      </c>
      <c r="K59" s="26">
        <v>40</v>
      </c>
      <c r="L59" s="26">
        <v>2</v>
      </c>
      <c r="M59" s="27">
        <v>10</v>
      </c>
      <c r="N59" s="27">
        <f t="shared" si="2"/>
        <v>4.6000000000000013E-2</v>
      </c>
      <c r="O59" s="28">
        <v>0.02</v>
      </c>
      <c r="P59" s="28">
        <v>2E-3</v>
      </c>
      <c r="Q59" s="28">
        <v>0.01</v>
      </c>
      <c r="R59" s="28">
        <v>0</v>
      </c>
      <c r="S59" s="28">
        <v>0</v>
      </c>
      <c r="T59" s="28">
        <v>0</v>
      </c>
      <c r="U59" s="28">
        <v>0</v>
      </c>
      <c r="V59" s="29">
        <v>4.0000000000000001E-3</v>
      </c>
      <c r="W59" s="29">
        <v>4.0000000000000001E-3</v>
      </c>
      <c r="X59" s="29">
        <v>4.0000000000000001E-3</v>
      </c>
      <c r="Y59" s="29">
        <v>0</v>
      </c>
      <c r="Z59" s="29">
        <v>2E-3</v>
      </c>
      <c r="AA59" s="25" t="str">
        <f t="shared" si="3"/>
        <v>可回读</v>
      </c>
      <c r="AB59" s="25" t="s">
        <v>436</v>
      </c>
      <c r="AC59" s="25" t="s">
        <v>441</v>
      </c>
      <c r="AD59" s="25" t="s">
        <v>442</v>
      </c>
    </row>
    <row r="60" spans="1:30" ht="23.1" customHeight="1">
      <c r="A60" s="25" t="s">
        <v>443</v>
      </c>
      <c r="B60" s="25" t="s">
        <v>444</v>
      </c>
      <c r="C60" s="25" t="s">
        <v>443</v>
      </c>
      <c r="D60" s="25" t="s">
        <v>435</v>
      </c>
      <c r="E60" s="25" t="s">
        <v>230</v>
      </c>
      <c r="F60" s="25" t="s">
        <v>258</v>
      </c>
      <c r="G60" s="26">
        <v>180</v>
      </c>
      <c r="H60" s="26">
        <v>35</v>
      </c>
      <c r="I60" s="26">
        <v>10</v>
      </c>
      <c r="J60" s="26">
        <v>15</v>
      </c>
      <c r="K60" s="26">
        <v>30</v>
      </c>
      <c r="L60" s="26">
        <v>2</v>
      </c>
      <c r="M60" s="27">
        <v>10</v>
      </c>
      <c r="N60" s="27">
        <f t="shared" si="2"/>
        <v>4.6000000000000013E-2</v>
      </c>
      <c r="O60" s="28">
        <v>0.02</v>
      </c>
      <c r="P60" s="28">
        <v>2E-3</v>
      </c>
      <c r="Q60" s="28">
        <v>0.01</v>
      </c>
      <c r="R60" s="28">
        <v>0</v>
      </c>
      <c r="S60" s="28">
        <v>0</v>
      </c>
      <c r="T60" s="28">
        <v>0</v>
      </c>
      <c r="U60" s="28">
        <v>0</v>
      </c>
      <c r="V60" s="29">
        <v>4.0000000000000001E-3</v>
      </c>
      <c r="W60" s="29">
        <v>4.0000000000000001E-3</v>
      </c>
      <c r="X60" s="29">
        <v>4.0000000000000001E-3</v>
      </c>
      <c r="Y60" s="29">
        <v>0</v>
      </c>
      <c r="Z60" s="29">
        <v>2E-3</v>
      </c>
      <c r="AA60" s="25" t="str">
        <f t="shared" si="3"/>
        <v>可回读</v>
      </c>
      <c r="AB60" s="25" t="s">
        <v>436</v>
      </c>
      <c r="AC60" s="25" t="s">
        <v>445</v>
      </c>
      <c r="AD60" s="25" t="s">
        <v>446</v>
      </c>
    </row>
    <row r="61" spans="1:30" ht="23.1" customHeight="1">
      <c r="A61" s="25" t="s">
        <v>447</v>
      </c>
      <c r="B61" s="25" t="s">
        <v>448</v>
      </c>
      <c r="C61" s="25" t="s">
        <v>447</v>
      </c>
      <c r="D61" s="25" t="s">
        <v>435</v>
      </c>
      <c r="E61" s="25" t="s">
        <v>334</v>
      </c>
      <c r="F61" s="25" t="s">
        <v>258</v>
      </c>
      <c r="G61" s="26">
        <v>360</v>
      </c>
      <c r="H61" s="26">
        <v>50</v>
      </c>
      <c r="I61" s="26">
        <v>20</v>
      </c>
      <c r="J61" s="26">
        <v>15</v>
      </c>
      <c r="K61" s="26">
        <v>50</v>
      </c>
      <c r="L61" s="26">
        <v>2</v>
      </c>
      <c r="M61" s="27">
        <v>10</v>
      </c>
      <c r="N61" s="27">
        <f t="shared" si="2"/>
        <v>4.6000000000000013E-2</v>
      </c>
      <c r="O61" s="28">
        <v>0.02</v>
      </c>
      <c r="P61" s="28">
        <v>2E-3</v>
      </c>
      <c r="Q61" s="28">
        <v>0.01</v>
      </c>
      <c r="R61" s="28">
        <v>0</v>
      </c>
      <c r="S61" s="28">
        <v>0</v>
      </c>
      <c r="T61" s="28">
        <v>0</v>
      </c>
      <c r="U61" s="28">
        <v>0</v>
      </c>
      <c r="V61" s="29">
        <v>4.0000000000000001E-3</v>
      </c>
      <c r="W61" s="29">
        <v>4.0000000000000001E-3</v>
      </c>
      <c r="X61" s="29">
        <v>4.0000000000000001E-3</v>
      </c>
      <c r="Y61" s="29">
        <v>0</v>
      </c>
      <c r="Z61" s="29">
        <v>2E-3</v>
      </c>
      <c r="AA61" s="25" t="str">
        <f t="shared" si="3"/>
        <v>可回读</v>
      </c>
      <c r="AB61" s="25" t="s">
        <v>436</v>
      </c>
      <c r="AC61" s="25" t="s">
        <v>449</v>
      </c>
      <c r="AD61" s="25" t="s">
        <v>450</v>
      </c>
    </row>
    <row r="62" spans="1:30" ht="23.1" customHeight="1">
      <c r="A62" s="25" t="s">
        <v>451</v>
      </c>
      <c r="B62" s="25" t="s">
        <v>452</v>
      </c>
      <c r="C62" s="25" t="s">
        <v>451</v>
      </c>
      <c r="D62" s="25" t="s">
        <v>435</v>
      </c>
      <c r="E62" s="25" t="s">
        <v>230</v>
      </c>
      <c r="F62" s="25" t="s">
        <v>258</v>
      </c>
      <c r="G62" s="26">
        <v>180</v>
      </c>
      <c r="H62" s="26">
        <v>50</v>
      </c>
      <c r="I62" s="26">
        <v>15</v>
      </c>
      <c r="J62" s="26">
        <v>15</v>
      </c>
      <c r="K62" s="26">
        <v>30</v>
      </c>
      <c r="L62" s="26">
        <v>2</v>
      </c>
      <c r="M62" s="27">
        <v>10</v>
      </c>
      <c r="N62" s="27">
        <f t="shared" si="2"/>
        <v>4.6000000000000013E-2</v>
      </c>
      <c r="O62" s="28">
        <v>0.02</v>
      </c>
      <c r="P62" s="28">
        <v>2E-3</v>
      </c>
      <c r="Q62" s="28">
        <v>0.01</v>
      </c>
      <c r="R62" s="28">
        <v>0</v>
      </c>
      <c r="S62" s="28">
        <v>0</v>
      </c>
      <c r="T62" s="28">
        <v>0</v>
      </c>
      <c r="U62" s="28">
        <v>0</v>
      </c>
      <c r="V62" s="29">
        <v>4.0000000000000001E-3</v>
      </c>
      <c r="W62" s="29">
        <v>4.0000000000000001E-3</v>
      </c>
      <c r="X62" s="29">
        <v>4.0000000000000001E-3</v>
      </c>
      <c r="Y62" s="29">
        <v>0</v>
      </c>
      <c r="Z62" s="29">
        <v>2E-3</v>
      </c>
      <c r="AA62" s="25" t="str">
        <f t="shared" si="3"/>
        <v>可回读</v>
      </c>
      <c r="AB62" s="25" t="s">
        <v>436</v>
      </c>
      <c r="AC62" s="25" t="s">
        <v>453</v>
      </c>
      <c r="AD62" s="25" t="s">
        <v>454</v>
      </c>
    </row>
    <row r="63" spans="1:30" ht="23.1" customHeight="1">
      <c r="A63" s="25" t="s">
        <v>455</v>
      </c>
      <c r="B63" s="25" t="s">
        <v>456</v>
      </c>
      <c r="C63" s="25" t="s">
        <v>455</v>
      </c>
      <c r="D63" s="25" t="s">
        <v>435</v>
      </c>
      <c r="E63" s="25" t="s">
        <v>334</v>
      </c>
      <c r="F63" s="25" t="s">
        <v>258</v>
      </c>
      <c r="G63" s="26">
        <v>360</v>
      </c>
      <c r="H63" s="26">
        <v>100</v>
      </c>
      <c r="I63" s="26">
        <v>20</v>
      </c>
      <c r="J63" s="26">
        <v>15</v>
      </c>
      <c r="K63" s="26">
        <v>40</v>
      </c>
      <c r="L63" s="26">
        <v>2</v>
      </c>
      <c r="M63" s="27">
        <v>10</v>
      </c>
      <c r="N63" s="27">
        <f t="shared" si="2"/>
        <v>4.6000000000000013E-2</v>
      </c>
      <c r="O63" s="28">
        <v>0.02</v>
      </c>
      <c r="P63" s="28">
        <v>2E-3</v>
      </c>
      <c r="Q63" s="28">
        <v>0.01</v>
      </c>
      <c r="R63" s="28">
        <v>0</v>
      </c>
      <c r="S63" s="28">
        <v>0</v>
      </c>
      <c r="T63" s="28">
        <v>0</v>
      </c>
      <c r="U63" s="28">
        <v>0</v>
      </c>
      <c r="V63" s="29">
        <v>4.0000000000000001E-3</v>
      </c>
      <c r="W63" s="29">
        <v>4.0000000000000001E-3</v>
      </c>
      <c r="X63" s="29">
        <v>4.0000000000000001E-3</v>
      </c>
      <c r="Y63" s="29">
        <v>0</v>
      </c>
      <c r="Z63" s="29">
        <v>2E-3</v>
      </c>
      <c r="AA63" s="25" t="str">
        <f t="shared" si="3"/>
        <v>可回读</v>
      </c>
      <c r="AB63" s="25" t="s">
        <v>436</v>
      </c>
      <c r="AC63" s="25" t="s">
        <v>457</v>
      </c>
      <c r="AD63" s="25" t="s">
        <v>458</v>
      </c>
    </row>
    <row r="64" spans="1:30" ht="23.1" customHeight="1">
      <c r="A64" s="25" t="s">
        <v>459</v>
      </c>
      <c r="B64" s="25" t="s">
        <v>460</v>
      </c>
      <c r="C64" s="25" t="s">
        <v>459</v>
      </c>
      <c r="D64" s="25" t="s">
        <v>435</v>
      </c>
      <c r="E64" s="25" t="s">
        <v>230</v>
      </c>
      <c r="F64" s="25" t="s">
        <v>258</v>
      </c>
      <c r="G64" s="26">
        <v>180</v>
      </c>
      <c r="H64" s="26">
        <v>30</v>
      </c>
      <c r="I64" s="26">
        <v>25</v>
      </c>
      <c r="J64" s="26">
        <v>10</v>
      </c>
      <c r="K64" s="26">
        <v>30</v>
      </c>
      <c r="L64" s="26">
        <v>2</v>
      </c>
      <c r="M64" s="27">
        <v>10</v>
      </c>
      <c r="N64" s="27">
        <f t="shared" si="2"/>
        <v>4.6000000000000013E-2</v>
      </c>
      <c r="O64" s="28">
        <v>0.02</v>
      </c>
      <c r="P64" s="28">
        <v>2E-3</v>
      </c>
      <c r="Q64" s="28">
        <v>0.01</v>
      </c>
      <c r="R64" s="28">
        <v>0</v>
      </c>
      <c r="S64" s="28">
        <v>0</v>
      </c>
      <c r="T64" s="28">
        <v>0</v>
      </c>
      <c r="U64" s="28">
        <v>0</v>
      </c>
      <c r="V64" s="29">
        <v>4.0000000000000001E-3</v>
      </c>
      <c r="W64" s="29">
        <v>4.0000000000000001E-3</v>
      </c>
      <c r="X64" s="29">
        <v>4.0000000000000001E-3</v>
      </c>
      <c r="Y64" s="29">
        <v>0</v>
      </c>
      <c r="Z64" s="29">
        <v>2E-3</v>
      </c>
      <c r="AA64" s="25" t="str">
        <f t="shared" si="3"/>
        <v>可回读</v>
      </c>
      <c r="AB64" s="25" t="s">
        <v>436</v>
      </c>
      <c r="AC64" s="25" t="s">
        <v>461</v>
      </c>
      <c r="AD64" s="25" t="s">
        <v>462</v>
      </c>
    </row>
    <row r="65" spans="1:30" ht="23.1" customHeight="1">
      <c r="A65" s="25" t="s">
        <v>463</v>
      </c>
      <c r="B65" s="25" t="s">
        <v>464</v>
      </c>
      <c r="C65" s="25" t="s">
        <v>463</v>
      </c>
      <c r="D65" s="25" t="s">
        <v>435</v>
      </c>
      <c r="E65" s="25" t="s">
        <v>334</v>
      </c>
      <c r="F65" s="25" t="s">
        <v>258</v>
      </c>
      <c r="G65" s="26">
        <v>400</v>
      </c>
      <c r="H65" s="26">
        <v>60</v>
      </c>
      <c r="I65" s="26">
        <v>35</v>
      </c>
      <c r="J65" s="26">
        <v>20</v>
      </c>
      <c r="K65" s="26">
        <v>40</v>
      </c>
      <c r="L65" s="26">
        <v>2</v>
      </c>
      <c r="M65" s="27">
        <v>10</v>
      </c>
      <c r="N65" s="27">
        <f t="shared" si="2"/>
        <v>4.6000000000000013E-2</v>
      </c>
      <c r="O65" s="28">
        <v>0.02</v>
      </c>
      <c r="P65" s="28">
        <v>2E-3</v>
      </c>
      <c r="Q65" s="28">
        <v>0.01</v>
      </c>
      <c r="R65" s="28">
        <v>0</v>
      </c>
      <c r="S65" s="28">
        <v>0</v>
      </c>
      <c r="T65" s="28">
        <v>0</v>
      </c>
      <c r="U65" s="28">
        <v>0</v>
      </c>
      <c r="V65" s="29">
        <v>4.0000000000000001E-3</v>
      </c>
      <c r="W65" s="29">
        <v>4.0000000000000001E-3</v>
      </c>
      <c r="X65" s="29">
        <v>4.0000000000000001E-3</v>
      </c>
      <c r="Y65" s="29">
        <v>0</v>
      </c>
      <c r="Z65" s="29">
        <v>2E-3</v>
      </c>
      <c r="AA65" s="25" t="str">
        <f t="shared" si="3"/>
        <v>可回读</v>
      </c>
      <c r="AB65" s="25" t="s">
        <v>436</v>
      </c>
      <c r="AC65" s="25" t="s">
        <v>465</v>
      </c>
      <c r="AD65" s="25" t="s">
        <v>466</v>
      </c>
    </row>
    <row r="66" spans="1:30" ht="23.1" customHeight="1">
      <c r="A66" s="25" t="s">
        <v>467</v>
      </c>
      <c r="B66" s="25" t="s">
        <v>468</v>
      </c>
      <c r="C66" s="25" t="s">
        <v>467</v>
      </c>
      <c r="D66" s="25" t="s">
        <v>435</v>
      </c>
      <c r="E66" s="25" t="s">
        <v>230</v>
      </c>
      <c r="F66" s="25" t="s">
        <v>258</v>
      </c>
      <c r="G66" s="26">
        <v>180</v>
      </c>
      <c r="H66" s="26">
        <v>35</v>
      </c>
      <c r="I66" s="26">
        <v>10</v>
      </c>
      <c r="J66" s="26">
        <v>15</v>
      </c>
      <c r="K66" s="26">
        <v>80</v>
      </c>
      <c r="L66" s="26">
        <v>2</v>
      </c>
      <c r="M66" s="27">
        <v>10</v>
      </c>
      <c r="N66" s="27">
        <f t="shared" si="2"/>
        <v>4.6000000000000013E-2</v>
      </c>
      <c r="O66" s="28">
        <v>0.02</v>
      </c>
      <c r="P66" s="28">
        <v>2E-3</v>
      </c>
      <c r="Q66" s="28">
        <v>0.01</v>
      </c>
      <c r="R66" s="28">
        <v>0</v>
      </c>
      <c r="S66" s="28">
        <v>0</v>
      </c>
      <c r="T66" s="28">
        <v>0</v>
      </c>
      <c r="U66" s="28">
        <v>0</v>
      </c>
      <c r="V66" s="29">
        <v>4.0000000000000001E-3</v>
      </c>
      <c r="W66" s="29">
        <v>4.0000000000000001E-3</v>
      </c>
      <c r="X66" s="29">
        <v>4.0000000000000001E-3</v>
      </c>
      <c r="Y66" s="29">
        <v>0</v>
      </c>
      <c r="Z66" s="29">
        <v>2E-3</v>
      </c>
      <c r="AA66" s="25" t="str">
        <f t="shared" si="3"/>
        <v>可回读</v>
      </c>
      <c r="AB66" s="25" t="s">
        <v>436</v>
      </c>
      <c r="AC66" s="25" t="s">
        <v>469</v>
      </c>
      <c r="AD66" s="25" t="s">
        <v>470</v>
      </c>
    </row>
    <row r="67" spans="1:30" ht="23.1" customHeight="1">
      <c r="A67" s="25" t="s">
        <v>471</v>
      </c>
      <c r="B67" s="25" t="s">
        <v>472</v>
      </c>
      <c r="C67" s="25" t="s">
        <v>471</v>
      </c>
      <c r="D67" s="25" t="s">
        <v>435</v>
      </c>
      <c r="E67" s="25" t="s">
        <v>334</v>
      </c>
      <c r="F67" s="25" t="s">
        <v>258</v>
      </c>
      <c r="G67" s="26">
        <v>360</v>
      </c>
      <c r="H67" s="26">
        <v>70</v>
      </c>
      <c r="I67" s="26">
        <v>20</v>
      </c>
      <c r="J67" s="26">
        <v>20</v>
      </c>
      <c r="K67" s="26">
        <v>80</v>
      </c>
      <c r="L67" s="26">
        <v>2</v>
      </c>
      <c r="M67" s="27">
        <v>10</v>
      </c>
      <c r="N67" s="27">
        <f t="shared" si="2"/>
        <v>4.6000000000000013E-2</v>
      </c>
      <c r="O67" s="28">
        <v>0.02</v>
      </c>
      <c r="P67" s="28">
        <v>2E-3</v>
      </c>
      <c r="Q67" s="28">
        <v>0.01</v>
      </c>
      <c r="R67" s="28">
        <v>0</v>
      </c>
      <c r="S67" s="28">
        <v>0</v>
      </c>
      <c r="T67" s="28">
        <v>0</v>
      </c>
      <c r="U67" s="28">
        <v>0</v>
      </c>
      <c r="V67" s="29">
        <v>4.0000000000000001E-3</v>
      </c>
      <c r="W67" s="29">
        <v>4.0000000000000001E-3</v>
      </c>
      <c r="X67" s="29">
        <v>4.0000000000000001E-3</v>
      </c>
      <c r="Y67" s="29">
        <v>0</v>
      </c>
      <c r="Z67" s="29">
        <v>2E-3</v>
      </c>
      <c r="AA67" s="25" t="str">
        <f t="shared" si="3"/>
        <v>可回读</v>
      </c>
      <c r="AB67" s="25" t="s">
        <v>436</v>
      </c>
      <c r="AC67" s="25" t="s">
        <v>473</v>
      </c>
      <c r="AD67" s="25" t="s">
        <v>474</v>
      </c>
    </row>
    <row r="68" spans="1:30" ht="23.1" customHeight="1">
      <c r="A68" s="25" t="s">
        <v>475</v>
      </c>
      <c r="B68" s="25" t="s">
        <v>476</v>
      </c>
      <c r="C68" s="25" t="s">
        <v>475</v>
      </c>
      <c r="D68" s="25" t="s">
        <v>435</v>
      </c>
      <c r="E68" s="25" t="s">
        <v>334</v>
      </c>
      <c r="F68" s="25" t="s">
        <v>258</v>
      </c>
      <c r="G68" s="26">
        <v>800</v>
      </c>
      <c r="H68" s="26">
        <v>80</v>
      </c>
      <c r="I68" s="26">
        <v>40</v>
      </c>
      <c r="J68" s="26">
        <v>35</v>
      </c>
      <c r="K68" s="26">
        <v>28</v>
      </c>
      <c r="L68" s="26">
        <v>2</v>
      </c>
      <c r="M68" s="27">
        <v>10</v>
      </c>
      <c r="N68" s="27">
        <f t="shared" si="2"/>
        <v>4.6000000000000013E-2</v>
      </c>
      <c r="O68" s="28">
        <v>0.02</v>
      </c>
      <c r="P68" s="28">
        <v>2E-3</v>
      </c>
      <c r="Q68" s="28">
        <v>0.01</v>
      </c>
      <c r="R68" s="28">
        <v>0</v>
      </c>
      <c r="S68" s="28">
        <v>0</v>
      </c>
      <c r="T68" s="28">
        <v>0</v>
      </c>
      <c r="U68" s="28">
        <v>0</v>
      </c>
      <c r="V68" s="29">
        <v>4.0000000000000001E-3</v>
      </c>
      <c r="W68" s="29">
        <v>4.0000000000000001E-3</v>
      </c>
      <c r="X68" s="29">
        <v>4.0000000000000001E-3</v>
      </c>
      <c r="Y68" s="29">
        <v>0</v>
      </c>
      <c r="Z68" s="29">
        <v>2E-3</v>
      </c>
      <c r="AA68" s="25" t="str">
        <f t="shared" si="3"/>
        <v>可回读</v>
      </c>
      <c r="AB68" s="25" t="s">
        <v>436</v>
      </c>
      <c r="AC68" s="25" t="s">
        <v>477</v>
      </c>
      <c r="AD68" s="25" t="s">
        <v>478</v>
      </c>
    </row>
  </sheetData>
  <mergeCells count="7">
    <mergeCell ref="A1:AD1"/>
    <mergeCell ref="A2:AD2"/>
    <mergeCell ref="A4:F4"/>
    <mergeCell ref="G4:L4"/>
    <mergeCell ref="O4:U4"/>
    <mergeCell ref="V4:Z4"/>
    <mergeCell ref="AA4:AD4"/>
  </mergeCells>
  <phoneticPr fontId="12" type="noConversion"/>
  <dataValidations count="2">
    <dataValidation type="decimal" sqref="G6:M68" xr:uid="{00000000-0002-0000-0700-000000000000}">
      <formula1>0</formula1>
      <formula2>999999</formula2>
    </dataValidation>
    <dataValidation type="decimal" sqref="O6:Z68" xr:uid="{00000000-0002-0000-0700-000001000000}">
      <formula1>0</formula1>
      <formula2>1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67"/>
  <sheetViews>
    <sheetView showGridLines="0" workbookViewId="0"/>
  </sheetViews>
  <sheetFormatPr defaultRowHeight="14.25"/>
  <cols>
    <col min="1" max="1" width="16" customWidth="1"/>
    <col min="2" max="2" width="30" customWidth="1"/>
    <col min="3" max="4" width="15" customWidth="1"/>
    <col min="5" max="6" width="16" customWidth="1"/>
    <col min="7" max="8" width="13" customWidth="1"/>
    <col min="9" max="9" width="19" customWidth="1"/>
    <col min="10" max="10" width="16" customWidth="1"/>
    <col min="11" max="11" width="21" customWidth="1"/>
    <col min="12" max="12" width="17" customWidth="1"/>
    <col min="13" max="13" width="25" customWidth="1"/>
    <col min="14" max="14" width="29" customWidth="1"/>
    <col min="15" max="15" width="16" customWidth="1"/>
    <col min="16" max="16" width="20" customWidth="1"/>
    <col min="17" max="18" width="14" customWidth="1"/>
    <col min="19" max="19" width="15" customWidth="1"/>
    <col min="20" max="21" width="14" customWidth="1"/>
    <col min="22" max="22" width="24" customWidth="1"/>
    <col min="23" max="23" width="16" customWidth="1"/>
    <col min="24" max="24" width="52" customWidth="1"/>
  </cols>
  <sheetData>
    <row r="1" spans="1:24" ht="15">
      <c r="A1" s="31" t="s">
        <v>479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16.5">
      <c r="A2" s="13" t="s">
        <v>480</v>
      </c>
      <c r="B2" s="13">
        <v>3</v>
      </c>
      <c r="C2" s="13" t="s">
        <v>481</v>
      </c>
      <c r="D2" s="13" t="s">
        <v>482</v>
      </c>
      <c r="E2" s="13" t="s">
        <v>483</v>
      </c>
      <c r="F2" s="13">
        <v>63</v>
      </c>
      <c r="G2" s="13" t="s">
        <v>484</v>
      </c>
      <c r="H2" s="13" t="s">
        <v>485</v>
      </c>
    </row>
    <row r="4" spans="1:24" ht="30">
      <c r="A4" s="20" t="s">
        <v>480</v>
      </c>
      <c r="B4" s="20" t="s">
        <v>486</v>
      </c>
      <c r="C4" s="20" t="s">
        <v>487</v>
      </c>
      <c r="D4" s="20" t="s">
        <v>488</v>
      </c>
      <c r="E4" s="20" t="s">
        <v>489</v>
      </c>
      <c r="F4" s="20" t="s">
        <v>490</v>
      </c>
      <c r="G4" s="20" t="s">
        <v>491</v>
      </c>
      <c r="H4" s="20" t="s">
        <v>492</v>
      </c>
      <c r="I4" s="20" t="s">
        <v>493</v>
      </c>
      <c r="J4" s="20" t="s">
        <v>494</v>
      </c>
      <c r="K4" s="20" t="s">
        <v>495</v>
      </c>
      <c r="L4" s="20" t="s">
        <v>496</v>
      </c>
      <c r="M4" s="20" t="s">
        <v>497</v>
      </c>
      <c r="N4" s="20" t="s">
        <v>498</v>
      </c>
      <c r="O4" s="20" t="s">
        <v>499</v>
      </c>
      <c r="P4" s="20" t="s">
        <v>500</v>
      </c>
      <c r="Q4" s="20" t="s">
        <v>501</v>
      </c>
      <c r="R4" s="20" t="s">
        <v>502</v>
      </c>
      <c r="S4" s="20" t="s">
        <v>503</v>
      </c>
      <c r="T4" s="20" t="s">
        <v>504</v>
      </c>
      <c r="U4" s="20" t="s">
        <v>505</v>
      </c>
      <c r="V4" s="20" t="s">
        <v>506</v>
      </c>
      <c r="W4" s="20" t="s">
        <v>507</v>
      </c>
      <c r="X4" s="20" t="s">
        <v>508</v>
      </c>
    </row>
    <row r="5" spans="1:24" ht="16.5">
      <c r="A5" s="13">
        <v>3</v>
      </c>
      <c r="B5" s="13" t="str">
        <f>敌人目录!B6</f>
        <v>yuanshi_insect_basic</v>
      </c>
      <c r="C5" s="13">
        <f>敌人目录!G6</f>
        <v>40</v>
      </c>
      <c r="D5" s="13">
        <f>敌人目录!H6</f>
        <v>10</v>
      </c>
      <c r="E5" s="13">
        <f>敌人目录!I6</f>
        <v>0</v>
      </c>
      <c r="F5" s="13">
        <f>敌人目录!J6</f>
        <v>0</v>
      </c>
      <c r="G5" s="13">
        <f>敌人目录!K6</f>
        <v>20</v>
      </c>
      <c r="H5" s="13">
        <f>敌人目录!L6</f>
        <v>1</v>
      </c>
      <c r="I5" s="13">
        <f>敌人目录!M6</f>
        <v>1</v>
      </c>
      <c r="J5" s="13">
        <f>敌人目录!O6</f>
        <v>0.02</v>
      </c>
      <c r="K5" s="13">
        <f>敌人目录!P6</f>
        <v>2E-3</v>
      </c>
      <c r="L5" s="13">
        <f>敌人目录!Q6</f>
        <v>0.01</v>
      </c>
      <c r="M5" s="13">
        <f>敌人目录!R6</f>
        <v>0</v>
      </c>
      <c r="N5" s="13">
        <f>敌人目录!S6</f>
        <v>0</v>
      </c>
      <c r="O5" s="13">
        <f>敌人目录!T6</f>
        <v>0</v>
      </c>
      <c r="P5" s="13">
        <f>敌人目录!U6</f>
        <v>0</v>
      </c>
      <c r="Q5" s="13">
        <f>敌人目录!V6</f>
        <v>4.0000000000000001E-3</v>
      </c>
      <c r="R5" s="13">
        <f>敌人目录!W6</f>
        <v>4.0000000000000001E-3</v>
      </c>
      <c r="S5" s="13">
        <f>敌人目录!X6</f>
        <v>4.0000000000000001E-3</v>
      </c>
      <c r="T5" s="13">
        <f>敌人目录!Y6</f>
        <v>0</v>
      </c>
      <c r="U5" s="13">
        <f>敌人目录!Z6</f>
        <v>2E-3</v>
      </c>
      <c r="V5" s="13">
        <f>敌人目录!N6</f>
        <v>4.6000000000000013E-2</v>
      </c>
      <c r="W5" s="13" t="str">
        <f>敌人目录!AA6</f>
        <v>可回读</v>
      </c>
      <c r="X5" s="13" t="str">
        <f>敌人目录!AC6</f>
        <v>res://resources/config/enemies/yuanshi_insect_basic.tres</v>
      </c>
    </row>
    <row r="6" spans="1:24" ht="16.5">
      <c r="A6" s="13">
        <v>3</v>
      </c>
      <c r="B6" s="13" t="str">
        <f>敌人目录!B7</f>
        <v>yuanshi_insect_shell</v>
      </c>
      <c r="C6" s="13">
        <f>敌人目录!G7</f>
        <v>140</v>
      </c>
      <c r="D6" s="13">
        <f>敌人目录!H7</f>
        <v>14</v>
      </c>
      <c r="E6" s="13">
        <f>敌人目录!I7</f>
        <v>3</v>
      </c>
      <c r="F6" s="13">
        <f>敌人目录!J7</f>
        <v>0</v>
      </c>
      <c r="G6" s="13">
        <f>敌人目录!K7</f>
        <v>20</v>
      </c>
      <c r="H6" s="13">
        <f>敌人目录!L7</f>
        <v>2</v>
      </c>
      <c r="I6" s="13">
        <f>敌人目录!M7</f>
        <v>2</v>
      </c>
      <c r="J6" s="13">
        <f>敌人目录!O7</f>
        <v>0.02</v>
      </c>
      <c r="K6" s="13">
        <f>敌人目录!P7</f>
        <v>2E-3</v>
      </c>
      <c r="L6" s="13">
        <f>敌人目录!Q7</f>
        <v>0.01</v>
      </c>
      <c r="M6" s="13">
        <f>敌人目录!R7</f>
        <v>0</v>
      </c>
      <c r="N6" s="13">
        <f>敌人目录!S7</f>
        <v>0</v>
      </c>
      <c r="O6" s="13">
        <f>敌人目录!T7</f>
        <v>0</v>
      </c>
      <c r="P6" s="13">
        <f>敌人目录!U7</f>
        <v>0</v>
      </c>
      <c r="Q6" s="13">
        <f>敌人目录!V7</f>
        <v>4.0000000000000001E-3</v>
      </c>
      <c r="R6" s="13">
        <f>敌人目录!W7</f>
        <v>4.0000000000000001E-3</v>
      </c>
      <c r="S6" s="13">
        <f>敌人目录!X7</f>
        <v>4.0000000000000001E-3</v>
      </c>
      <c r="T6" s="13">
        <f>敌人目录!Y7</f>
        <v>0</v>
      </c>
      <c r="U6" s="13">
        <f>敌人目录!Z7</f>
        <v>2E-3</v>
      </c>
      <c r="V6" s="13">
        <f>敌人目录!N7</f>
        <v>4.6000000000000013E-2</v>
      </c>
      <c r="W6" s="13" t="str">
        <f>敌人目录!AA7</f>
        <v>可回读</v>
      </c>
      <c r="X6" s="13" t="str">
        <f>敌人目录!AC7</f>
        <v>res://resources/config/enemies/yuanshi_insect_shell.tres</v>
      </c>
    </row>
    <row r="7" spans="1:24" ht="16.5">
      <c r="A7" s="13">
        <v>3</v>
      </c>
      <c r="B7" s="13" t="str">
        <f>敌人目录!B8</f>
        <v>yuanshi_insect_fast</v>
      </c>
      <c r="C7" s="13">
        <f>敌人目录!G8</f>
        <v>35</v>
      </c>
      <c r="D7" s="13">
        <f>敌人目录!H8</f>
        <v>10</v>
      </c>
      <c r="E7" s="13">
        <f>敌人目录!I8</f>
        <v>0</v>
      </c>
      <c r="F7" s="13">
        <f>敌人目录!J8</f>
        <v>0</v>
      </c>
      <c r="G7" s="13">
        <f>敌人目录!K8</f>
        <v>40</v>
      </c>
      <c r="H7" s="13">
        <f>敌人目录!L8</f>
        <v>1</v>
      </c>
      <c r="I7" s="13">
        <f>敌人目录!M8</f>
        <v>1</v>
      </c>
      <c r="J7" s="13">
        <f>敌人目录!O8</f>
        <v>0.02</v>
      </c>
      <c r="K7" s="13">
        <f>敌人目录!P8</f>
        <v>2E-3</v>
      </c>
      <c r="L7" s="13">
        <f>敌人目录!Q8</f>
        <v>0.01</v>
      </c>
      <c r="M7" s="13">
        <f>敌人目录!R8</f>
        <v>0</v>
      </c>
      <c r="N7" s="13">
        <f>敌人目录!S8</f>
        <v>0</v>
      </c>
      <c r="O7" s="13">
        <f>敌人目录!T8</f>
        <v>0</v>
      </c>
      <c r="P7" s="13">
        <f>敌人目录!U8</f>
        <v>0</v>
      </c>
      <c r="Q7" s="13">
        <f>敌人目录!V8</f>
        <v>4.0000000000000001E-3</v>
      </c>
      <c r="R7" s="13">
        <f>敌人目录!W8</f>
        <v>4.0000000000000001E-3</v>
      </c>
      <c r="S7" s="13">
        <f>敌人目录!X8</f>
        <v>4.0000000000000001E-3</v>
      </c>
      <c r="T7" s="13">
        <f>敌人目录!Y8</f>
        <v>0</v>
      </c>
      <c r="U7" s="13">
        <f>敌人目录!Z8</f>
        <v>2E-3</v>
      </c>
      <c r="V7" s="13">
        <f>敌人目录!N8</f>
        <v>4.6000000000000013E-2</v>
      </c>
      <c r="W7" s="13" t="str">
        <f>敌人目录!AA8</f>
        <v>可回读</v>
      </c>
      <c r="X7" s="13" t="str">
        <f>敌人目录!AC8</f>
        <v>res://resources/config/enemies/yuanshi_insect_fast.tres</v>
      </c>
    </row>
    <row r="8" spans="1:24" ht="16.5">
      <c r="A8" s="13">
        <v>3</v>
      </c>
      <c r="B8" s="13" t="str">
        <f>敌人目录!B9</f>
        <v>yuanshi_insect_bomber</v>
      </c>
      <c r="C8" s="13">
        <f>敌人目录!G9</f>
        <v>30</v>
      </c>
      <c r="D8" s="13">
        <f>敌人目录!H9</f>
        <v>10</v>
      </c>
      <c r="E8" s="13">
        <f>敌人目录!I9</f>
        <v>0</v>
      </c>
      <c r="F8" s="13">
        <f>敌人目录!J9</f>
        <v>0</v>
      </c>
      <c r="G8" s="13">
        <f>敌人目录!K9</f>
        <v>18</v>
      </c>
      <c r="H8" s="13">
        <f>敌人目录!L9</f>
        <v>1</v>
      </c>
      <c r="I8" s="13">
        <f>敌人目录!M9</f>
        <v>1</v>
      </c>
      <c r="J8" s="13">
        <f>敌人目录!O9</f>
        <v>0.02</v>
      </c>
      <c r="K8" s="13">
        <f>敌人目录!P9</f>
        <v>2E-3</v>
      </c>
      <c r="L8" s="13">
        <f>敌人目录!Q9</f>
        <v>0.01</v>
      </c>
      <c r="M8" s="13">
        <f>敌人目录!R9</f>
        <v>0</v>
      </c>
      <c r="N8" s="13">
        <f>敌人目录!S9</f>
        <v>0</v>
      </c>
      <c r="O8" s="13">
        <f>敌人目录!T9</f>
        <v>0</v>
      </c>
      <c r="P8" s="13">
        <f>敌人目录!U9</f>
        <v>0</v>
      </c>
      <c r="Q8" s="13">
        <f>敌人目录!V9</f>
        <v>4.0000000000000001E-3</v>
      </c>
      <c r="R8" s="13">
        <f>敌人目录!W9</f>
        <v>4.0000000000000001E-3</v>
      </c>
      <c r="S8" s="13">
        <f>敌人目录!X9</f>
        <v>4.0000000000000001E-3</v>
      </c>
      <c r="T8" s="13">
        <f>敌人目录!Y9</f>
        <v>0</v>
      </c>
      <c r="U8" s="13">
        <f>敌人目录!Z9</f>
        <v>2E-3</v>
      </c>
      <c r="V8" s="13">
        <f>敌人目录!N9</f>
        <v>4.6000000000000013E-2</v>
      </c>
      <c r="W8" s="13" t="str">
        <f>敌人目录!AA9</f>
        <v>可回读</v>
      </c>
      <c r="X8" s="13" t="str">
        <f>敌人目录!AC9</f>
        <v>res://resources/config/enemies/yuanshi_insect_bomber.tres</v>
      </c>
    </row>
    <row r="9" spans="1:24" ht="16.5">
      <c r="A9" s="13">
        <v>3</v>
      </c>
      <c r="B9" s="13" t="str">
        <f>敌人目录!B10</f>
        <v>yuanshi_insect_purple_bomber</v>
      </c>
      <c r="C9" s="13">
        <f>敌人目录!G10</f>
        <v>40</v>
      </c>
      <c r="D9" s="13">
        <f>敌人目录!H10</f>
        <v>10</v>
      </c>
      <c r="E9" s="13">
        <f>敌人目录!I10</f>
        <v>0</v>
      </c>
      <c r="F9" s="13">
        <f>敌人目录!J10</f>
        <v>0</v>
      </c>
      <c r="G9" s="13">
        <f>敌人目录!K10</f>
        <v>32</v>
      </c>
      <c r="H9" s="13">
        <f>敌人目录!L10</f>
        <v>1</v>
      </c>
      <c r="I9" s="13">
        <f>敌人目录!M10</f>
        <v>2</v>
      </c>
      <c r="J9" s="13">
        <f>敌人目录!O10</f>
        <v>0.02</v>
      </c>
      <c r="K9" s="13">
        <f>敌人目录!P10</f>
        <v>2E-3</v>
      </c>
      <c r="L9" s="13">
        <f>敌人目录!Q10</f>
        <v>0.01</v>
      </c>
      <c r="M9" s="13">
        <f>敌人目录!R10</f>
        <v>0</v>
      </c>
      <c r="N9" s="13">
        <f>敌人目录!S10</f>
        <v>0</v>
      </c>
      <c r="O9" s="13">
        <f>敌人目录!T10</f>
        <v>0</v>
      </c>
      <c r="P9" s="13">
        <f>敌人目录!U10</f>
        <v>0</v>
      </c>
      <c r="Q9" s="13">
        <f>敌人目录!V10</f>
        <v>4.0000000000000001E-3</v>
      </c>
      <c r="R9" s="13">
        <f>敌人目录!W10</f>
        <v>4.0000000000000001E-3</v>
      </c>
      <c r="S9" s="13">
        <f>敌人目录!X10</f>
        <v>4.0000000000000001E-3</v>
      </c>
      <c r="T9" s="13">
        <f>敌人目录!Y10</f>
        <v>0</v>
      </c>
      <c r="U9" s="13">
        <f>敌人目录!Z10</f>
        <v>2E-3</v>
      </c>
      <c r="V9" s="13">
        <f>敌人目录!N10</f>
        <v>4.6000000000000013E-2</v>
      </c>
      <c r="W9" s="13" t="str">
        <f>敌人目录!AA10</f>
        <v>可回读</v>
      </c>
      <c r="X9" s="13" t="str">
        <f>敌人目录!AC10</f>
        <v>res://resources/config/enemies/yuanshi_insect_purple_bomber.tres</v>
      </c>
    </row>
    <row r="10" spans="1:24" ht="16.5">
      <c r="A10" s="13">
        <v>3</v>
      </c>
      <c r="B10" s="13" t="str">
        <f>敌人目录!B11</f>
        <v>yuanshi_insect_green_shell</v>
      </c>
      <c r="C10" s="13">
        <f>敌人目录!G11</f>
        <v>200</v>
      </c>
      <c r="D10" s="13">
        <f>敌人目录!H11</f>
        <v>20</v>
      </c>
      <c r="E10" s="13">
        <f>敌人目录!I11</f>
        <v>5</v>
      </c>
      <c r="F10" s="13">
        <f>敌人目录!J11</f>
        <v>0</v>
      </c>
      <c r="G10" s="13">
        <f>敌人目录!K11</f>
        <v>15</v>
      </c>
      <c r="H10" s="13">
        <f>敌人目录!L11</f>
        <v>5</v>
      </c>
      <c r="I10" s="13">
        <f>敌人目录!M11</f>
        <v>2</v>
      </c>
      <c r="J10" s="13">
        <f>敌人目录!O11</f>
        <v>0.02</v>
      </c>
      <c r="K10" s="13">
        <f>敌人目录!P11</f>
        <v>2E-3</v>
      </c>
      <c r="L10" s="13">
        <f>敌人目录!Q11</f>
        <v>0.01</v>
      </c>
      <c r="M10" s="13">
        <f>敌人目录!R11</f>
        <v>0</v>
      </c>
      <c r="N10" s="13">
        <f>敌人目录!S11</f>
        <v>0</v>
      </c>
      <c r="O10" s="13">
        <f>敌人目录!T11</f>
        <v>0</v>
      </c>
      <c r="P10" s="13">
        <f>敌人目录!U11</f>
        <v>0</v>
      </c>
      <c r="Q10" s="13">
        <f>敌人目录!V11</f>
        <v>4.0000000000000001E-3</v>
      </c>
      <c r="R10" s="13">
        <f>敌人目录!W11</f>
        <v>4.0000000000000001E-3</v>
      </c>
      <c r="S10" s="13">
        <f>敌人目录!X11</f>
        <v>4.0000000000000001E-3</v>
      </c>
      <c r="T10" s="13">
        <f>敌人目录!Y11</f>
        <v>0</v>
      </c>
      <c r="U10" s="13">
        <f>敌人目录!Z11</f>
        <v>2E-3</v>
      </c>
      <c r="V10" s="13">
        <f>敌人目录!N11</f>
        <v>4.6000000000000013E-2</v>
      </c>
      <c r="W10" s="13" t="str">
        <f>敌人目录!AA11</f>
        <v>可回读</v>
      </c>
      <c r="X10" s="13" t="str">
        <f>敌人目录!AC11</f>
        <v>res://resources/config/enemies/yuanshi_insect_green_shell.tres</v>
      </c>
    </row>
    <row r="11" spans="1:24" ht="16.5">
      <c r="A11" s="13">
        <v>3</v>
      </c>
      <c r="B11" s="13" t="str">
        <f>敌人目录!B12</f>
        <v>yuanshi_insect_fire_ranged</v>
      </c>
      <c r="C11" s="13">
        <f>敌人目录!G12</f>
        <v>40</v>
      </c>
      <c r="D11" s="13">
        <f>敌人目录!H12</f>
        <v>25</v>
      </c>
      <c r="E11" s="13">
        <f>敌人目录!I12</f>
        <v>0</v>
      </c>
      <c r="F11" s="13">
        <f>敌人目录!J12</f>
        <v>0</v>
      </c>
      <c r="G11" s="13">
        <f>敌人目录!K12</f>
        <v>22</v>
      </c>
      <c r="H11" s="13">
        <f>敌人目录!L12</f>
        <v>2</v>
      </c>
      <c r="I11" s="13">
        <f>敌人目录!M12</f>
        <v>1</v>
      </c>
      <c r="J11" s="13">
        <f>敌人目录!O12</f>
        <v>0.02</v>
      </c>
      <c r="K11" s="13">
        <f>敌人目录!P12</f>
        <v>2E-3</v>
      </c>
      <c r="L11" s="13">
        <f>敌人目录!Q12</f>
        <v>0.01</v>
      </c>
      <c r="M11" s="13">
        <f>敌人目录!R12</f>
        <v>0</v>
      </c>
      <c r="N11" s="13">
        <f>敌人目录!S12</f>
        <v>0</v>
      </c>
      <c r="O11" s="13">
        <f>敌人目录!T12</f>
        <v>0</v>
      </c>
      <c r="P11" s="13">
        <f>敌人目录!U12</f>
        <v>0</v>
      </c>
      <c r="Q11" s="13">
        <f>敌人目录!V12</f>
        <v>4.0000000000000001E-3</v>
      </c>
      <c r="R11" s="13">
        <f>敌人目录!W12</f>
        <v>4.0000000000000001E-3</v>
      </c>
      <c r="S11" s="13">
        <f>敌人目录!X12</f>
        <v>4.0000000000000001E-3</v>
      </c>
      <c r="T11" s="13">
        <f>敌人目录!Y12</f>
        <v>0</v>
      </c>
      <c r="U11" s="13">
        <f>敌人目录!Z12</f>
        <v>2E-3</v>
      </c>
      <c r="V11" s="13">
        <f>敌人目录!N12</f>
        <v>4.6000000000000013E-2</v>
      </c>
      <c r="W11" s="13" t="str">
        <f>敌人目录!AA12</f>
        <v>可回读</v>
      </c>
      <c r="X11" s="13" t="str">
        <f>敌人目录!AC12</f>
        <v>res://resources/config/enemies/yuanshi_insect_fire_ranged.tres</v>
      </c>
    </row>
    <row r="12" spans="1:24" ht="16.5">
      <c r="A12" s="13">
        <v>3</v>
      </c>
      <c r="B12" s="13" t="str">
        <f>敌人目录!B13</f>
        <v>yuanshi_insect_guardian</v>
      </c>
      <c r="C12" s="13">
        <f>敌人目录!G13</f>
        <v>150</v>
      </c>
      <c r="D12" s="13">
        <f>敌人目录!H13</f>
        <v>10</v>
      </c>
      <c r="E12" s="13">
        <f>敌人目录!I13</f>
        <v>5</v>
      </c>
      <c r="F12" s="13">
        <f>敌人目录!J13</f>
        <v>0</v>
      </c>
      <c r="G12" s="13">
        <f>敌人目录!K13</f>
        <v>20</v>
      </c>
      <c r="H12" s="13">
        <f>敌人目录!L13</f>
        <v>5</v>
      </c>
      <c r="I12" s="13">
        <f>敌人目录!M13</f>
        <v>2</v>
      </c>
      <c r="J12" s="13">
        <f>敌人目录!O13</f>
        <v>0.02</v>
      </c>
      <c r="K12" s="13">
        <f>敌人目录!P13</f>
        <v>2E-3</v>
      </c>
      <c r="L12" s="13">
        <f>敌人目录!Q13</f>
        <v>0.01</v>
      </c>
      <c r="M12" s="13">
        <f>敌人目录!R13</f>
        <v>0</v>
      </c>
      <c r="N12" s="13">
        <f>敌人目录!S13</f>
        <v>0</v>
      </c>
      <c r="O12" s="13">
        <f>敌人目录!T13</f>
        <v>0</v>
      </c>
      <c r="P12" s="13">
        <f>敌人目录!U13</f>
        <v>0</v>
      </c>
      <c r="Q12" s="13">
        <f>敌人目录!V13</f>
        <v>4.0000000000000001E-3</v>
      </c>
      <c r="R12" s="13">
        <f>敌人目录!W13</f>
        <v>4.0000000000000001E-3</v>
      </c>
      <c r="S12" s="13">
        <f>敌人目录!X13</f>
        <v>4.0000000000000001E-3</v>
      </c>
      <c r="T12" s="13">
        <f>敌人目录!Y13</f>
        <v>0</v>
      </c>
      <c r="U12" s="13">
        <f>敌人目录!Z13</f>
        <v>2E-3</v>
      </c>
      <c r="V12" s="13">
        <f>敌人目录!N13</f>
        <v>4.6000000000000013E-2</v>
      </c>
      <c r="W12" s="13" t="str">
        <f>敌人目录!AA13</f>
        <v>可回读</v>
      </c>
      <c r="X12" s="13" t="str">
        <f>敌人目录!AC13</f>
        <v>res://resources/config/enemies/yuanshi_insect_guardian.tres</v>
      </c>
    </row>
    <row r="13" spans="1:24" ht="16.5">
      <c r="A13" s="13">
        <v>3</v>
      </c>
      <c r="B13" s="13" t="str">
        <f>敌人目录!B14</f>
        <v>stone_eroded_yuanshi_insect_basic</v>
      </c>
      <c r="C13" s="13">
        <f>敌人目录!G14</f>
        <v>80</v>
      </c>
      <c r="D13" s="13">
        <f>敌人目录!H14</f>
        <v>10</v>
      </c>
      <c r="E13" s="13">
        <f>敌人目录!I14</f>
        <v>150</v>
      </c>
      <c r="F13" s="13">
        <f>敌人目录!J14</f>
        <v>0</v>
      </c>
      <c r="G13" s="13">
        <f>敌人目录!K14</f>
        <v>20</v>
      </c>
      <c r="H13" s="13">
        <f>敌人目录!L14</f>
        <v>1</v>
      </c>
      <c r="I13" s="13">
        <f>敌人目录!M14</f>
        <v>1</v>
      </c>
      <c r="J13" s="13">
        <f>敌人目录!O14</f>
        <v>0.02</v>
      </c>
      <c r="K13" s="13">
        <f>敌人目录!P14</f>
        <v>2E-3</v>
      </c>
      <c r="L13" s="13">
        <f>敌人目录!Q14</f>
        <v>0.01</v>
      </c>
      <c r="M13" s="13">
        <f>敌人目录!R14</f>
        <v>0</v>
      </c>
      <c r="N13" s="13">
        <f>敌人目录!S14</f>
        <v>0</v>
      </c>
      <c r="O13" s="13">
        <f>敌人目录!T14</f>
        <v>0</v>
      </c>
      <c r="P13" s="13">
        <f>敌人目录!U14</f>
        <v>0</v>
      </c>
      <c r="Q13" s="13">
        <f>敌人目录!V14</f>
        <v>4.0000000000000001E-3</v>
      </c>
      <c r="R13" s="13">
        <f>敌人目录!W14</f>
        <v>4.0000000000000001E-3</v>
      </c>
      <c r="S13" s="13">
        <f>敌人目录!X14</f>
        <v>4.0000000000000001E-3</v>
      </c>
      <c r="T13" s="13">
        <f>敌人目录!Y14</f>
        <v>0</v>
      </c>
      <c r="U13" s="13">
        <f>敌人目录!Z14</f>
        <v>2E-3</v>
      </c>
      <c r="V13" s="13">
        <f>敌人目录!N14</f>
        <v>4.6000000000000013E-2</v>
      </c>
      <c r="W13" s="13" t="str">
        <f>敌人目录!AA14</f>
        <v>可回读</v>
      </c>
      <c r="X13" s="13" t="str">
        <f>敌人目录!AC14</f>
        <v>res://resources/config/enemies/stone_eroded_yuanshi_insect_basic.tres</v>
      </c>
    </row>
    <row r="14" spans="1:24" ht="16.5">
      <c r="A14" s="13">
        <v>3</v>
      </c>
      <c r="B14" s="13" t="str">
        <f>敌人目录!B15</f>
        <v>stone_eroded_yuanshi_insect_shell</v>
      </c>
      <c r="C14" s="13">
        <f>敌人目录!G15</f>
        <v>280</v>
      </c>
      <c r="D14" s="13">
        <f>敌人目录!H15</f>
        <v>14</v>
      </c>
      <c r="E14" s="13">
        <f>敌人目录!I15</f>
        <v>150</v>
      </c>
      <c r="F14" s="13">
        <f>敌人目录!J15</f>
        <v>0</v>
      </c>
      <c r="G14" s="13">
        <f>敌人目录!K15</f>
        <v>20</v>
      </c>
      <c r="H14" s="13">
        <f>敌人目录!L15</f>
        <v>2</v>
      </c>
      <c r="I14" s="13">
        <f>敌人目录!M15</f>
        <v>2</v>
      </c>
      <c r="J14" s="13">
        <f>敌人目录!O15</f>
        <v>0.02</v>
      </c>
      <c r="K14" s="13">
        <f>敌人目录!P15</f>
        <v>2E-3</v>
      </c>
      <c r="L14" s="13">
        <f>敌人目录!Q15</f>
        <v>0.01</v>
      </c>
      <c r="M14" s="13">
        <f>敌人目录!R15</f>
        <v>0</v>
      </c>
      <c r="N14" s="13">
        <f>敌人目录!S15</f>
        <v>0</v>
      </c>
      <c r="O14" s="13">
        <f>敌人目录!T15</f>
        <v>0</v>
      </c>
      <c r="P14" s="13">
        <f>敌人目录!U15</f>
        <v>0</v>
      </c>
      <c r="Q14" s="13">
        <f>敌人目录!V15</f>
        <v>4.0000000000000001E-3</v>
      </c>
      <c r="R14" s="13">
        <f>敌人目录!W15</f>
        <v>4.0000000000000001E-3</v>
      </c>
      <c r="S14" s="13">
        <f>敌人目录!X15</f>
        <v>4.0000000000000001E-3</v>
      </c>
      <c r="T14" s="13">
        <f>敌人目录!Y15</f>
        <v>0</v>
      </c>
      <c r="U14" s="13">
        <f>敌人目录!Z15</f>
        <v>2E-3</v>
      </c>
      <c r="V14" s="13">
        <f>敌人目录!N15</f>
        <v>4.6000000000000013E-2</v>
      </c>
      <c r="W14" s="13" t="str">
        <f>敌人目录!AA15</f>
        <v>可回读</v>
      </c>
      <c r="X14" s="13" t="str">
        <f>敌人目录!AC15</f>
        <v>res://resources/config/enemies/stone_eroded_yuanshi_insect_shell.tres</v>
      </c>
    </row>
    <row r="15" spans="1:24" ht="16.5">
      <c r="A15" s="13">
        <v>3</v>
      </c>
      <c r="B15" s="13" t="str">
        <f>敌人目录!B16</f>
        <v>stone_eroded_yuanshi_insect_fast</v>
      </c>
      <c r="C15" s="13">
        <f>敌人目录!G16</f>
        <v>70</v>
      </c>
      <c r="D15" s="13">
        <f>敌人目录!H16</f>
        <v>10</v>
      </c>
      <c r="E15" s="13">
        <f>敌人目录!I16</f>
        <v>150</v>
      </c>
      <c r="F15" s="13">
        <f>敌人目录!J16</f>
        <v>0</v>
      </c>
      <c r="G15" s="13">
        <f>敌人目录!K16</f>
        <v>40</v>
      </c>
      <c r="H15" s="13">
        <f>敌人目录!L16</f>
        <v>1</v>
      </c>
      <c r="I15" s="13">
        <f>敌人目录!M16</f>
        <v>1</v>
      </c>
      <c r="J15" s="13">
        <f>敌人目录!O16</f>
        <v>0.02</v>
      </c>
      <c r="K15" s="13">
        <f>敌人目录!P16</f>
        <v>2E-3</v>
      </c>
      <c r="L15" s="13">
        <f>敌人目录!Q16</f>
        <v>0.01</v>
      </c>
      <c r="M15" s="13">
        <f>敌人目录!R16</f>
        <v>0</v>
      </c>
      <c r="N15" s="13">
        <f>敌人目录!S16</f>
        <v>0</v>
      </c>
      <c r="O15" s="13">
        <f>敌人目录!T16</f>
        <v>0</v>
      </c>
      <c r="P15" s="13">
        <f>敌人目录!U16</f>
        <v>0</v>
      </c>
      <c r="Q15" s="13">
        <f>敌人目录!V16</f>
        <v>4.0000000000000001E-3</v>
      </c>
      <c r="R15" s="13">
        <f>敌人目录!W16</f>
        <v>4.0000000000000001E-3</v>
      </c>
      <c r="S15" s="13">
        <f>敌人目录!X16</f>
        <v>4.0000000000000001E-3</v>
      </c>
      <c r="T15" s="13">
        <f>敌人目录!Y16</f>
        <v>0</v>
      </c>
      <c r="U15" s="13">
        <f>敌人目录!Z16</f>
        <v>2E-3</v>
      </c>
      <c r="V15" s="13">
        <f>敌人目录!N16</f>
        <v>4.6000000000000013E-2</v>
      </c>
      <c r="W15" s="13" t="str">
        <f>敌人目录!AA16</f>
        <v>可回读</v>
      </c>
      <c r="X15" s="13" t="str">
        <f>敌人目录!AC16</f>
        <v>res://resources/config/enemies/stone_eroded_yuanshi_insect_fast.tres</v>
      </c>
    </row>
    <row r="16" spans="1:24" ht="16.5">
      <c r="A16" s="13">
        <v>3</v>
      </c>
      <c r="B16" s="13" t="str">
        <f>敌人目录!B17</f>
        <v>stone_eroded_yuanshi_insect_bomber</v>
      </c>
      <c r="C16" s="13">
        <f>敌人目录!G17</f>
        <v>60</v>
      </c>
      <c r="D16" s="13">
        <f>敌人目录!H17</f>
        <v>10</v>
      </c>
      <c r="E16" s="13">
        <f>敌人目录!I17</f>
        <v>150</v>
      </c>
      <c r="F16" s="13">
        <f>敌人目录!J17</f>
        <v>0</v>
      </c>
      <c r="G16" s="13">
        <f>敌人目录!K17</f>
        <v>18</v>
      </c>
      <c r="H16" s="13">
        <f>敌人目录!L17</f>
        <v>1</v>
      </c>
      <c r="I16" s="13">
        <f>敌人目录!M17</f>
        <v>1</v>
      </c>
      <c r="J16" s="13">
        <f>敌人目录!O17</f>
        <v>0.02</v>
      </c>
      <c r="K16" s="13">
        <f>敌人目录!P17</f>
        <v>2E-3</v>
      </c>
      <c r="L16" s="13">
        <f>敌人目录!Q17</f>
        <v>0.01</v>
      </c>
      <c r="M16" s="13">
        <f>敌人目录!R17</f>
        <v>0</v>
      </c>
      <c r="N16" s="13">
        <f>敌人目录!S17</f>
        <v>0</v>
      </c>
      <c r="O16" s="13">
        <f>敌人目录!T17</f>
        <v>0</v>
      </c>
      <c r="P16" s="13">
        <f>敌人目录!U17</f>
        <v>0</v>
      </c>
      <c r="Q16" s="13">
        <f>敌人目录!V17</f>
        <v>4.0000000000000001E-3</v>
      </c>
      <c r="R16" s="13">
        <f>敌人目录!W17</f>
        <v>4.0000000000000001E-3</v>
      </c>
      <c r="S16" s="13">
        <f>敌人目录!X17</f>
        <v>4.0000000000000001E-3</v>
      </c>
      <c r="T16" s="13">
        <f>敌人目录!Y17</f>
        <v>0</v>
      </c>
      <c r="U16" s="13">
        <f>敌人目录!Z17</f>
        <v>2E-3</v>
      </c>
      <c r="V16" s="13">
        <f>敌人目录!N17</f>
        <v>4.6000000000000013E-2</v>
      </c>
      <c r="W16" s="13" t="str">
        <f>敌人目录!AA17</f>
        <v>可回读</v>
      </c>
      <c r="X16" s="13" t="str">
        <f>敌人目录!AC17</f>
        <v>res://resources/config/enemies/stone_eroded_yuanshi_insect_bomber.tres</v>
      </c>
    </row>
    <row r="17" spans="1:24" ht="16.5">
      <c r="A17" s="13">
        <v>3</v>
      </c>
      <c r="B17" s="13" t="str">
        <f>敌人目录!B18</f>
        <v>stone_eroded_yuanshi_insect_purple_bomber</v>
      </c>
      <c r="C17" s="13">
        <f>敌人目录!G18</f>
        <v>80</v>
      </c>
      <c r="D17" s="13">
        <f>敌人目录!H18</f>
        <v>10</v>
      </c>
      <c r="E17" s="13">
        <f>敌人目录!I18</f>
        <v>150</v>
      </c>
      <c r="F17" s="13">
        <f>敌人目录!J18</f>
        <v>0</v>
      </c>
      <c r="G17" s="13">
        <f>敌人目录!K18</f>
        <v>32</v>
      </c>
      <c r="H17" s="13">
        <f>敌人目录!L18</f>
        <v>1</v>
      </c>
      <c r="I17" s="13">
        <f>敌人目录!M18</f>
        <v>2</v>
      </c>
      <c r="J17" s="13">
        <f>敌人目录!O18</f>
        <v>0.02</v>
      </c>
      <c r="K17" s="13">
        <f>敌人目录!P18</f>
        <v>2E-3</v>
      </c>
      <c r="L17" s="13">
        <f>敌人目录!Q18</f>
        <v>0.01</v>
      </c>
      <c r="M17" s="13">
        <f>敌人目录!R18</f>
        <v>0</v>
      </c>
      <c r="N17" s="13">
        <f>敌人目录!S18</f>
        <v>0</v>
      </c>
      <c r="O17" s="13">
        <f>敌人目录!T18</f>
        <v>0</v>
      </c>
      <c r="P17" s="13">
        <f>敌人目录!U18</f>
        <v>0</v>
      </c>
      <c r="Q17" s="13">
        <f>敌人目录!V18</f>
        <v>4.0000000000000001E-3</v>
      </c>
      <c r="R17" s="13">
        <f>敌人目录!W18</f>
        <v>4.0000000000000001E-3</v>
      </c>
      <c r="S17" s="13">
        <f>敌人目录!X18</f>
        <v>4.0000000000000001E-3</v>
      </c>
      <c r="T17" s="13">
        <f>敌人目录!Y18</f>
        <v>0</v>
      </c>
      <c r="U17" s="13">
        <f>敌人目录!Z18</f>
        <v>2E-3</v>
      </c>
      <c r="V17" s="13">
        <f>敌人目录!N18</f>
        <v>4.6000000000000013E-2</v>
      </c>
      <c r="W17" s="13" t="str">
        <f>敌人目录!AA18</f>
        <v>可回读</v>
      </c>
      <c r="X17" s="13" t="str">
        <f>敌人目录!AC18</f>
        <v>res://resources/config/enemies/stone_eroded_yuanshi_insect_purple_bomber.tres</v>
      </c>
    </row>
    <row r="18" spans="1:24" ht="16.5">
      <c r="A18" s="13">
        <v>3</v>
      </c>
      <c r="B18" s="13" t="str">
        <f>敌人目录!B19</f>
        <v>stone_eroded_yuanshi_insect_green_shell</v>
      </c>
      <c r="C18" s="13">
        <f>敌人目录!G19</f>
        <v>400</v>
      </c>
      <c r="D18" s="13">
        <f>敌人目录!H19</f>
        <v>20</v>
      </c>
      <c r="E18" s="13">
        <f>敌人目录!I19</f>
        <v>150</v>
      </c>
      <c r="F18" s="13">
        <f>敌人目录!J19</f>
        <v>0</v>
      </c>
      <c r="G18" s="13">
        <f>敌人目录!K19</f>
        <v>15</v>
      </c>
      <c r="H18" s="13">
        <f>敌人目录!L19</f>
        <v>5</v>
      </c>
      <c r="I18" s="13">
        <f>敌人目录!M19</f>
        <v>2</v>
      </c>
      <c r="J18" s="13">
        <f>敌人目录!O19</f>
        <v>0.02</v>
      </c>
      <c r="K18" s="13">
        <f>敌人目录!P19</f>
        <v>2E-3</v>
      </c>
      <c r="L18" s="13">
        <f>敌人目录!Q19</f>
        <v>0.01</v>
      </c>
      <c r="M18" s="13">
        <f>敌人目录!R19</f>
        <v>0</v>
      </c>
      <c r="N18" s="13">
        <f>敌人目录!S19</f>
        <v>0</v>
      </c>
      <c r="O18" s="13">
        <f>敌人目录!T19</f>
        <v>0</v>
      </c>
      <c r="P18" s="13">
        <f>敌人目录!U19</f>
        <v>0</v>
      </c>
      <c r="Q18" s="13">
        <f>敌人目录!V19</f>
        <v>4.0000000000000001E-3</v>
      </c>
      <c r="R18" s="13">
        <f>敌人目录!W19</f>
        <v>4.0000000000000001E-3</v>
      </c>
      <c r="S18" s="13">
        <f>敌人目录!X19</f>
        <v>4.0000000000000001E-3</v>
      </c>
      <c r="T18" s="13">
        <f>敌人目录!Y19</f>
        <v>0</v>
      </c>
      <c r="U18" s="13">
        <f>敌人目录!Z19</f>
        <v>2E-3</v>
      </c>
      <c r="V18" s="13">
        <f>敌人目录!N19</f>
        <v>4.6000000000000013E-2</v>
      </c>
      <c r="W18" s="13" t="str">
        <f>敌人目录!AA19</f>
        <v>可回读</v>
      </c>
      <c r="X18" s="13" t="str">
        <f>敌人目录!AC19</f>
        <v>res://resources/config/enemies/stone_eroded_yuanshi_insect_green_shell.tres</v>
      </c>
    </row>
    <row r="19" spans="1:24" ht="16.5">
      <c r="A19" s="13">
        <v>3</v>
      </c>
      <c r="B19" s="13" t="str">
        <f>敌人目录!B20</f>
        <v>stone_eroded_yuanshi_insect_fire_ranged</v>
      </c>
      <c r="C19" s="13">
        <f>敌人目录!G20</f>
        <v>80</v>
      </c>
      <c r="D19" s="13">
        <f>敌人目录!H20</f>
        <v>25</v>
      </c>
      <c r="E19" s="13">
        <f>敌人目录!I20</f>
        <v>150</v>
      </c>
      <c r="F19" s="13">
        <f>敌人目录!J20</f>
        <v>0</v>
      </c>
      <c r="G19" s="13">
        <f>敌人目录!K20</f>
        <v>22</v>
      </c>
      <c r="H19" s="13">
        <f>敌人目录!L20</f>
        <v>2</v>
      </c>
      <c r="I19" s="13">
        <f>敌人目录!M20</f>
        <v>1</v>
      </c>
      <c r="J19" s="13">
        <f>敌人目录!O20</f>
        <v>0.02</v>
      </c>
      <c r="K19" s="13">
        <f>敌人目录!P20</f>
        <v>2E-3</v>
      </c>
      <c r="L19" s="13">
        <f>敌人目录!Q20</f>
        <v>0.01</v>
      </c>
      <c r="M19" s="13">
        <f>敌人目录!R20</f>
        <v>0</v>
      </c>
      <c r="N19" s="13">
        <f>敌人目录!S20</f>
        <v>0</v>
      </c>
      <c r="O19" s="13">
        <f>敌人目录!T20</f>
        <v>0</v>
      </c>
      <c r="P19" s="13">
        <f>敌人目录!U20</f>
        <v>0</v>
      </c>
      <c r="Q19" s="13">
        <f>敌人目录!V20</f>
        <v>4.0000000000000001E-3</v>
      </c>
      <c r="R19" s="13">
        <f>敌人目录!W20</f>
        <v>4.0000000000000001E-3</v>
      </c>
      <c r="S19" s="13">
        <f>敌人目录!X20</f>
        <v>4.0000000000000001E-3</v>
      </c>
      <c r="T19" s="13">
        <f>敌人目录!Y20</f>
        <v>0</v>
      </c>
      <c r="U19" s="13">
        <f>敌人目录!Z20</f>
        <v>2E-3</v>
      </c>
      <c r="V19" s="13">
        <f>敌人目录!N20</f>
        <v>4.6000000000000013E-2</v>
      </c>
      <c r="W19" s="13" t="str">
        <f>敌人目录!AA20</f>
        <v>可回读</v>
      </c>
      <c r="X19" s="13" t="str">
        <f>敌人目录!AC20</f>
        <v>res://resources/config/enemies/stone_eroded_yuanshi_insect_fire_ranged.tres</v>
      </c>
    </row>
    <row r="20" spans="1:24" ht="16.5">
      <c r="A20" s="13">
        <v>3</v>
      </c>
      <c r="B20" s="13" t="str">
        <f>敌人目录!B21</f>
        <v>stone_eroded_yuanshi_insect_guardian</v>
      </c>
      <c r="C20" s="13">
        <f>敌人目录!G21</f>
        <v>300</v>
      </c>
      <c r="D20" s="13">
        <f>敌人目录!H21</f>
        <v>10</v>
      </c>
      <c r="E20" s="13">
        <f>敌人目录!I21</f>
        <v>150</v>
      </c>
      <c r="F20" s="13">
        <f>敌人目录!J21</f>
        <v>0</v>
      </c>
      <c r="G20" s="13">
        <f>敌人目录!K21</f>
        <v>20</v>
      </c>
      <c r="H20" s="13">
        <f>敌人目录!L21</f>
        <v>5</v>
      </c>
      <c r="I20" s="13">
        <f>敌人目录!M21</f>
        <v>2</v>
      </c>
      <c r="J20" s="13">
        <f>敌人目录!O21</f>
        <v>0.02</v>
      </c>
      <c r="K20" s="13">
        <f>敌人目录!P21</f>
        <v>2E-3</v>
      </c>
      <c r="L20" s="13">
        <f>敌人目录!Q21</f>
        <v>0.01</v>
      </c>
      <c r="M20" s="13">
        <f>敌人目录!R21</f>
        <v>0</v>
      </c>
      <c r="N20" s="13">
        <f>敌人目录!S21</f>
        <v>0</v>
      </c>
      <c r="O20" s="13">
        <f>敌人目录!T21</f>
        <v>0</v>
      </c>
      <c r="P20" s="13">
        <f>敌人目录!U21</f>
        <v>0</v>
      </c>
      <c r="Q20" s="13">
        <f>敌人目录!V21</f>
        <v>4.0000000000000001E-3</v>
      </c>
      <c r="R20" s="13">
        <f>敌人目录!W21</f>
        <v>4.0000000000000001E-3</v>
      </c>
      <c r="S20" s="13">
        <f>敌人目录!X21</f>
        <v>4.0000000000000001E-3</v>
      </c>
      <c r="T20" s="13">
        <f>敌人目录!Y21</f>
        <v>0</v>
      </c>
      <c r="U20" s="13">
        <f>敌人目录!Z21</f>
        <v>2E-3</v>
      </c>
      <c r="V20" s="13">
        <f>敌人目录!N21</f>
        <v>4.6000000000000013E-2</v>
      </c>
      <c r="W20" s="13" t="str">
        <f>敌人目录!AA21</f>
        <v>可回读</v>
      </c>
      <c r="X20" s="13" t="str">
        <f>敌人目录!AC21</f>
        <v>res://resources/config/enemies/stone_eroded_yuanshi_insect_guardian.tres</v>
      </c>
    </row>
    <row r="21" spans="1:24" ht="16.5">
      <c r="A21" s="13">
        <v>3</v>
      </c>
      <c r="B21" s="13" t="str">
        <f>敌人目录!B22</f>
        <v>slime_basic</v>
      </c>
      <c r="C21" s="13">
        <f>敌人目录!G22</f>
        <v>100</v>
      </c>
      <c r="D21" s="13">
        <f>敌人目录!H22</f>
        <v>10</v>
      </c>
      <c r="E21" s="13">
        <f>敌人目录!I22</f>
        <v>0</v>
      </c>
      <c r="F21" s="13">
        <f>敌人目录!J22</f>
        <v>0</v>
      </c>
      <c r="G21" s="13">
        <f>敌人目录!K22</f>
        <v>20</v>
      </c>
      <c r="H21" s="13">
        <f>敌人目录!L22</f>
        <v>1</v>
      </c>
      <c r="I21" s="13">
        <f>敌人目录!M22</f>
        <v>1</v>
      </c>
      <c r="J21" s="13">
        <f>敌人目录!O22</f>
        <v>0.02</v>
      </c>
      <c r="K21" s="13">
        <f>敌人目录!P22</f>
        <v>2E-3</v>
      </c>
      <c r="L21" s="13">
        <f>敌人目录!Q22</f>
        <v>0.01</v>
      </c>
      <c r="M21" s="13">
        <f>敌人目录!R22</f>
        <v>0</v>
      </c>
      <c r="N21" s="13">
        <f>敌人目录!S22</f>
        <v>0</v>
      </c>
      <c r="O21" s="13">
        <f>敌人目录!T22</f>
        <v>0.02</v>
      </c>
      <c r="P21" s="13">
        <f>敌人目录!U22</f>
        <v>0</v>
      </c>
      <c r="Q21" s="13">
        <f>敌人目录!V22</f>
        <v>4.0000000000000001E-3</v>
      </c>
      <c r="R21" s="13">
        <f>敌人目录!W22</f>
        <v>4.0000000000000001E-3</v>
      </c>
      <c r="S21" s="13">
        <f>敌人目录!X22</f>
        <v>4.0000000000000001E-3</v>
      </c>
      <c r="T21" s="13">
        <f>敌人目录!Y22</f>
        <v>0</v>
      </c>
      <c r="U21" s="13">
        <f>敌人目录!Z22</f>
        <v>2E-3</v>
      </c>
      <c r="V21" s="13">
        <f>敌人目录!N22</f>
        <v>6.6000000000000017E-2</v>
      </c>
      <c r="W21" s="13" t="str">
        <f>敌人目录!AA22</f>
        <v>可回读</v>
      </c>
      <c r="X21" s="13" t="str">
        <f>敌人目录!AC22</f>
        <v>res://resources/config/enemies/slime.tres</v>
      </c>
    </row>
    <row r="22" spans="1:24" ht="16.5">
      <c r="A22" s="13">
        <v>3</v>
      </c>
      <c r="B22" s="13" t="str">
        <f>敌人目录!B23</f>
        <v>slime_fire</v>
      </c>
      <c r="C22" s="13">
        <f>敌人目录!G23</f>
        <v>200</v>
      </c>
      <c r="D22" s="13">
        <f>敌人目录!H23</f>
        <v>10</v>
      </c>
      <c r="E22" s="13">
        <f>敌人目录!I23</f>
        <v>0</v>
      </c>
      <c r="F22" s="13">
        <f>敌人目录!J23</f>
        <v>0</v>
      </c>
      <c r="G22" s="13">
        <f>敌人目录!K23</f>
        <v>20</v>
      </c>
      <c r="H22" s="13">
        <f>敌人目录!L23</f>
        <v>1</v>
      </c>
      <c r="I22" s="13">
        <f>敌人目录!M23</f>
        <v>1</v>
      </c>
      <c r="J22" s="13">
        <f>敌人目录!O23</f>
        <v>0.02</v>
      </c>
      <c r="K22" s="13">
        <f>敌人目录!P23</f>
        <v>2E-3</v>
      </c>
      <c r="L22" s="13">
        <f>敌人目录!Q23</f>
        <v>0.01</v>
      </c>
      <c r="M22" s="13">
        <f>敌人目录!R23</f>
        <v>0</v>
      </c>
      <c r="N22" s="13">
        <f>敌人目录!S23</f>
        <v>0</v>
      </c>
      <c r="O22" s="13">
        <f>敌人目录!T23</f>
        <v>0.02</v>
      </c>
      <c r="P22" s="13">
        <f>敌人目录!U23</f>
        <v>0</v>
      </c>
      <c r="Q22" s="13">
        <f>敌人目录!V23</f>
        <v>4.0000000000000001E-3</v>
      </c>
      <c r="R22" s="13">
        <f>敌人目录!W23</f>
        <v>4.0000000000000001E-3</v>
      </c>
      <c r="S22" s="13">
        <f>敌人目录!X23</f>
        <v>4.0000000000000001E-3</v>
      </c>
      <c r="T22" s="13">
        <f>敌人目录!Y23</f>
        <v>0</v>
      </c>
      <c r="U22" s="13">
        <f>敌人目录!Z23</f>
        <v>2E-3</v>
      </c>
      <c r="V22" s="13">
        <f>敌人目录!N23</f>
        <v>6.6000000000000017E-2</v>
      </c>
      <c r="W22" s="13" t="str">
        <f>敌人目录!AA23</f>
        <v>可回读</v>
      </c>
      <c r="X22" s="13" t="str">
        <f>敌人目录!AC23</f>
        <v>res://resources/config/enemies/slime_fire.tres</v>
      </c>
    </row>
    <row r="23" spans="1:24" ht="16.5">
      <c r="A23" s="13">
        <v>3</v>
      </c>
      <c r="B23" s="13" t="str">
        <f>敌人目录!B24</f>
        <v>slime_frost</v>
      </c>
      <c r="C23" s="13">
        <f>敌人目录!G24</f>
        <v>200</v>
      </c>
      <c r="D23" s="13">
        <f>敌人目录!H24</f>
        <v>10</v>
      </c>
      <c r="E23" s="13">
        <f>敌人目录!I24</f>
        <v>0</v>
      </c>
      <c r="F23" s="13">
        <f>敌人目录!J24</f>
        <v>0</v>
      </c>
      <c r="G23" s="13">
        <f>敌人目录!K24</f>
        <v>20</v>
      </c>
      <c r="H23" s="13">
        <f>敌人目录!L24</f>
        <v>1</v>
      </c>
      <c r="I23" s="13">
        <f>敌人目录!M24</f>
        <v>1</v>
      </c>
      <c r="J23" s="13">
        <f>敌人目录!O24</f>
        <v>0.02</v>
      </c>
      <c r="K23" s="13">
        <f>敌人目录!P24</f>
        <v>2E-3</v>
      </c>
      <c r="L23" s="13">
        <f>敌人目录!Q24</f>
        <v>0.01</v>
      </c>
      <c r="M23" s="13">
        <f>敌人目录!R24</f>
        <v>0</v>
      </c>
      <c r="N23" s="13">
        <f>敌人目录!S24</f>
        <v>0</v>
      </c>
      <c r="O23" s="13">
        <f>敌人目录!T24</f>
        <v>0.02</v>
      </c>
      <c r="P23" s="13">
        <f>敌人目录!U24</f>
        <v>0</v>
      </c>
      <c r="Q23" s="13">
        <f>敌人目录!V24</f>
        <v>4.0000000000000001E-3</v>
      </c>
      <c r="R23" s="13">
        <f>敌人目录!W24</f>
        <v>4.0000000000000001E-3</v>
      </c>
      <c r="S23" s="13">
        <f>敌人目录!X24</f>
        <v>4.0000000000000001E-3</v>
      </c>
      <c r="T23" s="13">
        <f>敌人目录!Y24</f>
        <v>0</v>
      </c>
      <c r="U23" s="13">
        <f>敌人目录!Z24</f>
        <v>2E-3</v>
      </c>
      <c r="V23" s="13">
        <f>敌人目录!N24</f>
        <v>6.6000000000000017E-2</v>
      </c>
      <c r="W23" s="13" t="str">
        <f>敌人目录!AA24</f>
        <v>可回读</v>
      </c>
      <c r="X23" s="13" t="str">
        <f>敌人目录!AC24</f>
        <v>res://resources/config/enemies/slime_frost.tres</v>
      </c>
    </row>
    <row r="24" spans="1:24" ht="16.5">
      <c r="A24" s="13">
        <v>3</v>
      </c>
      <c r="B24" s="13" t="str">
        <f>敌人目录!B25</f>
        <v>slime_green</v>
      </c>
      <c r="C24" s="13">
        <f>敌人目录!G25</f>
        <v>300</v>
      </c>
      <c r="D24" s="13">
        <f>敌人目录!H25</f>
        <v>10</v>
      </c>
      <c r="E24" s="13">
        <f>敌人目录!I25</f>
        <v>50</v>
      </c>
      <c r="F24" s="13">
        <f>敌人目录!J25</f>
        <v>50</v>
      </c>
      <c r="G24" s="13">
        <f>敌人目录!K25</f>
        <v>20</v>
      </c>
      <c r="H24" s="13">
        <f>敌人目录!L25</f>
        <v>1</v>
      </c>
      <c r="I24" s="13">
        <f>敌人目录!M25</f>
        <v>1</v>
      </c>
      <c r="J24" s="13">
        <f>敌人目录!O25</f>
        <v>0.02</v>
      </c>
      <c r="K24" s="13">
        <f>敌人目录!P25</f>
        <v>2E-3</v>
      </c>
      <c r="L24" s="13">
        <f>敌人目录!Q25</f>
        <v>0.01</v>
      </c>
      <c r="M24" s="13">
        <f>敌人目录!R25</f>
        <v>0</v>
      </c>
      <c r="N24" s="13">
        <f>敌人目录!S25</f>
        <v>0</v>
      </c>
      <c r="O24" s="13">
        <f>敌人目录!T25</f>
        <v>0.02</v>
      </c>
      <c r="P24" s="13">
        <f>敌人目录!U25</f>
        <v>0</v>
      </c>
      <c r="Q24" s="13">
        <f>敌人目录!V25</f>
        <v>4.0000000000000001E-3</v>
      </c>
      <c r="R24" s="13">
        <f>敌人目录!W25</f>
        <v>4.0000000000000001E-3</v>
      </c>
      <c r="S24" s="13">
        <f>敌人目录!X25</f>
        <v>4.0000000000000001E-3</v>
      </c>
      <c r="T24" s="13">
        <f>敌人目录!Y25</f>
        <v>0</v>
      </c>
      <c r="U24" s="13">
        <f>敌人目录!Z25</f>
        <v>2E-3</v>
      </c>
      <c r="V24" s="13">
        <f>敌人目录!N25</f>
        <v>6.6000000000000017E-2</v>
      </c>
      <c r="W24" s="13" t="str">
        <f>敌人目录!AA25</f>
        <v>可回读</v>
      </c>
      <c r="X24" s="13" t="str">
        <f>敌人目录!AC25</f>
        <v>res://resources/config/enemies/slime_green.tres</v>
      </c>
    </row>
    <row r="25" spans="1:24" ht="16.5">
      <c r="A25" s="13">
        <v>3</v>
      </c>
      <c r="B25" s="13" t="str">
        <f>敌人目录!B26</f>
        <v>slime_golden</v>
      </c>
      <c r="C25" s="13">
        <f>敌人目录!G26</f>
        <v>1000</v>
      </c>
      <c r="D25" s="13">
        <f>敌人目录!H26</f>
        <v>50</v>
      </c>
      <c r="E25" s="13">
        <f>敌人目录!I26</f>
        <v>0</v>
      </c>
      <c r="F25" s="13">
        <f>敌人目录!J26</f>
        <v>0</v>
      </c>
      <c r="G25" s="13">
        <f>敌人目录!K26</f>
        <v>20</v>
      </c>
      <c r="H25" s="13">
        <f>敌人目录!L26</f>
        <v>1</v>
      </c>
      <c r="I25" s="13">
        <f>敌人目录!M26</f>
        <v>1</v>
      </c>
      <c r="J25" s="13">
        <f>敌人目录!O26</f>
        <v>0.02</v>
      </c>
      <c r="K25" s="13">
        <f>敌人目录!P26</f>
        <v>2E-3</v>
      </c>
      <c r="L25" s="13">
        <f>敌人目录!Q26</f>
        <v>0.01</v>
      </c>
      <c r="M25" s="13">
        <f>敌人目录!R26</f>
        <v>0</v>
      </c>
      <c r="N25" s="13">
        <f>敌人目录!S26</f>
        <v>0</v>
      </c>
      <c r="O25" s="13">
        <f>敌人目录!T26</f>
        <v>0.02</v>
      </c>
      <c r="P25" s="13">
        <f>敌人目录!U26</f>
        <v>0</v>
      </c>
      <c r="Q25" s="13">
        <f>敌人目录!V26</f>
        <v>4.0000000000000001E-3</v>
      </c>
      <c r="R25" s="13">
        <f>敌人目录!W26</f>
        <v>4.0000000000000001E-3</v>
      </c>
      <c r="S25" s="13">
        <f>敌人目录!X26</f>
        <v>4.0000000000000001E-3</v>
      </c>
      <c r="T25" s="13">
        <f>敌人目录!Y26</f>
        <v>0</v>
      </c>
      <c r="U25" s="13">
        <f>敌人目录!Z26</f>
        <v>2E-3</v>
      </c>
      <c r="V25" s="13">
        <f>敌人目录!N26</f>
        <v>6.6000000000000017E-2</v>
      </c>
      <c r="W25" s="13" t="str">
        <f>敌人目录!AA26</f>
        <v>可回读</v>
      </c>
      <c r="X25" s="13" t="str">
        <f>敌人目录!AC26</f>
        <v>res://resources/config/enemies/slime_golden.tres</v>
      </c>
    </row>
    <row r="26" spans="1:24" ht="16.5">
      <c r="A26" s="13">
        <v>3</v>
      </c>
      <c r="B26" s="13" t="str">
        <f>敌人目录!B27</f>
        <v>stone_eroded_slime</v>
      </c>
      <c r="C26" s="13">
        <f>敌人目录!G27</f>
        <v>200</v>
      </c>
      <c r="D26" s="13">
        <f>敌人目录!H27</f>
        <v>10</v>
      </c>
      <c r="E26" s="13">
        <f>敌人目录!I27</f>
        <v>150</v>
      </c>
      <c r="F26" s="13">
        <f>敌人目录!J27</f>
        <v>0</v>
      </c>
      <c r="G26" s="13">
        <f>敌人目录!K27</f>
        <v>20</v>
      </c>
      <c r="H26" s="13">
        <f>敌人目录!L27</f>
        <v>1</v>
      </c>
      <c r="I26" s="13">
        <f>敌人目录!M27</f>
        <v>1</v>
      </c>
      <c r="J26" s="13">
        <f>敌人目录!O27</f>
        <v>0.02</v>
      </c>
      <c r="K26" s="13">
        <f>敌人目录!P27</f>
        <v>2E-3</v>
      </c>
      <c r="L26" s="13">
        <f>敌人目录!Q27</f>
        <v>0.01</v>
      </c>
      <c r="M26" s="13">
        <f>敌人目录!R27</f>
        <v>0</v>
      </c>
      <c r="N26" s="13">
        <f>敌人目录!S27</f>
        <v>0</v>
      </c>
      <c r="O26" s="13">
        <f>敌人目录!T27</f>
        <v>0.02</v>
      </c>
      <c r="P26" s="13">
        <f>敌人目录!U27</f>
        <v>0</v>
      </c>
      <c r="Q26" s="13">
        <f>敌人目录!V27</f>
        <v>4.0000000000000001E-3</v>
      </c>
      <c r="R26" s="13">
        <f>敌人目录!W27</f>
        <v>4.0000000000000001E-3</v>
      </c>
      <c r="S26" s="13">
        <f>敌人目录!X27</f>
        <v>4.0000000000000001E-3</v>
      </c>
      <c r="T26" s="13">
        <f>敌人目录!Y27</f>
        <v>0</v>
      </c>
      <c r="U26" s="13">
        <f>敌人目录!Z27</f>
        <v>2E-3</v>
      </c>
      <c r="V26" s="13">
        <f>敌人目录!N27</f>
        <v>6.6000000000000017E-2</v>
      </c>
      <c r="W26" s="13" t="str">
        <f>敌人目录!AA27</f>
        <v>可回读</v>
      </c>
      <c r="X26" s="13" t="str">
        <f>敌人目录!AC27</f>
        <v>res://resources/config/enemies/stone_eroded_slime.tres</v>
      </c>
    </row>
    <row r="27" spans="1:24" ht="16.5">
      <c r="A27" s="13">
        <v>3</v>
      </c>
      <c r="B27" s="13" t="str">
        <f>敌人目录!B28</f>
        <v>stone_eroded_slime_fire</v>
      </c>
      <c r="C27" s="13">
        <f>敌人目录!G28</f>
        <v>400</v>
      </c>
      <c r="D27" s="13">
        <f>敌人目录!H28</f>
        <v>10</v>
      </c>
      <c r="E27" s="13">
        <f>敌人目录!I28</f>
        <v>150</v>
      </c>
      <c r="F27" s="13">
        <f>敌人目录!J28</f>
        <v>0</v>
      </c>
      <c r="G27" s="13">
        <f>敌人目录!K28</f>
        <v>20</v>
      </c>
      <c r="H27" s="13">
        <f>敌人目录!L28</f>
        <v>1</v>
      </c>
      <c r="I27" s="13">
        <f>敌人目录!M28</f>
        <v>1</v>
      </c>
      <c r="J27" s="13">
        <f>敌人目录!O28</f>
        <v>0.02</v>
      </c>
      <c r="K27" s="13">
        <f>敌人目录!P28</f>
        <v>2E-3</v>
      </c>
      <c r="L27" s="13">
        <f>敌人目录!Q28</f>
        <v>0.01</v>
      </c>
      <c r="M27" s="13">
        <f>敌人目录!R28</f>
        <v>0</v>
      </c>
      <c r="N27" s="13">
        <f>敌人目录!S28</f>
        <v>0</v>
      </c>
      <c r="O27" s="13">
        <f>敌人目录!T28</f>
        <v>0.02</v>
      </c>
      <c r="P27" s="13">
        <f>敌人目录!U28</f>
        <v>0</v>
      </c>
      <c r="Q27" s="13">
        <f>敌人目录!V28</f>
        <v>4.0000000000000001E-3</v>
      </c>
      <c r="R27" s="13">
        <f>敌人目录!W28</f>
        <v>4.0000000000000001E-3</v>
      </c>
      <c r="S27" s="13">
        <f>敌人目录!X28</f>
        <v>4.0000000000000001E-3</v>
      </c>
      <c r="T27" s="13">
        <f>敌人目录!Y28</f>
        <v>0</v>
      </c>
      <c r="U27" s="13">
        <f>敌人目录!Z28</f>
        <v>2E-3</v>
      </c>
      <c r="V27" s="13">
        <f>敌人目录!N28</f>
        <v>6.6000000000000017E-2</v>
      </c>
      <c r="W27" s="13" t="str">
        <f>敌人目录!AA28</f>
        <v>可回读</v>
      </c>
      <c r="X27" s="13" t="str">
        <f>敌人目录!AC28</f>
        <v>res://resources/config/enemies/stone_eroded_slime_fire.tres</v>
      </c>
    </row>
    <row r="28" spans="1:24" ht="16.5">
      <c r="A28" s="13">
        <v>3</v>
      </c>
      <c r="B28" s="13" t="str">
        <f>敌人目录!B29</f>
        <v>stone_eroded_slime_frost</v>
      </c>
      <c r="C28" s="13">
        <f>敌人目录!G29</f>
        <v>400</v>
      </c>
      <c r="D28" s="13">
        <f>敌人目录!H29</f>
        <v>10</v>
      </c>
      <c r="E28" s="13">
        <f>敌人目录!I29</f>
        <v>150</v>
      </c>
      <c r="F28" s="13">
        <f>敌人目录!J29</f>
        <v>0</v>
      </c>
      <c r="G28" s="13">
        <f>敌人目录!K29</f>
        <v>20</v>
      </c>
      <c r="H28" s="13">
        <f>敌人目录!L29</f>
        <v>1</v>
      </c>
      <c r="I28" s="13">
        <f>敌人目录!M29</f>
        <v>1</v>
      </c>
      <c r="J28" s="13">
        <f>敌人目录!O29</f>
        <v>0.02</v>
      </c>
      <c r="K28" s="13">
        <f>敌人目录!P29</f>
        <v>2E-3</v>
      </c>
      <c r="L28" s="13">
        <f>敌人目录!Q29</f>
        <v>0.01</v>
      </c>
      <c r="M28" s="13">
        <f>敌人目录!R29</f>
        <v>0</v>
      </c>
      <c r="N28" s="13">
        <f>敌人目录!S29</f>
        <v>0</v>
      </c>
      <c r="O28" s="13">
        <f>敌人目录!T29</f>
        <v>0.02</v>
      </c>
      <c r="P28" s="13">
        <f>敌人目录!U29</f>
        <v>0</v>
      </c>
      <c r="Q28" s="13">
        <f>敌人目录!V29</f>
        <v>4.0000000000000001E-3</v>
      </c>
      <c r="R28" s="13">
        <f>敌人目录!W29</f>
        <v>4.0000000000000001E-3</v>
      </c>
      <c r="S28" s="13">
        <f>敌人目录!X29</f>
        <v>4.0000000000000001E-3</v>
      </c>
      <c r="T28" s="13">
        <f>敌人目录!Y29</f>
        <v>0</v>
      </c>
      <c r="U28" s="13">
        <f>敌人目录!Z29</f>
        <v>2E-3</v>
      </c>
      <c r="V28" s="13">
        <f>敌人目录!N29</f>
        <v>6.6000000000000017E-2</v>
      </c>
      <c r="W28" s="13" t="str">
        <f>敌人目录!AA29</f>
        <v>可回读</v>
      </c>
      <c r="X28" s="13" t="str">
        <f>敌人目录!AC29</f>
        <v>res://resources/config/enemies/stone_eroded_slime_frost.tres</v>
      </c>
    </row>
    <row r="29" spans="1:24" ht="16.5">
      <c r="A29" s="13">
        <v>3</v>
      </c>
      <c r="B29" s="13" t="str">
        <f>敌人目录!B30</f>
        <v>stone_eroded_slime_green</v>
      </c>
      <c r="C29" s="13">
        <f>敌人目录!G30</f>
        <v>600</v>
      </c>
      <c r="D29" s="13">
        <f>敌人目录!H30</f>
        <v>10</v>
      </c>
      <c r="E29" s="13">
        <f>敌人目录!I30</f>
        <v>150</v>
      </c>
      <c r="F29" s="13">
        <f>敌人目录!J30</f>
        <v>50</v>
      </c>
      <c r="G29" s="13">
        <f>敌人目录!K30</f>
        <v>20</v>
      </c>
      <c r="H29" s="13">
        <f>敌人目录!L30</f>
        <v>1</v>
      </c>
      <c r="I29" s="13">
        <f>敌人目录!M30</f>
        <v>1</v>
      </c>
      <c r="J29" s="13">
        <f>敌人目录!O30</f>
        <v>0.02</v>
      </c>
      <c r="K29" s="13">
        <f>敌人目录!P30</f>
        <v>2E-3</v>
      </c>
      <c r="L29" s="13">
        <f>敌人目录!Q30</f>
        <v>0.01</v>
      </c>
      <c r="M29" s="13">
        <f>敌人目录!R30</f>
        <v>0</v>
      </c>
      <c r="N29" s="13">
        <f>敌人目录!S30</f>
        <v>0</v>
      </c>
      <c r="O29" s="13">
        <f>敌人目录!T30</f>
        <v>0.02</v>
      </c>
      <c r="P29" s="13">
        <f>敌人目录!U30</f>
        <v>0</v>
      </c>
      <c r="Q29" s="13">
        <f>敌人目录!V30</f>
        <v>4.0000000000000001E-3</v>
      </c>
      <c r="R29" s="13">
        <f>敌人目录!W30</f>
        <v>4.0000000000000001E-3</v>
      </c>
      <c r="S29" s="13">
        <f>敌人目录!X30</f>
        <v>4.0000000000000001E-3</v>
      </c>
      <c r="T29" s="13">
        <f>敌人目录!Y30</f>
        <v>0</v>
      </c>
      <c r="U29" s="13">
        <f>敌人目录!Z30</f>
        <v>2E-3</v>
      </c>
      <c r="V29" s="13">
        <f>敌人目录!N30</f>
        <v>6.6000000000000017E-2</v>
      </c>
      <c r="W29" s="13" t="str">
        <f>敌人目录!AA30</f>
        <v>可回读</v>
      </c>
      <c r="X29" s="13" t="str">
        <f>敌人目录!AC30</f>
        <v>res://resources/config/enemies/stone_eroded_slime_green.tres</v>
      </c>
    </row>
    <row r="30" spans="1:24" ht="16.5">
      <c r="A30" s="13">
        <v>3</v>
      </c>
      <c r="B30" s="13" t="str">
        <f>敌人目录!B31</f>
        <v>stone_eroded_slime_golden</v>
      </c>
      <c r="C30" s="13">
        <f>敌人目录!G31</f>
        <v>2000</v>
      </c>
      <c r="D30" s="13">
        <f>敌人目录!H31</f>
        <v>50</v>
      </c>
      <c r="E30" s="13">
        <f>敌人目录!I31</f>
        <v>150</v>
      </c>
      <c r="F30" s="13">
        <f>敌人目录!J31</f>
        <v>0</v>
      </c>
      <c r="G30" s="13">
        <f>敌人目录!K31</f>
        <v>20</v>
      </c>
      <c r="H30" s="13">
        <f>敌人目录!L31</f>
        <v>1</v>
      </c>
      <c r="I30" s="13">
        <f>敌人目录!M31</f>
        <v>1</v>
      </c>
      <c r="J30" s="13">
        <f>敌人目录!O31</f>
        <v>0.02</v>
      </c>
      <c r="K30" s="13">
        <f>敌人目录!P31</f>
        <v>2E-3</v>
      </c>
      <c r="L30" s="13">
        <f>敌人目录!Q31</f>
        <v>0.01</v>
      </c>
      <c r="M30" s="13">
        <f>敌人目录!R31</f>
        <v>0</v>
      </c>
      <c r="N30" s="13">
        <f>敌人目录!S31</f>
        <v>0</v>
      </c>
      <c r="O30" s="13">
        <f>敌人目录!T31</f>
        <v>0.02</v>
      </c>
      <c r="P30" s="13">
        <f>敌人目录!U31</f>
        <v>0</v>
      </c>
      <c r="Q30" s="13">
        <f>敌人目录!V31</f>
        <v>4.0000000000000001E-3</v>
      </c>
      <c r="R30" s="13">
        <f>敌人目录!W31</f>
        <v>4.0000000000000001E-3</v>
      </c>
      <c r="S30" s="13">
        <f>敌人目录!X31</f>
        <v>4.0000000000000001E-3</v>
      </c>
      <c r="T30" s="13">
        <f>敌人目录!Y31</f>
        <v>0</v>
      </c>
      <c r="U30" s="13">
        <f>敌人目录!Z31</f>
        <v>2E-3</v>
      </c>
      <c r="V30" s="13">
        <f>敌人目录!N31</f>
        <v>6.6000000000000017E-2</v>
      </c>
      <c r="W30" s="13" t="str">
        <f>敌人目录!AA31</f>
        <v>可回读</v>
      </c>
      <c r="X30" s="13" t="str">
        <f>敌人目录!AC31</f>
        <v>res://resources/config/enemies/stone_eroded_slime_golden.tres</v>
      </c>
    </row>
    <row r="31" spans="1:24" ht="16.5">
      <c r="A31" s="13">
        <v>3</v>
      </c>
      <c r="B31" s="13" t="str">
        <f>敌人目录!B32</f>
        <v>capoo_knight</v>
      </c>
      <c r="C31" s="13">
        <f>敌人目录!G32</f>
        <v>200</v>
      </c>
      <c r="D31" s="13">
        <f>敌人目录!H32</f>
        <v>28</v>
      </c>
      <c r="E31" s="13">
        <f>敌人目录!I32</f>
        <v>10</v>
      </c>
      <c r="F31" s="13">
        <f>敌人目录!J32</f>
        <v>0</v>
      </c>
      <c r="G31" s="13">
        <f>敌人目录!K32</f>
        <v>34</v>
      </c>
      <c r="H31" s="13">
        <f>敌人目录!L32</f>
        <v>5</v>
      </c>
      <c r="I31" s="13">
        <f>敌人目录!M32</f>
        <v>20</v>
      </c>
      <c r="J31" s="13">
        <f>敌人目录!O32</f>
        <v>0.02</v>
      </c>
      <c r="K31" s="13">
        <f>敌人目录!P32</f>
        <v>2E-3</v>
      </c>
      <c r="L31" s="13">
        <f>敌人目录!Q32</f>
        <v>0.01</v>
      </c>
      <c r="M31" s="13">
        <f>敌人目录!R32</f>
        <v>0.01</v>
      </c>
      <c r="N31" s="13">
        <f>敌人目录!S32</f>
        <v>0</v>
      </c>
      <c r="O31" s="13">
        <f>敌人目录!T32</f>
        <v>0</v>
      </c>
      <c r="P31" s="13">
        <f>敌人目录!U32</f>
        <v>0</v>
      </c>
      <c r="Q31" s="13">
        <f>敌人目录!V32</f>
        <v>4.0000000000000001E-3</v>
      </c>
      <c r="R31" s="13">
        <f>敌人目录!W32</f>
        <v>4.0000000000000001E-3</v>
      </c>
      <c r="S31" s="13">
        <f>敌人目录!X32</f>
        <v>4.0000000000000001E-3</v>
      </c>
      <c r="T31" s="13">
        <f>敌人目录!Y32</f>
        <v>0</v>
      </c>
      <c r="U31" s="13">
        <f>敌人目录!Z32</f>
        <v>2E-3</v>
      </c>
      <c r="V31" s="13">
        <f>敌人目录!N32</f>
        <v>5.6000000000000008E-2</v>
      </c>
      <c r="W31" s="13" t="str">
        <f>敌人目录!AA32</f>
        <v>可回读</v>
      </c>
      <c r="X31" s="13" t="str">
        <f>敌人目录!AC32</f>
        <v>res://resources/config/enemies/capoo_knight.tres</v>
      </c>
    </row>
    <row r="32" spans="1:24" ht="16.5">
      <c r="A32" s="13">
        <v>3</v>
      </c>
      <c r="B32" s="13" t="str">
        <f>敌人目录!B33</f>
        <v>capoo_knight_elite</v>
      </c>
      <c r="C32" s="13">
        <f>敌人目录!G33</f>
        <v>350</v>
      </c>
      <c r="D32" s="13">
        <f>敌人目录!H33</f>
        <v>28</v>
      </c>
      <c r="E32" s="13">
        <f>敌人目录!I33</f>
        <v>15</v>
      </c>
      <c r="F32" s="13">
        <f>敌人目录!J33</f>
        <v>0</v>
      </c>
      <c r="G32" s="13">
        <f>敌人目录!K33</f>
        <v>34</v>
      </c>
      <c r="H32" s="13">
        <f>敌人目录!L33</f>
        <v>8</v>
      </c>
      <c r="I32" s="13">
        <f>敌人目录!M33</f>
        <v>20</v>
      </c>
      <c r="J32" s="13">
        <f>敌人目录!O33</f>
        <v>0.02</v>
      </c>
      <c r="K32" s="13">
        <f>敌人目录!P33</f>
        <v>2E-3</v>
      </c>
      <c r="L32" s="13">
        <f>敌人目录!Q33</f>
        <v>0.01</v>
      </c>
      <c r="M32" s="13">
        <f>敌人目录!R33</f>
        <v>0.01</v>
      </c>
      <c r="N32" s="13">
        <f>敌人目录!S33</f>
        <v>0</v>
      </c>
      <c r="O32" s="13">
        <f>敌人目录!T33</f>
        <v>0</v>
      </c>
      <c r="P32" s="13">
        <f>敌人目录!U33</f>
        <v>0</v>
      </c>
      <c r="Q32" s="13">
        <f>敌人目录!V33</f>
        <v>4.0000000000000001E-3</v>
      </c>
      <c r="R32" s="13">
        <f>敌人目录!W33</f>
        <v>4.0000000000000001E-3</v>
      </c>
      <c r="S32" s="13">
        <f>敌人目录!X33</f>
        <v>4.0000000000000001E-3</v>
      </c>
      <c r="T32" s="13">
        <f>敌人目录!Y33</f>
        <v>0</v>
      </c>
      <c r="U32" s="13">
        <f>敌人目录!Z33</f>
        <v>2E-3</v>
      </c>
      <c r="V32" s="13">
        <f>敌人目录!N33</f>
        <v>5.6000000000000008E-2</v>
      </c>
      <c r="W32" s="13" t="str">
        <f>敌人目录!AA33</f>
        <v>可回读</v>
      </c>
      <c r="X32" s="13" t="str">
        <f>敌人目录!AC33</f>
        <v>res://resources/config/enemies/capoo_knight_elite.tres</v>
      </c>
    </row>
    <row r="33" spans="1:24" ht="16.5">
      <c r="A33" s="13">
        <v>3</v>
      </c>
      <c r="B33" s="13" t="str">
        <f>敌人目录!B34</f>
        <v>capoo_swordsman</v>
      </c>
      <c r="C33" s="13">
        <f>敌人目录!G34</f>
        <v>400</v>
      </c>
      <c r="D33" s="13">
        <f>敌人目录!H34</f>
        <v>24</v>
      </c>
      <c r="E33" s="13">
        <f>敌人目录!I34</f>
        <v>5</v>
      </c>
      <c r="F33" s="13">
        <f>敌人目录!J34</f>
        <v>0</v>
      </c>
      <c r="G33" s="13">
        <f>敌人目录!K34</f>
        <v>38</v>
      </c>
      <c r="H33" s="13">
        <f>敌人目录!L34</f>
        <v>5</v>
      </c>
      <c r="I33" s="13">
        <f>敌人目录!M34</f>
        <v>20</v>
      </c>
      <c r="J33" s="13">
        <f>敌人目录!O34</f>
        <v>0.02</v>
      </c>
      <c r="K33" s="13">
        <f>敌人目录!P34</f>
        <v>2E-3</v>
      </c>
      <c r="L33" s="13">
        <f>敌人目录!Q34</f>
        <v>0.01</v>
      </c>
      <c r="M33" s="13">
        <f>敌人目录!R34</f>
        <v>0.01</v>
      </c>
      <c r="N33" s="13">
        <f>敌人目录!S34</f>
        <v>0</v>
      </c>
      <c r="O33" s="13">
        <f>敌人目录!T34</f>
        <v>0</v>
      </c>
      <c r="P33" s="13">
        <f>敌人目录!U34</f>
        <v>0</v>
      </c>
      <c r="Q33" s="13">
        <f>敌人目录!V34</f>
        <v>4.0000000000000001E-3</v>
      </c>
      <c r="R33" s="13">
        <f>敌人目录!W34</f>
        <v>4.0000000000000001E-3</v>
      </c>
      <c r="S33" s="13">
        <f>敌人目录!X34</f>
        <v>4.0000000000000001E-3</v>
      </c>
      <c r="T33" s="13">
        <f>敌人目录!Y34</f>
        <v>0</v>
      </c>
      <c r="U33" s="13">
        <f>敌人目录!Z34</f>
        <v>2E-3</v>
      </c>
      <c r="V33" s="13">
        <f>敌人目录!N34</f>
        <v>5.6000000000000008E-2</v>
      </c>
      <c r="W33" s="13" t="str">
        <f>敌人目录!AA34</f>
        <v>可回读</v>
      </c>
      <c r="X33" s="13" t="str">
        <f>敌人目录!AC34</f>
        <v>res://resources/config/enemies/capoo_swordsman.tres</v>
      </c>
    </row>
    <row r="34" spans="1:24" ht="16.5">
      <c r="A34" s="13">
        <v>3</v>
      </c>
      <c r="B34" s="13" t="str">
        <f>敌人目录!B35</f>
        <v>capoo_smg</v>
      </c>
      <c r="C34" s="13">
        <f>敌人目录!G35</f>
        <v>200</v>
      </c>
      <c r="D34" s="13">
        <f>敌人目录!H35</f>
        <v>30</v>
      </c>
      <c r="E34" s="13">
        <f>敌人目录!I35</f>
        <v>0</v>
      </c>
      <c r="F34" s="13">
        <f>敌人目录!J35</f>
        <v>0</v>
      </c>
      <c r="G34" s="13">
        <f>敌人目录!K35</f>
        <v>100</v>
      </c>
      <c r="H34" s="13">
        <f>敌人目录!L35</f>
        <v>2</v>
      </c>
      <c r="I34" s="13">
        <f>敌人目录!M35</f>
        <v>25</v>
      </c>
      <c r="J34" s="13">
        <f>敌人目录!O35</f>
        <v>0.02</v>
      </c>
      <c r="K34" s="13">
        <f>敌人目录!P35</f>
        <v>2E-3</v>
      </c>
      <c r="L34" s="13">
        <f>敌人目录!Q35</f>
        <v>0.01</v>
      </c>
      <c r="M34" s="13">
        <f>敌人目录!R35</f>
        <v>0.01</v>
      </c>
      <c r="N34" s="13">
        <f>敌人目录!S35</f>
        <v>0</v>
      </c>
      <c r="O34" s="13">
        <f>敌人目录!T35</f>
        <v>0</v>
      </c>
      <c r="P34" s="13">
        <f>敌人目录!U35</f>
        <v>0</v>
      </c>
      <c r="Q34" s="13">
        <f>敌人目录!V35</f>
        <v>4.0000000000000001E-3</v>
      </c>
      <c r="R34" s="13">
        <f>敌人目录!W35</f>
        <v>4.0000000000000001E-3</v>
      </c>
      <c r="S34" s="13">
        <f>敌人目录!X35</f>
        <v>4.0000000000000001E-3</v>
      </c>
      <c r="T34" s="13">
        <f>敌人目录!Y35</f>
        <v>0</v>
      </c>
      <c r="U34" s="13">
        <f>敌人目录!Z35</f>
        <v>2E-3</v>
      </c>
      <c r="V34" s="13">
        <f>敌人目录!N35</f>
        <v>5.6000000000000008E-2</v>
      </c>
      <c r="W34" s="13" t="str">
        <f>敌人目录!AA35</f>
        <v>可回读</v>
      </c>
      <c r="X34" s="13" t="str">
        <f>敌人目录!AC35</f>
        <v>res://resources/config/enemies/capoo_smg.tres</v>
      </c>
    </row>
    <row r="35" spans="1:24" ht="16.5">
      <c r="A35" s="13">
        <v>3</v>
      </c>
      <c r="B35" s="13" t="str">
        <f>敌人目录!B36</f>
        <v>capoo_ak47</v>
      </c>
      <c r="C35" s="13">
        <f>敌人目录!G36</f>
        <v>150</v>
      </c>
      <c r="D35" s="13">
        <f>敌人目录!H36</f>
        <v>20</v>
      </c>
      <c r="E35" s="13">
        <f>敌人目录!I36</f>
        <v>0</v>
      </c>
      <c r="F35" s="13">
        <f>敌人目录!J36</f>
        <v>0</v>
      </c>
      <c r="G35" s="13">
        <f>敌人目录!K36</f>
        <v>18</v>
      </c>
      <c r="H35" s="13">
        <f>敌人目录!L36</f>
        <v>2</v>
      </c>
      <c r="I35" s="13">
        <f>敌人目录!M36</f>
        <v>20</v>
      </c>
      <c r="J35" s="13">
        <f>敌人目录!O36</f>
        <v>0.02</v>
      </c>
      <c r="K35" s="13">
        <f>敌人目录!P36</f>
        <v>2E-3</v>
      </c>
      <c r="L35" s="13">
        <f>敌人目录!Q36</f>
        <v>0.01</v>
      </c>
      <c r="M35" s="13">
        <f>敌人目录!R36</f>
        <v>0.01</v>
      </c>
      <c r="N35" s="13">
        <f>敌人目录!S36</f>
        <v>0</v>
      </c>
      <c r="O35" s="13">
        <f>敌人目录!T36</f>
        <v>0</v>
      </c>
      <c r="P35" s="13">
        <f>敌人目录!U36</f>
        <v>0</v>
      </c>
      <c r="Q35" s="13">
        <f>敌人目录!V36</f>
        <v>4.0000000000000001E-3</v>
      </c>
      <c r="R35" s="13">
        <f>敌人目录!W36</f>
        <v>4.0000000000000001E-3</v>
      </c>
      <c r="S35" s="13">
        <f>敌人目录!X36</f>
        <v>4.0000000000000001E-3</v>
      </c>
      <c r="T35" s="13">
        <f>敌人目录!Y36</f>
        <v>0</v>
      </c>
      <c r="U35" s="13">
        <f>敌人目录!Z36</f>
        <v>2E-3</v>
      </c>
      <c r="V35" s="13">
        <f>敌人目录!N36</f>
        <v>5.6000000000000008E-2</v>
      </c>
      <c r="W35" s="13" t="str">
        <f>敌人目录!AA36</f>
        <v>可回读</v>
      </c>
      <c r="X35" s="13" t="str">
        <f>敌人目录!AC36</f>
        <v>res://resources/config/enemies/capoo_ak47.tres</v>
      </c>
    </row>
    <row r="36" spans="1:24" ht="16.5">
      <c r="A36" s="13">
        <v>3</v>
      </c>
      <c r="B36" s="13" t="str">
        <f>敌人目录!B37</f>
        <v>capoo_rpg</v>
      </c>
      <c r="C36" s="13">
        <f>敌人目录!G37</f>
        <v>200</v>
      </c>
      <c r="D36" s="13">
        <f>敌人目录!H37</f>
        <v>20</v>
      </c>
      <c r="E36" s="13">
        <f>敌人目录!I37</f>
        <v>0</v>
      </c>
      <c r="F36" s="13">
        <f>敌人目录!J37</f>
        <v>0</v>
      </c>
      <c r="G36" s="13">
        <f>敌人目录!K37</f>
        <v>16</v>
      </c>
      <c r="H36" s="13">
        <f>敌人目录!L37</f>
        <v>5</v>
      </c>
      <c r="I36" s="13">
        <f>敌人目录!M37</f>
        <v>24</v>
      </c>
      <c r="J36" s="13">
        <f>敌人目录!O37</f>
        <v>0.02</v>
      </c>
      <c r="K36" s="13">
        <f>敌人目录!P37</f>
        <v>2E-3</v>
      </c>
      <c r="L36" s="13">
        <f>敌人目录!Q37</f>
        <v>0.01</v>
      </c>
      <c r="M36" s="13">
        <f>敌人目录!R37</f>
        <v>0.01</v>
      </c>
      <c r="N36" s="13">
        <f>敌人目录!S37</f>
        <v>0</v>
      </c>
      <c r="O36" s="13">
        <f>敌人目录!T37</f>
        <v>0</v>
      </c>
      <c r="P36" s="13">
        <f>敌人目录!U37</f>
        <v>0</v>
      </c>
      <c r="Q36" s="13">
        <f>敌人目录!V37</f>
        <v>4.0000000000000001E-3</v>
      </c>
      <c r="R36" s="13">
        <f>敌人目录!W37</f>
        <v>4.0000000000000001E-3</v>
      </c>
      <c r="S36" s="13">
        <f>敌人目录!X37</f>
        <v>4.0000000000000001E-3</v>
      </c>
      <c r="T36" s="13">
        <f>敌人目录!Y37</f>
        <v>0</v>
      </c>
      <c r="U36" s="13">
        <f>敌人目录!Z37</f>
        <v>2E-3</v>
      </c>
      <c r="V36" s="13">
        <f>敌人目录!N37</f>
        <v>5.6000000000000008E-2</v>
      </c>
      <c r="W36" s="13" t="str">
        <f>敌人目录!AA37</f>
        <v>可回读</v>
      </c>
      <c r="X36" s="13" t="str">
        <f>敌人目录!AC37</f>
        <v>res://resources/config/enemies/capoo_rpg.tres</v>
      </c>
    </row>
    <row r="37" spans="1:24" ht="16.5">
      <c r="A37" s="13">
        <v>3</v>
      </c>
      <c r="B37" s="13" t="str">
        <f>敌人目录!B38</f>
        <v>capoo_mage</v>
      </c>
      <c r="C37" s="13">
        <f>敌人目录!G38</f>
        <v>200</v>
      </c>
      <c r="D37" s="13">
        <f>敌人目录!H38</f>
        <v>35</v>
      </c>
      <c r="E37" s="13">
        <f>敌人目录!I38</f>
        <v>0</v>
      </c>
      <c r="F37" s="13">
        <f>敌人目录!J38</f>
        <v>0</v>
      </c>
      <c r="G37" s="13">
        <f>敌人目录!K38</f>
        <v>24</v>
      </c>
      <c r="H37" s="13">
        <f>敌人目录!L38</f>
        <v>5</v>
      </c>
      <c r="I37" s="13">
        <f>敌人目录!M38</f>
        <v>30</v>
      </c>
      <c r="J37" s="13">
        <f>敌人目录!O38</f>
        <v>0.02</v>
      </c>
      <c r="K37" s="13">
        <f>敌人目录!P38</f>
        <v>2E-3</v>
      </c>
      <c r="L37" s="13">
        <f>敌人目录!Q38</f>
        <v>0.01</v>
      </c>
      <c r="M37" s="13">
        <f>敌人目录!R38</f>
        <v>0.01</v>
      </c>
      <c r="N37" s="13">
        <f>敌人目录!S38</f>
        <v>0</v>
      </c>
      <c r="O37" s="13">
        <f>敌人目录!T38</f>
        <v>0</v>
      </c>
      <c r="P37" s="13">
        <f>敌人目录!U38</f>
        <v>0</v>
      </c>
      <c r="Q37" s="13">
        <f>敌人目录!V38</f>
        <v>4.0000000000000001E-3</v>
      </c>
      <c r="R37" s="13">
        <f>敌人目录!W38</f>
        <v>4.0000000000000001E-3</v>
      </c>
      <c r="S37" s="13">
        <f>敌人目录!X38</f>
        <v>4.0000000000000001E-3</v>
      </c>
      <c r="T37" s="13">
        <f>敌人目录!Y38</f>
        <v>0</v>
      </c>
      <c r="U37" s="13">
        <f>敌人目录!Z38</f>
        <v>2E-3</v>
      </c>
      <c r="V37" s="13">
        <f>敌人目录!N38</f>
        <v>5.6000000000000008E-2</v>
      </c>
      <c r="W37" s="13" t="str">
        <f>敌人目录!AA38</f>
        <v>可回读</v>
      </c>
      <c r="X37" s="13" t="str">
        <f>敌人目录!AC38</f>
        <v>res://resources/config/enemies/capoo_mage.tres</v>
      </c>
    </row>
    <row r="38" spans="1:24" ht="16.5">
      <c r="A38" s="13">
        <v>3</v>
      </c>
      <c r="B38" s="13" t="str">
        <f>敌人目录!B39</f>
        <v>capoo_sniper</v>
      </c>
      <c r="C38" s="13">
        <f>敌人目录!G39</f>
        <v>100</v>
      </c>
      <c r="D38" s="13">
        <f>敌人目录!H39</f>
        <v>200</v>
      </c>
      <c r="E38" s="13">
        <f>敌人目录!I39</f>
        <v>20</v>
      </c>
      <c r="F38" s="13">
        <f>敌人目录!J39</f>
        <v>0</v>
      </c>
      <c r="G38" s="13">
        <f>敌人目录!K39</f>
        <v>80</v>
      </c>
      <c r="H38" s="13">
        <f>敌人目录!L39</f>
        <v>2</v>
      </c>
      <c r="I38" s="13">
        <f>敌人目录!M39</f>
        <v>35</v>
      </c>
      <c r="J38" s="13">
        <f>敌人目录!O39</f>
        <v>0.02</v>
      </c>
      <c r="K38" s="13">
        <f>敌人目录!P39</f>
        <v>2E-3</v>
      </c>
      <c r="L38" s="13">
        <f>敌人目录!Q39</f>
        <v>0.01</v>
      </c>
      <c r="M38" s="13">
        <f>敌人目录!R39</f>
        <v>0.01</v>
      </c>
      <c r="N38" s="13">
        <f>敌人目录!S39</f>
        <v>0</v>
      </c>
      <c r="O38" s="13">
        <f>敌人目录!T39</f>
        <v>0</v>
      </c>
      <c r="P38" s="13">
        <f>敌人目录!U39</f>
        <v>0</v>
      </c>
      <c r="Q38" s="13">
        <f>敌人目录!V39</f>
        <v>4.0000000000000001E-3</v>
      </c>
      <c r="R38" s="13">
        <f>敌人目录!W39</f>
        <v>4.0000000000000001E-3</v>
      </c>
      <c r="S38" s="13">
        <f>敌人目录!X39</f>
        <v>4.0000000000000001E-3</v>
      </c>
      <c r="T38" s="13">
        <f>敌人目录!Y39</f>
        <v>0</v>
      </c>
      <c r="U38" s="13">
        <f>敌人目录!Z39</f>
        <v>2E-3</v>
      </c>
      <c r="V38" s="13">
        <f>敌人目录!N39</f>
        <v>5.6000000000000008E-2</v>
      </c>
      <c r="W38" s="13" t="str">
        <f>敌人目录!AA39</f>
        <v>可回读</v>
      </c>
      <c r="X38" s="13" t="str">
        <f>敌人目录!AC39</f>
        <v>res://resources/config/enemies/capoo_sniper.tres</v>
      </c>
    </row>
    <row r="39" spans="1:24" ht="16.5">
      <c r="A39" s="13">
        <v>3</v>
      </c>
      <c r="B39" s="13" t="str">
        <f>敌人目录!B40</f>
        <v>stone_eroded_capoo_knight</v>
      </c>
      <c r="C39" s="13">
        <f>敌人目录!G40</f>
        <v>400</v>
      </c>
      <c r="D39" s="13">
        <f>敌人目录!H40</f>
        <v>28</v>
      </c>
      <c r="E39" s="13">
        <f>敌人目录!I40</f>
        <v>150</v>
      </c>
      <c r="F39" s="13">
        <f>敌人目录!J40</f>
        <v>0</v>
      </c>
      <c r="G39" s="13">
        <f>敌人目录!K40</f>
        <v>34</v>
      </c>
      <c r="H39" s="13">
        <f>敌人目录!L40</f>
        <v>5</v>
      </c>
      <c r="I39" s="13">
        <f>敌人目录!M40</f>
        <v>20</v>
      </c>
      <c r="J39" s="13">
        <f>敌人目录!O40</f>
        <v>0.02</v>
      </c>
      <c r="K39" s="13">
        <f>敌人目录!P40</f>
        <v>2E-3</v>
      </c>
      <c r="L39" s="13">
        <f>敌人目录!Q40</f>
        <v>0.01</v>
      </c>
      <c r="M39" s="13">
        <f>敌人目录!R40</f>
        <v>0.01</v>
      </c>
      <c r="N39" s="13">
        <f>敌人目录!S40</f>
        <v>0</v>
      </c>
      <c r="O39" s="13">
        <f>敌人目录!T40</f>
        <v>0</v>
      </c>
      <c r="P39" s="13">
        <f>敌人目录!U40</f>
        <v>0</v>
      </c>
      <c r="Q39" s="13">
        <f>敌人目录!V40</f>
        <v>4.0000000000000001E-3</v>
      </c>
      <c r="R39" s="13">
        <f>敌人目录!W40</f>
        <v>4.0000000000000001E-3</v>
      </c>
      <c r="S39" s="13">
        <f>敌人目录!X40</f>
        <v>4.0000000000000001E-3</v>
      </c>
      <c r="T39" s="13">
        <f>敌人目录!Y40</f>
        <v>0</v>
      </c>
      <c r="U39" s="13">
        <f>敌人目录!Z40</f>
        <v>2E-3</v>
      </c>
      <c r="V39" s="13">
        <f>敌人目录!N40</f>
        <v>5.6000000000000008E-2</v>
      </c>
      <c r="W39" s="13" t="str">
        <f>敌人目录!AA40</f>
        <v>可回读</v>
      </c>
      <c r="X39" s="13" t="str">
        <f>敌人目录!AC40</f>
        <v>res://resources/config/enemies/stone_eroded_capoo_knight.tres</v>
      </c>
    </row>
    <row r="40" spans="1:24" ht="16.5">
      <c r="A40" s="13">
        <v>3</v>
      </c>
      <c r="B40" s="13" t="str">
        <f>敌人目录!B41</f>
        <v>stone_eroded_capoo_knight_elite</v>
      </c>
      <c r="C40" s="13">
        <f>敌人目录!G41</f>
        <v>700</v>
      </c>
      <c r="D40" s="13">
        <f>敌人目录!H41</f>
        <v>28</v>
      </c>
      <c r="E40" s="13">
        <f>敌人目录!I41</f>
        <v>150</v>
      </c>
      <c r="F40" s="13">
        <f>敌人目录!J41</f>
        <v>0</v>
      </c>
      <c r="G40" s="13">
        <f>敌人目录!K41</f>
        <v>34</v>
      </c>
      <c r="H40" s="13">
        <f>敌人目录!L41</f>
        <v>8</v>
      </c>
      <c r="I40" s="13">
        <f>敌人目录!M41</f>
        <v>20</v>
      </c>
      <c r="J40" s="13">
        <f>敌人目录!O41</f>
        <v>0.02</v>
      </c>
      <c r="K40" s="13">
        <f>敌人目录!P41</f>
        <v>2E-3</v>
      </c>
      <c r="L40" s="13">
        <f>敌人目录!Q41</f>
        <v>0.01</v>
      </c>
      <c r="M40" s="13">
        <f>敌人目录!R41</f>
        <v>0.01</v>
      </c>
      <c r="N40" s="13">
        <f>敌人目录!S41</f>
        <v>0</v>
      </c>
      <c r="O40" s="13">
        <f>敌人目录!T41</f>
        <v>0</v>
      </c>
      <c r="P40" s="13">
        <f>敌人目录!U41</f>
        <v>0</v>
      </c>
      <c r="Q40" s="13">
        <f>敌人目录!V41</f>
        <v>4.0000000000000001E-3</v>
      </c>
      <c r="R40" s="13">
        <f>敌人目录!W41</f>
        <v>4.0000000000000001E-3</v>
      </c>
      <c r="S40" s="13">
        <f>敌人目录!X41</f>
        <v>4.0000000000000001E-3</v>
      </c>
      <c r="T40" s="13">
        <f>敌人目录!Y41</f>
        <v>0</v>
      </c>
      <c r="U40" s="13">
        <f>敌人目录!Z41</f>
        <v>2E-3</v>
      </c>
      <c r="V40" s="13">
        <f>敌人目录!N41</f>
        <v>5.6000000000000008E-2</v>
      </c>
      <c r="W40" s="13" t="str">
        <f>敌人目录!AA41</f>
        <v>可回读</v>
      </c>
      <c r="X40" s="13" t="str">
        <f>敌人目录!AC41</f>
        <v>res://resources/config/enemies/stone_eroded_capoo_knight_elite.tres</v>
      </c>
    </row>
    <row r="41" spans="1:24" ht="16.5">
      <c r="A41" s="13">
        <v>3</v>
      </c>
      <c r="B41" s="13" t="str">
        <f>敌人目录!B42</f>
        <v>stone_eroded_capoo_swordsman</v>
      </c>
      <c r="C41" s="13">
        <f>敌人目录!G42</f>
        <v>800</v>
      </c>
      <c r="D41" s="13">
        <f>敌人目录!H42</f>
        <v>24</v>
      </c>
      <c r="E41" s="13">
        <f>敌人目录!I42</f>
        <v>150</v>
      </c>
      <c r="F41" s="13">
        <f>敌人目录!J42</f>
        <v>0</v>
      </c>
      <c r="G41" s="13">
        <f>敌人目录!K42</f>
        <v>38</v>
      </c>
      <c r="H41" s="13">
        <f>敌人目录!L42</f>
        <v>5</v>
      </c>
      <c r="I41" s="13">
        <f>敌人目录!M42</f>
        <v>20</v>
      </c>
      <c r="J41" s="13">
        <f>敌人目录!O42</f>
        <v>0.02</v>
      </c>
      <c r="K41" s="13">
        <f>敌人目录!P42</f>
        <v>2E-3</v>
      </c>
      <c r="L41" s="13">
        <f>敌人目录!Q42</f>
        <v>0.01</v>
      </c>
      <c r="M41" s="13">
        <f>敌人目录!R42</f>
        <v>0.01</v>
      </c>
      <c r="N41" s="13">
        <f>敌人目录!S42</f>
        <v>0</v>
      </c>
      <c r="O41" s="13">
        <f>敌人目录!T42</f>
        <v>0</v>
      </c>
      <c r="P41" s="13">
        <f>敌人目录!U42</f>
        <v>0</v>
      </c>
      <c r="Q41" s="13">
        <f>敌人目录!V42</f>
        <v>4.0000000000000001E-3</v>
      </c>
      <c r="R41" s="13">
        <f>敌人目录!W42</f>
        <v>4.0000000000000001E-3</v>
      </c>
      <c r="S41" s="13">
        <f>敌人目录!X42</f>
        <v>4.0000000000000001E-3</v>
      </c>
      <c r="T41" s="13">
        <f>敌人目录!Y42</f>
        <v>0</v>
      </c>
      <c r="U41" s="13">
        <f>敌人目录!Z42</f>
        <v>2E-3</v>
      </c>
      <c r="V41" s="13">
        <f>敌人目录!N42</f>
        <v>5.6000000000000008E-2</v>
      </c>
      <c r="W41" s="13" t="str">
        <f>敌人目录!AA42</f>
        <v>可回读</v>
      </c>
      <c r="X41" s="13" t="str">
        <f>敌人目录!AC42</f>
        <v>res://resources/config/enemies/stone_eroded_capoo_swordsman.tres</v>
      </c>
    </row>
    <row r="42" spans="1:24" ht="16.5">
      <c r="A42" s="13">
        <v>3</v>
      </c>
      <c r="B42" s="13" t="str">
        <f>敌人目录!B43</f>
        <v>stone_eroded_capoo_smg</v>
      </c>
      <c r="C42" s="13">
        <f>敌人目录!G43</f>
        <v>400</v>
      </c>
      <c r="D42" s="13">
        <f>敌人目录!H43</f>
        <v>30</v>
      </c>
      <c r="E42" s="13">
        <f>敌人目录!I43</f>
        <v>150</v>
      </c>
      <c r="F42" s="13">
        <f>敌人目录!J43</f>
        <v>0</v>
      </c>
      <c r="G42" s="13">
        <f>敌人目录!K43</f>
        <v>100</v>
      </c>
      <c r="H42" s="13">
        <f>敌人目录!L43</f>
        <v>2</v>
      </c>
      <c r="I42" s="13">
        <f>敌人目录!M43</f>
        <v>25</v>
      </c>
      <c r="J42" s="13">
        <f>敌人目录!O43</f>
        <v>0.02</v>
      </c>
      <c r="K42" s="13">
        <f>敌人目录!P43</f>
        <v>2E-3</v>
      </c>
      <c r="L42" s="13">
        <f>敌人目录!Q43</f>
        <v>0.01</v>
      </c>
      <c r="M42" s="13">
        <f>敌人目录!R43</f>
        <v>0.01</v>
      </c>
      <c r="N42" s="13">
        <f>敌人目录!S43</f>
        <v>0</v>
      </c>
      <c r="O42" s="13">
        <f>敌人目录!T43</f>
        <v>0</v>
      </c>
      <c r="P42" s="13">
        <f>敌人目录!U43</f>
        <v>0</v>
      </c>
      <c r="Q42" s="13">
        <f>敌人目录!V43</f>
        <v>4.0000000000000001E-3</v>
      </c>
      <c r="R42" s="13">
        <f>敌人目录!W43</f>
        <v>4.0000000000000001E-3</v>
      </c>
      <c r="S42" s="13">
        <f>敌人目录!X43</f>
        <v>4.0000000000000001E-3</v>
      </c>
      <c r="T42" s="13">
        <f>敌人目录!Y43</f>
        <v>0</v>
      </c>
      <c r="U42" s="13">
        <f>敌人目录!Z43</f>
        <v>2E-3</v>
      </c>
      <c r="V42" s="13">
        <f>敌人目录!N43</f>
        <v>5.6000000000000008E-2</v>
      </c>
      <c r="W42" s="13" t="str">
        <f>敌人目录!AA43</f>
        <v>可回读</v>
      </c>
      <c r="X42" s="13" t="str">
        <f>敌人目录!AC43</f>
        <v>res://resources/config/enemies/stone_eroded_capoo_smg.tres</v>
      </c>
    </row>
    <row r="43" spans="1:24" ht="16.5">
      <c r="A43" s="13">
        <v>3</v>
      </c>
      <c r="B43" s="13" t="str">
        <f>敌人目录!B44</f>
        <v>stone_eroded_capoo_ak47</v>
      </c>
      <c r="C43" s="13">
        <f>敌人目录!G44</f>
        <v>300</v>
      </c>
      <c r="D43" s="13">
        <f>敌人目录!H44</f>
        <v>20</v>
      </c>
      <c r="E43" s="13">
        <f>敌人目录!I44</f>
        <v>150</v>
      </c>
      <c r="F43" s="13">
        <f>敌人目录!J44</f>
        <v>0</v>
      </c>
      <c r="G43" s="13">
        <f>敌人目录!K44</f>
        <v>18</v>
      </c>
      <c r="H43" s="13">
        <f>敌人目录!L44</f>
        <v>2</v>
      </c>
      <c r="I43" s="13">
        <f>敌人目录!M44</f>
        <v>20</v>
      </c>
      <c r="J43" s="13">
        <f>敌人目录!O44</f>
        <v>0.02</v>
      </c>
      <c r="K43" s="13">
        <f>敌人目录!P44</f>
        <v>2E-3</v>
      </c>
      <c r="L43" s="13">
        <f>敌人目录!Q44</f>
        <v>0.01</v>
      </c>
      <c r="M43" s="13">
        <f>敌人目录!R44</f>
        <v>0.01</v>
      </c>
      <c r="N43" s="13">
        <f>敌人目录!S44</f>
        <v>0</v>
      </c>
      <c r="O43" s="13">
        <f>敌人目录!T44</f>
        <v>0</v>
      </c>
      <c r="P43" s="13">
        <f>敌人目录!U44</f>
        <v>0</v>
      </c>
      <c r="Q43" s="13">
        <f>敌人目录!V44</f>
        <v>4.0000000000000001E-3</v>
      </c>
      <c r="R43" s="13">
        <f>敌人目录!W44</f>
        <v>4.0000000000000001E-3</v>
      </c>
      <c r="S43" s="13">
        <f>敌人目录!X44</f>
        <v>4.0000000000000001E-3</v>
      </c>
      <c r="T43" s="13">
        <f>敌人目录!Y44</f>
        <v>0</v>
      </c>
      <c r="U43" s="13">
        <f>敌人目录!Z44</f>
        <v>2E-3</v>
      </c>
      <c r="V43" s="13">
        <f>敌人目录!N44</f>
        <v>5.6000000000000008E-2</v>
      </c>
      <c r="W43" s="13" t="str">
        <f>敌人目录!AA44</f>
        <v>可回读</v>
      </c>
      <c r="X43" s="13" t="str">
        <f>敌人目录!AC44</f>
        <v>res://resources/config/enemies/stone_eroded_capoo_ak47.tres</v>
      </c>
    </row>
    <row r="44" spans="1:24" ht="16.5">
      <c r="A44" s="13">
        <v>3</v>
      </c>
      <c r="B44" s="13" t="str">
        <f>敌人目录!B45</f>
        <v>stone_eroded_capoo_rpg</v>
      </c>
      <c r="C44" s="13">
        <f>敌人目录!G45</f>
        <v>400</v>
      </c>
      <c r="D44" s="13">
        <f>敌人目录!H45</f>
        <v>20</v>
      </c>
      <c r="E44" s="13">
        <f>敌人目录!I45</f>
        <v>150</v>
      </c>
      <c r="F44" s="13">
        <f>敌人目录!J45</f>
        <v>0</v>
      </c>
      <c r="G44" s="13">
        <f>敌人目录!K45</f>
        <v>16</v>
      </c>
      <c r="H44" s="13">
        <f>敌人目录!L45</f>
        <v>5</v>
      </c>
      <c r="I44" s="13">
        <f>敌人目录!M45</f>
        <v>24</v>
      </c>
      <c r="J44" s="13">
        <f>敌人目录!O45</f>
        <v>0.02</v>
      </c>
      <c r="K44" s="13">
        <f>敌人目录!P45</f>
        <v>2E-3</v>
      </c>
      <c r="L44" s="13">
        <f>敌人目录!Q45</f>
        <v>0.01</v>
      </c>
      <c r="M44" s="13">
        <f>敌人目录!R45</f>
        <v>0.01</v>
      </c>
      <c r="N44" s="13">
        <f>敌人目录!S45</f>
        <v>0</v>
      </c>
      <c r="O44" s="13">
        <f>敌人目录!T45</f>
        <v>0</v>
      </c>
      <c r="P44" s="13">
        <f>敌人目录!U45</f>
        <v>0</v>
      </c>
      <c r="Q44" s="13">
        <f>敌人目录!V45</f>
        <v>4.0000000000000001E-3</v>
      </c>
      <c r="R44" s="13">
        <f>敌人目录!W45</f>
        <v>4.0000000000000001E-3</v>
      </c>
      <c r="S44" s="13">
        <f>敌人目录!X45</f>
        <v>4.0000000000000001E-3</v>
      </c>
      <c r="T44" s="13">
        <f>敌人目录!Y45</f>
        <v>0</v>
      </c>
      <c r="U44" s="13">
        <f>敌人目录!Z45</f>
        <v>2E-3</v>
      </c>
      <c r="V44" s="13">
        <f>敌人目录!N45</f>
        <v>5.6000000000000008E-2</v>
      </c>
      <c r="W44" s="13" t="str">
        <f>敌人目录!AA45</f>
        <v>可回读</v>
      </c>
      <c r="X44" s="13" t="str">
        <f>敌人目录!AC45</f>
        <v>res://resources/config/enemies/stone_eroded_capoo_rpg.tres</v>
      </c>
    </row>
    <row r="45" spans="1:24" ht="16.5">
      <c r="A45" s="13">
        <v>3</v>
      </c>
      <c r="B45" s="13" t="str">
        <f>敌人目录!B46</f>
        <v>stone_eroded_capoo_mage</v>
      </c>
      <c r="C45" s="13">
        <f>敌人目录!G46</f>
        <v>400</v>
      </c>
      <c r="D45" s="13">
        <f>敌人目录!H46</f>
        <v>35</v>
      </c>
      <c r="E45" s="13">
        <f>敌人目录!I46</f>
        <v>150</v>
      </c>
      <c r="F45" s="13">
        <f>敌人目录!J46</f>
        <v>0</v>
      </c>
      <c r="G45" s="13">
        <f>敌人目录!K46</f>
        <v>24</v>
      </c>
      <c r="H45" s="13">
        <f>敌人目录!L46</f>
        <v>5</v>
      </c>
      <c r="I45" s="13">
        <f>敌人目录!M46</f>
        <v>30</v>
      </c>
      <c r="J45" s="13">
        <f>敌人目录!O46</f>
        <v>0.02</v>
      </c>
      <c r="K45" s="13">
        <f>敌人目录!P46</f>
        <v>2E-3</v>
      </c>
      <c r="L45" s="13">
        <f>敌人目录!Q46</f>
        <v>0.01</v>
      </c>
      <c r="M45" s="13">
        <f>敌人目录!R46</f>
        <v>0.01</v>
      </c>
      <c r="N45" s="13">
        <f>敌人目录!S46</f>
        <v>0</v>
      </c>
      <c r="O45" s="13">
        <f>敌人目录!T46</f>
        <v>0</v>
      </c>
      <c r="P45" s="13">
        <f>敌人目录!U46</f>
        <v>0</v>
      </c>
      <c r="Q45" s="13">
        <f>敌人目录!V46</f>
        <v>4.0000000000000001E-3</v>
      </c>
      <c r="R45" s="13">
        <f>敌人目录!W46</f>
        <v>4.0000000000000001E-3</v>
      </c>
      <c r="S45" s="13">
        <f>敌人目录!X46</f>
        <v>4.0000000000000001E-3</v>
      </c>
      <c r="T45" s="13">
        <f>敌人目录!Y46</f>
        <v>0</v>
      </c>
      <c r="U45" s="13">
        <f>敌人目录!Z46</f>
        <v>2E-3</v>
      </c>
      <c r="V45" s="13">
        <f>敌人目录!N46</f>
        <v>5.6000000000000008E-2</v>
      </c>
      <c r="W45" s="13" t="str">
        <f>敌人目录!AA46</f>
        <v>可回读</v>
      </c>
      <c r="X45" s="13" t="str">
        <f>敌人目录!AC46</f>
        <v>res://resources/config/enemies/stone_eroded_capoo_mage.tres</v>
      </c>
    </row>
    <row r="46" spans="1:24" ht="16.5">
      <c r="A46" s="13">
        <v>3</v>
      </c>
      <c r="B46" s="13" t="str">
        <f>敌人目录!B47</f>
        <v>stone_eroded_capoo_sniper</v>
      </c>
      <c r="C46" s="13">
        <f>敌人目录!G47</f>
        <v>200</v>
      </c>
      <c r="D46" s="13">
        <f>敌人目录!H47</f>
        <v>200</v>
      </c>
      <c r="E46" s="13">
        <f>敌人目录!I47</f>
        <v>150</v>
      </c>
      <c r="F46" s="13">
        <f>敌人目录!J47</f>
        <v>0</v>
      </c>
      <c r="G46" s="13">
        <f>敌人目录!K47</f>
        <v>80</v>
      </c>
      <c r="H46" s="13">
        <f>敌人目录!L47</f>
        <v>2</v>
      </c>
      <c r="I46" s="13">
        <f>敌人目录!M47</f>
        <v>35</v>
      </c>
      <c r="J46" s="13">
        <f>敌人目录!O47</f>
        <v>0.02</v>
      </c>
      <c r="K46" s="13">
        <f>敌人目录!P47</f>
        <v>2E-3</v>
      </c>
      <c r="L46" s="13">
        <f>敌人目录!Q47</f>
        <v>0.01</v>
      </c>
      <c r="M46" s="13">
        <f>敌人目录!R47</f>
        <v>0.01</v>
      </c>
      <c r="N46" s="13">
        <f>敌人目录!S47</f>
        <v>0</v>
      </c>
      <c r="O46" s="13">
        <f>敌人目录!T47</f>
        <v>0</v>
      </c>
      <c r="P46" s="13">
        <f>敌人目录!U47</f>
        <v>0</v>
      </c>
      <c r="Q46" s="13">
        <f>敌人目录!V47</f>
        <v>4.0000000000000001E-3</v>
      </c>
      <c r="R46" s="13">
        <f>敌人目录!W47</f>
        <v>4.0000000000000001E-3</v>
      </c>
      <c r="S46" s="13">
        <f>敌人目录!X47</f>
        <v>4.0000000000000001E-3</v>
      </c>
      <c r="T46" s="13">
        <f>敌人目录!Y47</f>
        <v>0</v>
      </c>
      <c r="U46" s="13">
        <f>敌人目录!Z47</f>
        <v>2E-3</v>
      </c>
      <c r="V46" s="13">
        <f>敌人目录!N47</f>
        <v>5.6000000000000008E-2</v>
      </c>
      <c r="W46" s="13" t="str">
        <f>敌人目录!AA47</f>
        <v>可回读</v>
      </c>
      <c r="X46" s="13" t="str">
        <f>敌人目录!AC47</f>
        <v>res://resources/config/enemies/stone_eroded_capoo_sniper.tres</v>
      </c>
    </row>
    <row r="47" spans="1:24" ht="16.5">
      <c r="A47" s="13">
        <v>3</v>
      </c>
      <c r="B47" s="13" t="str">
        <f>敌人目录!B48</f>
        <v>fire_sorcerer</v>
      </c>
      <c r="C47" s="13">
        <f>敌人目录!G48</f>
        <v>200</v>
      </c>
      <c r="D47" s="13">
        <f>敌人目录!H48</f>
        <v>40</v>
      </c>
      <c r="E47" s="13">
        <f>敌人目录!I48</f>
        <v>20</v>
      </c>
      <c r="F47" s="13">
        <f>敌人目录!J48</f>
        <v>80</v>
      </c>
      <c r="G47" s="13">
        <f>敌人目录!K48</f>
        <v>24</v>
      </c>
      <c r="H47" s="13">
        <f>敌人目录!L48</f>
        <v>5</v>
      </c>
      <c r="I47" s="13">
        <f>敌人目录!M48</f>
        <v>35</v>
      </c>
      <c r="J47" s="13">
        <f>敌人目录!O48</f>
        <v>0.02</v>
      </c>
      <c r="K47" s="13">
        <f>敌人目录!P48</f>
        <v>2E-3</v>
      </c>
      <c r="L47" s="13">
        <f>敌人目录!Q48</f>
        <v>0.01</v>
      </c>
      <c r="M47" s="13">
        <f>敌人目录!R48</f>
        <v>0</v>
      </c>
      <c r="N47" s="13">
        <f>敌人目录!S48</f>
        <v>0.01</v>
      </c>
      <c r="O47" s="13">
        <f>敌人目录!T48</f>
        <v>0</v>
      </c>
      <c r="P47" s="13">
        <f>敌人目录!U48</f>
        <v>0</v>
      </c>
      <c r="Q47" s="13">
        <f>敌人目录!V48</f>
        <v>4.0000000000000001E-3</v>
      </c>
      <c r="R47" s="13">
        <f>敌人目录!W48</f>
        <v>4.0000000000000001E-3</v>
      </c>
      <c r="S47" s="13">
        <f>敌人目录!X48</f>
        <v>4.0000000000000001E-3</v>
      </c>
      <c r="T47" s="13">
        <f>敌人目录!Y48</f>
        <v>0</v>
      </c>
      <c r="U47" s="13">
        <f>敌人目录!Z48</f>
        <v>2E-3</v>
      </c>
      <c r="V47" s="13">
        <f>敌人目录!N48</f>
        <v>5.6000000000000008E-2</v>
      </c>
      <c r="W47" s="13" t="str">
        <f>敌人目录!AA48</f>
        <v>可回读</v>
      </c>
      <c r="X47" s="13" t="str">
        <f>敌人目录!AC48</f>
        <v>res://resources/config/enemies/fire_sorcerer.tres</v>
      </c>
    </row>
    <row r="48" spans="1:24" ht="16.5">
      <c r="A48" s="13">
        <v>3</v>
      </c>
      <c r="B48" s="13" t="str">
        <f>敌人目录!B49</f>
        <v>fire_sorcerer_elite</v>
      </c>
      <c r="C48" s="13">
        <f>敌人目录!G49</f>
        <v>300</v>
      </c>
      <c r="D48" s="13">
        <f>敌人目录!H49</f>
        <v>70</v>
      </c>
      <c r="E48" s="13">
        <f>敌人目录!I49</f>
        <v>40</v>
      </c>
      <c r="F48" s="13">
        <f>敌人目录!J49</f>
        <v>80</v>
      </c>
      <c r="G48" s="13">
        <f>敌人目录!K49</f>
        <v>24</v>
      </c>
      <c r="H48" s="13">
        <f>敌人目录!L49</f>
        <v>5</v>
      </c>
      <c r="I48" s="13">
        <f>敌人目录!M49</f>
        <v>35</v>
      </c>
      <c r="J48" s="13">
        <f>敌人目录!O49</f>
        <v>0.02</v>
      </c>
      <c r="K48" s="13">
        <f>敌人目录!P49</f>
        <v>2E-3</v>
      </c>
      <c r="L48" s="13">
        <f>敌人目录!Q49</f>
        <v>0.01</v>
      </c>
      <c r="M48" s="13">
        <f>敌人目录!R49</f>
        <v>0</v>
      </c>
      <c r="N48" s="13">
        <f>敌人目录!S49</f>
        <v>0.01</v>
      </c>
      <c r="O48" s="13">
        <f>敌人目录!T49</f>
        <v>0</v>
      </c>
      <c r="P48" s="13">
        <f>敌人目录!U49</f>
        <v>0</v>
      </c>
      <c r="Q48" s="13">
        <f>敌人目录!V49</f>
        <v>4.0000000000000001E-3</v>
      </c>
      <c r="R48" s="13">
        <f>敌人目录!W49</f>
        <v>4.0000000000000001E-3</v>
      </c>
      <c r="S48" s="13">
        <f>敌人目录!X49</f>
        <v>4.0000000000000001E-3</v>
      </c>
      <c r="T48" s="13">
        <f>敌人目录!Y49</f>
        <v>0</v>
      </c>
      <c r="U48" s="13">
        <f>敌人目录!Z49</f>
        <v>2E-3</v>
      </c>
      <c r="V48" s="13">
        <f>敌人目录!N49</f>
        <v>5.6000000000000008E-2</v>
      </c>
      <c r="W48" s="13" t="str">
        <f>敌人目录!AA49</f>
        <v>可回读</v>
      </c>
      <c r="X48" s="13" t="str">
        <f>敌人目录!AC49</f>
        <v>res://resources/config/enemies/fire_sorcerer_elite.tres</v>
      </c>
    </row>
    <row r="49" spans="1:24" ht="16.5">
      <c r="A49" s="13">
        <v>3</v>
      </c>
      <c r="B49" s="13" t="str">
        <f>敌人目录!B50</f>
        <v>frost_sorcerer</v>
      </c>
      <c r="C49" s="13">
        <f>敌人目录!G50</f>
        <v>200</v>
      </c>
      <c r="D49" s="13">
        <f>敌人目录!H50</f>
        <v>50</v>
      </c>
      <c r="E49" s="13">
        <f>敌人目录!I50</f>
        <v>20</v>
      </c>
      <c r="F49" s="13">
        <f>敌人目录!J50</f>
        <v>80</v>
      </c>
      <c r="G49" s="13">
        <f>敌人目录!K50</f>
        <v>24</v>
      </c>
      <c r="H49" s="13">
        <f>敌人目录!L50</f>
        <v>5</v>
      </c>
      <c r="I49" s="13">
        <f>敌人目录!M50</f>
        <v>35</v>
      </c>
      <c r="J49" s="13">
        <f>敌人目录!O50</f>
        <v>0.02</v>
      </c>
      <c r="K49" s="13">
        <f>敌人目录!P50</f>
        <v>2E-3</v>
      </c>
      <c r="L49" s="13">
        <f>敌人目录!Q50</f>
        <v>0.01</v>
      </c>
      <c r="M49" s="13">
        <f>敌人目录!R50</f>
        <v>0</v>
      </c>
      <c r="N49" s="13">
        <f>敌人目录!S50</f>
        <v>0.01</v>
      </c>
      <c r="O49" s="13">
        <f>敌人目录!T50</f>
        <v>0</v>
      </c>
      <c r="P49" s="13">
        <f>敌人目录!U50</f>
        <v>0</v>
      </c>
      <c r="Q49" s="13">
        <f>敌人目录!V50</f>
        <v>4.0000000000000001E-3</v>
      </c>
      <c r="R49" s="13">
        <f>敌人目录!W50</f>
        <v>4.0000000000000001E-3</v>
      </c>
      <c r="S49" s="13">
        <f>敌人目录!X50</f>
        <v>4.0000000000000001E-3</v>
      </c>
      <c r="T49" s="13">
        <f>敌人目录!Y50</f>
        <v>0</v>
      </c>
      <c r="U49" s="13">
        <f>敌人目录!Z50</f>
        <v>2E-3</v>
      </c>
      <c r="V49" s="13">
        <f>敌人目录!N50</f>
        <v>5.6000000000000008E-2</v>
      </c>
      <c r="W49" s="13" t="str">
        <f>敌人目录!AA50</f>
        <v>可回读</v>
      </c>
      <c r="X49" s="13" t="str">
        <f>敌人目录!AC50</f>
        <v>res://resources/config/enemies/frost_sorcerer.tres</v>
      </c>
    </row>
    <row r="50" spans="1:24" ht="16.5">
      <c r="A50" s="13">
        <v>3</v>
      </c>
      <c r="B50" s="13" t="str">
        <f>敌人目录!B51</f>
        <v>frost_sorcerer_elite</v>
      </c>
      <c r="C50" s="13">
        <f>敌人目录!G51</f>
        <v>300</v>
      </c>
      <c r="D50" s="13">
        <f>敌人目录!H51</f>
        <v>80</v>
      </c>
      <c r="E50" s="13">
        <f>敌人目录!I51</f>
        <v>20</v>
      </c>
      <c r="F50" s="13">
        <f>敌人目录!J51</f>
        <v>80</v>
      </c>
      <c r="G50" s="13">
        <f>敌人目录!K51</f>
        <v>24</v>
      </c>
      <c r="H50" s="13">
        <f>敌人目录!L51</f>
        <v>5</v>
      </c>
      <c r="I50" s="13">
        <f>敌人目录!M51</f>
        <v>35</v>
      </c>
      <c r="J50" s="13">
        <f>敌人目录!O51</f>
        <v>0.02</v>
      </c>
      <c r="K50" s="13">
        <f>敌人目录!P51</f>
        <v>2E-3</v>
      </c>
      <c r="L50" s="13">
        <f>敌人目录!Q51</f>
        <v>0.01</v>
      </c>
      <c r="M50" s="13">
        <f>敌人目录!R51</f>
        <v>0</v>
      </c>
      <c r="N50" s="13">
        <f>敌人目录!S51</f>
        <v>0.01</v>
      </c>
      <c r="O50" s="13">
        <f>敌人目录!T51</f>
        <v>0</v>
      </c>
      <c r="P50" s="13">
        <f>敌人目录!U51</f>
        <v>0</v>
      </c>
      <c r="Q50" s="13">
        <f>敌人目录!V51</f>
        <v>4.0000000000000001E-3</v>
      </c>
      <c r="R50" s="13">
        <f>敌人目录!W51</f>
        <v>4.0000000000000001E-3</v>
      </c>
      <c r="S50" s="13">
        <f>敌人目录!X51</f>
        <v>4.0000000000000001E-3</v>
      </c>
      <c r="T50" s="13">
        <f>敌人目录!Y51</f>
        <v>0</v>
      </c>
      <c r="U50" s="13">
        <f>敌人目录!Z51</f>
        <v>2E-3</v>
      </c>
      <c r="V50" s="13">
        <f>敌人目录!N51</f>
        <v>5.6000000000000008E-2</v>
      </c>
      <c r="W50" s="13" t="str">
        <f>敌人目录!AA51</f>
        <v>可回读</v>
      </c>
      <c r="X50" s="13" t="str">
        <f>敌人目录!AC51</f>
        <v>res://resources/config/enemies/frost_sorcerer_elite.tres</v>
      </c>
    </row>
    <row r="51" spans="1:24" ht="16.5">
      <c r="A51" s="13">
        <v>3</v>
      </c>
      <c r="B51" s="13" t="str">
        <f>敌人目录!B52</f>
        <v>lightning_sorcerer</v>
      </c>
      <c r="C51" s="13">
        <f>敌人目录!G52</f>
        <v>200</v>
      </c>
      <c r="D51" s="13">
        <f>敌人目录!H52</f>
        <v>50</v>
      </c>
      <c r="E51" s="13">
        <f>敌人目录!I52</f>
        <v>20</v>
      </c>
      <c r="F51" s="13">
        <f>敌人目录!J52</f>
        <v>80</v>
      </c>
      <c r="G51" s="13">
        <f>敌人目录!K52</f>
        <v>24</v>
      </c>
      <c r="H51" s="13">
        <f>敌人目录!L52</f>
        <v>5</v>
      </c>
      <c r="I51" s="13">
        <f>敌人目录!M52</f>
        <v>35</v>
      </c>
      <c r="J51" s="13">
        <f>敌人目录!O52</f>
        <v>0.02</v>
      </c>
      <c r="K51" s="13">
        <f>敌人目录!P52</f>
        <v>2E-3</v>
      </c>
      <c r="L51" s="13">
        <f>敌人目录!Q52</f>
        <v>0.01</v>
      </c>
      <c r="M51" s="13">
        <f>敌人目录!R52</f>
        <v>0</v>
      </c>
      <c r="N51" s="13">
        <f>敌人目录!S52</f>
        <v>0.01</v>
      </c>
      <c r="O51" s="13">
        <f>敌人目录!T52</f>
        <v>0</v>
      </c>
      <c r="P51" s="13">
        <f>敌人目录!U52</f>
        <v>0</v>
      </c>
      <c r="Q51" s="13">
        <f>敌人目录!V52</f>
        <v>4.0000000000000001E-3</v>
      </c>
      <c r="R51" s="13">
        <f>敌人目录!W52</f>
        <v>4.0000000000000001E-3</v>
      </c>
      <c r="S51" s="13">
        <f>敌人目录!X52</f>
        <v>4.0000000000000001E-3</v>
      </c>
      <c r="T51" s="13">
        <f>敌人目录!Y52</f>
        <v>0</v>
      </c>
      <c r="U51" s="13">
        <f>敌人目录!Z52</f>
        <v>2E-3</v>
      </c>
      <c r="V51" s="13">
        <f>敌人目录!N52</f>
        <v>5.6000000000000008E-2</v>
      </c>
      <c r="W51" s="13" t="str">
        <f>敌人目录!AA52</f>
        <v>可回读</v>
      </c>
      <c r="X51" s="13" t="str">
        <f>敌人目录!AC52</f>
        <v>res://resources/config/enemies/lightning_sorcerer.tres</v>
      </c>
    </row>
    <row r="52" spans="1:24" ht="16.5">
      <c r="A52" s="13">
        <v>3</v>
      </c>
      <c r="B52" s="13" t="str">
        <f>敌人目录!B53</f>
        <v>lightning_sorcerer_elite</v>
      </c>
      <c r="C52" s="13">
        <f>敌人目录!G53</f>
        <v>300</v>
      </c>
      <c r="D52" s="13">
        <f>敌人目录!H53</f>
        <v>80</v>
      </c>
      <c r="E52" s="13">
        <f>敌人目录!I53</f>
        <v>20</v>
      </c>
      <c r="F52" s="13">
        <f>敌人目录!J53</f>
        <v>80</v>
      </c>
      <c r="G52" s="13">
        <f>敌人目录!K53</f>
        <v>24</v>
      </c>
      <c r="H52" s="13">
        <f>敌人目录!L53</f>
        <v>5</v>
      </c>
      <c r="I52" s="13">
        <f>敌人目录!M53</f>
        <v>35</v>
      </c>
      <c r="J52" s="13">
        <f>敌人目录!O53</f>
        <v>0.02</v>
      </c>
      <c r="K52" s="13">
        <f>敌人目录!P53</f>
        <v>2E-3</v>
      </c>
      <c r="L52" s="13">
        <f>敌人目录!Q53</f>
        <v>0.01</v>
      </c>
      <c r="M52" s="13">
        <f>敌人目录!R53</f>
        <v>0</v>
      </c>
      <c r="N52" s="13">
        <f>敌人目录!S53</f>
        <v>0.01</v>
      </c>
      <c r="O52" s="13">
        <f>敌人目录!T53</f>
        <v>0</v>
      </c>
      <c r="P52" s="13">
        <f>敌人目录!U53</f>
        <v>0</v>
      </c>
      <c r="Q52" s="13">
        <f>敌人目录!V53</f>
        <v>4.0000000000000001E-3</v>
      </c>
      <c r="R52" s="13">
        <f>敌人目录!W53</f>
        <v>4.0000000000000001E-3</v>
      </c>
      <c r="S52" s="13">
        <f>敌人目录!X53</f>
        <v>4.0000000000000001E-3</v>
      </c>
      <c r="T52" s="13">
        <f>敌人目录!Y53</f>
        <v>0</v>
      </c>
      <c r="U52" s="13">
        <f>敌人目录!Z53</f>
        <v>2E-3</v>
      </c>
      <c r="V52" s="13">
        <f>敌人目录!N53</f>
        <v>5.6000000000000008E-2</v>
      </c>
      <c r="W52" s="13" t="str">
        <f>敌人目录!AA53</f>
        <v>可回读</v>
      </c>
      <c r="X52" s="13" t="str">
        <f>敌人目录!AC53</f>
        <v>res://resources/config/enemies/lightning_sorcerer_elite.tres</v>
      </c>
    </row>
    <row r="53" spans="1:24" ht="16.5">
      <c r="A53" s="13">
        <v>3</v>
      </c>
      <c r="B53" s="13" t="str">
        <f>敌人目录!B54</f>
        <v>stone_golem</v>
      </c>
      <c r="C53" s="13">
        <f>敌人目录!G54</f>
        <v>1000</v>
      </c>
      <c r="D53" s="13">
        <f>敌人目录!H54</f>
        <v>100</v>
      </c>
      <c r="E53" s="13">
        <f>敌人目录!I54</f>
        <v>50</v>
      </c>
      <c r="F53" s="13">
        <f>敌人目录!J54</f>
        <v>0</v>
      </c>
      <c r="G53" s="13">
        <f>敌人目录!K54</f>
        <v>15</v>
      </c>
      <c r="H53" s="13">
        <f>敌人目录!L54</f>
        <v>25</v>
      </c>
      <c r="I53" s="13">
        <f>敌人目录!M54</f>
        <v>50</v>
      </c>
      <c r="J53" s="13">
        <f>敌人目录!O54</f>
        <v>0.02</v>
      </c>
      <c r="K53" s="13">
        <f>敌人目录!P54</f>
        <v>2E-3</v>
      </c>
      <c r="L53" s="13">
        <f>敌人目录!Q54</f>
        <v>0.01</v>
      </c>
      <c r="M53" s="13">
        <f>敌人目录!R54</f>
        <v>0</v>
      </c>
      <c r="N53" s="13">
        <f>敌人目录!S54</f>
        <v>0</v>
      </c>
      <c r="O53" s="13">
        <f>敌人目录!T54</f>
        <v>0</v>
      </c>
      <c r="P53" s="13">
        <f>敌人目录!U54</f>
        <v>0.5</v>
      </c>
      <c r="Q53" s="13">
        <f>敌人目录!V54</f>
        <v>4.0000000000000001E-3</v>
      </c>
      <c r="R53" s="13">
        <f>敌人目录!W54</f>
        <v>4.0000000000000001E-3</v>
      </c>
      <c r="S53" s="13">
        <f>敌人目录!X54</f>
        <v>4.0000000000000001E-3</v>
      </c>
      <c r="T53" s="13">
        <f>敌人目录!Y54</f>
        <v>0</v>
      </c>
      <c r="U53" s="13">
        <f>敌人目录!Z54</f>
        <v>2E-3</v>
      </c>
      <c r="V53" s="13">
        <f>敌人目录!N54</f>
        <v>0.54600000000000004</v>
      </c>
      <c r="W53" s="13" t="str">
        <f>敌人目录!AA54</f>
        <v>可回读</v>
      </c>
      <c r="X53" s="13" t="str">
        <f>敌人目录!AC54</f>
        <v>res://resources/config/enemies/stone_golem.tres</v>
      </c>
    </row>
    <row r="54" spans="1:24" ht="16.5">
      <c r="A54" s="25">
        <v>3</v>
      </c>
      <c r="B54" s="25" t="str">
        <f>敌人目录!B55</f>
        <v>stone_golem_elite</v>
      </c>
      <c r="C54" s="25">
        <f>敌人目录!G55</f>
        <v>1800</v>
      </c>
      <c r="D54" s="25">
        <f>敌人目录!H55</f>
        <v>150</v>
      </c>
      <c r="E54" s="25">
        <f>敌人目录!I55</f>
        <v>75</v>
      </c>
      <c r="F54" s="25">
        <f>敌人目录!J55</f>
        <v>0</v>
      </c>
      <c r="G54" s="25">
        <f>敌人目录!K55</f>
        <v>15</v>
      </c>
      <c r="H54" s="25">
        <f>敌人目录!L55</f>
        <v>25</v>
      </c>
      <c r="I54" s="25">
        <f>敌人目录!M55</f>
        <v>50</v>
      </c>
      <c r="J54" s="25">
        <f>敌人目录!O55</f>
        <v>0.02</v>
      </c>
      <c r="K54" s="25">
        <f>敌人目录!P55</f>
        <v>2E-3</v>
      </c>
      <c r="L54" s="25">
        <f>敌人目录!Q55</f>
        <v>0.01</v>
      </c>
      <c r="M54" s="25">
        <f>敌人目录!R55</f>
        <v>0</v>
      </c>
      <c r="N54" s="25">
        <f>敌人目录!S55</f>
        <v>0</v>
      </c>
      <c r="O54" s="25">
        <f>敌人目录!T55</f>
        <v>0</v>
      </c>
      <c r="P54" s="25">
        <f>敌人目录!U55</f>
        <v>0.5</v>
      </c>
      <c r="Q54" s="25">
        <f>敌人目录!V55</f>
        <v>4.0000000000000001E-3</v>
      </c>
      <c r="R54" s="25">
        <f>敌人目录!W55</f>
        <v>4.0000000000000001E-3</v>
      </c>
      <c r="S54" s="25">
        <f>敌人目录!X55</f>
        <v>4.0000000000000001E-3</v>
      </c>
      <c r="T54" s="25">
        <f>敌人目录!Y55</f>
        <v>0</v>
      </c>
      <c r="U54" s="25">
        <f>敌人目录!Z55</f>
        <v>2E-3</v>
      </c>
      <c r="V54" s="25">
        <f>敌人目录!N55</f>
        <v>0.54600000000000004</v>
      </c>
      <c r="W54" s="25" t="str">
        <f>敌人目录!AA55</f>
        <v>可回读</v>
      </c>
      <c r="X54" s="25" t="str">
        <f>敌人目录!AC55</f>
        <v>res://resources/config/enemies/stone_golem_elite.tres</v>
      </c>
    </row>
    <row r="55" spans="1:24" ht="16.5">
      <c r="A55" s="25">
        <v>3</v>
      </c>
      <c r="B55" s="25" t="str">
        <f>敌人目录!B56</f>
        <v>cardboard_monster</v>
      </c>
      <c r="C55" s="25">
        <f>敌人目录!G56</f>
        <v>6</v>
      </c>
      <c r="D55" s="25">
        <f>敌人目录!H56</f>
        <v>25</v>
      </c>
      <c r="E55" s="25">
        <f>敌人目录!I56</f>
        <v>0</v>
      </c>
      <c r="F55" s="25">
        <f>敌人目录!J56</f>
        <v>0</v>
      </c>
      <c r="G55" s="25">
        <f>敌人目录!K56</f>
        <v>32</v>
      </c>
      <c r="H55" s="25">
        <f>敌人目录!L56</f>
        <v>1</v>
      </c>
      <c r="I55" s="25">
        <f>敌人目录!M56</f>
        <v>3</v>
      </c>
      <c r="J55" s="25">
        <f>敌人目录!O56</f>
        <v>0.02</v>
      </c>
      <c r="K55" s="25">
        <f>敌人目录!P56</f>
        <v>2E-3</v>
      </c>
      <c r="L55" s="25">
        <f>敌人目录!Q56</f>
        <v>0.01</v>
      </c>
      <c r="M55" s="25">
        <f>敌人目录!R56</f>
        <v>0</v>
      </c>
      <c r="N55" s="25">
        <f>敌人目录!S56</f>
        <v>0</v>
      </c>
      <c r="O55" s="25">
        <f>敌人目录!T56</f>
        <v>0</v>
      </c>
      <c r="P55" s="25">
        <f>敌人目录!U56</f>
        <v>0</v>
      </c>
      <c r="Q55" s="25">
        <f>敌人目录!V56</f>
        <v>4.0000000000000001E-3</v>
      </c>
      <c r="R55" s="25">
        <f>敌人目录!W56</f>
        <v>4.0000000000000001E-3</v>
      </c>
      <c r="S55" s="25">
        <f>敌人目录!X56</f>
        <v>4.0000000000000001E-3</v>
      </c>
      <c r="T55" s="25">
        <f>敌人目录!Y56</f>
        <v>0</v>
      </c>
      <c r="U55" s="25">
        <f>敌人目录!Z56</f>
        <v>2E-3</v>
      </c>
      <c r="V55" s="25">
        <f>敌人目录!N56</f>
        <v>4.6000000000000013E-2</v>
      </c>
      <c r="W55" s="25" t="str">
        <f>敌人目录!AA56</f>
        <v>可回读</v>
      </c>
      <c r="X55" s="25" t="str">
        <f>敌人目录!AC56</f>
        <v>res://resources/config/enemies/cardboard_monster.tres</v>
      </c>
    </row>
    <row r="56" spans="1:24" ht="16.5">
      <c r="A56" s="25">
        <v>3</v>
      </c>
      <c r="B56" s="25" t="str">
        <f>敌人目录!B57</f>
        <v>cardboard_monster_large</v>
      </c>
      <c r="C56" s="25">
        <f>敌人目录!G57</f>
        <v>15</v>
      </c>
      <c r="D56" s="25">
        <f>敌人目录!H57</f>
        <v>40</v>
      </c>
      <c r="E56" s="25">
        <f>敌人目录!I57</f>
        <v>0</v>
      </c>
      <c r="F56" s="25">
        <f>敌人目录!J57</f>
        <v>0</v>
      </c>
      <c r="G56" s="25">
        <f>敌人目录!K57</f>
        <v>22</v>
      </c>
      <c r="H56" s="25">
        <f>敌人目录!L57</f>
        <v>2</v>
      </c>
      <c r="I56" s="25">
        <f>敌人目录!M57</f>
        <v>6</v>
      </c>
      <c r="J56" s="25">
        <f>敌人目录!O57</f>
        <v>0.02</v>
      </c>
      <c r="K56" s="25">
        <f>敌人目录!P57</f>
        <v>2E-3</v>
      </c>
      <c r="L56" s="25">
        <f>敌人目录!Q57</f>
        <v>0.01</v>
      </c>
      <c r="M56" s="25">
        <f>敌人目录!R57</f>
        <v>0</v>
      </c>
      <c r="N56" s="25">
        <f>敌人目录!S57</f>
        <v>0</v>
      </c>
      <c r="O56" s="25">
        <f>敌人目录!T57</f>
        <v>0</v>
      </c>
      <c r="P56" s="25">
        <f>敌人目录!U57</f>
        <v>0</v>
      </c>
      <c r="Q56" s="25">
        <f>敌人目录!V57</f>
        <v>4.0000000000000001E-3</v>
      </c>
      <c r="R56" s="25">
        <f>敌人目录!W57</f>
        <v>4.0000000000000001E-3</v>
      </c>
      <c r="S56" s="25">
        <f>敌人目录!X57</f>
        <v>4.0000000000000001E-3</v>
      </c>
      <c r="T56" s="25">
        <f>敌人目录!Y57</f>
        <v>0</v>
      </c>
      <c r="U56" s="25">
        <f>敌人目录!Z57</f>
        <v>2E-3</v>
      </c>
      <c r="V56" s="25">
        <f>敌人目录!N57</f>
        <v>4.6000000000000013E-2</v>
      </c>
      <c r="W56" s="25" t="str">
        <f>敌人目录!AA57</f>
        <v>可回读</v>
      </c>
      <c r="X56" s="25" t="str">
        <f>敌人目录!AC57</f>
        <v>res://resources/config/enemies/cardboard_monster_large.tres</v>
      </c>
    </row>
    <row r="57" spans="1:24" ht="16.5">
      <c r="A57" s="25">
        <v>3</v>
      </c>
      <c r="B57" s="25" t="str">
        <f>敌人目录!B58</f>
        <v>combat_robot</v>
      </c>
      <c r="C57" s="25">
        <f>敌人目录!G58</f>
        <v>180</v>
      </c>
      <c r="D57" s="25">
        <f>敌人目录!H58</f>
        <v>35</v>
      </c>
      <c r="E57" s="25">
        <f>敌人目录!I58</f>
        <v>15</v>
      </c>
      <c r="F57" s="25">
        <f>敌人目录!J58</f>
        <v>20</v>
      </c>
      <c r="G57" s="25">
        <f>敌人目录!K58</f>
        <v>30</v>
      </c>
      <c r="H57" s="25">
        <f>敌人目录!L58</f>
        <v>2</v>
      </c>
      <c r="I57" s="25">
        <f>敌人目录!M58</f>
        <v>10</v>
      </c>
      <c r="J57" s="25">
        <f>敌人目录!O58</f>
        <v>0.02</v>
      </c>
      <c r="K57" s="25">
        <f>敌人目录!P58</f>
        <v>2E-3</v>
      </c>
      <c r="L57" s="25">
        <f>敌人目录!Q58</f>
        <v>0.01</v>
      </c>
      <c r="M57" s="25">
        <f>敌人目录!R58</f>
        <v>0</v>
      </c>
      <c r="N57" s="25">
        <f>敌人目录!S58</f>
        <v>0</v>
      </c>
      <c r="O57" s="25">
        <f>敌人目录!T58</f>
        <v>0</v>
      </c>
      <c r="P57" s="25">
        <f>敌人目录!U58</f>
        <v>0</v>
      </c>
      <c r="Q57" s="25">
        <f>敌人目录!V58</f>
        <v>4.0000000000000001E-3</v>
      </c>
      <c r="R57" s="25">
        <f>敌人目录!W58</f>
        <v>4.0000000000000001E-3</v>
      </c>
      <c r="S57" s="25">
        <f>敌人目录!X58</f>
        <v>4.0000000000000001E-3</v>
      </c>
      <c r="T57" s="25">
        <f>敌人目录!Y58</f>
        <v>0</v>
      </c>
      <c r="U57" s="25">
        <f>敌人目录!Z58</f>
        <v>2E-3</v>
      </c>
      <c r="V57" s="25">
        <f>敌人目录!N58</f>
        <v>4.6000000000000013E-2</v>
      </c>
      <c r="W57" s="25" t="str">
        <f>敌人目录!AA58</f>
        <v>可回读</v>
      </c>
      <c r="X57" s="25" t="str">
        <f>敌人目录!AC58</f>
        <v>res://resources/config/enemies/combat_robot.tres</v>
      </c>
    </row>
    <row r="58" spans="1:24" ht="16.5">
      <c r="A58" s="25">
        <v>3</v>
      </c>
      <c r="B58" s="25" t="str">
        <f>敌人目录!B59</f>
        <v>combat_robot_elite</v>
      </c>
      <c r="C58" s="25">
        <f>敌人目录!G59</f>
        <v>360</v>
      </c>
      <c r="D58" s="25">
        <f>敌人目录!H59</f>
        <v>70</v>
      </c>
      <c r="E58" s="25">
        <f>敌人目录!I59</f>
        <v>15</v>
      </c>
      <c r="F58" s="25">
        <f>敌人目录!J59</f>
        <v>20</v>
      </c>
      <c r="G58" s="25">
        <f>敌人目录!K59</f>
        <v>40</v>
      </c>
      <c r="H58" s="25">
        <f>敌人目录!L59</f>
        <v>2</v>
      </c>
      <c r="I58" s="25">
        <f>敌人目录!M59</f>
        <v>10</v>
      </c>
      <c r="J58" s="25">
        <f>敌人目录!O59</f>
        <v>0.02</v>
      </c>
      <c r="K58" s="25">
        <f>敌人目录!P59</f>
        <v>2E-3</v>
      </c>
      <c r="L58" s="25">
        <f>敌人目录!Q59</f>
        <v>0.01</v>
      </c>
      <c r="M58" s="25">
        <f>敌人目录!R59</f>
        <v>0</v>
      </c>
      <c r="N58" s="25">
        <f>敌人目录!S59</f>
        <v>0</v>
      </c>
      <c r="O58" s="25">
        <f>敌人目录!T59</f>
        <v>0</v>
      </c>
      <c r="P58" s="25">
        <f>敌人目录!U59</f>
        <v>0</v>
      </c>
      <c r="Q58" s="25">
        <f>敌人目录!V59</f>
        <v>4.0000000000000001E-3</v>
      </c>
      <c r="R58" s="25">
        <f>敌人目录!W59</f>
        <v>4.0000000000000001E-3</v>
      </c>
      <c r="S58" s="25">
        <f>敌人目录!X59</f>
        <v>4.0000000000000001E-3</v>
      </c>
      <c r="T58" s="25">
        <f>敌人目录!Y59</f>
        <v>0</v>
      </c>
      <c r="U58" s="25">
        <f>敌人目录!Z59</f>
        <v>2E-3</v>
      </c>
      <c r="V58" s="25">
        <f>敌人目录!N59</f>
        <v>4.6000000000000013E-2</v>
      </c>
      <c r="W58" s="25" t="str">
        <f>敌人目录!AA59</f>
        <v>可回读</v>
      </c>
      <c r="X58" s="25" t="str">
        <f>敌人目录!AC59</f>
        <v>res://resources/config/enemies/combat_robot_elite.tres</v>
      </c>
    </row>
    <row r="59" spans="1:24" ht="16.5">
      <c r="A59" s="25">
        <v>3</v>
      </c>
      <c r="B59" s="25" t="str">
        <f>敌人目录!B60</f>
        <v>combat_robot_gunner</v>
      </c>
      <c r="C59" s="25">
        <f>敌人目录!G60</f>
        <v>180</v>
      </c>
      <c r="D59" s="25">
        <f>敌人目录!H60</f>
        <v>35</v>
      </c>
      <c r="E59" s="25">
        <f>敌人目录!I60</f>
        <v>10</v>
      </c>
      <c r="F59" s="25">
        <f>敌人目录!J60</f>
        <v>15</v>
      </c>
      <c r="G59" s="25">
        <f>敌人目录!K60</f>
        <v>30</v>
      </c>
      <c r="H59" s="25">
        <f>敌人目录!L60</f>
        <v>2</v>
      </c>
      <c r="I59" s="25">
        <f>敌人目录!M60</f>
        <v>10</v>
      </c>
      <c r="J59" s="25">
        <f>敌人目录!O60</f>
        <v>0.02</v>
      </c>
      <c r="K59" s="25">
        <f>敌人目录!P60</f>
        <v>2E-3</v>
      </c>
      <c r="L59" s="25">
        <f>敌人目录!Q60</f>
        <v>0.01</v>
      </c>
      <c r="M59" s="25">
        <f>敌人目录!R60</f>
        <v>0</v>
      </c>
      <c r="N59" s="25">
        <f>敌人目录!S60</f>
        <v>0</v>
      </c>
      <c r="O59" s="25">
        <f>敌人目录!T60</f>
        <v>0</v>
      </c>
      <c r="P59" s="25">
        <f>敌人目录!U60</f>
        <v>0</v>
      </c>
      <c r="Q59" s="25">
        <f>敌人目录!V60</f>
        <v>4.0000000000000001E-3</v>
      </c>
      <c r="R59" s="25">
        <f>敌人目录!W60</f>
        <v>4.0000000000000001E-3</v>
      </c>
      <c r="S59" s="25">
        <f>敌人目录!X60</f>
        <v>4.0000000000000001E-3</v>
      </c>
      <c r="T59" s="25">
        <f>敌人目录!Y60</f>
        <v>0</v>
      </c>
      <c r="U59" s="25">
        <f>敌人目录!Z60</f>
        <v>2E-3</v>
      </c>
      <c r="V59" s="25">
        <f>敌人目录!N60</f>
        <v>4.6000000000000013E-2</v>
      </c>
      <c r="W59" s="25" t="str">
        <f>敌人目录!AA60</f>
        <v>可回读</v>
      </c>
      <c r="X59" s="25" t="str">
        <f>敌人目录!AC60</f>
        <v>res://resources/config/enemies/combat_robot_gunner.tres</v>
      </c>
    </row>
    <row r="60" spans="1:24" ht="16.5">
      <c r="A60" s="25">
        <v>3</v>
      </c>
      <c r="B60" s="25" t="str">
        <f>敌人目录!B61</f>
        <v>combat_robot_gunner_elite</v>
      </c>
      <c r="C60" s="25">
        <f>敌人目录!G61</f>
        <v>360</v>
      </c>
      <c r="D60" s="25">
        <f>敌人目录!H61</f>
        <v>50</v>
      </c>
      <c r="E60" s="25">
        <f>敌人目录!I61</f>
        <v>20</v>
      </c>
      <c r="F60" s="25">
        <f>敌人目录!J61</f>
        <v>15</v>
      </c>
      <c r="G60" s="25">
        <f>敌人目录!K61</f>
        <v>50</v>
      </c>
      <c r="H60" s="25">
        <f>敌人目录!L61</f>
        <v>2</v>
      </c>
      <c r="I60" s="25">
        <f>敌人目录!M61</f>
        <v>10</v>
      </c>
      <c r="J60" s="25">
        <f>敌人目录!O61</f>
        <v>0.02</v>
      </c>
      <c r="K60" s="25">
        <f>敌人目录!P61</f>
        <v>2E-3</v>
      </c>
      <c r="L60" s="25">
        <f>敌人目录!Q61</f>
        <v>0.01</v>
      </c>
      <c r="M60" s="25">
        <f>敌人目录!R61</f>
        <v>0</v>
      </c>
      <c r="N60" s="25">
        <f>敌人目录!S61</f>
        <v>0</v>
      </c>
      <c r="O60" s="25">
        <f>敌人目录!T61</f>
        <v>0</v>
      </c>
      <c r="P60" s="25">
        <f>敌人目录!U61</f>
        <v>0</v>
      </c>
      <c r="Q60" s="25">
        <f>敌人目录!V61</f>
        <v>4.0000000000000001E-3</v>
      </c>
      <c r="R60" s="25">
        <f>敌人目录!W61</f>
        <v>4.0000000000000001E-3</v>
      </c>
      <c r="S60" s="25">
        <f>敌人目录!X61</f>
        <v>4.0000000000000001E-3</v>
      </c>
      <c r="T60" s="25">
        <f>敌人目录!Y61</f>
        <v>0</v>
      </c>
      <c r="U60" s="25">
        <f>敌人目录!Z61</f>
        <v>2E-3</v>
      </c>
      <c r="V60" s="25">
        <f>敌人目录!N61</f>
        <v>4.6000000000000013E-2</v>
      </c>
      <c r="W60" s="25" t="str">
        <f>敌人目录!AA61</f>
        <v>可回读</v>
      </c>
      <c r="X60" s="25" t="str">
        <f>敌人目录!AC61</f>
        <v>res://resources/config/enemies/combat_robot_gunner_elite.tres</v>
      </c>
    </row>
    <row r="61" spans="1:24" ht="16.5">
      <c r="A61" s="25">
        <v>3</v>
      </c>
      <c r="B61" s="25" t="str">
        <f>敌人目录!B62</f>
        <v>combat_robot_drone_operator</v>
      </c>
      <c r="C61" s="25">
        <f>敌人目录!G62</f>
        <v>180</v>
      </c>
      <c r="D61" s="25">
        <f>敌人目录!H62</f>
        <v>50</v>
      </c>
      <c r="E61" s="25">
        <f>敌人目录!I62</f>
        <v>15</v>
      </c>
      <c r="F61" s="25">
        <f>敌人目录!J62</f>
        <v>15</v>
      </c>
      <c r="G61" s="25">
        <f>敌人目录!K62</f>
        <v>30</v>
      </c>
      <c r="H61" s="25">
        <f>敌人目录!L62</f>
        <v>2</v>
      </c>
      <c r="I61" s="25">
        <f>敌人目录!M62</f>
        <v>10</v>
      </c>
      <c r="J61" s="25">
        <f>敌人目录!O62</f>
        <v>0.02</v>
      </c>
      <c r="K61" s="25">
        <f>敌人目录!P62</f>
        <v>2E-3</v>
      </c>
      <c r="L61" s="25">
        <f>敌人目录!Q62</f>
        <v>0.01</v>
      </c>
      <c r="M61" s="25">
        <f>敌人目录!R62</f>
        <v>0</v>
      </c>
      <c r="N61" s="25">
        <f>敌人目录!S62</f>
        <v>0</v>
      </c>
      <c r="O61" s="25">
        <f>敌人目录!T62</f>
        <v>0</v>
      </c>
      <c r="P61" s="25">
        <f>敌人目录!U62</f>
        <v>0</v>
      </c>
      <c r="Q61" s="25">
        <f>敌人目录!V62</f>
        <v>4.0000000000000001E-3</v>
      </c>
      <c r="R61" s="25">
        <f>敌人目录!W62</f>
        <v>4.0000000000000001E-3</v>
      </c>
      <c r="S61" s="25">
        <f>敌人目录!X62</f>
        <v>4.0000000000000001E-3</v>
      </c>
      <c r="T61" s="25">
        <f>敌人目录!Y62</f>
        <v>0</v>
      </c>
      <c r="U61" s="25">
        <f>敌人目录!Z62</f>
        <v>2E-3</v>
      </c>
      <c r="V61" s="25">
        <f>敌人目录!N62</f>
        <v>4.6000000000000013E-2</v>
      </c>
      <c r="W61" s="25" t="str">
        <f>敌人目录!AA62</f>
        <v>可回读</v>
      </c>
      <c r="X61" s="25" t="str">
        <f>敌人目录!AC62</f>
        <v>res://resources/config/enemies/combat_robot_drone_operator.tres</v>
      </c>
    </row>
    <row r="62" spans="1:24" ht="16.5">
      <c r="A62" s="25">
        <v>3</v>
      </c>
      <c r="B62" s="25" t="str">
        <f>敌人目录!B63</f>
        <v>combat_robot_drone_operator_elite</v>
      </c>
      <c r="C62" s="25">
        <f>敌人目录!G63</f>
        <v>360</v>
      </c>
      <c r="D62" s="25">
        <f>敌人目录!H63</f>
        <v>100</v>
      </c>
      <c r="E62" s="25">
        <f>敌人目录!I63</f>
        <v>20</v>
      </c>
      <c r="F62" s="25">
        <f>敌人目录!J63</f>
        <v>15</v>
      </c>
      <c r="G62" s="25">
        <f>敌人目录!K63</f>
        <v>40</v>
      </c>
      <c r="H62" s="25">
        <f>敌人目录!L63</f>
        <v>2</v>
      </c>
      <c r="I62" s="25">
        <f>敌人目录!M63</f>
        <v>10</v>
      </c>
      <c r="J62" s="25">
        <f>敌人目录!O63</f>
        <v>0.02</v>
      </c>
      <c r="K62" s="25">
        <f>敌人目录!P63</f>
        <v>2E-3</v>
      </c>
      <c r="L62" s="25">
        <f>敌人目录!Q63</f>
        <v>0.01</v>
      </c>
      <c r="M62" s="25">
        <f>敌人目录!R63</f>
        <v>0</v>
      </c>
      <c r="N62" s="25">
        <f>敌人目录!S63</f>
        <v>0</v>
      </c>
      <c r="O62" s="25">
        <f>敌人目录!T63</f>
        <v>0</v>
      </c>
      <c r="P62" s="25">
        <f>敌人目录!U63</f>
        <v>0</v>
      </c>
      <c r="Q62" s="25">
        <f>敌人目录!V63</f>
        <v>4.0000000000000001E-3</v>
      </c>
      <c r="R62" s="25">
        <f>敌人目录!W63</f>
        <v>4.0000000000000001E-3</v>
      </c>
      <c r="S62" s="25">
        <f>敌人目录!X63</f>
        <v>4.0000000000000001E-3</v>
      </c>
      <c r="T62" s="25">
        <f>敌人目录!Y63</f>
        <v>0</v>
      </c>
      <c r="U62" s="25">
        <f>敌人目录!Z63</f>
        <v>2E-3</v>
      </c>
      <c r="V62" s="25">
        <f>敌人目录!N63</f>
        <v>4.6000000000000013E-2</v>
      </c>
      <c r="W62" s="25" t="str">
        <f>敌人目录!AA63</f>
        <v>可回读</v>
      </c>
      <c r="X62" s="25" t="str">
        <f>敌人目录!AC63</f>
        <v>res://resources/config/enemies/combat_robot_drone_operator_elite.tres</v>
      </c>
    </row>
    <row r="63" spans="1:24" ht="16.5">
      <c r="A63" s="25">
        <v>3</v>
      </c>
      <c r="B63" s="25" t="str">
        <f>敌人目录!B64</f>
        <v>combat_robot_shield_bearer</v>
      </c>
      <c r="C63" s="25">
        <f>敌人目录!G64</f>
        <v>180</v>
      </c>
      <c r="D63" s="25">
        <f>敌人目录!H64</f>
        <v>30</v>
      </c>
      <c r="E63" s="25">
        <f>敌人目录!I64</f>
        <v>25</v>
      </c>
      <c r="F63" s="25">
        <f>敌人目录!J64</f>
        <v>10</v>
      </c>
      <c r="G63" s="25">
        <f>敌人目录!K64</f>
        <v>30</v>
      </c>
      <c r="H63" s="25">
        <f>敌人目录!L64</f>
        <v>2</v>
      </c>
      <c r="I63" s="25">
        <f>敌人目录!M64</f>
        <v>10</v>
      </c>
      <c r="J63" s="25">
        <f>敌人目录!O64</f>
        <v>0.02</v>
      </c>
      <c r="K63" s="25">
        <f>敌人目录!P64</f>
        <v>2E-3</v>
      </c>
      <c r="L63" s="25">
        <f>敌人目录!Q64</f>
        <v>0.01</v>
      </c>
      <c r="M63" s="25">
        <f>敌人目录!R64</f>
        <v>0</v>
      </c>
      <c r="N63" s="25">
        <f>敌人目录!S64</f>
        <v>0</v>
      </c>
      <c r="O63" s="25">
        <f>敌人目录!T64</f>
        <v>0</v>
      </c>
      <c r="P63" s="25">
        <f>敌人目录!U64</f>
        <v>0</v>
      </c>
      <c r="Q63" s="25">
        <f>敌人目录!V64</f>
        <v>4.0000000000000001E-3</v>
      </c>
      <c r="R63" s="25">
        <f>敌人目录!W64</f>
        <v>4.0000000000000001E-3</v>
      </c>
      <c r="S63" s="25">
        <f>敌人目录!X64</f>
        <v>4.0000000000000001E-3</v>
      </c>
      <c r="T63" s="25">
        <f>敌人目录!Y64</f>
        <v>0</v>
      </c>
      <c r="U63" s="25">
        <f>敌人目录!Z64</f>
        <v>2E-3</v>
      </c>
      <c r="V63" s="25">
        <f>敌人目录!N64</f>
        <v>4.6000000000000013E-2</v>
      </c>
      <c r="W63" s="25" t="str">
        <f>敌人目录!AA64</f>
        <v>可回读</v>
      </c>
      <c r="X63" s="25" t="str">
        <f>敌人目录!AC64</f>
        <v>res://resources/config/enemies/combat_robot_shield_bearer.tres</v>
      </c>
    </row>
    <row r="64" spans="1:24" ht="16.5">
      <c r="A64" s="25">
        <v>3</v>
      </c>
      <c r="B64" s="25" t="str">
        <f>敌人目录!B65</f>
        <v>combat_robot_shield_bearer_elite</v>
      </c>
      <c r="C64" s="25">
        <f>敌人目录!G65</f>
        <v>400</v>
      </c>
      <c r="D64" s="25">
        <f>敌人目录!H65</f>
        <v>60</v>
      </c>
      <c r="E64" s="25">
        <f>敌人目录!I65</f>
        <v>35</v>
      </c>
      <c r="F64" s="25">
        <f>敌人目录!J65</f>
        <v>20</v>
      </c>
      <c r="G64" s="25">
        <f>敌人目录!K65</f>
        <v>40</v>
      </c>
      <c r="H64" s="25">
        <f>敌人目录!L65</f>
        <v>2</v>
      </c>
      <c r="I64" s="25">
        <f>敌人目录!M65</f>
        <v>10</v>
      </c>
      <c r="J64" s="25">
        <f>敌人目录!O65</f>
        <v>0.02</v>
      </c>
      <c r="K64" s="25">
        <f>敌人目录!P65</f>
        <v>2E-3</v>
      </c>
      <c r="L64" s="25">
        <f>敌人目录!Q65</f>
        <v>0.01</v>
      </c>
      <c r="M64" s="25">
        <f>敌人目录!R65</f>
        <v>0</v>
      </c>
      <c r="N64" s="25">
        <f>敌人目录!S65</f>
        <v>0</v>
      </c>
      <c r="O64" s="25">
        <f>敌人目录!T65</f>
        <v>0</v>
      </c>
      <c r="P64" s="25">
        <f>敌人目录!U65</f>
        <v>0</v>
      </c>
      <c r="Q64" s="25">
        <f>敌人目录!V65</f>
        <v>4.0000000000000001E-3</v>
      </c>
      <c r="R64" s="25">
        <f>敌人目录!W65</f>
        <v>4.0000000000000001E-3</v>
      </c>
      <c r="S64" s="25">
        <f>敌人目录!X65</f>
        <v>4.0000000000000001E-3</v>
      </c>
      <c r="T64" s="25">
        <f>敌人目录!Y65</f>
        <v>0</v>
      </c>
      <c r="U64" s="25">
        <f>敌人目录!Z65</f>
        <v>2E-3</v>
      </c>
      <c r="V64" s="25">
        <f>敌人目录!N65</f>
        <v>4.6000000000000013E-2</v>
      </c>
      <c r="W64" s="25" t="str">
        <f>敌人目录!AA65</f>
        <v>可回读</v>
      </c>
      <c r="X64" s="25" t="str">
        <f>敌人目录!AC65</f>
        <v>res://resources/config/enemies/combat_robot_shield_bearer_elite.tres</v>
      </c>
    </row>
    <row r="65" spans="1:24" ht="16.5">
      <c r="A65" s="25">
        <v>3</v>
      </c>
      <c r="B65" s="25" t="str">
        <f>敌人目录!B66</f>
        <v>combat_robot_ninja</v>
      </c>
      <c r="C65" s="25">
        <f>敌人目录!G66</f>
        <v>180</v>
      </c>
      <c r="D65" s="25">
        <f>敌人目录!H66</f>
        <v>35</v>
      </c>
      <c r="E65" s="25">
        <f>敌人目录!I66</f>
        <v>10</v>
      </c>
      <c r="F65" s="25">
        <f>敌人目录!J66</f>
        <v>15</v>
      </c>
      <c r="G65" s="25">
        <f>敌人目录!K66</f>
        <v>80</v>
      </c>
      <c r="H65" s="25">
        <f>敌人目录!L66</f>
        <v>2</v>
      </c>
      <c r="I65" s="25">
        <f>敌人目录!M66</f>
        <v>10</v>
      </c>
      <c r="J65" s="25">
        <f>敌人目录!O66</f>
        <v>0.02</v>
      </c>
      <c r="K65" s="25">
        <f>敌人目录!P66</f>
        <v>2E-3</v>
      </c>
      <c r="L65" s="25">
        <f>敌人目录!Q66</f>
        <v>0.01</v>
      </c>
      <c r="M65" s="25">
        <f>敌人目录!R66</f>
        <v>0</v>
      </c>
      <c r="N65" s="25">
        <f>敌人目录!S66</f>
        <v>0</v>
      </c>
      <c r="O65" s="25">
        <f>敌人目录!T66</f>
        <v>0</v>
      </c>
      <c r="P65" s="25">
        <f>敌人目录!U66</f>
        <v>0</v>
      </c>
      <c r="Q65" s="25">
        <f>敌人目录!V66</f>
        <v>4.0000000000000001E-3</v>
      </c>
      <c r="R65" s="25">
        <f>敌人目录!W66</f>
        <v>4.0000000000000001E-3</v>
      </c>
      <c r="S65" s="25">
        <f>敌人目录!X66</f>
        <v>4.0000000000000001E-3</v>
      </c>
      <c r="T65" s="25">
        <f>敌人目录!Y66</f>
        <v>0</v>
      </c>
      <c r="U65" s="25">
        <f>敌人目录!Z66</f>
        <v>2E-3</v>
      </c>
      <c r="V65" s="25">
        <f>敌人目录!N66</f>
        <v>4.6000000000000013E-2</v>
      </c>
      <c r="W65" s="25" t="str">
        <f>敌人目录!AA66</f>
        <v>可回读</v>
      </c>
      <c r="X65" s="25" t="str">
        <f>敌人目录!AC66</f>
        <v>res://resources/config/enemies/combat_robot_ninja.tres</v>
      </c>
    </row>
    <row r="66" spans="1:24" ht="16.5">
      <c r="A66" s="25">
        <v>3</v>
      </c>
      <c r="B66" s="25" t="str">
        <f>敌人目录!B67</f>
        <v>combat_robot_ninja_elite</v>
      </c>
      <c r="C66" s="25">
        <f>敌人目录!G67</f>
        <v>360</v>
      </c>
      <c r="D66" s="25">
        <f>敌人目录!H67</f>
        <v>70</v>
      </c>
      <c r="E66" s="25">
        <f>敌人目录!I67</f>
        <v>20</v>
      </c>
      <c r="F66" s="25">
        <f>敌人目录!J67</f>
        <v>20</v>
      </c>
      <c r="G66" s="25">
        <f>敌人目录!K67</f>
        <v>80</v>
      </c>
      <c r="H66" s="25">
        <f>敌人目录!L67</f>
        <v>2</v>
      </c>
      <c r="I66" s="25">
        <f>敌人目录!M67</f>
        <v>10</v>
      </c>
      <c r="J66" s="25">
        <f>敌人目录!O67</f>
        <v>0.02</v>
      </c>
      <c r="K66" s="25">
        <f>敌人目录!P67</f>
        <v>2E-3</v>
      </c>
      <c r="L66" s="25">
        <f>敌人目录!Q67</f>
        <v>0.01</v>
      </c>
      <c r="M66" s="25">
        <f>敌人目录!R67</f>
        <v>0</v>
      </c>
      <c r="N66" s="25">
        <f>敌人目录!S67</f>
        <v>0</v>
      </c>
      <c r="O66" s="25">
        <f>敌人目录!T67</f>
        <v>0</v>
      </c>
      <c r="P66" s="25">
        <f>敌人目录!U67</f>
        <v>0</v>
      </c>
      <c r="Q66" s="25">
        <f>敌人目录!V67</f>
        <v>4.0000000000000001E-3</v>
      </c>
      <c r="R66" s="25">
        <f>敌人目录!W67</f>
        <v>4.0000000000000001E-3</v>
      </c>
      <c r="S66" s="25">
        <f>敌人目录!X67</f>
        <v>4.0000000000000001E-3</v>
      </c>
      <c r="T66" s="25">
        <f>敌人目录!Y67</f>
        <v>0</v>
      </c>
      <c r="U66" s="25">
        <f>敌人目录!Z67</f>
        <v>2E-3</v>
      </c>
      <c r="V66" s="25">
        <f>敌人目录!N67</f>
        <v>4.6000000000000013E-2</v>
      </c>
      <c r="W66" s="25" t="str">
        <f>敌人目录!AA67</f>
        <v>可回读</v>
      </c>
      <c r="X66" s="25" t="str">
        <f>敌人目录!AC67</f>
        <v>res://resources/config/enemies/combat_robot_ninja_elite.tres</v>
      </c>
    </row>
    <row r="67" spans="1:24" ht="16.5">
      <c r="A67" s="25">
        <v>3</v>
      </c>
      <c r="B67" s="25" t="str">
        <f>敌人目录!B68</f>
        <v>combat_robot_main_battle_elite</v>
      </c>
      <c r="C67" s="25">
        <f>敌人目录!G68</f>
        <v>800</v>
      </c>
      <c r="D67" s="25">
        <f>敌人目录!H68</f>
        <v>80</v>
      </c>
      <c r="E67" s="25">
        <f>敌人目录!I68</f>
        <v>40</v>
      </c>
      <c r="F67" s="25">
        <f>敌人目录!J68</f>
        <v>35</v>
      </c>
      <c r="G67" s="25">
        <f>敌人目录!K68</f>
        <v>28</v>
      </c>
      <c r="H67" s="25">
        <f>敌人目录!L68</f>
        <v>2</v>
      </c>
      <c r="I67" s="25">
        <f>敌人目录!M68</f>
        <v>10</v>
      </c>
      <c r="J67" s="25">
        <f>敌人目录!O68</f>
        <v>0.02</v>
      </c>
      <c r="K67" s="25">
        <f>敌人目录!P68</f>
        <v>2E-3</v>
      </c>
      <c r="L67" s="25">
        <f>敌人目录!Q68</f>
        <v>0.01</v>
      </c>
      <c r="M67" s="25">
        <f>敌人目录!R68</f>
        <v>0</v>
      </c>
      <c r="N67" s="25">
        <f>敌人目录!S68</f>
        <v>0</v>
      </c>
      <c r="O67" s="25">
        <f>敌人目录!T68</f>
        <v>0</v>
      </c>
      <c r="P67" s="25">
        <f>敌人目录!U68</f>
        <v>0</v>
      </c>
      <c r="Q67" s="25">
        <f>敌人目录!V68</f>
        <v>4.0000000000000001E-3</v>
      </c>
      <c r="R67" s="25">
        <f>敌人目录!W68</f>
        <v>4.0000000000000001E-3</v>
      </c>
      <c r="S67" s="25">
        <f>敌人目录!X68</f>
        <v>4.0000000000000001E-3</v>
      </c>
      <c r="T67" s="25">
        <f>敌人目录!Y68</f>
        <v>0</v>
      </c>
      <c r="U67" s="25">
        <f>敌人目录!Z68</f>
        <v>2E-3</v>
      </c>
      <c r="V67" s="25">
        <f>敌人目录!N68</f>
        <v>4.6000000000000013E-2</v>
      </c>
      <c r="W67" s="25" t="str">
        <f>敌人目录!AA68</f>
        <v>可回读</v>
      </c>
      <c r="X67" s="25" t="str">
        <f>敌人目录!AC68</f>
        <v>res://resources/config/enemies/combat_robot_main_battle_elite.tres</v>
      </c>
    </row>
  </sheetData>
  <mergeCells count="1">
    <mergeCell ref="A1:X1"/>
  </mergeCells>
  <phoneticPr fontId="1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220"/>
  <sheetViews>
    <sheetView showGridLines="0" workbookViewId="0"/>
  </sheetViews>
  <sheetFormatPr defaultRowHeight="14.25"/>
  <cols>
    <col min="1" max="1" width="16" customWidth="1"/>
    <col min="2" max="2" width="14" customWidth="1"/>
    <col min="3" max="3" width="13" customWidth="1"/>
    <col min="4" max="4" width="9" customWidth="1"/>
    <col min="5" max="5" width="14" customWidth="1"/>
    <col min="6" max="6" width="10" customWidth="1"/>
    <col min="7" max="7" width="28" customWidth="1"/>
    <col min="8" max="8" width="19" customWidth="1"/>
    <col min="9" max="9" width="17" customWidth="1"/>
    <col min="10" max="10" width="21" customWidth="1"/>
    <col min="11" max="11" width="18" customWidth="1"/>
    <col min="12" max="13" width="52" customWidth="1"/>
    <col min="14" max="14" width="16" customWidth="1"/>
    <col min="15" max="15" width="13" customWidth="1"/>
    <col min="16" max="16" width="30" customWidth="1"/>
    <col min="17" max="17" width="12" customWidth="1"/>
    <col min="18" max="18" width="28" customWidth="1"/>
    <col min="19" max="19" width="16" customWidth="1"/>
  </cols>
  <sheetData>
    <row r="1" spans="1:19" ht="15">
      <c r="A1" s="31" t="s">
        <v>509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ht="16.5">
      <c r="A2" s="13" t="s">
        <v>510</v>
      </c>
      <c r="B2" s="13">
        <v>12</v>
      </c>
      <c r="C2" s="13" t="s">
        <v>511</v>
      </c>
      <c r="D2" s="13">
        <v>4</v>
      </c>
      <c r="E2" s="13" t="s">
        <v>512</v>
      </c>
      <c r="F2" s="13">
        <v>12</v>
      </c>
      <c r="G2" s="13" t="s">
        <v>513</v>
      </c>
      <c r="H2" s="13">
        <v>4</v>
      </c>
    </row>
    <row r="4" spans="1:19" ht="30">
      <c r="A4" s="20" t="s">
        <v>480</v>
      </c>
      <c r="B4" s="20" t="s">
        <v>514</v>
      </c>
      <c r="C4" s="20" t="s">
        <v>515</v>
      </c>
      <c r="D4" s="20" t="s">
        <v>516</v>
      </c>
      <c r="E4" s="20" t="s">
        <v>517</v>
      </c>
      <c r="F4" s="20" t="s">
        <v>518</v>
      </c>
      <c r="G4" s="20" t="s">
        <v>519</v>
      </c>
      <c r="H4" s="20" t="s">
        <v>520</v>
      </c>
      <c r="I4" s="20" t="s">
        <v>521</v>
      </c>
      <c r="J4" s="20" t="s">
        <v>522</v>
      </c>
      <c r="K4" s="20" t="s">
        <v>523</v>
      </c>
      <c r="L4" s="20" t="s">
        <v>524</v>
      </c>
      <c r="M4" s="20" t="s">
        <v>525</v>
      </c>
      <c r="N4" s="20" t="s">
        <v>526</v>
      </c>
      <c r="O4" s="20" t="s">
        <v>527</v>
      </c>
      <c r="P4" s="20" t="s">
        <v>486</v>
      </c>
      <c r="Q4" s="20" t="s">
        <v>528</v>
      </c>
      <c r="R4" s="20" t="s">
        <v>529</v>
      </c>
      <c r="S4" s="20" t="s">
        <v>507</v>
      </c>
    </row>
    <row r="5" spans="1:19" ht="16.5">
      <c r="A5" s="13">
        <v>3</v>
      </c>
      <c r="B5" s="13" t="s">
        <v>530</v>
      </c>
      <c r="C5" s="13">
        <v>1</v>
      </c>
      <c r="D5" s="13">
        <v>1</v>
      </c>
      <c r="E5" s="13">
        <v>1</v>
      </c>
      <c r="F5" s="13" t="s">
        <v>52</v>
      </c>
      <c r="G5" s="13" t="str">
        <f>第1日!B3</f>
        <v>第1波</v>
      </c>
      <c r="H5" s="13">
        <f>IF(第1日!B4="点1·开启",1,0)+IF(第1日!C4="点2·开启",2,0)+IF(第1日!D4="点3·开启",4,0)+IF(第1日!E4="点4·开启",8,0)+IF(第1日!F4="点5·开启",16,0)+IF(第1日!G4="点6·开启",32,0)</f>
        <v>15</v>
      </c>
      <c r="I5" s="13">
        <f>第1日!E3</f>
        <v>0.1</v>
      </c>
      <c r="J5" s="13">
        <f>第1日!G3</f>
        <v>1</v>
      </c>
      <c r="K5" s="13">
        <f>第1日!I3</f>
        <v>300</v>
      </c>
      <c r="L5" s="13" t="s">
        <v>531</v>
      </c>
      <c r="M5" s="13" t="s">
        <v>532</v>
      </c>
      <c r="N5" s="13" t="b">
        <f>第1日!I4="待设计"</f>
        <v>0</v>
      </c>
      <c r="O5" s="13">
        <v>1</v>
      </c>
      <c r="P5" s="13" t="str">
        <f>IF(第1日!B7="","",IFERROR(VLOOKUP(第1日!B7,敌人目录!$A$6:$B$68,2,FALSE),""))</f>
        <v>slime_basic</v>
      </c>
      <c r="Q5" s="13">
        <f>IF(第1日!B7="","",第1日!C7)</f>
        <v>1300</v>
      </c>
      <c r="R5" s="13">
        <v>-1</v>
      </c>
      <c r="S5" s="13" t="str">
        <f>IF(第1日!B7="","",第1日!I7)</f>
        <v>可回读</v>
      </c>
    </row>
    <row r="6" spans="1:19" ht="16.5">
      <c r="A6" s="13">
        <v>3</v>
      </c>
      <c r="B6" s="13" t="s">
        <v>530</v>
      </c>
      <c r="C6" s="13">
        <v>1</v>
      </c>
      <c r="D6" s="13">
        <v>1</v>
      </c>
      <c r="E6" s="13">
        <v>1</v>
      </c>
      <c r="F6" s="13" t="s">
        <v>52</v>
      </c>
      <c r="G6" s="13" t="str">
        <f>第1日!B3</f>
        <v>第1波</v>
      </c>
      <c r="H6" s="13">
        <f>IF(第1日!B4="点1·开启",1,0)+IF(第1日!C4="点2·开启",2,0)+IF(第1日!D4="点3·开启",4,0)+IF(第1日!E4="点4·开启",8,0)+IF(第1日!F4="点5·开启",16,0)+IF(第1日!G4="点6·开启",32,0)</f>
        <v>15</v>
      </c>
      <c r="I6" s="13">
        <f>第1日!E3</f>
        <v>0.1</v>
      </c>
      <c r="J6" s="13">
        <f>第1日!G3</f>
        <v>1</v>
      </c>
      <c r="K6" s="13">
        <f>第1日!I3</f>
        <v>300</v>
      </c>
      <c r="L6" s="13" t="s">
        <v>531</v>
      </c>
      <c r="M6" s="13" t="s">
        <v>532</v>
      </c>
      <c r="N6" s="13" t="b">
        <f>第1日!I4="待设计"</f>
        <v>0</v>
      </c>
      <c r="O6" s="13">
        <v>2</v>
      </c>
      <c r="P6" s="13" t="str">
        <f>IF(第1日!B8="","",IFERROR(VLOOKUP(第1日!B8,敌人目录!$A$6:$B$68,2,FALSE),""))</f>
        <v>slime_fire</v>
      </c>
      <c r="Q6" s="13">
        <f>IF(第1日!B8="","",第1日!C8)</f>
        <v>400</v>
      </c>
      <c r="R6" s="13">
        <v>-1</v>
      </c>
      <c r="S6" s="13" t="str">
        <f>IF(第1日!B8="","",第1日!I8)</f>
        <v>可回读</v>
      </c>
    </row>
    <row r="7" spans="1:19" ht="16.5">
      <c r="A7" s="13">
        <v>3</v>
      </c>
      <c r="B7" s="13" t="s">
        <v>530</v>
      </c>
      <c r="C7" s="13">
        <v>1</v>
      </c>
      <c r="D7" s="13">
        <v>1</v>
      </c>
      <c r="E7" s="13">
        <v>1</v>
      </c>
      <c r="F7" s="13" t="s">
        <v>52</v>
      </c>
      <c r="G7" s="13" t="str">
        <f>第1日!B3</f>
        <v>第1波</v>
      </c>
      <c r="H7" s="13">
        <f>IF(第1日!B4="点1·开启",1,0)+IF(第1日!C4="点2·开启",2,0)+IF(第1日!D4="点3·开启",4,0)+IF(第1日!E4="点4·开启",8,0)+IF(第1日!F4="点5·开启",16,0)+IF(第1日!G4="点6·开启",32,0)</f>
        <v>15</v>
      </c>
      <c r="I7" s="13">
        <f>第1日!E3</f>
        <v>0.1</v>
      </c>
      <c r="J7" s="13">
        <f>第1日!G3</f>
        <v>1</v>
      </c>
      <c r="K7" s="13">
        <f>第1日!I3</f>
        <v>300</v>
      </c>
      <c r="L7" s="13" t="s">
        <v>531</v>
      </c>
      <c r="M7" s="13" t="s">
        <v>532</v>
      </c>
      <c r="N7" s="13" t="b">
        <f>第1日!I4="待设计"</f>
        <v>0</v>
      </c>
      <c r="O7" s="13">
        <v>3</v>
      </c>
      <c r="P7" s="13" t="str">
        <f>IF(第1日!B9="","",IFERROR(VLOOKUP(第1日!B9,敌人目录!$A$6:$B$68,2,FALSE),""))</f>
        <v>yuanshi_insect_basic</v>
      </c>
      <c r="Q7" s="13">
        <f>IF(第1日!B9="","",第1日!C9)</f>
        <v>500</v>
      </c>
      <c r="R7" s="13">
        <v>-1</v>
      </c>
      <c r="S7" s="13" t="str">
        <f>IF(第1日!B9="","",第1日!I9)</f>
        <v>可回读</v>
      </c>
    </row>
    <row r="8" spans="1:19" ht="16.5">
      <c r="A8" s="13">
        <v>3</v>
      </c>
      <c r="B8" s="13" t="s">
        <v>530</v>
      </c>
      <c r="C8" s="13">
        <v>1</v>
      </c>
      <c r="D8" s="13">
        <v>1</v>
      </c>
      <c r="E8" s="13">
        <v>1</v>
      </c>
      <c r="F8" s="13" t="s">
        <v>52</v>
      </c>
      <c r="G8" s="13" t="str">
        <f>第1日!B3</f>
        <v>第1波</v>
      </c>
      <c r="H8" s="13">
        <f>IF(第1日!B4="点1·开启",1,0)+IF(第1日!C4="点2·开启",2,0)+IF(第1日!D4="点3·开启",4,0)+IF(第1日!E4="点4·开启",8,0)+IF(第1日!F4="点5·开启",16,0)+IF(第1日!G4="点6·开启",32,0)</f>
        <v>15</v>
      </c>
      <c r="I8" s="13">
        <f>第1日!E3</f>
        <v>0.1</v>
      </c>
      <c r="J8" s="13">
        <f>第1日!G3</f>
        <v>1</v>
      </c>
      <c r="K8" s="13">
        <f>第1日!I3</f>
        <v>300</v>
      </c>
      <c r="L8" s="13" t="s">
        <v>531</v>
      </c>
      <c r="M8" s="13" t="s">
        <v>532</v>
      </c>
      <c r="N8" s="13" t="b">
        <f>第1日!I4="待设计"</f>
        <v>0</v>
      </c>
      <c r="O8" s="13">
        <v>4</v>
      </c>
      <c r="P8" s="13" t="str">
        <f>IF(第1日!B10="","",IFERROR(VLOOKUP(第1日!B10,敌人目录!$A$6:$B$68,2,FALSE),""))</f>
        <v>yuanshi_insect_fast</v>
      </c>
      <c r="Q8" s="13">
        <f>IF(第1日!B10="","",第1日!C10)</f>
        <v>300</v>
      </c>
      <c r="R8" s="13">
        <v>-1</v>
      </c>
      <c r="S8" s="13" t="str">
        <f>IF(第1日!B10="","",第1日!I10)</f>
        <v>可回读</v>
      </c>
    </row>
    <row r="9" spans="1:19" ht="16.5">
      <c r="A9" s="13">
        <v>3</v>
      </c>
      <c r="B9" s="13" t="s">
        <v>530</v>
      </c>
      <c r="C9" s="13">
        <v>1</v>
      </c>
      <c r="D9" s="13">
        <v>1</v>
      </c>
      <c r="E9" s="13">
        <v>1</v>
      </c>
      <c r="F9" s="13" t="s">
        <v>52</v>
      </c>
      <c r="G9" s="13" t="str">
        <f>第1日!B3</f>
        <v>第1波</v>
      </c>
      <c r="H9" s="13">
        <f>IF(第1日!B4="点1·开启",1,0)+IF(第1日!C4="点2·开启",2,0)+IF(第1日!D4="点3·开启",4,0)+IF(第1日!E4="点4·开启",8,0)+IF(第1日!F4="点5·开启",16,0)+IF(第1日!G4="点6·开启",32,0)</f>
        <v>15</v>
      </c>
      <c r="I9" s="13">
        <f>第1日!E3</f>
        <v>0.1</v>
      </c>
      <c r="J9" s="13">
        <f>第1日!G3</f>
        <v>1</v>
      </c>
      <c r="K9" s="13">
        <f>第1日!I3</f>
        <v>300</v>
      </c>
      <c r="L9" s="13" t="s">
        <v>531</v>
      </c>
      <c r="M9" s="13" t="s">
        <v>532</v>
      </c>
      <c r="N9" s="13" t="b">
        <f>第1日!I4="待设计"</f>
        <v>0</v>
      </c>
      <c r="O9" s="13">
        <v>5</v>
      </c>
      <c r="P9" s="13" t="str">
        <f>IF(第1日!B11="","",IFERROR(VLOOKUP(第1日!B11,敌人目录!$A$6:$B$68,2,FALSE),""))</f>
        <v>yuanshi_insect_fire_ranged</v>
      </c>
      <c r="Q9" s="13">
        <f>IF(第1日!B11="","",第1日!C11)</f>
        <v>500</v>
      </c>
      <c r="R9" s="13">
        <v>-1</v>
      </c>
      <c r="S9" s="13" t="str">
        <f>IF(第1日!B11="","",第1日!I11)</f>
        <v>可回读</v>
      </c>
    </row>
    <row r="10" spans="1:19" ht="16.5">
      <c r="A10" s="13">
        <v>3</v>
      </c>
      <c r="B10" s="13" t="s">
        <v>530</v>
      </c>
      <c r="C10" s="13">
        <v>1</v>
      </c>
      <c r="D10" s="13">
        <v>1</v>
      </c>
      <c r="E10" s="13">
        <v>1</v>
      </c>
      <c r="F10" s="13" t="s">
        <v>52</v>
      </c>
      <c r="G10" s="13" t="str">
        <f>第1日!B3</f>
        <v>第1波</v>
      </c>
      <c r="H10" s="13">
        <f>IF(第1日!B4="点1·开启",1,0)+IF(第1日!C4="点2·开启",2,0)+IF(第1日!D4="点3·开启",4,0)+IF(第1日!E4="点4·开启",8,0)+IF(第1日!F4="点5·开启",16,0)+IF(第1日!G4="点6·开启",32,0)</f>
        <v>15</v>
      </c>
      <c r="I10" s="13">
        <f>第1日!E3</f>
        <v>0.1</v>
      </c>
      <c r="J10" s="13">
        <f>第1日!G3</f>
        <v>1</v>
      </c>
      <c r="K10" s="13">
        <f>第1日!I3</f>
        <v>300</v>
      </c>
      <c r="L10" s="13" t="s">
        <v>531</v>
      </c>
      <c r="M10" s="13" t="s">
        <v>532</v>
      </c>
      <c r="N10" s="13" t="b">
        <f>第1日!I4="待设计"</f>
        <v>0</v>
      </c>
      <c r="O10" s="13">
        <v>6</v>
      </c>
      <c r="P10" s="13" t="str">
        <f>IF(第1日!B12="","",IFERROR(VLOOKUP(第1日!B12,敌人目录!$A$6:$B$68,2,FALSE),""))</f>
        <v/>
      </c>
      <c r="Q10" s="13" t="str">
        <f>IF(第1日!B12="","",第1日!C12)</f>
        <v/>
      </c>
      <c r="R10" s="13">
        <v>-1</v>
      </c>
      <c r="S10" s="13" t="str">
        <f>IF(第1日!B12="","",第1日!I12)</f>
        <v/>
      </c>
    </row>
    <row r="11" spans="1:19" ht="16.5">
      <c r="A11" s="13">
        <v>3</v>
      </c>
      <c r="B11" s="13" t="s">
        <v>530</v>
      </c>
      <c r="C11" s="13">
        <v>1</v>
      </c>
      <c r="D11" s="13">
        <v>1</v>
      </c>
      <c r="E11" s="13">
        <v>1</v>
      </c>
      <c r="F11" s="13" t="s">
        <v>52</v>
      </c>
      <c r="G11" s="13" t="str">
        <f>第1日!B3</f>
        <v>第1波</v>
      </c>
      <c r="H11" s="13">
        <f>IF(第1日!B4="点1·开启",1,0)+IF(第1日!C4="点2·开启",2,0)+IF(第1日!D4="点3·开启",4,0)+IF(第1日!E4="点4·开启",8,0)+IF(第1日!F4="点5·开启",16,0)+IF(第1日!G4="点6·开启",32,0)</f>
        <v>15</v>
      </c>
      <c r="I11" s="13">
        <f>第1日!E3</f>
        <v>0.1</v>
      </c>
      <c r="J11" s="13">
        <f>第1日!G3</f>
        <v>1</v>
      </c>
      <c r="K11" s="13">
        <f>第1日!I3</f>
        <v>300</v>
      </c>
      <c r="L11" s="13" t="s">
        <v>531</v>
      </c>
      <c r="M11" s="13" t="s">
        <v>532</v>
      </c>
      <c r="N11" s="13" t="b">
        <f>第1日!I4="待设计"</f>
        <v>0</v>
      </c>
      <c r="O11" s="13">
        <v>7</v>
      </c>
      <c r="P11" s="13" t="str">
        <f>IF(第1日!B13="","",IFERROR(VLOOKUP(第1日!B13,敌人目录!$A$6:$B$68,2,FALSE),""))</f>
        <v/>
      </c>
      <c r="Q11" s="13" t="str">
        <f>IF(第1日!B13="","",第1日!C13)</f>
        <v/>
      </c>
      <c r="R11" s="13">
        <v>-1</v>
      </c>
      <c r="S11" s="13" t="str">
        <f>IF(第1日!B13="","",第1日!I13)</f>
        <v/>
      </c>
    </row>
    <row r="12" spans="1:19" ht="16.5">
      <c r="A12" s="13">
        <v>3</v>
      </c>
      <c r="B12" s="13" t="s">
        <v>530</v>
      </c>
      <c r="C12" s="13">
        <v>1</v>
      </c>
      <c r="D12" s="13">
        <v>1</v>
      </c>
      <c r="E12" s="13">
        <v>1</v>
      </c>
      <c r="F12" s="13" t="s">
        <v>52</v>
      </c>
      <c r="G12" s="13" t="str">
        <f>第1日!B3</f>
        <v>第1波</v>
      </c>
      <c r="H12" s="13">
        <f>IF(第1日!B4="点1·开启",1,0)+IF(第1日!C4="点2·开启",2,0)+IF(第1日!D4="点3·开启",4,0)+IF(第1日!E4="点4·开启",8,0)+IF(第1日!F4="点5·开启",16,0)+IF(第1日!G4="点6·开启",32,0)</f>
        <v>15</v>
      </c>
      <c r="I12" s="13">
        <f>第1日!E3</f>
        <v>0.1</v>
      </c>
      <c r="J12" s="13">
        <f>第1日!G3</f>
        <v>1</v>
      </c>
      <c r="K12" s="13">
        <f>第1日!I3</f>
        <v>300</v>
      </c>
      <c r="L12" s="13" t="s">
        <v>531</v>
      </c>
      <c r="M12" s="13" t="s">
        <v>532</v>
      </c>
      <c r="N12" s="13" t="b">
        <f>第1日!I4="待设计"</f>
        <v>0</v>
      </c>
      <c r="O12" s="13">
        <v>8</v>
      </c>
      <c r="P12" s="13" t="str">
        <f>IF(第1日!B14="","",IFERROR(VLOOKUP(第1日!B14,敌人目录!$A$6:$B$68,2,FALSE),""))</f>
        <v/>
      </c>
      <c r="Q12" s="13" t="str">
        <f>IF(第1日!B14="","",第1日!C14)</f>
        <v/>
      </c>
      <c r="R12" s="13">
        <v>-1</v>
      </c>
      <c r="S12" s="13" t="str">
        <f>IF(第1日!B14="","",第1日!I14)</f>
        <v/>
      </c>
    </row>
    <row r="13" spans="1:19" ht="16.5">
      <c r="A13" s="13">
        <v>3</v>
      </c>
      <c r="B13" s="13" t="s">
        <v>530</v>
      </c>
      <c r="C13" s="13">
        <v>1</v>
      </c>
      <c r="D13" s="13">
        <v>1</v>
      </c>
      <c r="E13" s="13">
        <v>1</v>
      </c>
      <c r="F13" s="13" t="s">
        <v>52</v>
      </c>
      <c r="G13" s="13" t="str">
        <f>第1日!B3</f>
        <v>第1波</v>
      </c>
      <c r="H13" s="13">
        <f>IF(第1日!B4="点1·开启",1,0)+IF(第1日!C4="点2·开启",2,0)+IF(第1日!D4="点3·开启",4,0)+IF(第1日!E4="点4·开启",8,0)+IF(第1日!F4="点5·开启",16,0)+IF(第1日!G4="点6·开启",32,0)</f>
        <v>15</v>
      </c>
      <c r="I13" s="13">
        <f>第1日!E3</f>
        <v>0.1</v>
      </c>
      <c r="J13" s="13">
        <f>第1日!G3</f>
        <v>1</v>
      </c>
      <c r="K13" s="13">
        <f>第1日!I3</f>
        <v>300</v>
      </c>
      <c r="L13" s="13" t="s">
        <v>531</v>
      </c>
      <c r="M13" s="13" t="s">
        <v>532</v>
      </c>
      <c r="N13" s="13" t="b">
        <f>第1日!I4="待设计"</f>
        <v>0</v>
      </c>
      <c r="O13" s="13">
        <v>9</v>
      </c>
      <c r="P13" s="13" t="str">
        <f>IF(第1日!B15="","",IFERROR(VLOOKUP(第1日!B15,敌人目录!$A$6:$B$68,2,FALSE),""))</f>
        <v/>
      </c>
      <c r="Q13" s="13" t="str">
        <f>IF(第1日!B15="","",第1日!C15)</f>
        <v/>
      </c>
      <c r="R13" s="13">
        <v>-1</v>
      </c>
      <c r="S13" s="13" t="str">
        <f>IF(第1日!B15="","",第1日!I15)</f>
        <v/>
      </c>
    </row>
    <row r="14" spans="1:19" ht="16.5">
      <c r="A14" s="13">
        <v>3</v>
      </c>
      <c r="B14" s="13" t="s">
        <v>530</v>
      </c>
      <c r="C14" s="13">
        <v>1</v>
      </c>
      <c r="D14" s="13">
        <v>1</v>
      </c>
      <c r="E14" s="13">
        <v>1</v>
      </c>
      <c r="F14" s="13" t="s">
        <v>52</v>
      </c>
      <c r="G14" s="13" t="str">
        <f>第1日!B3</f>
        <v>第1波</v>
      </c>
      <c r="H14" s="13">
        <f>IF(第1日!B4="点1·开启",1,0)+IF(第1日!C4="点2·开启",2,0)+IF(第1日!D4="点3·开启",4,0)+IF(第1日!E4="点4·开启",8,0)+IF(第1日!F4="点5·开启",16,0)+IF(第1日!G4="点6·开启",32,0)</f>
        <v>15</v>
      </c>
      <c r="I14" s="13">
        <f>第1日!E3</f>
        <v>0.1</v>
      </c>
      <c r="J14" s="13">
        <f>第1日!G3</f>
        <v>1</v>
      </c>
      <c r="K14" s="13">
        <f>第1日!I3</f>
        <v>300</v>
      </c>
      <c r="L14" s="13" t="s">
        <v>531</v>
      </c>
      <c r="M14" s="13" t="s">
        <v>532</v>
      </c>
      <c r="N14" s="13" t="b">
        <f>第1日!I4="待设计"</f>
        <v>0</v>
      </c>
      <c r="O14" s="13">
        <v>10</v>
      </c>
      <c r="P14" s="13" t="str">
        <f>IF(第1日!B16="","",IFERROR(VLOOKUP(第1日!B16,敌人目录!$A$6:$B$68,2,FALSE),""))</f>
        <v/>
      </c>
      <c r="Q14" s="13" t="str">
        <f>IF(第1日!B16="","",第1日!C16)</f>
        <v/>
      </c>
      <c r="R14" s="13">
        <v>-1</v>
      </c>
      <c r="S14" s="13" t="str">
        <f>IF(第1日!B16="","",第1日!I16)</f>
        <v/>
      </c>
    </row>
    <row r="15" spans="1:19" ht="16.5">
      <c r="A15" s="13">
        <v>3</v>
      </c>
      <c r="B15" s="13" t="s">
        <v>530</v>
      </c>
      <c r="C15" s="13">
        <v>1</v>
      </c>
      <c r="D15" s="13">
        <v>1</v>
      </c>
      <c r="E15" s="13">
        <v>1</v>
      </c>
      <c r="F15" s="13" t="s">
        <v>52</v>
      </c>
      <c r="G15" s="13" t="str">
        <f>第1日!B3</f>
        <v>第1波</v>
      </c>
      <c r="H15" s="13">
        <f>IF(第1日!B4="点1·开启",1,0)+IF(第1日!C4="点2·开启",2,0)+IF(第1日!D4="点3·开启",4,0)+IF(第1日!E4="点4·开启",8,0)+IF(第1日!F4="点5·开启",16,0)+IF(第1日!G4="点6·开启",32,0)</f>
        <v>15</v>
      </c>
      <c r="I15" s="13">
        <f>第1日!E3</f>
        <v>0.1</v>
      </c>
      <c r="J15" s="13">
        <f>第1日!G3</f>
        <v>1</v>
      </c>
      <c r="K15" s="13">
        <f>第1日!I3</f>
        <v>300</v>
      </c>
      <c r="L15" s="13" t="s">
        <v>531</v>
      </c>
      <c r="M15" s="13" t="s">
        <v>532</v>
      </c>
      <c r="N15" s="13" t="b">
        <f>第1日!I4="待设计"</f>
        <v>0</v>
      </c>
      <c r="O15" s="13">
        <v>11</v>
      </c>
      <c r="P15" s="13" t="str">
        <f>IF(第1日!B17="","",IFERROR(VLOOKUP(第1日!B17,敌人目录!$A$6:$B$68,2,FALSE),""))</f>
        <v/>
      </c>
      <c r="Q15" s="13" t="str">
        <f>IF(第1日!B17="","",第1日!C17)</f>
        <v/>
      </c>
      <c r="R15" s="13">
        <v>-1</v>
      </c>
      <c r="S15" s="13" t="str">
        <f>IF(第1日!B17="","",第1日!I17)</f>
        <v/>
      </c>
    </row>
    <row r="16" spans="1:19" ht="16.5">
      <c r="A16" s="13">
        <v>3</v>
      </c>
      <c r="B16" s="13" t="s">
        <v>530</v>
      </c>
      <c r="C16" s="13">
        <v>1</v>
      </c>
      <c r="D16" s="13">
        <v>1</v>
      </c>
      <c r="E16" s="13">
        <v>1</v>
      </c>
      <c r="F16" s="13" t="s">
        <v>52</v>
      </c>
      <c r="G16" s="13" t="str">
        <f>第1日!B3</f>
        <v>第1波</v>
      </c>
      <c r="H16" s="13">
        <f>IF(第1日!B4="点1·开启",1,0)+IF(第1日!C4="点2·开启",2,0)+IF(第1日!D4="点3·开启",4,0)+IF(第1日!E4="点4·开启",8,0)+IF(第1日!F4="点5·开启",16,0)+IF(第1日!G4="点6·开启",32,0)</f>
        <v>15</v>
      </c>
      <c r="I16" s="13">
        <f>第1日!E3</f>
        <v>0.1</v>
      </c>
      <c r="J16" s="13">
        <f>第1日!G3</f>
        <v>1</v>
      </c>
      <c r="K16" s="13">
        <f>第1日!I3</f>
        <v>300</v>
      </c>
      <c r="L16" s="13" t="s">
        <v>531</v>
      </c>
      <c r="M16" s="13" t="s">
        <v>532</v>
      </c>
      <c r="N16" s="13" t="b">
        <f>第1日!I4="待设计"</f>
        <v>0</v>
      </c>
      <c r="O16" s="13">
        <v>12</v>
      </c>
      <c r="P16" s="13" t="str">
        <f>IF(第1日!B18="","",IFERROR(VLOOKUP(第1日!B18,敌人目录!$A$6:$B$68,2,FALSE),""))</f>
        <v/>
      </c>
      <c r="Q16" s="13" t="str">
        <f>IF(第1日!B18="","",第1日!C18)</f>
        <v/>
      </c>
      <c r="R16" s="13">
        <v>-1</v>
      </c>
      <c r="S16" s="13" t="str">
        <f>IF(第1日!B18="","",第1日!I18)</f>
        <v/>
      </c>
    </row>
    <row r="17" spans="1:19" ht="16.5">
      <c r="A17" s="13">
        <v>3</v>
      </c>
      <c r="B17" s="13" t="s">
        <v>530</v>
      </c>
      <c r="C17" s="13">
        <v>1</v>
      </c>
      <c r="D17" s="13">
        <v>1</v>
      </c>
      <c r="E17" s="13">
        <v>1</v>
      </c>
      <c r="F17" s="13" t="s">
        <v>52</v>
      </c>
      <c r="G17" s="13" t="str">
        <f>第1日!B3</f>
        <v>第1波</v>
      </c>
      <c r="H17" s="13">
        <f>IF(第1日!B4="点1·开启",1,0)+IF(第1日!C4="点2·开启",2,0)+IF(第1日!D4="点3·开启",4,0)+IF(第1日!E4="点4·开启",8,0)+IF(第1日!F4="点5·开启",16,0)+IF(第1日!G4="点6·开启",32,0)</f>
        <v>15</v>
      </c>
      <c r="I17" s="13">
        <f>第1日!E3</f>
        <v>0.1</v>
      </c>
      <c r="J17" s="13">
        <f>第1日!G3</f>
        <v>1</v>
      </c>
      <c r="K17" s="13">
        <f>第1日!I3</f>
        <v>300</v>
      </c>
      <c r="L17" s="13" t="s">
        <v>531</v>
      </c>
      <c r="M17" s="13" t="s">
        <v>532</v>
      </c>
      <c r="N17" s="13" t="b">
        <f>第1日!I4="待设计"</f>
        <v>0</v>
      </c>
      <c r="O17" s="13">
        <v>13</v>
      </c>
      <c r="P17" s="13" t="str">
        <f>IF(第1日!B19="","",IFERROR(VLOOKUP(第1日!B19,敌人目录!$A$6:$B$68,2,FALSE),""))</f>
        <v/>
      </c>
      <c r="Q17" s="13" t="str">
        <f>IF(第1日!B19="","",第1日!C19)</f>
        <v/>
      </c>
      <c r="R17" s="13">
        <v>-1</v>
      </c>
      <c r="S17" s="13" t="str">
        <f>IF(第1日!B19="","",第1日!I19)</f>
        <v/>
      </c>
    </row>
    <row r="18" spans="1:19" ht="16.5">
      <c r="A18" s="13">
        <v>3</v>
      </c>
      <c r="B18" s="13" t="s">
        <v>530</v>
      </c>
      <c r="C18" s="13">
        <v>1</v>
      </c>
      <c r="D18" s="13">
        <v>1</v>
      </c>
      <c r="E18" s="13">
        <v>1</v>
      </c>
      <c r="F18" s="13" t="s">
        <v>52</v>
      </c>
      <c r="G18" s="13" t="str">
        <f>第1日!B3</f>
        <v>第1波</v>
      </c>
      <c r="H18" s="13">
        <f>IF(第1日!B4="点1·开启",1,0)+IF(第1日!C4="点2·开启",2,0)+IF(第1日!D4="点3·开启",4,0)+IF(第1日!E4="点4·开启",8,0)+IF(第1日!F4="点5·开启",16,0)+IF(第1日!G4="点6·开启",32,0)</f>
        <v>15</v>
      </c>
      <c r="I18" s="13">
        <f>第1日!E3</f>
        <v>0.1</v>
      </c>
      <c r="J18" s="13">
        <f>第1日!G3</f>
        <v>1</v>
      </c>
      <c r="K18" s="13">
        <f>第1日!I3</f>
        <v>300</v>
      </c>
      <c r="L18" s="13" t="s">
        <v>531</v>
      </c>
      <c r="M18" s="13" t="s">
        <v>532</v>
      </c>
      <c r="N18" s="13" t="b">
        <f>第1日!I4="待设计"</f>
        <v>0</v>
      </c>
      <c r="O18" s="13">
        <v>14</v>
      </c>
      <c r="P18" s="13" t="str">
        <f>IF(第1日!B20="","",IFERROR(VLOOKUP(第1日!B20,敌人目录!$A$6:$B$68,2,FALSE),""))</f>
        <v/>
      </c>
      <c r="Q18" s="13" t="str">
        <f>IF(第1日!B20="","",第1日!C20)</f>
        <v/>
      </c>
      <c r="R18" s="13">
        <v>-1</v>
      </c>
      <c r="S18" s="13" t="str">
        <f>IF(第1日!B20="","",第1日!I20)</f>
        <v/>
      </c>
    </row>
    <row r="19" spans="1:19" ht="16.5">
      <c r="A19" s="13">
        <v>3</v>
      </c>
      <c r="B19" s="13" t="s">
        <v>530</v>
      </c>
      <c r="C19" s="13">
        <v>1</v>
      </c>
      <c r="D19" s="13">
        <v>1</v>
      </c>
      <c r="E19" s="13">
        <v>1</v>
      </c>
      <c r="F19" s="13" t="s">
        <v>52</v>
      </c>
      <c r="G19" s="13" t="str">
        <f>第1日!B3</f>
        <v>第1波</v>
      </c>
      <c r="H19" s="13">
        <f>IF(第1日!B4="点1·开启",1,0)+IF(第1日!C4="点2·开启",2,0)+IF(第1日!D4="点3·开启",4,0)+IF(第1日!E4="点4·开启",8,0)+IF(第1日!F4="点5·开启",16,0)+IF(第1日!G4="点6·开启",32,0)</f>
        <v>15</v>
      </c>
      <c r="I19" s="13">
        <f>第1日!E3</f>
        <v>0.1</v>
      </c>
      <c r="J19" s="13">
        <f>第1日!G3</f>
        <v>1</v>
      </c>
      <c r="K19" s="13">
        <f>第1日!I3</f>
        <v>300</v>
      </c>
      <c r="L19" s="13" t="s">
        <v>531</v>
      </c>
      <c r="M19" s="13" t="s">
        <v>532</v>
      </c>
      <c r="N19" s="13" t="b">
        <f>第1日!I4="待设计"</f>
        <v>0</v>
      </c>
      <c r="O19" s="13">
        <v>15</v>
      </c>
      <c r="P19" s="13" t="str">
        <f>IF(第1日!B21="","",IFERROR(VLOOKUP(第1日!B21,敌人目录!$A$6:$B$68,2,FALSE),""))</f>
        <v/>
      </c>
      <c r="Q19" s="13" t="str">
        <f>IF(第1日!B21="","",第1日!C21)</f>
        <v/>
      </c>
      <c r="R19" s="13">
        <v>-1</v>
      </c>
      <c r="S19" s="13" t="str">
        <f>IF(第1日!B21="","",第1日!I21)</f>
        <v/>
      </c>
    </row>
    <row r="20" spans="1:19" ht="16.5">
      <c r="A20" s="13">
        <v>3</v>
      </c>
      <c r="B20" s="13" t="s">
        <v>530</v>
      </c>
      <c r="C20" s="13">
        <v>1</v>
      </c>
      <c r="D20" s="13">
        <v>1</v>
      </c>
      <c r="E20" s="13">
        <v>1</v>
      </c>
      <c r="F20" s="13" t="s">
        <v>52</v>
      </c>
      <c r="G20" s="13" t="str">
        <f>第1日!B3</f>
        <v>第1波</v>
      </c>
      <c r="H20" s="13">
        <f>IF(第1日!B4="点1·开启",1,0)+IF(第1日!C4="点2·开启",2,0)+IF(第1日!D4="点3·开启",4,0)+IF(第1日!E4="点4·开启",8,0)+IF(第1日!F4="点5·开启",16,0)+IF(第1日!G4="点6·开启",32,0)</f>
        <v>15</v>
      </c>
      <c r="I20" s="13">
        <f>第1日!E3</f>
        <v>0.1</v>
      </c>
      <c r="J20" s="13">
        <f>第1日!G3</f>
        <v>1</v>
      </c>
      <c r="K20" s="13">
        <f>第1日!I3</f>
        <v>300</v>
      </c>
      <c r="L20" s="13" t="s">
        <v>531</v>
      </c>
      <c r="M20" s="13" t="s">
        <v>532</v>
      </c>
      <c r="N20" s="13" t="b">
        <f>第1日!I4="待设计"</f>
        <v>0</v>
      </c>
      <c r="O20" s="13">
        <v>16</v>
      </c>
      <c r="P20" s="13" t="str">
        <f>IF(第1日!B22="","",IFERROR(VLOOKUP(第1日!B22,敌人目录!$A$6:$B$68,2,FALSE),""))</f>
        <v/>
      </c>
      <c r="Q20" s="13" t="str">
        <f>IF(第1日!B22="","",第1日!C22)</f>
        <v/>
      </c>
      <c r="R20" s="13">
        <v>-1</v>
      </c>
      <c r="S20" s="13" t="str">
        <f>IF(第1日!B22="","",第1日!I22)</f>
        <v/>
      </c>
    </row>
    <row r="21" spans="1:19" ht="16.5">
      <c r="A21" s="13">
        <v>3</v>
      </c>
      <c r="B21" s="13" t="s">
        <v>530</v>
      </c>
      <c r="C21" s="13">
        <v>1</v>
      </c>
      <c r="D21" s="13">
        <v>1</v>
      </c>
      <c r="E21" s="13">
        <v>1</v>
      </c>
      <c r="F21" s="13" t="s">
        <v>52</v>
      </c>
      <c r="G21" s="13" t="str">
        <f>第1日!B3</f>
        <v>第1波</v>
      </c>
      <c r="H21" s="13">
        <f>IF(第1日!B4="点1·开启",1,0)+IF(第1日!C4="点2·开启",2,0)+IF(第1日!D4="点3·开启",4,0)+IF(第1日!E4="点4·开启",8,0)+IF(第1日!F4="点5·开启",16,0)+IF(第1日!G4="点6·开启",32,0)</f>
        <v>15</v>
      </c>
      <c r="I21" s="13">
        <f>第1日!E3</f>
        <v>0.1</v>
      </c>
      <c r="J21" s="13">
        <f>第1日!G3</f>
        <v>1</v>
      </c>
      <c r="K21" s="13">
        <f>第1日!I3</f>
        <v>300</v>
      </c>
      <c r="L21" s="13" t="s">
        <v>531</v>
      </c>
      <c r="M21" s="13" t="s">
        <v>532</v>
      </c>
      <c r="N21" s="13" t="b">
        <f>第1日!I4="待设计"</f>
        <v>0</v>
      </c>
      <c r="O21" s="13">
        <v>17</v>
      </c>
      <c r="P21" s="13" t="str">
        <f>IF(第1日!B23="","",IFERROR(VLOOKUP(第1日!B23,敌人目录!$A$6:$B$68,2,FALSE),""))</f>
        <v/>
      </c>
      <c r="Q21" s="13" t="str">
        <f>IF(第1日!B23="","",第1日!C23)</f>
        <v/>
      </c>
      <c r="R21" s="13">
        <v>-1</v>
      </c>
      <c r="S21" s="13" t="str">
        <f>IF(第1日!B23="","",第1日!I23)</f>
        <v/>
      </c>
    </row>
    <row r="22" spans="1:19" ht="16.5">
      <c r="A22" s="13">
        <v>3</v>
      </c>
      <c r="B22" s="13" t="s">
        <v>530</v>
      </c>
      <c r="C22" s="13">
        <v>1</v>
      </c>
      <c r="D22" s="13">
        <v>1</v>
      </c>
      <c r="E22" s="13">
        <v>1</v>
      </c>
      <c r="F22" s="13" t="s">
        <v>52</v>
      </c>
      <c r="G22" s="13" t="str">
        <f>第1日!B3</f>
        <v>第1波</v>
      </c>
      <c r="H22" s="13">
        <f>IF(第1日!B4="点1·开启",1,0)+IF(第1日!C4="点2·开启",2,0)+IF(第1日!D4="点3·开启",4,0)+IF(第1日!E4="点4·开启",8,0)+IF(第1日!F4="点5·开启",16,0)+IF(第1日!G4="点6·开启",32,0)</f>
        <v>15</v>
      </c>
      <c r="I22" s="13">
        <f>第1日!E3</f>
        <v>0.1</v>
      </c>
      <c r="J22" s="13">
        <f>第1日!G3</f>
        <v>1</v>
      </c>
      <c r="K22" s="13">
        <f>第1日!I3</f>
        <v>300</v>
      </c>
      <c r="L22" s="13" t="s">
        <v>531</v>
      </c>
      <c r="M22" s="13" t="s">
        <v>532</v>
      </c>
      <c r="N22" s="13" t="b">
        <f>第1日!I4="待设计"</f>
        <v>0</v>
      </c>
      <c r="O22" s="13">
        <v>18</v>
      </c>
      <c r="P22" s="13" t="str">
        <f>IF(第1日!B24="","",IFERROR(VLOOKUP(第1日!B24,敌人目录!$A$6:$B$68,2,FALSE),""))</f>
        <v/>
      </c>
      <c r="Q22" s="13" t="str">
        <f>IF(第1日!B24="","",第1日!C24)</f>
        <v/>
      </c>
      <c r="R22" s="13">
        <v>-1</v>
      </c>
      <c r="S22" s="13" t="str">
        <f>IF(第1日!B24="","",第1日!I24)</f>
        <v/>
      </c>
    </row>
    <row r="23" spans="1:19" ht="16.5">
      <c r="A23" s="13">
        <v>3</v>
      </c>
      <c r="B23" s="13" t="s">
        <v>533</v>
      </c>
      <c r="C23" s="13">
        <v>2</v>
      </c>
      <c r="D23" s="13">
        <v>1</v>
      </c>
      <c r="E23" s="13">
        <v>2</v>
      </c>
      <c r="F23" s="13" t="s">
        <v>52</v>
      </c>
      <c r="G23" s="13" t="str">
        <f>第1日!B32</f>
        <v>第2波</v>
      </c>
      <c r="H23" s="13">
        <f>IF(第1日!B33="点1·开启",1,0)+IF(第1日!C33="点2·开启",2,0)+IF(第1日!D33="点3·开启",4,0)+IF(第1日!E33="点4·开启",8,0)+IF(第1日!F33="点5·开启",16,0)+IF(第1日!G33="点6·开启",32,0)</f>
        <v>15</v>
      </c>
      <c r="I23" s="13">
        <f>第1日!E32</f>
        <v>0.1</v>
      </c>
      <c r="J23" s="13">
        <f>第1日!G32</f>
        <v>1</v>
      </c>
      <c r="K23" s="13">
        <f>第1日!I32</f>
        <v>300</v>
      </c>
      <c r="L23" s="13" t="s">
        <v>531</v>
      </c>
      <c r="M23" s="13" t="s">
        <v>532</v>
      </c>
      <c r="N23" s="13" t="b">
        <f>第1日!I33="待设计"</f>
        <v>0</v>
      </c>
      <c r="O23" s="13">
        <v>1</v>
      </c>
      <c r="P23" s="13" t="str">
        <f>IF(第1日!B36="","",IFERROR(VLOOKUP(第1日!B36,敌人目录!$A$6:$B$68,2,FALSE),""))</f>
        <v>slime_basic</v>
      </c>
      <c r="Q23" s="13">
        <f>IF(第1日!B36="","",第1日!C36)</f>
        <v>2000</v>
      </c>
      <c r="R23" s="13">
        <v>-1</v>
      </c>
      <c r="S23" s="13" t="str">
        <f>IF(第1日!B36="","",第1日!I36)</f>
        <v>可回读</v>
      </c>
    </row>
    <row r="24" spans="1:19" ht="16.5">
      <c r="A24" s="13">
        <v>3</v>
      </c>
      <c r="B24" s="13" t="s">
        <v>533</v>
      </c>
      <c r="C24" s="13">
        <v>2</v>
      </c>
      <c r="D24" s="13">
        <v>1</v>
      </c>
      <c r="E24" s="13">
        <v>2</v>
      </c>
      <c r="F24" s="13" t="s">
        <v>52</v>
      </c>
      <c r="G24" s="13" t="str">
        <f>第1日!B32</f>
        <v>第2波</v>
      </c>
      <c r="H24" s="13">
        <f>IF(第1日!B33="点1·开启",1,0)+IF(第1日!C33="点2·开启",2,0)+IF(第1日!D33="点3·开启",4,0)+IF(第1日!E33="点4·开启",8,0)+IF(第1日!F33="点5·开启",16,0)+IF(第1日!G33="点6·开启",32,0)</f>
        <v>15</v>
      </c>
      <c r="I24" s="13">
        <f>第1日!E32</f>
        <v>0.1</v>
      </c>
      <c r="J24" s="13">
        <f>第1日!G32</f>
        <v>1</v>
      </c>
      <c r="K24" s="13">
        <f>第1日!I32</f>
        <v>300</v>
      </c>
      <c r="L24" s="13" t="s">
        <v>531</v>
      </c>
      <c r="M24" s="13" t="s">
        <v>532</v>
      </c>
      <c r="N24" s="13" t="b">
        <f>第1日!I33="待设计"</f>
        <v>0</v>
      </c>
      <c r="O24" s="13">
        <v>2</v>
      </c>
      <c r="P24" s="13" t="str">
        <f>IF(第1日!B37="","",IFERROR(VLOOKUP(第1日!B37,敌人目录!$A$6:$B$68,2,FALSE),""))</f>
        <v>slime_fire</v>
      </c>
      <c r="Q24" s="13">
        <f>IF(第1日!B37="","",第1日!C37)</f>
        <v>400</v>
      </c>
      <c r="R24" s="13">
        <v>-1</v>
      </c>
      <c r="S24" s="13" t="str">
        <f>IF(第1日!B37="","",第1日!I37)</f>
        <v>可回读</v>
      </c>
    </row>
    <row r="25" spans="1:19" ht="16.5">
      <c r="A25" s="13">
        <v>3</v>
      </c>
      <c r="B25" s="13" t="s">
        <v>533</v>
      </c>
      <c r="C25" s="13">
        <v>2</v>
      </c>
      <c r="D25" s="13">
        <v>1</v>
      </c>
      <c r="E25" s="13">
        <v>2</v>
      </c>
      <c r="F25" s="13" t="s">
        <v>52</v>
      </c>
      <c r="G25" s="13" t="str">
        <f>第1日!B32</f>
        <v>第2波</v>
      </c>
      <c r="H25" s="13">
        <f>IF(第1日!B33="点1·开启",1,0)+IF(第1日!C33="点2·开启",2,0)+IF(第1日!D33="点3·开启",4,0)+IF(第1日!E33="点4·开启",8,0)+IF(第1日!F33="点5·开启",16,0)+IF(第1日!G33="点6·开启",32,0)</f>
        <v>15</v>
      </c>
      <c r="I25" s="13">
        <f>第1日!E32</f>
        <v>0.1</v>
      </c>
      <c r="J25" s="13">
        <f>第1日!G32</f>
        <v>1</v>
      </c>
      <c r="K25" s="13">
        <f>第1日!I32</f>
        <v>300</v>
      </c>
      <c r="L25" s="13" t="s">
        <v>531</v>
      </c>
      <c r="M25" s="13" t="s">
        <v>532</v>
      </c>
      <c r="N25" s="13" t="b">
        <f>第1日!I33="待设计"</f>
        <v>0</v>
      </c>
      <c r="O25" s="13">
        <v>3</v>
      </c>
      <c r="P25" s="13" t="str">
        <f>IF(第1日!B38="","",IFERROR(VLOOKUP(第1日!B38,敌人目录!$A$6:$B$68,2,FALSE),""))</f>
        <v>yuanshi_insect_basic</v>
      </c>
      <c r="Q25" s="13">
        <f>IF(第1日!B38="","",第1日!C38)</f>
        <v>500</v>
      </c>
      <c r="R25" s="13">
        <v>-1</v>
      </c>
      <c r="S25" s="13" t="str">
        <f>IF(第1日!B38="","",第1日!I38)</f>
        <v>可回读</v>
      </c>
    </row>
    <row r="26" spans="1:19" ht="16.5">
      <c r="A26" s="13">
        <v>3</v>
      </c>
      <c r="B26" s="13" t="s">
        <v>533</v>
      </c>
      <c r="C26" s="13">
        <v>2</v>
      </c>
      <c r="D26" s="13">
        <v>1</v>
      </c>
      <c r="E26" s="13">
        <v>2</v>
      </c>
      <c r="F26" s="13" t="s">
        <v>52</v>
      </c>
      <c r="G26" s="13" t="str">
        <f>第1日!B32</f>
        <v>第2波</v>
      </c>
      <c r="H26" s="13">
        <f>IF(第1日!B33="点1·开启",1,0)+IF(第1日!C33="点2·开启",2,0)+IF(第1日!D33="点3·开启",4,0)+IF(第1日!E33="点4·开启",8,0)+IF(第1日!F33="点5·开启",16,0)+IF(第1日!G33="点6·开启",32,0)</f>
        <v>15</v>
      </c>
      <c r="I26" s="13">
        <f>第1日!E32</f>
        <v>0.1</v>
      </c>
      <c r="J26" s="13">
        <f>第1日!G32</f>
        <v>1</v>
      </c>
      <c r="K26" s="13">
        <f>第1日!I32</f>
        <v>300</v>
      </c>
      <c r="L26" s="13" t="s">
        <v>531</v>
      </c>
      <c r="M26" s="13" t="s">
        <v>532</v>
      </c>
      <c r="N26" s="13" t="b">
        <f>第1日!I33="待设计"</f>
        <v>0</v>
      </c>
      <c r="O26" s="13">
        <v>4</v>
      </c>
      <c r="P26" s="13" t="str">
        <f>IF(第1日!B39="","",IFERROR(VLOOKUP(第1日!B39,敌人目录!$A$6:$B$68,2,FALSE),""))</f>
        <v>yuanshi_insect_fast</v>
      </c>
      <c r="Q26" s="13">
        <f>IF(第1日!B39="","",第1日!C39)</f>
        <v>300</v>
      </c>
      <c r="R26" s="13">
        <v>-1</v>
      </c>
      <c r="S26" s="13" t="str">
        <f>IF(第1日!B39="","",第1日!I39)</f>
        <v>可回读</v>
      </c>
    </row>
    <row r="27" spans="1:19" ht="16.5">
      <c r="A27" s="13">
        <v>3</v>
      </c>
      <c r="B27" s="13" t="s">
        <v>533</v>
      </c>
      <c r="C27" s="13">
        <v>2</v>
      </c>
      <c r="D27" s="13">
        <v>1</v>
      </c>
      <c r="E27" s="13">
        <v>2</v>
      </c>
      <c r="F27" s="13" t="s">
        <v>52</v>
      </c>
      <c r="G27" s="13" t="str">
        <f>第1日!B32</f>
        <v>第2波</v>
      </c>
      <c r="H27" s="13">
        <f>IF(第1日!B33="点1·开启",1,0)+IF(第1日!C33="点2·开启",2,0)+IF(第1日!D33="点3·开启",4,0)+IF(第1日!E33="点4·开启",8,0)+IF(第1日!F33="点5·开启",16,0)+IF(第1日!G33="点6·开启",32,0)</f>
        <v>15</v>
      </c>
      <c r="I27" s="13">
        <f>第1日!E32</f>
        <v>0.1</v>
      </c>
      <c r="J27" s="13">
        <f>第1日!G32</f>
        <v>1</v>
      </c>
      <c r="K27" s="13">
        <f>第1日!I32</f>
        <v>300</v>
      </c>
      <c r="L27" s="13" t="s">
        <v>531</v>
      </c>
      <c r="M27" s="13" t="s">
        <v>532</v>
      </c>
      <c r="N27" s="13" t="b">
        <f>第1日!I33="待设计"</f>
        <v>0</v>
      </c>
      <c r="O27" s="13">
        <v>5</v>
      </c>
      <c r="P27" s="13" t="str">
        <f>IF(第1日!B40="","",IFERROR(VLOOKUP(第1日!B40,敌人目录!$A$6:$B$68,2,FALSE),""))</f>
        <v>yuanshi_insect_shell</v>
      </c>
      <c r="Q27" s="13">
        <f>IF(第1日!B40="","",第1日!C40)</f>
        <v>200</v>
      </c>
      <c r="R27" s="13">
        <v>-1</v>
      </c>
      <c r="S27" s="13" t="str">
        <f>IF(第1日!B40="","",第1日!I40)</f>
        <v>可回读</v>
      </c>
    </row>
    <row r="28" spans="1:19" ht="16.5">
      <c r="A28" s="13">
        <v>3</v>
      </c>
      <c r="B28" s="13" t="s">
        <v>533</v>
      </c>
      <c r="C28" s="13">
        <v>2</v>
      </c>
      <c r="D28" s="13">
        <v>1</v>
      </c>
      <c r="E28" s="13">
        <v>2</v>
      </c>
      <c r="F28" s="13" t="s">
        <v>52</v>
      </c>
      <c r="G28" s="13" t="str">
        <f>第1日!B32</f>
        <v>第2波</v>
      </c>
      <c r="H28" s="13">
        <f>IF(第1日!B33="点1·开启",1,0)+IF(第1日!C33="点2·开启",2,0)+IF(第1日!D33="点3·开启",4,0)+IF(第1日!E33="点4·开启",8,0)+IF(第1日!F33="点5·开启",16,0)+IF(第1日!G33="点6·开启",32,0)</f>
        <v>15</v>
      </c>
      <c r="I28" s="13">
        <f>第1日!E32</f>
        <v>0.1</v>
      </c>
      <c r="J28" s="13">
        <f>第1日!G32</f>
        <v>1</v>
      </c>
      <c r="K28" s="13">
        <f>第1日!I32</f>
        <v>300</v>
      </c>
      <c r="L28" s="13" t="s">
        <v>531</v>
      </c>
      <c r="M28" s="13" t="s">
        <v>532</v>
      </c>
      <c r="N28" s="13" t="b">
        <f>第1日!I33="待设计"</f>
        <v>0</v>
      </c>
      <c r="O28" s="13">
        <v>6</v>
      </c>
      <c r="P28" s="13" t="str">
        <f>IF(第1日!B41="","",IFERROR(VLOOKUP(第1日!B41,敌人目录!$A$6:$B$68,2,FALSE),""))</f>
        <v>yuanshi_insect_fire_ranged</v>
      </c>
      <c r="Q28" s="13">
        <f>IF(第1日!B41="","",第1日!C41)</f>
        <v>50</v>
      </c>
      <c r="R28" s="13">
        <v>-1</v>
      </c>
      <c r="S28" s="13" t="str">
        <f>IF(第1日!B41="","",第1日!I41)</f>
        <v>可回读</v>
      </c>
    </row>
    <row r="29" spans="1:19" ht="16.5">
      <c r="A29" s="13">
        <v>3</v>
      </c>
      <c r="B29" s="13" t="s">
        <v>533</v>
      </c>
      <c r="C29" s="13">
        <v>2</v>
      </c>
      <c r="D29" s="13">
        <v>1</v>
      </c>
      <c r="E29" s="13">
        <v>2</v>
      </c>
      <c r="F29" s="13" t="s">
        <v>52</v>
      </c>
      <c r="G29" s="13" t="str">
        <f>第1日!B32</f>
        <v>第2波</v>
      </c>
      <c r="H29" s="13">
        <f>IF(第1日!B33="点1·开启",1,0)+IF(第1日!C33="点2·开启",2,0)+IF(第1日!D33="点3·开启",4,0)+IF(第1日!E33="点4·开启",8,0)+IF(第1日!F33="点5·开启",16,0)+IF(第1日!G33="点6·开启",32,0)</f>
        <v>15</v>
      </c>
      <c r="I29" s="13">
        <f>第1日!E32</f>
        <v>0.1</v>
      </c>
      <c r="J29" s="13">
        <f>第1日!G32</f>
        <v>1</v>
      </c>
      <c r="K29" s="13">
        <f>第1日!I32</f>
        <v>300</v>
      </c>
      <c r="L29" s="13" t="s">
        <v>531</v>
      </c>
      <c r="M29" s="13" t="s">
        <v>532</v>
      </c>
      <c r="N29" s="13" t="b">
        <f>第1日!I33="待设计"</f>
        <v>0</v>
      </c>
      <c r="O29" s="13">
        <v>7</v>
      </c>
      <c r="P29" s="13" t="str">
        <f>IF(第1日!B42="","",IFERROR(VLOOKUP(第1日!B42,敌人目录!$A$6:$B$68,2,FALSE),""))</f>
        <v>slime_frost</v>
      </c>
      <c r="Q29" s="13">
        <f>IF(第1日!B42="","",第1日!C42)</f>
        <v>400</v>
      </c>
      <c r="R29" s="13">
        <v>-1</v>
      </c>
      <c r="S29" s="13" t="str">
        <f>IF(第1日!B42="","",第1日!I42)</f>
        <v>可回读</v>
      </c>
    </row>
    <row r="30" spans="1:19" ht="16.5">
      <c r="A30" s="13">
        <v>3</v>
      </c>
      <c r="B30" s="13" t="s">
        <v>533</v>
      </c>
      <c r="C30" s="13">
        <v>2</v>
      </c>
      <c r="D30" s="13">
        <v>1</v>
      </c>
      <c r="E30" s="13">
        <v>2</v>
      </c>
      <c r="F30" s="13" t="s">
        <v>52</v>
      </c>
      <c r="G30" s="13" t="str">
        <f>第1日!B32</f>
        <v>第2波</v>
      </c>
      <c r="H30" s="13">
        <f>IF(第1日!B33="点1·开启",1,0)+IF(第1日!C33="点2·开启",2,0)+IF(第1日!D33="点3·开启",4,0)+IF(第1日!E33="点4·开启",8,0)+IF(第1日!F33="点5·开启",16,0)+IF(第1日!G33="点6·开启",32,0)</f>
        <v>15</v>
      </c>
      <c r="I30" s="13">
        <f>第1日!E32</f>
        <v>0.1</v>
      </c>
      <c r="J30" s="13">
        <f>第1日!G32</f>
        <v>1</v>
      </c>
      <c r="K30" s="13">
        <f>第1日!I32</f>
        <v>300</v>
      </c>
      <c r="L30" s="13" t="s">
        <v>531</v>
      </c>
      <c r="M30" s="13" t="s">
        <v>532</v>
      </c>
      <c r="N30" s="13" t="b">
        <f>第1日!I33="待设计"</f>
        <v>0</v>
      </c>
      <c r="O30" s="13">
        <v>8</v>
      </c>
      <c r="P30" s="13" t="str">
        <f>IF(第1日!B43="","",IFERROR(VLOOKUP(第1日!B43,敌人目录!$A$6:$B$68,2,FALSE),""))</f>
        <v/>
      </c>
      <c r="Q30" s="13" t="str">
        <f>IF(第1日!B43="","",第1日!C43)</f>
        <v/>
      </c>
      <c r="R30" s="13">
        <v>-1</v>
      </c>
      <c r="S30" s="13" t="str">
        <f>IF(第1日!B43="","",第1日!I43)</f>
        <v/>
      </c>
    </row>
    <row r="31" spans="1:19" ht="16.5">
      <c r="A31" s="13">
        <v>3</v>
      </c>
      <c r="B31" s="13" t="s">
        <v>533</v>
      </c>
      <c r="C31" s="13">
        <v>2</v>
      </c>
      <c r="D31" s="13">
        <v>1</v>
      </c>
      <c r="E31" s="13">
        <v>2</v>
      </c>
      <c r="F31" s="13" t="s">
        <v>52</v>
      </c>
      <c r="G31" s="13" t="str">
        <f>第1日!B32</f>
        <v>第2波</v>
      </c>
      <c r="H31" s="13">
        <f>IF(第1日!B33="点1·开启",1,0)+IF(第1日!C33="点2·开启",2,0)+IF(第1日!D33="点3·开启",4,0)+IF(第1日!E33="点4·开启",8,0)+IF(第1日!F33="点5·开启",16,0)+IF(第1日!G33="点6·开启",32,0)</f>
        <v>15</v>
      </c>
      <c r="I31" s="13">
        <f>第1日!E32</f>
        <v>0.1</v>
      </c>
      <c r="J31" s="13">
        <f>第1日!G32</f>
        <v>1</v>
      </c>
      <c r="K31" s="13">
        <f>第1日!I32</f>
        <v>300</v>
      </c>
      <c r="L31" s="13" t="s">
        <v>531</v>
      </c>
      <c r="M31" s="13" t="s">
        <v>532</v>
      </c>
      <c r="N31" s="13" t="b">
        <f>第1日!I33="待设计"</f>
        <v>0</v>
      </c>
      <c r="O31" s="13">
        <v>9</v>
      </c>
      <c r="P31" s="13" t="str">
        <f>IF(第1日!B44="","",IFERROR(VLOOKUP(第1日!B44,敌人目录!$A$6:$B$68,2,FALSE),""))</f>
        <v/>
      </c>
      <c r="Q31" s="13" t="str">
        <f>IF(第1日!B44="","",第1日!C44)</f>
        <v/>
      </c>
      <c r="R31" s="13">
        <v>-1</v>
      </c>
      <c r="S31" s="13" t="str">
        <f>IF(第1日!B44="","",第1日!I44)</f>
        <v/>
      </c>
    </row>
    <row r="32" spans="1:19" ht="16.5">
      <c r="A32" s="13">
        <v>3</v>
      </c>
      <c r="B32" s="13" t="s">
        <v>533</v>
      </c>
      <c r="C32" s="13">
        <v>2</v>
      </c>
      <c r="D32" s="13">
        <v>1</v>
      </c>
      <c r="E32" s="13">
        <v>2</v>
      </c>
      <c r="F32" s="13" t="s">
        <v>52</v>
      </c>
      <c r="G32" s="13" t="str">
        <f>第1日!B32</f>
        <v>第2波</v>
      </c>
      <c r="H32" s="13">
        <f>IF(第1日!B33="点1·开启",1,0)+IF(第1日!C33="点2·开启",2,0)+IF(第1日!D33="点3·开启",4,0)+IF(第1日!E33="点4·开启",8,0)+IF(第1日!F33="点5·开启",16,0)+IF(第1日!G33="点6·开启",32,0)</f>
        <v>15</v>
      </c>
      <c r="I32" s="13">
        <f>第1日!E32</f>
        <v>0.1</v>
      </c>
      <c r="J32" s="13">
        <f>第1日!G32</f>
        <v>1</v>
      </c>
      <c r="K32" s="13">
        <f>第1日!I32</f>
        <v>300</v>
      </c>
      <c r="L32" s="13" t="s">
        <v>531</v>
      </c>
      <c r="M32" s="13" t="s">
        <v>532</v>
      </c>
      <c r="N32" s="13" t="b">
        <f>第1日!I33="待设计"</f>
        <v>0</v>
      </c>
      <c r="O32" s="13">
        <v>10</v>
      </c>
      <c r="P32" s="13" t="str">
        <f>IF(第1日!B45="","",IFERROR(VLOOKUP(第1日!B45,敌人目录!$A$6:$B$68,2,FALSE),""))</f>
        <v/>
      </c>
      <c r="Q32" s="13" t="str">
        <f>IF(第1日!B45="","",第1日!C45)</f>
        <v/>
      </c>
      <c r="R32" s="13">
        <v>-1</v>
      </c>
      <c r="S32" s="13" t="str">
        <f>IF(第1日!B45="","",第1日!I45)</f>
        <v/>
      </c>
    </row>
    <row r="33" spans="1:19" ht="16.5">
      <c r="A33" s="13">
        <v>3</v>
      </c>
      <c r="B33" s="13" t="s">
        <v>533</v>
      </c>
      <c r="C33" s="13">
        <v>2</v>
      </c>
      <c r="D33" s="13">
        <v>1</v>
      </c>
      <c r="E33" s="13">
        <v>2</v>
      </c>
      <c r="F33" s="13" t="s">
        <v>52</v>
      </c>
      <c r="G33" s="13" t="str">
        <f>第1日!B32</f>
        <v>第2波</v>
      </c>
      <c r="H33" s="13">
        <f>IF(第1日!B33="点1·开启",1,0)+IF(第1日!C33="点2·开启",2,0)+IF(第1日!D33="点3·开启",4,0)+IF(第1日!E33="点4·开启",8,0)+IF(第1日!F33="点5·开启",16,0)+IF(第1日!G33="点6·开启",32,0)</f>
        <v>15</v>
      </c>
      <c r="I33" s="13">
        <f>第1日!E32</f>
        <v>0.1</v>
      </c>
      <c r="J33" s="13">
        <f>第1日!G32</f>
        <v>1</v>
      </c>
      <c r="K33" s="13">
        <f>第1日!I32</f>
        <v>300</v>
      </c>
      <c r="L33" s="13" t="s">
        <v>531</v>
      </c>
      <c r="M33" s="13" t="s">
        <v>532</v>
      </c>
      <c r="N33" s="13" t="b">
        <f>第1日!I33="待设计"</f>
        <v>0</v>
      </c>
      <c r="O33" s="13">
        <v>11</v>
      </c>
      <c r="P33" s="13" t="str">
        <f>IF(第1日!B46="","",IFERROR(VLOOKUP(第1日!B46,敌人目录!$A$6:$B$68,2,FALSE),""))</f>
        <v/>
      </c>
      <c r="Q33" s="13" t="str">
        <f>IF(第1日!B46="","",第1日!C46)</f>
        <v/>
      </c>
      <c r="R33" s="13">
        <v>-1</v>
      </c>
      <c r="S33" s="13" t="str">
        <f>IF(第1日!B46="","",第1日!I46)</f>
        <v/>
      </c>
    </row>
    <row r="34" spans="1:19" ht="16.5">
      <c r="A34" s="13">
        <v>3</v>
      </c>
      <c r="B34" s="13" t="s">
        <v>533</v>
      </c>
      <c r="C34" s="13">
        <v>2</v>
      </c>
      <c r="D34" s="13">
        <v>1</v>
      </c>
      <c r="E34" s="13">
        <v>2</v>
      </c>
      <c r="F34" s="13" t="s">
        <v>52</v>
      </c>
      <c r="G34" s="13" t="str">
        <f>第1日!B32</f>
        <v>第2波</v>
      </c>
      <c r="H34" s="13">
        <f>IF(第1日!B33="点1·开启",1,0)+IF(第1日!C33="点2·开启",2,0)+IF(第1日!D33="点3·开启",4,0)+IF(第1日!E33="点4·开启",8,0)+IF(第1日!F33="点5·开启",16,0)+IF(第1日!G33="点6·开启",32,0)</f>
        <v>15</v>
      </c>
      <c r="I34" s="13">
        <f>第1日!E32</f>
        <v>0.1</v>
      </c>
      <c r="J34" s="13">
        <f>第1日!G32</f>
        <v>1</v>
      </c>
      <c r="K34" s="13">
        <f>第1日!I32</f>
        <v>300</v>
      </c>
      <c r="L34" s="13" t="s">
        <v>531</v>
      </c>
      <c r="M34" s="13" t="s">
        <v>532</v>
      </c>
      <c r="N34" s="13" t="b">
        <f>第1日!I33="待设计"</f>
        <v>0</v>
      </c>
      <c r="O34" s="13">
        <v>12</v>
      </c>
      <c r="P34" s="13" t="str">
        <f>IF(第1日!B47="","",IFERROR(VLOOKUP(第1日!B47,敌人目录!$A$6:$B$68,2,FALSE),""))</f>
        <v/>
      </c>
      <c r="Q34" s="13" t="str">
        <f>IF(第1日!B47="","",第1日!C47)</f>
        <v/>
      </c>
      <c r="R34" s="13">
        <v>-1</v>
      </c>
      <c r="S34" s="13" t="str">
        <f>IF(第1日!B47="","",第1日!I47)</f>
        <v/>
      </c>
    </row>
    <row r="35" spans="1:19" ht="16.5">
      <c r="A35" s="13">
        <v>3</v>
      </c>
      <c r="B35" s="13" t="s">
        <v>533</v>
      </c>
      <c r="C35" s="13">
        <v>2</v>
      </c>
      <c r="D35" s="13">
        <v>1</v>
      </c>
      <c r="E35" s="13">
        <v>2</v>
      </c>
      <c r="F35" s="13" t="s">
        <v>52</v>
      </c>
      <c r="G35" s="13" t="str">
        <f>第1日!B32</f>
        <v>第2波</v>
      </c>
      <c r="H35" s="13">
        <f>IF(第1日!B33="点1·开启",1,0)+IF(第1日!C33="点2·开启",2,0)+IF(第1日!D33="点3·开启",4,0)+IF(第1日!E33="点4·开启",8,0)+IF(第1日!F33="点5·开启",16,0)+IF(第1日!G33="点6·开启",32,0)</f>
        <v>15</v>
      </c>
      <c r="I35" s="13">
        <f>第1日!E32</f>
        <v>0.1</v>
      </c>
      <c r="J35" s="13">
        <f>第1日!G32</f>
        <v>1</v>
      </c>
      <c r="K35" s="13">
        <f>第1日!I32</f>
        <v>300</v>
      </c>
      <c r="L35" s="13" t="s">
        <v>531</v>
      </c>
      <c r="M35" s="13" t="s">
        <v>532</v>
      </c>
      <c r="N35" s="13" t="b">
        <f>第1日!I33="待设计"</f>
        <v>0</v>
      </c>
      <c r="O35" s="13">
        <v>13</v>
      </c>
      <c r="P35" s="13" t="str">
        <f>IF(第1日!B48="","",IFERROR(VLOOKUP(第1日!B48,敌人目录!$A$6:$B$68,2,FALSE),""))</f>
        <v/>
      </c>
      <c r="Q35" s="13" t="str">
        <f>IF(第1日!B48="","",第1日!C48)</f>
        <v/>
      </c>
      <c r="R35" s="13">
        <v>-1</v>
      </c>
      <c r="S35" s="13" t="str">
        <f>IF(第1日!B48="","",第1日!I48)</f>
        <v/>
      </c>
    </row>
    <row r="36" spans="1:19" ht="16.5">
      <c r="A36" s="13">
        <v>3</v>
      </c>
      <c r="B36" s="13" t="s">
        <v>533</v>
      </c>
      <c r="C36" s="13">
        <v>2</v>
      </c>
      <c r="D36" s="13">
        <v>1</v>
      </c>
      <c r="E36" s="13">
        <v>2</v>
      </c>
      <c r="F36" s="13" t="s">
        <v>52</v>
      </c>
      <c r="G36" s="13" t="str">
        <f>第1日!B32</f>
        <v>第2波</v>
      </c>
      <c r="H36" s="13">
        <f>IF(第1日!B33="点1·开启",1,0)+IF(第1日!C33="点2·开启",2,0)+IF(第1日!D33="点3·开启",4,0)+IF(第1日!E33="点4·开启",8,0)+IF(第1日!F33="点5·开启",16,0)+IF(第1日!G33="点6·开启",32,0)</f>
        <v>15</v>
      </c>
      <c r="I36" s="13">
        <f>第1日!E32</f>
        <v>0.1</v>
      </c>
      <c r="J36" s="13">
        <f>第1日!G32</f>
        <v>1</v>
      </c>
      <c r="K36" s="13">
        <f>第1日!I32</f>
        <v>300</v>
      </c>
      <c r="L36" s="13" t="s">
        <v>531</v>
      </c>
      <c r="M36" s="13" t="s">
        <v>532</v>
      </c>
      <c r="N36" s="13" t="b">
        <f>第1日!I33="待设计"</f>
        <v>0</v>
      </c>
      <c r="O36" s="13">
        <v>14</v>
      </c>
      <c r="P36" s="13" t="str">
        <f>IF(第1日!B49="","",IFERROR(VLOOKUP(第1日!B49,敌人目录!$A$6:$B$68,2,FALSE),""))</f>
        <v/>
      </c>
      <c r="Q36" s="13" t="str">
        <f>IF(第1日!B49="","",第1日!C49)</f>
        <v/>
      </c>
      <c r="R36" s="13">
        <v>-1</v>
      </c>
      <c r="S36" s="13" t="str">
        <f>IF(第1日!B49="","",第1日!I49)</f>
        <v/>
      </c>
    </row>
    <row r="37" spans="1:19" ht="16.5">
      <c r="A37" s="13">
        <v>3</v>
      </c>
      <c r="B37" s="13" t="s">
        <v>533</v>
      </c>
      <c r="C37" s="13">
        <v>2</v>
      </c>
      <c r="D37" s="13">
        <v>1</v>
      </c>
      <c r="E37" s="13">
        <v>2</v>
      </c>
      <c r="F37" s="13" t="s">
        <v>52</v>
      </c>
      <c r="G37" s="13" t="str">
        <f>第1日!B32</f>
        <v>第2波</v>
      </c>
      <c r="H37" s="13">
        <f>IF(第1日!B33="点1·开启",1,0)+IF(第1日!C33="点2·开启",2,0)+IF(第1日!D33="点3·开启",4,0)+IF(第1日!E33="点4·开启",8,0)+IF(第1日!F33="点5·开启",16,0)+IF(第1日!G33="点6·开启",32,0)</f>
        <v>15</v>
      </c>
      <c r="I37" s="13">
        <f>第1日!E32</f>
        <v>0.1</v>
      </c>
      <c r="J37" s="13">
        <f>第1日!G32</f>
        <v>1</v>
      </c>
      <c r="K37" s="13">
        <f>第1日!I32</f>
        <v>300</v>
      </c>
      <c r="L37" s="13" t="s">
        <v>531</v>
      </c>
      <c r="M37" s="13" t="s">
        <v>532</v>
      </c>
      <c r="N37" s="13" t="b">
        <f>第1日!I33="待设计"</f>
        <v>0</v>
      </c>
      <c r="O37" s="13">
        <v>15</v>
      </c>
      <c r="P37" s="13" t="str">
        <f>IF(第1日!B50="","",IFERROR(VLOOKUP(第1日!B50,敌人目录!$A$6:$B$68,2,FALSE),""))</f>
        <v/>
      </c>
      <c r="Q37" s="13" t="str">
        <f>IF(第1日!B50="","",第1日!C50)</f>
        <v/>
      </c>
      <c r="R37" s="13">
        <v>-1</v>
      </c>
      <c r="S37" s="13" t="str">
        <f>IF(第1日!B50="","",第1日!I50)</f>
        <v/>
      </c>
    </row>
    <row r="38" spans="1:19" ht="16.5">
      <c r="A38" s="13">
        <v>3</v>
      </c>
      <c r="B38" s="13" t="s">
        <v>533</v>
      </c>
      <c r="C38" s="13">
        <v>2</v>
      </c>
      <c r="D38" s="13">
        <v>1</v>
      </c>
      <c r="E38" s="13">
        <v>2</v>
      </c>
      <c r="F38" s="13" t="s">
        <v>52</v>
      </c>
      <c r="G38" s="13" t="str">
        <f>第1日!B32</f>
        <v>第2波</v>
      </c>
      <c r="H38" s="13">
        <f>IF(第1日!B33="点1·开启",1,0)+IF(第1日!C33="点2·开启",2,0)+IF(第1日!D33="点3·开启",4,0)+IF(第1日!E33="点4·开启",8,0)+IF(第1日!F33="点5·开启",16,0)+IF(第1日!G33="点6·开启",32,0)</f>
        <v>15</v>
      </c>
      <c r="I38" s="13">
        <f>第1日!E32</f>
        <v>0.1</v>
      </c>
      <c r="J38" s="13">
        <f>第1日!G32</f>
        <v>1</v>
      </c>
      <c r="K38" s="13">
        <f>第1日!I32</f>
        <v>300</v>
      </c>
      <c r="L38" s="13" t="s">
        <v>531</v>
      </c>
      <c r="M38" s="13" t="s">
        <v>532</v>
      </c>
      <c r="N38" s="13" t="b">
        <f>第1日!I33="待设计"</f>
        <v>0</v>
      </c>
      <c r="O38" s="13">
        <v>16</v>
      </c>
      <c r="P38" s="13" t="str">
        <f>IF(第1日!B51="","",IFERROR(VLOOKUP(第1日!B51,敌人目录!$A$6:$B$68,2,FALSE),""))</f>
        <v/>
      </c>
      <c r="Q38" s="13" t="str">
        <f>IF(第1日!B51="","",第1日!C51)</f>
        <v/>
      </c>
      <c r="R38" s="13">
        <v>-1</v>
      </c>
      <c r="S38" s="13" t="str">
        <f>IF(第1日!B51="","",第1日!I51)</f>
        <v/>
      </c>
    </row>
    <row r="39" spans="1:19" ht="16.5">
      <c r="A39" s="13">
        <v>3</v>
      </c>
      <c r="B39" s="13" t="s">
        <v>533</v>
      </c>
      <c r="C39" s="13">
        <v>2</v>
      </c>
      <c r="D39" s="13">
        <v>1</v>
      </c>
      <c r="E39" s="13">
        <v>2</v>
      </c>
      <c r="F39" s="13" t="s">
        <v>52</v>
      </c>
      <c r="G39" s="13" t="str">
        <f>第1日!B32</f>
        <v>第2波</v>
      </c>
      <c r="H39" s="13">
        <f>IF(第1日!B33="点1·开启",1,0)+IF(第1日!C33="点2·开启",2,0)+IF(第1日!D33="点3·开启",4,0)+IF(第1日!E33="点4·开启",8,0)+IF(第1日!F33="点5·开启",16,0)+IF(第1日!G33="点6·开启",32,0)</f>
        <v>15</v>
      </c>
      <c r="I39" s="13">
        <f>第1日!E32</f>
        <v>0.1</v>
      </c>
      <c r="J39" s="13">
        <f>第1日!G32</f>
        <v>1</v>
      </c>
      <c r="K39" s="13">
        <f>第1日!I32</f>
        <v>300</v>
      </c>
      <c r="L39" s="13" t="s">
        <v>531</v>
      </c>
      <c r="M39" s="13" t="s">
        <v>532</v>
      </c>
      <c r="N39" s="13" t="b">
        <f>第1日!I33="待设计"</f>
        <v>0</v>
      </c>
      <c r="O39" s="13">
        <v>17</v>
      </c>
      <c r="P39" s="13" t="str">
        <f>IF(第1日!B52="","",IFERROR(VLOOKUP(第1日!B52,敌人目录!$A$6:$B$68,2,FALSE),""))</f>
        <v/>
      </c>
      <c r="Q39" s="13" t="str">
        <f>IF(第1日!B52="","",第1日!C52)</f>
        <v/>
      </c>
      <c r="R39" s="13">
        <v>-1</v>
      </c>
      <c r="S39" s="13" t="str">
        <f>IF(第1日!B52="","",第1日!I52)</f>
        <v/>
      </c>
    </row>
    <row r="40" spans="1:19" ht="16.5">
      <c r="A40" s="13">
        <v>3</v>
      </c>
      <c r="B40" s="13" t="s">
        <v>533</v>
      </c>
      <c r="C40" s="13">
        <v>2</v>
      </c>
      <c r="D40" s="13">
        <v>1</v>
      </c>
      <c r="E40" s="13">
        <v>2</v>
      </c>
      <c r="F40" s="13" t="s">
        <v>52</v>
      </c>
      <c r="G40" s="13" t="str">
        <f>第1日!B32</f>
        <v>第2波</v>
      </c>
      <c r="H40" s="13">
        <f>IF(第1日!B33="点1·开启",1,0)+IF(第1日!C33="点2·开启",2,0)+IF(第1日!D33="点3·开启",4,0)+IF(第1日!E33="点4·开启",8,0)+IF(第1日!F33="点5·开启",16,0)+IF(第1日!G33="点6·开启",32,0)</f>
        <v>15</v>
      </c>
      <c r="I40" s="13">
        <f>第1日!E32</f>
        <v>0.1</v>
      </c>
      <c r="J40" s="13">
        <f>第1日!G32</f>
        <v>1</v>
      </c>
      <c r="K40" s="13">
        <f>第1日!I32</f>
        <v>300</v>
      </c>
      <c r="L40" s="13" t="s">
        <v>531</v>
      </c>
      <c r="M40" s="13" t="s">
        <v>532</v>
      </c>
      <c r="N40" s="13" t="b">
        <f>第1日!I33="待设计"</f>
        <v>0</v>
      </c>
      <c r="O40" s="13">
        <v>18</v>
      </c>
      <c r="P40" s="13" t="str">
        <f>IF(第1日!B53="","",IFERROR(VLOOKUP(第1日!B53,敌人目录!$A$6:$B$68,2,FALSE),""))</f>
        <v/>
      </c>
      <c r="Q40" s="13" t="str">
        <f>IF(第1日!B53="","",第1日!C53)</f>
        <v/>
      </c>
      <c r="R40" s="13">
        <v>-1</v>
      </c>
      <c r="S40" s="13" t="str">
        <f>IF(第1日!B53="","",第1日!I53)</f>
        <v/>
      </c>
    </row>
    <row r="41" spans="1:19" ht="16.5">
      <c r="A41" s="13">
        <v>3</v>
      </c>
      <c r="B41" s="13" t="s">
        <v>534</v>
      </c>
      <c r="C41" s="13">
        <v>3</v>
      </c>
      <c r="D41" s="13">
        <v>1</v>
      </c>
      <c r="E41" s="13">
        <v>3</v>
      </c>
      <c r="F41" s="13" t="s">
        <v>55</v>
      </c>
      <c r="G41" s="13" t="str">
        <f>第1日!B61</f>
        <v>第3波</v>
      </c>
      <c r="H41" s="13">
        <f>IF(第1日!B62="点1·开启",1,0)+IF(第1日!C62="点2·开启",2,0)+IF(第1日!D62="点3·开启",4,0)+IF(第1日!E62="点4·开启",8,0)+IF(第1日!F62="点5·开启",16,0)+IF(第1日!G62="点6·开启",32,0)</f>
        <v>63</v>
      </c>
      <c r="I41" s="13">
        <f>第1日!E61</f>
        <v>0.1</v>
      </c>
      <c r="J41" s="13">
        <f>第1日!G61</f>
        <v>2</v>
      </c>
      <c r="K41" s="13">
        <f>第1日!I61</f>
        <v>300</v>
      </c>
      <c r="L41" s="13" t="s">
        <v>531</v>
      </c>
      <c r="M41" s="13" t="s">
        <v>532</v>
      </c>
      <c r="N41" s="13" t="b">
        <f>第1日!I62="待设计"</f>
        <v>0</v>
      </c>
      <c r="O41" s="13">
        <v>1</v>
      </c>
      <c r="P41" s="13" t="str">
        <f>IF(第1日!B65="","",IFERROR(VLOOKUP(第1日!B65,敌人目录!$A$6:$B$68,2,FALSE),""))</f>
        <v>yuanshi_insect_guardian</v>
      </c>
      <c r="Q41" s="13">
        <f>IF(第1日!B65="","",第1日!C65)</f>
        <v>50</v>
      </c>
      <c r="R41" s="13">
        <v>-1</v>
      </c>
      <c r="S41" s="13" t="str">
        <f>IF(第1日!B65="","",第1日!I65)</f>
        <v>可回读</v>
      </c>
    </row>
    <row r="42" spans="1:19" ht="16.5">
      <c r="A42" s="13">
        <v>3</v>
      </c>
      <c r="B42" s="13" t="s">
        <v>534</v>
      </c>
      <c r="C42" s="13">
        <v>3</v>
      </c>
      <c r="D42" s="13">
        <v>1</v>
      </c>
      <c r="E42" s="13">
        <v>3</v>
      </c>
      <c r="F42" s="13" t="s">
        <v>55</v>
      </c>
      <c r="G42" s="13" t="str">
        <f>第1日!B61</f>
        <v>第3波</v>
      </c>
      <c r="H42" s="13">
        <f>IF(第1日!B62="点1·开启",1,0)+IF(第1日!C62="点2·开启",2,0)+IF(第1日!D62="点3·开启",4,0)+IF(第1日!E62="点4·开启",8,0)+IF(第1日!F62="点5·开启",16,0)+IF(第1日!G62="点6·开启",32,0)</f>
        <v>63</v>
      </c>
      <c r="I42" s="13">
        <f>第1日!E61</f>
        <v>0.1</v>
      </c>
      <c r="J42" s="13">
        <f>第1日!G61</f>
        <v>2</v>
      </c>
      <c r="K42" s="13">
        <f>第1日!I61</f>
        <v>300</v>
      </c>
      <c r="L42" s="13" t="s">
        <v>531</v>
      </c>
      <c r="M42" s="13" t="s">
        <v>532</v>
      </c>
      <c r="N42" s="13" t="b">
        <f>第1日!I62="待设计"</f>
        <v>0</v>
      </c>
      <c r="O42" s="13">
        <v>2</v>
      </c>
      <c r="P42" s="13" t="str">
        <f>IF(第1日!B66="","",IFERROR(VLOOKUP(第1日!B66,敌人目录!$A$6:$B$68,2,FALSE),""))</f>
        <v>yuanshi_insect_basic</v>
      </c>
      <c r="Q42" s="13">
        <f>IF(第1日!B66="","",第1日!C66)</f>
        <v>500</v>
      </c>
      <c r="R42" s="13">
        <v>-1</v>
      </c>
      <c r="S42" s="13" t="str">
        <f>IF(第1日!B66="","",第1日!I66)</f>
        <v>可回读</v>
      </c>
    </row>
    <row r="43" spans="1:19" ht="16.5">
      <c r="A43" s="13">
        <v>3</v>
      </c>
      <c r="B43" s="13" t="s">
        <v>534</v>
      </c>
      <c r="C43" s="13">
        <v>3</v>
      </c>
      <c r="D43" s="13">
        <v>1</v>
      </c>
      <c r="E43" s="13">
        <v>3</v>
      </c>
      <c r="F43" s="13" t="s">
        <v>55</v>
      </c>
      <c r="G43" s="13" t="str">
        <f>第1日!B61</f>
        <v>第3波</v>
      </c>
      <c r="H43" s="13">
        <f>IF(第1日!B62="点1·开启",1,0)+IF(第1日!C62="点2·开启",2,0)+IF(第1日!D62="点3·开启",4,0)+IF(第1日!E62="点4·开启",8,0)+IF(第1日!F62="点5·开启",16,0)+IF(第1日!G62="点6·开启",32,0)</f>
        <v>63</v>
      </c>
      <c r="I43" s="13">
        <f>第1日!E61</f>
        <v>0.1</v>
      </c>
      <c r="J43" s="13">
        <f>第1日!G61</f>
        <v>2</v>
      </c>
      <c r="K43" s="13">
        <f>第1日!I61</f>
        <v>300</v>
      </c>
      <c r="L43" s="13" t="s">
        <v>531</v>
      </c>
      <c r="M43" s="13" t="s">
        <v>532</v>
      </c>
      <c r="N43" s="13" t="b">
        <f>第1日!I62="待设计"</f>
        <v>0</v>
      </c>
      <c r="O43" s="13">
        <v>3</v>
      </c>
      <c r="P43" s="13" t="str">
        <f>IF(第1日!B67="","",IFERROR(VLOOKUP(第1日!B67,敌人目录!$A$6:$B$68,2,FALSE),""))</f>
        <v>yuanshi_insect_shell</v>
      </c>
      <c r="Q43" s="13">
        <f>IF(第1日!B67="","",第1日!C67)</f>
        <v>1000</v>
      </c>
      <c r="R43" s="13">
        <v>-1</v>
      </c>
      <c r="S43" s="13" t="str">
        <f>IF(第1日!B67="","",第1日!I67)</f>
        <v>可回读</v>
      </c>
    </row>
    <row r="44" spans="1:19" ht="16.5">
      <c r="A44" s="13">
        <v>3</v>
      </c>
      <c r="B44" s="13" t="s">
        <v>534</v>
      </c>
      <c r="C44" s="13">
        <v>3</v>
      </c>
      <c r="D44" s="13">
        <v>1</v>
      </c>
      <c r="E44" s="13">
        <v>3</v>
      </c>
      <c r="F44" s="13" t="s">
        <v>55</v>
      </c>
      <c r="G44" s="13" t="str">
        <f>第1日!B61</f>
        <v>第3波</v>
      </c>
      <c r="H44" s="13">
        <f>IF(第1日!B62="点1·开启",1,0)+IF(第1日!C62="点2·开启",2,0)+IF(第1日!D62="点3·开启",4,0)+IF(第1日!E62="点4·开启",8,0)+IF(第1日!F62="点5·开启",16,0)+IF(第1日!G62="点6·开启",32,0)</f>
        <v>63</v>
      </c>
      <c r="I44" s="13">
        <f>第1日!E61</f>
        <v>0.1</v>
      </c>
      <c r="J44" s="13">
        <f>第1日!G61</f>
        <v>2</v>
      </c>
      <c r="K44" s="13">
        <f>第1日!I61</f>
        <v>300</v>
      </c>
      <c r="L44" s="13" t="s">
        <v>531</v>
      </c>
      <c r="M44" s="13" t="s">
        <v>532</v>
      </c>
      <c r="N44" s="13" t="b">
        <f>第1日!I62="待设计"</f>
        <v>0</v>
      </c>
      <c r="O44" s="13">
        <v>4</v>
      </c>
      <c r="P44" s="13" t="str">
        <f>IF(第1日!B68="","",IFERROR(VLOOKUP(第1日!B68,敌人目录!$A$6:$B$68,2,FALSE),""))</f>
        <v>yuanshi_insect_bomber</v>
      </c>
      <c r="Q44" s="13">
        <f>IF(第1日!B68="","",第1日!C68)</f>
        <v>400</v>
      </c>
      <c r="R44" s="13">
        <v>-1</v>
      </c>
      <c r="S44" s="13" t="str">
        <f>IF(第1日!B68="","",第1日!I68)</f>
        <v>可回读</v>
      </c>
    </row>
    <row r="45" spans="1:19" ht="16.5">
      <c r="A45" s="13">
        <v>3</v>
      </c>
      <c r="B45" s="13" t="s">
        <v>534</v>
      </c>
      <c r="C45" s="13">
        <v>3</v>
      </c>
      <c r="D45" s="13">
        <v>1</v>
      </c>
      <c r="E45" s="13">
        <v>3</v>
      </c>
      <c r="F45" s="13" t="s">
        <v>55</v>
      </c>
      <c r="G45" s="13" t="str">
        <f>第1日!B61</f>
        <v>第3波</v>
      </c>
      <c r="H45" s="13">
        <f>IF(第1日!B62="点1·开启",1,0)+IF(第1日!C62="点2·开启",2,0)+IF(第1日!D62="点3·开启",4,0)+IF(第1日!E62="点4·开启",8,0)+IF(第1日!F62="点5·开启",16,0)+IF(第1日!G62="点6·开启",32,0)</f>
        <v>63</v>
      </c>
      <c r="I45" s="13">
        <f>第1日!E61</f>
        <v>0.1</v>
      </c>
      <c r="J45" s="13">
        <f>第1日!G61</f>
        <v>2</v>
      </c>
      <c r="K45" s="13">
        <f>第1日!I61</f>
        <v>300</v>
      </c>
      <c r="L45" s="13" t="s">
        <v>531</v>
      </c>
      <c r="M45" s="13" t="s">
        <v>532</v>
      </c>
      <c r="N45" s="13" t="b">
        <f>第1日!I62="待设计"</f>
        <v>0</v>
      </c>
      <c r="O45" s="13">
        <v>5</v>
      </c>
      <c r="P45" s="13" t="str">
        <f>IF(第1日!B69="","",IFERROR(VLOOKUP(第1日!B69,敌人目录!$A$6:$B$68,2,FALSE),""))</f>
        <v>slime_green</v>
      </c>
      <c r="Q45" s="13">
        <f>IF(第1日!B69="","",第1日!C69)</f>
        <v>100</v>
      </c>
      <c r="R45" s="13">
        <v>-1</v>
      </c>
      <c r="S45" s="13" t="str">
        <f>IF(第1日!B69="","",第1日!I69)</f>
        <v>可回读</v>
      </c>
    </row>
    <row r="46" spans="1:19" ht="16.5">
      <c r="A46" s="13">
        <v>3</v>
      </c>
      <c r="B46" s="13" t="s">
        <v>534</v>
      </c>
      <c r="C46" s="13">
        <v>3</v>
      </c>
      <c r="D46" s="13">
        <v>1</v>
      </c>
      <c r="E46" s="13">
        <v>3</v>
      </c>
      <c r="F46" s="13" t="s">
        <v>55</v>
      </c>
      <c r="G46" s="13" t="str">
        <f>第1日!B61</f>
        <v>第3波</v>
      </c>
      <c r="H46" s="13">
        <f>IF(第1日!B62="点1·开启",1,0)+IF(第1日!C62="点2·开启",2,0)+IF(第1日!D62="点3·开启",4,0)+IF(第1日!E62="点4·开启",8,0)+IF(第1日!F62="点5·开启",16,0)+IF(第1日!G62="点6·开启",32,0)</f>
        <v>63</v>
      </c>
      <c r="I46" s="13">
        <f>第1日!E61</f>
        <v>0.1</v>
      </c>
      <c r="J46" s="13">
        <f>第1日!G61</f>
        <v>2</v>
      </c>
      <c r="K46" s="13">
        <f>第1日!I61</f>
        <v>300</v>
      </c>
      <c r="L46" s="13" t="s">
        <v>531</v>
      </c>
      <c r="M46" s="13" t="s">
        <v>532</v>
      </c>
      <c r="N46" s="13" t="b">
        <f>第1日!I62="待设计"</f>
        <v>0</v>
      </c>
      <c r="O46" s="13">
        <v>6</v>
      </c>
      <c r="P46" s="13" t="str">
        <f>IF(第1日!B70="","",IFERROR(VLOOKUP(第1日!B70,敌人目录!$A$6:$B$68,2,FALSE),""))</f>
        <v>slime_frost</v>
      </c>
      <c r="Q46" s="13">
        <f>IF(第1日!B70="","",第1日!C70)</f>
        <v>400</v>
      </c>
      <c r="R46" s="13">
        <v>-1</v>
      </c>
      <c r="S46" s="13" t="str">
        <f>IF(第1日!B70="","",第1日!I70)</f>
        <v>可回读</v>
      </c>
    </row>
    <row r="47" spans="1:19" ht="16.5">
      <c r="A47" s="13">
        <v>3</v>
      </c>
      <c r="B47" s="13" t="s">
        <v>534</v>
      </c>
      <c r="C47" s="13">
        <v>3</v>
      </c>
      <c r="D47" s="13">
        <v>1</v>
      </c>
      <c r="E47" s="13">
        <v>3</v>
      </c>
      <c r="F47" s="13" t="s">
        <v>55</v>
      </c>
      <c r="G47" s="13" t="str">
        <f>第1日!B61</f>
        <v>第3波</v>
      </c>
      <c r="H47" s="13">
        <f>IF(第1日!B62="点1·开启",1,0)+IF(第1日!C62="点2·开启",2,0)+IF(第1日!D62="点3·开启",4,0)+IF(第1日!E62="点4·开启",8,0)+IF(第1日!F62="点5·开启",16,0)+IF(第1日!G62="点6·开启",32,0)</f>
        <v>63</v>
      </c>
      <c r="I47" s="13">
        <f>第1日!E61</f>
        <v>0.1</v>
      </c>
      <c r="J47" s="13">
        <f>第1日!G61</f>
        <v>2</v>
      </c>
      <c r="K47" s="13">
        <f>第1日!I61</f>
        <v>300</v>
      </c>
      <c r="L47" s="13" t="s">
        <v>531</v>
      </c>
      <c r="M47" s="13" t="s">
        <v>532</v>
      </c>
      <c r="N47" s="13" t="b">
        <f>第1日!I62="待设计"</f>
        <v>0</v>
      </c>
      <c r="O47" s="13">
        <v>7</v>
      </c>
      <c r="P47" s="13" t="str">
        <f>IF(第1日!B71="","",IFERROR(VLOOKUP(第1日!B71,敌人目录!$A$6:$B$68,2,FALSE),""))</f>
        <v>yuanshi_insect_fire_ranged</v>
      </c>
      <c r="Q47" s="13">
        <f>IF(第1日!B71="","",第1日!C71)</f>
        <v>500</v>
      </c>
      <c r="R47" s="13">
        <v>-1</v>
      </c>
      <c r="S47" s="13" t="str">
        <f>IF(第1日!B71="","",第1日!I71)</f>
        <v>可回读</v>
      </c>
    </row>
    <row r="48" spans="1:19" ht="16.5">
      <c r="A48" s="13">
        <v>3</v>
      </c>
      <c r="B48" s="13" t="s">
        <v>534</v>
      </c>
      <c r="C48" s="13">
        <v>3</v>
      </c>
      <c r="D48" s="13">
        <v>1</v>
      </c>
      <c r="E48" s="13">
        <v>3</v>
      </c>
      <c r="F48" s="13" t="s">
        <v>55</v>
      </c>
      <c r="G48" s="13" t="str">
        <f>第1日!B61</f>
        <v>第3波</v>
      </c>
      <c r="H48" s="13">
        <f>IF(第1日!B62="点1·开启",1,0)+IF(第1日!C62="点2·开启",2,0)+IF(第1日!D62="点3·开启",4,0)+IF(第1日!E62="点4·开启",8,0)+IF(第1日!F62="点5·开启",16,0)+IF(第1日!G62="点6·开启",32,0)</f>
        <v>63</v>
      </c>
      <c r="I48" s="13">
        <f>第1日!E61</f>
        <v>0.1</v>
      </c>
      <c r="J48" s="13">
        <f>第1日!G61</f>
        <v>2</v>
      </c>
      <c r="K48" s="13">
        <f>第1日!I61</f>
        <v>300</v>
      </c>
      <c r="L48" s="13" t="s">
        <v>531</v>
      </c>
      <c r="M48" s="13" t="s">
        <v>532</v>
      </c>
      <c r="N48" s="13" t="b">
        <f>第1日!I62="待设计"</f>
        <v>0</v>
      </c>
      <c r="O48" s="13">
        <v>8</v>
      </c>
      <c r="P48" s="13" t="str">
        <f>IF(第1日!B72="","",IFERROR(VLOOKUP(第1日!B72,敌人目录!$A$6:$B$68,2,FALSE),""))</f>
        <v>slime_basic</v>
      </c>
      <c r="Q48" s="13">
        <f>IF(第1日!B72="","",第1日!C72)</f>
        <v>500</v>
      </c>
      <c r="R48" s="13">
        <v>-1</v>
      </c>
      <c r="S48" s="13" t="str">
        <f>IF(第1日!B72="","",第1日!I72)</f>
        <v>可回读</v>
      </c>
    </row>
    <row r="49" spans="1:19" ht="16.5">
      <c r="A49" s="13">
        <v>3</v>
      </c>
      <c r="B49" s="13" t="s">
        <v>534</v>
      </c>
      <c r="C49" s="13">
        <v>3</v>
      </c>
      <c r="D49" s="13">
        <v>1</v>
      </c>
      <c r="E49" s="13">
        <v>3</v>
      </c>
      <c r="F49" s="13" t="s">
        <v>55</v>
      </c>
      <c r="G49" s="13" t="str">
        <f>第1日!B61</f>
        <v>第3波</v>
      </c>
      <c r="H49" s="13">
        <f>IF(第1日!B62="点1·开启",1,0)+IF(第1日!C62="点2·开启",2,0)+IF(第1日!D62="点3·开启",4,0)+IF(第1日!E62="点4·开启",8,0)+IF(第1日!F62="点5·开启",16,0)+IF(第1日!G62="点6·开启",32,0)</f>
        <v>63</v>
      </c>
      <c r="I49" s="13">
        <f>第1日!E61</f>
        <v>0.1</v>
      </c>
      <c r="J49" s="13">
        <f>第1日!G61</f>
        <v>2</v>
      </c>
      <c r="K49" s="13">
        <f>第1日!I61</f>
        <v>300</v>
      </c>
      <c r="L49" s="13" t="s">
        <v>531</v>
      </c>
      <c r="M49" s="13" t="s">
        <v>532</v>
      </c>
      <c r="N49" s="13" t="b">
        <f>第1日!I62="待设计"</f>
        <v>0</v>
      </c>
      <c r="O49" s="13">
        <v>9</v>
      </c>
      <c r="P49" s="13" t="str">
        <f>IF(第1日!B73="","",IFERROR(VLOOKUP(第1日!B73,敌人目录!$A$6:$B$68,2,FALSE),""))</f>
        <v>yuanshi_insect_purple_bomber</v>
      </c>
      <c r="Q49" s="13">
        <f>IF(第1日!B73="","",第1日!C73)</f>
        <v>20</v>
      </c>
      <c r="R49" s="13">
        <v>-1</v>
      </c>
      <c r="S49" s="13" t="str">
        <f>IF(第1日!B73="","",第1日!I73)</f>
        <v>可回读</v>
      </c>
    </row>
    <row r="50" spans="1:19" ht="16.5">
      <c r="A50" s="13">
        <v>3</v>
      </c>
      <c r="B50" s="13" t="s">
        <v>534</v>
      </c>
      <c r="C50" s="13">
        <v>3</v>
      </c>
      <c r="D50" s="13">
        <v>1</v>
      </c>
      <c r="E50" s="13">
        <v>3</v>
      </c>
      <c r="F50" s="13" t="s">
        <v>55</v>
      </c>
      <c r="G50" s="13" t="str">
        <f>第1日!B61</f>
        <v>第3波</v>
      </c>
      <c r="H50" s="13">
        <f>IF(第1日!B62="点1·开启",1,0)+IF(第1日!C62="点2·开启",2,0)+IF(第1日!D62="点3·开启",4,0)+IF(第1日!E62="点4·开启",8,0)+IF(第1日!F62="点5·开启",16,0)+IF(第1日!G62="点6·开启",32,0)</f>
        <v>63</v>
      </c>
      <c r="I50" s="13">
        <f>第1日!E61</f>
        <v>0.1</v>
      </c>
      <c r="J50" s="13">
        <f>第1日!G61</f>
        <v>2</v>
      </c>
      <c r="K50" s="13">
        <f>第1日!I61</f>
        <v>300</v>
      </c>
      <c r="L50" s="13" t="s">
        <v>531</v>
      </c>
      <c r="M50" s="13" t="s">
        <v>532</v>
      </c>
      <c r="N50" s="13" t="b">
        <f>第1日!I62="待设计"</f>
        <v>0</v>
      </c>
      <c r="O50" s="13">
        <v>10</v>
      </c>
      <c r="P50" s="13" t="str">
        <f>IF(第1日!B74="","",IFERROR(VLOOKUP(第1日!B74,敌人目录!$A$6:$B$68,2,FALSE),""))</f>
        <v/>
      </c>
      <c r="Q50" s="13" t="str">
        <f>IF(第1日!B74="","",第1日!C74)</f>
        <v/>
      </c>
      <c r="R50" s="13">
        <v>-1</v>
      </c>
      <c r="S50" s="13" t="str">
        <f>IF(第1日!B74="","",第1日!I74)</f>
        <v/>
      </c>
    </row>
    <row r="51" spans="1:19" ht="16.5">
      <c r="A51" s="13">
        <v>3</v>
      </c>
      <c r="B51" s="13" t="s">
        <v>534</v>
      </c>
      <c r="C51" s="13">
        <v>3</v>
      </c>
      <c r="D51" s="13">
        <v>1</v>
      </c>
      <c r="E51" s="13">
        <v>3</v>
      </c>
      <c r="F51" s="13" t="s">
        <v>55</v>
      </c>
      <c r="G51" s="13" t="str">
        <f>第1日!B61</f>
        <v>第3波</v>
      </c>
      <c r="H51" s="13">
        <f>IF(第1日!B62="点1·开启",1,0)+IF(第1日!C62="点2·开启",2,0)+IF(第1日!D62="点3·开启",4,0)+IF(第1日!E62="点4·开启",8,0)+IF(第1日!F62="点5·开启",16,0)+IF(第1日!G62="点6·开启",32,0)</f>
        <v>63</v>
      </c>
      <c r="I51" s="13">
        <f>第1日!E61</f>
        <v>0.1</v>
      </c>
      <c r="J51" s="13">
        <f>第1日!G61</f>
        <v>2</v>
      </c>
      <c r="K51" s="13">
        <f>第1日!I61</f>
        <v>300</v>
      </c>
      <c r="L51" s="13" t="s">
        <v>531</v>
      </c>
      <c r="M51" s="13" t="s">
        <v>532</v>
      </c>
      <c r="N51" s="13" t="b">
        <f>第1日!I62="待设计"</f>
        <v>0</v>
      </c>
      <c r="O51" s="13">
        <v>11</v>
      </c>
      <c r="P51" s="13" t="str">
        <f>IF(第1日!B75="","",IFERROR(VLOOKUP(第1日!B75,敌人目录!$A$6:$B$68,2,FALSE),""))</f>
        <v/>
      </c>
      <c r="Q51" s="13" t="str">
        <f>IF(第1日!B75="","",第1日!C75)</f>
        <v/>
      </c>
      <c r="R51" s="13">
        <v>-1</v>
      </c>
      <c r="S51" s="13" t="str">
        <f>IF(第1日!B75="","",第1日!I75)</f>
        <v/>
      </c>
    </row>
    <row r="52" spans="1:19" ht="16.5">
      <c r="A52" s="13">
        <v>3</v>
      </c>
      <c r="B52" s="13" t="s">
        <v>534</v>
      </c>
      <c r="C52" s="13">
        <v>3</v>
      </c>
      <c r="D52" s="13">
        <v>1</v>
      </c>
      <c r="E52" s="13">
        <v>3</v>
      </c>
      <c r="F52" s="13" t="s">
        <v>55</v>
      </c>
      <c r="G52" s="13" t="str">
        <f>第1日!B61</f>
        <v>第3波</v>
      </c>
      <c r="H52" s="13">
        <f>IF(第1日!B62="点1·开启",1,0)+IF(第1日!C62="点2·开启",2,0)+IF(第1日!D62="点3·开启",4,0)+IF(第1日!E62="点4·开启",8,0)+IF(第1日!F62="点5·开启",16,0)+IF(第1日!G62="点6·开启",32,0)</f>
        <v>63</v>
      </c>
      <c r="I52" s="13">
        <f>第1日!E61</f>
        <v>0.1</v>
      </c>
      <c r="J52" s="13">
        <f>第1日!G61</f>
        <v>2</v>
      </c>
      <c r="K52" s="13">
        <f>第1日!I61</f>
        <v>300</v>
      </c>
      <c r="L52" s="13" t="s">
        <v>531</v>
      </c>
      <c r="M52" s="13" t="s">
        <v>532</v>
      </c>
      <c r="N52" s="13" t="b">
        <f>第1日!I62="待设计"</f>
        <v>0</v>
      </c>
      <c r="O52" s="13">
        <v>12</v>
      </c>
      <c r="P52" s="13" t="str">
        <f>IF(第1日!B76="","",IFERROR(VLOOKUP(第1日!B76,敌人目录!$A$6:$B$68,2,FALSE),""))</f>
        <v/>
      </c>
      <c r="Q52" s="13" t="str">
        <f>IF(第1日!B76="","",第1日!C76)</f>
        <v/>
      </c>
      <c r="R52" s="13">
        <v>-1</v>
      </c>
      <c r="S52" s="13" t="str">
        <f>IF(第1日!B76="","",第1日!I76)</f>
        <v/>
      </c>
    </row>
    <row r="53" spans="1:19" ht="16.5">
      <c r="A53" s="13">
        <v>3</v>
      </c>
      <c r="B53" s="13" t="s">
        <v>534</v>
      </c>
      <c r="C53" s="13">
        <v>3</v>
      </c>
      <c r="D53" s="13">
        <v>1</v>
      </c>
      <c r="E53" s="13">
        <v>3</v>
      </c>
      <c r="F53" s="13" t="s">
        <v>55</v>
      </c>
      <c r="G53" s="13" t="str">
        <f>第1日!B61</f>
        <v>第3波</v>
      </c>
      <c r="H53" s="13">
        <f>IF(第1日!B62="点1·开启",1,0)+IF(第1日!C62="点2·开启",2,0)+IF(第1日!D62="点3·开启",4,0)+IF(第1日!E62="点4·开启",8,0)+IF(第1日!F62="点5·开启",16,0)+IF(第1日!G62="点6·开启",32,0)</f>
        <v>63</v>
      </c>
      <c r="I53" s="13">
        <f>第1日!E61</f>
        <v>0.1</v>
      </c>
      <c r="J53" s="13">
        <f>第1日!G61</f>
        <v>2</v>
      </c>
      <c r="K53" s="13">
        <f>第1日!I61</f>
        <v>300</v>
      </c>
      <c r="L53" s="13" t="s">
        <v>531</v>
      </c>
      <c r="M53" s="13" t="s">
        <v>532</v>
      </c>
      <c r="N53" s="13" t="b">
        <f>第1日!I62="待设计"</f>
        <v>0</v>
      </c>
      <c r="O53" s="13">
        <v>13</v>
      </c>
      <c r="P53" s="13" t="str">
        <f>IF(第1日!B77="","",IFERROR(VLOOKUP(第1日!B77,敌人目录!$A$6:$B$68,2,FALSE),""))</f>
        <v/>
      </c>
      <c r="Q53" s="13" t="str">
        <f>IF(第1日!B77="","",第1日!C77)</f>
        <v/>
      </c>
      <c r="R53" s="13">
        <v>-1</v>
      </c>
      <c r="S53" s="13" t="str">
        <f>IF(第1日!B77="","",第1日!I77)</f>
        <v/>
      </c>
    </row>
    <row r="54" spans="1:19" ht="16.5">
      <c r="A54" s="13">
        <v>3</v>
      </c>
      <c r="B54" s="13" t="s">
        <v>534</v>
      </c>
      <c r="C54" s="13">
        <v>3</v>
      </c>
      <c r="D54" s="13">
        <v>1</v>
      </c>
      <c r="E54" s="13">
        <v>3</v>
      </c>
      <c r="F54" s="13" t="s">
        <v>55</v>
      </c>
      <c r="G54" s="13" t="str">
        <f>第1日!B61</f>
        <v>第3波</v>
      </c>
      <c r="H54" s="13">
        <f>IF(第1日!B62="点1·开启",1,0)+IF(第1日!C62="点2·开启",2,0)+IF(第1日!D62="点3·开启",4,0)+IF(第1日!E62="点4·开启",8,0)+IF(第1日!F62="点5·开启",16,0)+IF(第1日!G62="点6·开启",32,0)</f>
        <v>63</v>
      </c>
      <c r="I54" s="13">
        <f>第1日!E61</f>
        <v>0.1</v>
      </c>
      <c r="J54" s="13">
        <f>第1日!G61</f>
        <v>2</v>
      </c>
      <c r="K54" s="13">
        <f>第1日!I61</f>
        <v>300</v>
      </c>
      <c r="L54" s="13" t="s">
        <v>531</v>
      </c>
      <c r="M54" s="13" t="s">
        <v>532</v>
      </c>
      <c r="N54" s="13" t="b">
        <f>第1日!I62="待设计"</f>
        <v>0</v>
      </c>
      <c r="O54" s="13">
        <v>14</v>
      </c>
      <c r="P54" s="13" t="str">
        <f>IF(第1日!B78="","",IFERROR(VLOOKUP(第1日!B78,敌人目录!$A$6:$B$68,2,FALSE),""))</f>
        <v/>
      </c>
      <c r="Q54" s="13" t="str">
        <f>IF(第1日!B78="","",第1日!C78)</f>
        <v/>
      </c>
      <c r="R54" s="13">
        <v>-1</v>
      </c>
      <c r="S54" s="13" t="str">
        <f>IF(第1日!B78="","",第1日!I78)</f>
        <v/>
      </c>
    </row>
    <row r="55" spans="1:19" ht="16.5">
      <c r="A55" s="13">
        <v>3</v>
      </c>
      <c r="B55" s="13" t="s">
        <v>534</v>
      </c>
      <c r="C55" s="13">
        <v>3</v>
      </c>
      <c r="D55" s="13">
        <v>1</v>
      </c>
      <c r="E55" s="13">
        <v>3</v>
      </c>
      <c r="F55" s="13" t="s">
        <v>55</v>
      </c>
      <c r="G55" s="13" t="str">
        <f>第1日!B61</f>
        <v>第3波</v>
      </c>
      <c r="H55" s="13">
        <f>IF(第1日!B62="点1·开启",1,0)+IF(第1日!C62="点2·开启",2,0)+IF(第1日!D62="点3·开启",4,0)+IF(第1日!E62="点4·开启",8,0)+IF(第1日!F62="点5·开启",16,0)+IF(第1日!G62="点6·开启",32,0)</f>
        <v>63</v>
      </c>
      <c r="I55" s="13">
        <f>第1日!E61</f>
        <v>0.1</v>
      </c>
      <c r="J55" s="13">
        <f>第1日!G61</f>
        <v>2</v>
      </c>
      <c r="K55" s="13">
        <f>第1日!I61</f>
        <v>300</v>
      </c>
      <c r="L55" s="13" t="s">
        <v>531</v>
      </c>
      <c r="M55" s="13" t="s">
        <v>532</v>
      </c>
      <c r="N55" s="13" t="b">
        <f>第1日!I62="待设计"</f>
        <v>0</v>
      </c>
      <c r="O55" s="13">
        <v>15</v>
      </c>
      <c r="P55" s="13" t="str">
        <f>IF(第1日!B79="","",IFERROR(VLOOKUP(第1日!B79,敌人目录!$A$6:$B$68,2,FALSE),""))</f>
        <v/>
      </c>
      <c r="Q55" s="13" t="str">
        <f>IF(第1日!B79="","",第1日!C79)</f>
        <v/>
      </c>
      <c r="R55" s="13">
        <v>-1</v>
      </c>
      <c r="S55" s="13" t="str">
        <f>IF(第1日!B79="","",第1日!I79)</f>
        <v/>
      </c>
    </row>
    <row r="56" spans="1:19" ht="16.5">
      <c r="A56" s="13">
        <v>3</v>
      </c>
      <c r="B56" s="13" t="s">
        <v>534</v>
      </c>
      <c r="C56" s="13">
        <v>3</v>
      </c>
      <c r="D56" s="13">
        <v>1</v>
      </c>
      <c r="E56" s="13">
        <v>3</v>
      </c>
      <c r="F56" s="13" t="s">
        <v>55</v>
      </c>
      <c r="G56" s="13" t="str">
        <f>第1日!B61</f>
        <v>第3波</v>
      </c>
      <c r="H56" s="13">
        <f>IF(第1日!B62="点1·开启",1,0)+IF(第1日!C62="点2·开启",2,0)+IF(第1日!D62="点3·开启",4,0)+IF(第1日!E62="点4·开启",8,0)+IF(第1日!F62="点5·开启",16,0)+IF(第1日!G62="点6·开启",32,0)</f>
        <v>63</v>
      </c>
      <c r="I56" s="13">
        <f>第1日!E61</f>
        <v>0.1</v>
      </c>
      <c r="J56" s="13">
        <f>第1日!G61</f>
        <v>2</v>
      </c>
      <c r="K56" s="13">
        <f>第1日!I61</f>
        <v>300</v>
      </c>
      <c r="L56" s="13" t="s">
        <v>531</v>
      </c>
      <c r="M56" s="13" t="s">
        <v>532</v>
      </c>
      <c r="N56" s="13" t="b">
        <f>第1日!I62="待设计"</f>
        <v>0</v>
      </c>
      <c r="O56" s="13">
        <v>16</v>
      </c>
      <c r="P56" s="13" t="str">
        <f>IF(第1日!B80="","",IFERROR(VLOOKUP(第1日!B80,敌人目录!$A$6:$B$68,2,FALSE),""))</f>
        <v/>
      </c>
      <c r="Q56" s="13" t="str">
        <f>IF(第1日!B80="","",第1日!C80)</f>
        <v/>
      </c>
      <c r="R56" s="13">
        <v>-1</v>
      </c>
      <c r="S56" s="13" t="str">
        <f>IF(第1日!B80="","",第1日!I80)</f>
        <v/>
      </c>
    </row>
    <row r="57" spans="1:19" ht="16.5">
      <c r="A57" s="13">
        <v>3</v>
      </c>
      <c r="B57" s="13" t="s">
        <v>534</v>
      </c>
      <c r="C57" s="13">
        <v>3</v>
      </c>
      <c r="D57" s="13">
        <v>1</v>
      </c>
      <c r="E57" s="13">
        <v>3</v>
      </c>
      <c r="F57" s="13" t="s">
        <v>55</v>
      </c>
      <c r="G57" s="13" t="str">
        <f>第1日!B61</f>
        <v>第3波</v>
      </c>
      <c r="H57" s="13">
        <f>IF(第1日!B62="点1·开启",1,0)+IF(第1日!C62="点2·开启",2,0)+IF(第1日!D62="点3·开启",4,0)+IF(第1日!E62="点4·开启",8,0)+IF(第1日!F62="点5·开启",16,0)+IF(第1日!G62="点6·开启",32,0)</f>
        <v>63</v>
      </c>
      <c r="I57" s="13">
        <f>第1日!E61</f>
        <v>0.1</v>
      </c>
      <c r="J57" s="13">
        <f>第1日!G61</f>
        <v>2</v>
      </c>
      <c r="K57" s="13">
        <f>第1日!I61</f>
        <v>300</v>
      </c>
      <c r="L57" s="13" t="s">
        <v>531</v>
      </c>
      <c r="M57" s="13" t="s">
        <v>532</v>
      </c>
      <c r="N57" s="13" t="b">
        <f>第1日!I62="待设计"</f>
        <v>0</v>
      </c>
      <c r="O57" s="13">
        <v>17</v>
      </c>
      <c r="P57" s="13" t="str">
        <f>IF(第1日!B81="","",IFERROR(VLOOKUP(第1日!B81,敌人目录!$A$6:$B$68,2,FALSE),""))</f>
        <v/>
      </c>
      <c r="Q57" s="13" t="str">
        <f>IF(第1日!B81="","",第1日!C81)</f>
        <v/>
      </c>
      <c r="R57" s="13">
        <v>-1</v>
      </c>
      <c r="S57" s="13" t="str">
        <f>IF(第1日!B81="","",第1日!I81)</f>
        <v/>
      </c>
    </row>
    <row r="58" spans="1:19" ht="16.5">
      <c r="A58" s="13">
        <v>3</v>
      </c>
      <c r="B58" s="13" t="s">
        <v>534</v>
      </c>
      <c r="C58" s="13">
        <v>3</v>
      </c>
      <c r="D58" s="13">
        <v>1</v>
      </c>
      <c r="E58" s="13">
        <v>3</v>
      </c>
      <c r="F58" s="13" t="s">
        <v>55</v>
      </c>
      <c r="G58" s="13" t="str">
        <f>第1日!B61</f>
        <v>第3波</v>
      </c>
      <c r="H58" s="13">
        <f>IF(第1日!B62="点1·开启",1,0)+IF(第1日!C62="点2·开启",2,0)+IF(第1日!D62="点3·开启",4,0)+IF(第1日!E62="点4·开启",8,0)+IF(第1日!F62="点5·开启",16,0)+IF(第1日!G62="点6·开启",32,0)</f>
        <v>63</v>
      </c>
      <c r="I58" s="13">
        <f>第1日!E61</f>
        <v>0.1</v>
      </c>
      <c r="J58" s="13">
        <f>第1日!G61</f>
        <v>2</v>
      </c>
      <c r="K58" s="13">
        <f>第1日!I61</f>
        <v>300</v>
      </c>
      <c r="L58" s="13" t="s">
        <v>531</v>
      </c>
      <c r="M58" s="13" t="s">
        <v>532</v>
      </c>
      <c r="N58" s="13" t="b">
        <f>第1日!I62="待设计"</f>
        <v>0</v>
      </c>
      <c r="O58" s="13">
        <v>18</v>
      </c>
      <c r="P58" s="13" t="str">
        <f>IF(第1日!B82="","",IFERROR(VLOOKUP(第1日!B82,敌人目录!$A$6:$B$68,2,FALSE),""))</f>
        <v/>
      </c>
      <c r="Q58" s="13" t="str">
        <f>IF(第1日!B82="","",第1日!C82)</f>
        <v/>
      </c>
      <c r="R58" s="13">
        <v>-1</v>
      </c>
      <c r="S58" s="13" t="str">
        <f>IF(第1日!B82="","",第1日!I82)</f>
        <v/>
      </c>
    </row>
    <row r="59" spans="1:19" ht="16.5">
      <c r="A59" s="13">
        <v>3</v>
      </c>
      <c r="B59" s="13" t="s">
        <v>535</v>
      </c>
      <c r="C59" s="13">
        <v>4</v>
      </c>
      <c r="D59" s="13">
        <v>1</v>
      </c>
      <c r="E59" s="13">
        <v>4</v>
      </c>
      <c r="F59" s="13" t="s">
        <v>55</v>
      </c>
      <c r="G59" s="13" t="str">
        <f>第1日!B90</f>
        <v>第4波</v>
      </c>
      <c r="H59" s="13">
        <f>IF(第1日!B91="点1·开启",1,0)+IF(第1日!C91="点2·开启",2,0)+IF(第1日!D91="点3·开启",4,0)+IF(第1日!E91="点4·开启",8,0)+IF(第1日!F91="点5·开启",16,0)+IF(第1日!G91="点6·开启",32,0)</f>
        <v>63</v>
      </c>
      <c r="I59" s="13">
        <f>第1日!E90</f>
        <v>0.1</v>
      </c>
      <c r="J59" s="13">
        <f>第1日!G90</f>
        <v>3</v>
      </c>
      <c r="K59" s="13">
        <f>第1日!I90</f>
        <v>300</v>
      </c>
      <c r="L59" s="13" t="s">
        <v>531</v>
      </c>
      <c r="M59" s="13" t="s">
        <v>532</v>
      </c>
      <c r="N59" s="13" t="b">
        <f>第1日!I91="待设计"</f>
        <v>0</v>
      </c>
      <c r="O59" s="13">
        <v>1</v>
      </c>
      <c r="P59" s="13" t="str">
        <f>IF(第1日!B94="","",IFERROR(VLOOKUP(第1日!B94,敌人目录!$A$6:$B$68,2,FALSE),""))</f>
        <v>yuanshi_insect_basic</v>
      </c>
      <c r="Q59" s="13">
        <f>IF(第1日!B94="","",第1日!C94)</f>
        <v>500</v>
      </c>
      <c r="R59" s="13">
        <v>-1</v>
      </c>
      <c r="S59" s="13" t="str">
        <f>IF(第1日!B94="","",第1日!I94)</f>
        <v>可回读</v>
      </c>
    </row>
    <row r="60" spans="1:19" ht="16.5">
      <c r="A60" s="13">
        <v>3</v>
      </c>
      <c r="B60" s="13" t="s">
        <v>535</v>
      </c>
      <c r="C60" s="13">
        <v>4</v>
      </c>
      <c r="D60" s="13">
        <v>1</v>
      </c>
      <c r="E60" s="13">
        <v>4</v>
      </c>
      <c r="F60" s="13" t="s">
        <v>55</v>
      </c>
      <c r="G60" s="13" t="str">
        <f>第1日!B90</f>
        <v>第4波</v>
      </c>
      <c r="H60" s="13">
        <f>IF(第1日!B91="点1·开启",1,0)+IF(第1日!C91="点2·开启",2,0)+IF(第1日!D91="点3·开启",4,0)+IF(第1日!E91="点4·开启",8,0)+IF(第1日!F91="点5·开启",16,0)+IF(第1日!G91="点6·开启",32,0)</f>
        <v>63</v>
      </c>
      <c r="I60" s="13">
        <f>第1日!E90</f>
        <v>0.1</v>
      </c>
      <c r="J60" s="13">
        <f>第1日!G90</f>
        <v>3</v>
      </c>
      <c r="K60" s="13">
        <f>第1日!I90</f>
        <v>300</v>
      </c>
      <c r="L60" s="13" t="s">
        <v>531</v>
      </c>
      <c r="M60" s="13" t="s">
        <v>532</v>
      </c>
      <c r="N60" s="13" t="b">
        <f>第1日!I91="待设计"</f>
        <v>0</v>
      </c>
      <c r="O60" s="13">
        <v>2</v>
      </c>
      <c r="P60" s="13" t="str">
        <f>IF(第1日!B95="","",IFERROR(VLOOKUP(第1日!B95,敌人目录!$A$6:$B$68,2,FALSE),""))</f>
        <v>yuanshi_insect_green_shell</v>
      </c>
      <c r="Q60" s="13">
        <f>IF(第1日!B95="","",第1日!C95)</f>
        <v>10</v>
      </c>
      <c r="R60" s="13">
        <v>-1</v>
      </c>
      <c r="S60" s="13" t="str">
        <f>IF(第1日!B95="","",第1日!I95)</f>
        <v>可回读</v>
      </c>
    </row>
    <row r="61" spans="1:19" ht="16.5">
      <c r="A61" s="13">
        <v>3</v>
      </c>
      <c r="B61" s="13" t="s">
        <v>535</v>
      </c>
      <c r="C61" s="13">
        <v>4</v>
      </c>
      <c r="D61" s="13">
        <v>1</v>
      </c>
      <c r="E61" s="13">
        <v>4</v>
      </c>
      <c r="F61" s="13" t="s">
        <v>55</v>
      </c>
      <c r="G61" s="13" t="str">
        <f>第1日!B90</f>
        <v>第4波</v>
      </c>
      <c r="H61" s="13">
        <f>IF(第1日!B91="点1·开启",1,0)+IF(第1日!C91="点2·开启",2,0)+IF(第1日!D91="点3·开启",4,0)+IF(第1日!E91="点4·开启",8,0)+IF(第1日!F91="点5·开启",16,0)+IF(第1日!G91="点6·开启",32,0)</f>
        <v>63</v>
      </c>
      <c r="I61" s="13">
        <f>第1日!E90</f>
        <v>0.1</v>
      </c>
      <c r="J61" s="13">
        <f>第1日!G90</f>
        <v>3</v>
      </c>
      <c r="K61" s="13">
        <f>第1日!I90</f>
        <v>300</v>
      </c>
      <c r="L61" s="13" t="s">
        <v>531</v>
      </c>
      <c r="M61" s="13" t="s">
        <v>532</v>
      </c>
      <c r="N61" s="13" t="b">
        <f>第1日!I91="待设计"</f>
        <v>0</v>
      </c>
      <c r="O61" s="13">
        <v>3</v>
      </c>
      <c r="P61" s="13" t="str">
        <f>IF(第1日!B96="","",IFERROR(VLOOKUP(第1日!B96,敌人目录!$A$6:$B$68,2,FALSE),""))</f>
        <v>yuanshi_insect_guardian</v>
      </c>
      <c r="Q61" s="13">
        <f>IF(第1日!B96="","",第1日!C96)</f>
        <v>10</v>
      </c>
      <c r="R61" s="13">
        <v>-1</v>
      </c>
      <c r="S61" s="13" t="str">
        <f>IF(第1日!B96="","",第1日!I96)</f>
        <v>可回读</v>
      </c>
    </row>
    <row r="62" spans="1:19" ht="16.5">
      <c r="A62" s="13">
        <v>3</v>
      </c>
      <c r="B62" s="13" t="s">
        <v>535</v>
      </c>
      <c r="C62" s="13">
        <v>4</v>
      </c>
      <c r="D62" s="13">
        <v>1</v>
      </c>
      <c r="E62" s="13">
        <v>4</v>
      </c>
      <c r="F62" s="13" t="s">
        <v>55</v>
      </c>
      <c r="G62" s="13" t="str">
        <f>第1日!B90</f>
        <v>第4波</v>
      </c>
      <c r="H62" s="13">
        <f>IF(第1日!B91="点1·开启",1,0)+IF(第1日!C91="点2·开启",2,0)+IF(第1日!D91="点3·开启",4,0)+IF(第1日!E91="点4·开启",8,0)+IF(第1日!F91="点5·开启",16,0)+IF(第1日!G91="点6·开启",32,0)</f>
        <v>63</v>
      </c>
      <c r="I62" s="13">
        <f>第1日!E90</f>
        <v>0.1</v>
      </c>
      <c r="J62" s="13">
        <f>第1日!G90</f>
        <v>3</v>
      </c>
      <c r="K62" s="13">
        <f>第1日!I90</f>
        <v>300</v>
      </c>
      <c r="L62" s="13" t="s">
        <v>531</v>
      </c>
      <c r="M62" s="13" t="s">
        <v>532</v>
      </c>
      <c r="N62" s="13" t="b">
        <f>第1日!I91="待设计"</f>
        <v>0</v>
      </c>
      <c r="O62" s="13">
        <v>4</v>
      </c>
      <c r="P62" s="13" t="str">
        <f>IF(第1日!B97="","",IFERROR(VLOOKUP(第1日!B97,敌人目录!$A$6:$B$68,2,FALSE),""))</f>
        <v>yuanshi_insect_bomber</v>
      </c>
      <c r="Q62" s="13">
        <f>IF(第1日!B97="","",第1日!C97)</f>
        <v>200</v>
      </c>
      <c r="R62" s="13">
        <v>-1</v>
      </c>
      <c r="S62" s="13" t="str">
        <f>IF(第1日!B97="","",第1日!I97)</f>
        <v>可回读</v>
      </c>
    </row>
    <row r="63" spans="1:19" ht="16.5">
      <c r="A63" s="13">
        <v>3</v>
      </c>
      <c r="B63" s="13" t="s">
        <v>535</v>
      </c>
      <c r="C63" s="13">
        <v>4</v>
      </c>
      <c r="D63" s="13">
        <v>1</v>
      </c>
      <c r="E63" s="13">
        <v>4</v>
      </c>
      <c r="F63" s="13" t="s">
        <v>55</v>
      </c>
      <c r="G63" s="13" t="str">
        <f>第1日!B90</f>
        <v>第4波</v>
      </c>
      <c r="H63" s="13">
        <f>IF(第1日!B91="点1·开启",1,0)+IF(第1日!C91="点2·开启",2,0)+IF(第1日!D91="点3·开启",4,0)+IF(第1日!E91="点4·开启",8,0)+IF(第1日!F91="点5·开启",16,0)+IF(第1日!G91="点6·开启",32,0)</f>
        <v>63</v>
      </c>
      <c r="I63" s="13">
        <f>第1日!E90</f>
        <v>0.1</v>
      </c>
      <c r="J63" s="13">
        <f>第1日!G90</f>
        <v>3</v>
      </c>
      <c r="K63" s="13">
        <f>第1日!I90</f>
        <v>300</v>
      </c>
      <c r="L63" s="13" t="s">
        <v>531</v>
      </c>
      <c r="M63" s="13" t="s">
        <v>532</v>
      </c>
      <c r="N63" s="13" t="b">
        <f>第1日!I91="待设计"</f>
        <v>0</v>
      </c>
      <c r="O63" s="13">
        <v>5</v>
      </c>
      <c r="P63" s="13" t="str">
        <f>IF(第1日!B98="","",IFERROR(VLOOKUP(第1日!B98,敌人目录!$A$6:$B$68,2,FALSE),""))</f>
        <v>yuanshi_insect_shell</v>
      </c>
      <c r="Q63" s="13">
        <f>IF(第1日!B98="","",第1日!C98)</f>
        <v>800</v>
      </c>
      <c r="R63" s="13">
        <v>-1</v>
      </c>
      <c r="S63" s="13" t="str">
        <f>IF(第1日!B98="","",第1日!I98)</f>
        <v>可回读</v>
      </c>
    </row>
    <row r="64" spans="1:19" ht="16.5">
      <c r="A64" s="13">
        <v>3</v>
      </c>
      <c r="B64" s="13" t="s">
        <v>535</v>
      </c>
      <c r="C64" s="13">
        <v>4</v>
      </c>
      <c r="D64" s="13">
        <v>1</v>
      </c>
      <c r="E64" s="13">
        <v>4</v>
      </c>
      <c r="F64" s="13" t="s">
        <v>55</v>
      </c>
      <c r="G64" s="13" t="str">
        <f>第1日!B90</f>
        <v>第4波</v>
      </c>
      <c r="H64" s="13">
        <f>IF(第1日!B91="点1·开启",1,0)+IF(第1日!C91="点2·开启",2,0)+IF(第1日!D91="点3·开启",4,0)+IF(第1日!E91="点4·开启",8,0)+IF(第1日!F91="点5·开启",16,0)+IF(第1日!G91="点6·开启",32,0)</f>
        <v>63</v>
      </c>
      <c r="I64" s="13">
        <f>第1日!E90</f>
        <v>0.1</v>
      </c>
      <c r="J64" s="13">
        <f>第1日!G90</f>
        <v>3</v>
      </c>
      <c r="K64" s="13">
        <f>第1日!I90</f>
        <v>300</v>
      </c>
      <c r="L64" s="13" t="s">
        <v>531</v>
      </c>
      <c r="M64" s="13" t="s">
        <v>532</v>
      </c>
      <c r="N64" s="13" t="b">
        <f>第1日!I91="待设计"</f>
        <v>0</v>
      </c>
      <c r="O64" s="13">
        <v>6</v>
      </c>
      <c r="P64" s="13" t="str">
        <f>IF(第1日!B99="","",IFERROR(VLOOKUP(第1日!B99,敌人目录!$A$6:$B$68,2,FALSE),""))</f>
        <v>slime_golden</v>
      </c>
      <c r="Q64" s="13">
        <f>IF(第1日!B99="","",第1日!C99)</f>
        <v>100</v>
      </c>
      <c r="R64" s="13">
        <v>-1</v>
      </c>
      <c r="S64" s="13" t="str">
        <f>IF(第1日!B99="","",第1日!I99)</f>
        <v>可回读</v>
      </c>
    </row>
    <row r="65" spans="1:19" ht="16.5">
      <c r="A65" s="13">
        <v>3</v>
      </c>
      <c r="B65" s="13" t="s">
        <v>535</v>
      </c>
      <c r="C65" s="13">
        <v>4</v>
      </c>
      <c r="D65" s="13">
        <v>1</v>
      </c>
      <c r="E65" s="13">
        <v>4</v>
      </c>
      <c r="F65" s="13" t="s">
        <v>55</v>
      </c>
      <c r="G65" s="13" t="str">
        <f>第1日!B90</f>
        <v>第4波</v>
      </c>
      <c r="H65" s="13">
        <f>IF(第1日!B91="点1·开启",1,0)+IF(第1日!C91="点2·开启",2,0)+IF(第1日!D91="点3·开启",4,0)+IF(第1日!E91="点4·开启",8,0)+IF(第1日!F91="点5·开启",16,0)+IF(第1日!G91="点6·开启",32,0)</f>
        <v>63</v>
      </c>
      <c r="I65" s="13">
        <f>第1日!E90</f>
        <v>0.1</v>
      </c>
      <c r="J65" s="13">
        <f>第1日!G90</f>
        <v>3</v>
      </c>
      <c r="K65" s="13">
        <f>第1日!I90</f>
        <v>300</v>
      </c>
      <c r="L65" s="13" t="s">
        <v>531</v>
      </c>
      <c r="M65" s="13" t="s">
        <v>532</v>
      </c>
      <c r="N65" s="13" t="b">
        <f>第1日!I91="待设计"</f>
        <v>0</v>
      </c>
      <c r="O65" s="13">
        <v>7</v>
      </c>
      <c r="P65" s="13" t="str">
        <f>IF(第1日!B100="","",IFERROR(VLOOKUP(第1日!B100,敌人目录!$A$6:$B$68,2,FALSE),""))</f>
        <v>capoo_smg</v>
      </c>
      <c r="Q65" s="13">
        <f>IF(第1日!B100="","",第1日!C100)</f>
        <v>10</v>
      </c>
      <c r="R65" s="13">
        <v>-1</v>
      </c>
      <c r="S65" s="13" t="str">
        <f>IF(第1日!B100="","",第1日!I100)</f>
        <v>可回读</v>
      </c>
    </row>
    <row r="66" spans="1:19" ht="16.5">
      <c r="A66" s="13">
        <v>3</v>
      </c>
      <c r="B66" s="13" t="s">
        <v>535</v>
      </c>
      <c r="C66" s="13">
        <v>4</v>
      </c>
      <c r="D66" s="13">
        <v>1</v>
      </c>
      <c r="E66" s="13">
        <v>4</v>
      </c>
      <c r="F66" s="13" t="s">
        <v>55</v>
      </c>
      <c r="G66" s="13" t="str">
        <f>第1日!B90</f>
        <v>第4波</v>
      </c>
      <c r="H66" s="13">
        <f>IF(第1日!B91="点1·开启",1,0)+IF(第1日!C91="点2·开启",2,0)+IF(第1日!D91="点3·开启",4,0)+IF(第1日!E91="点4·开启",8,0)+IF(第1日!F91="点5·开启",16,0)+IF(第1日!G91="点6·开启",32,0)</f>
        <v>63</v>
      </c>
      <c r="I66" s="13">
        <f>第1日!E90</f>
        <v>0.1</v>
      </c>
      <c r="J66" s="13">
        <f>第1日!G90</f>
        <v>3</v>
      </c>
      <c r="K66" s="13">
        <f>第1日!I90</f>
        <v>300</v>
      </c>
      <c r="L66" s="13" t="s">
        <v>531</v>
      </c>
      <c r="M66" s="13" t="s">
        <v>532</v>
      </c>
      <c r="N66" s="13" t="b">
        <f>第1日!I91="待设计"</f>
        <v>0</v>
      </c>
      <c r="O66" s="13">
        <v>8</v>
      </c>
      <c r="P66" s="13" t="str">
        <f>IF(第1日!B101="","",IFERROR(VLOOKUP(第1日!B101,敌人目录!$A$6:$B$68,2,FALSE),""))</f>
        <v>slime_frost</v>
      </c>
      <c r="Q66" s="13">
        <f>IF(第1日!B101="","",第1日!C101)</f>
        <v>200</v>
      </c>
      <c r="R66" s="13">
        <v>-1</v>
      </c>
      <c r="S66" s="13" t="str">
        <f>IF(第1日!B101="","",第1日!I101)</f>
        <v>可回读</v>
      </c>
    </row>
    <row r="67" spans="1:19" ht="16.5">
      <c r="A67" s="13">
        <v>3</v>
      </c>
      <c r="B67" s="13" t="s">
        <v>535</v>
      </c>
      <c r="C67" s="13">
        <v>4</v>
      </c>
      <c r="D67" s="13">
        <v>1</v>
      </c>
      <c r="E67" s="13">
        <v>4</v>
      </c>
      <c r="F67" s="13" t="s">
        <v>55</v>
      </c>
      <c r="G67" s="13" t="str">
        <f>第1日!B90</f>
        <v>第4波</v>
      </c>
      <c r="H67" s="13">
        <f>IF(第1日!B91="点1·开启",1,0)+IF(第1日!C91="点2·开启",2,0)+IF(第1日!D91="点3·开启",4,0)+IF(第1日!E91="点4·开启",8,0)+IF(第1日!F91="点5·开启",16,0)+IF(第1日!G91="点6·开启",32,0)</f>
        <v>63</v>
      </c>
      <c r="I67" s="13">
        <f>第1日!E90</f>
        <v>0.1</v>
      </c>
      <c r="J67" s="13">
        <f>第1日!G90</f>
        <v>3</v>
      </c>
      <c r="K67" s="13">
        <f>第1日!I90</f>
        <v>300</v>
      </c>
      <c r="L67" s="13" t="s">
        <v>531</v>
      </c>
      <c r="M67" s="13" t="s">
        <v>532</v>
      </c>
      <c r="N67" s="13" t="b">
        <f>第1日!I91="待设计"</f>
        <v>0</v>
      </c>
      <c r="O67" s="13">
        <v>9</v>
      </c>
      <c r="P67" s="13" t="str">
        <f>IF(第1日!B102="","",IFERROR(VLOOKUP(第1日!B102,敌人目录!$A$6:$B$68,2,FALSE),""))</f>
        <v>capoo_ak47</v>
      </c>
      <c r="Q67" s="13">
        <f>IF(第1日!B102="","",第1日!C102)</f>
        <v>100</v>
      </c>
      <c r="R67" s="13">
        <v>-1</v>
      </c>
      <c r="S67" s="13" t="str">
        <f>IF(第1日!B102="","",第1日!I102)</f>
        <v>可回读</v>
      </c>
    </row>
    <row r="68" spans="1:19" ht="16.5">
      <c r="A68" s="13">
        <v>3</v>
      </c>
      <c r="B68" s="13" t="s">
        <v>535</v>
      </c>
      <c r="C68" s="13">
        <v>4</v>
      </c>
      <c r="D68" s="13">
        <v>1</v>
      </c>
      <c r="E68" s="13">
        <v>4</v>
      </c>
      <c r="F68" s="13" t="s">
        <v>55</v>
      </c>
      <c r="G68" s="13" t="str">
        <f>第1日!B90</f>
        <v>第4波</v>
      </c>
      <c r="H68" s="13">
        <f>IF(第1日!B91="点1·开启",1,0)+IF(第1日!C91="点2·开启",2,0)+IF(第1日!D91="点3·开启",4,0)+IF(第1日!E91="点4·开启",8,0)+IF(第1日!F91="点5·开启",16,0)+IF(第1日!G91="点6·开启",32,0)</f>
        <v>63</v>
      </c>
      <c r="I68" s="13">
        <f>第1日!E90</f>
        <v>0.1</v>
      </c>
      <c r="J68" s="13">
        <f>第1日!G90</f>
        <v>3</v>
      </c>
      <c r="K68" s="13">
        <f>第1日!I90</f>
        <v>300</v>
      </c>
      <c r="L68" s="13" t="s">
        <v>531</v>
      </c>
      <c r="M68" s="13" t="s">
        <v>532</v>
      </c>
      <c r="N68" s="13" t="b">
        <f>第1日!I91="待设计"</f>
        <v>0</v>
      </c>
      <c r="O68" s="13">
        <v>10</v>
      </c>
      <c r="P68" s="13" t="str">
        <f>IF(第1日!B103="","",IFERROR(VLOOKUP(第1日!B103,敌人目录!$A$6:$B$68,2,FALSE),""))</f>
        <v>yuanshi_insect_purple_bomber</v>
      </c>
      <c r="Q68" s="13">
        <f>IF(第1日!B103="","",第1日!C103)</f>
        <v>100</v>
      </c>
      <c r="R68" s="13">
        <v>-1</v>
      </c>
      <c r="S68" s="13" t="str">
        <f>IF(第1日!B103="","",第1日!I103)</f>
        <v>可回读</v>
      </c>
    </row>
    <row r="69" spans="1:19" ht="16.5">
      <c r="A69" s="13">
        <v>3</v>
      </c>
      <c r="B69" s="13" t="s">
        <v>535</v>
      </c>
      <c r="C69" s="13">
        <v>4</v>
      </c>
      <c r="D69" s="13">
        <v>1</v>
      </c>
      <c r="E69" s="13">
        <v>4</v>
      </c>
      <c r="F69" s="13" t="s">
        <v>55</v>
      </c>
      <c r="G69" s="13" t="str">
        <f>第1日!B90</f>
        <v>第4波</v>
      </c>
      <c r="H69" s="13">
        <f>IF(第1日!B91="点1·开启",1,0)+IF(第1日!C91="点2·开启",2,0)+IF(第1日!D91="点3·开启",4,0)+IF(第1日!E91="点4·开启",8,0)+IF(第1日!F91="点5·开启",16,0)+IF(第1日!G91="点6·开启",32,0)</f>
        <v>63</v>
      </c>
      <c r="I69" s="13">
        <f>第1日!E90</f>
        <v>0.1</v>
      </c>
      <c r="J69" s="13">
        <f>第1日!G90</f>
        <v>3</v>
      </c>
      <c r="K69" s="13">
        <f>第1日!I90</f>
        <v>300</v>
      </c>
      <c r="L69" s="13" t="s">
        <v>531</v>
      </c>
      <c r="M69" s="13" t="s">
        <v>532</v>
      </c>
      <c r="N69" s="13" t="b">
        <f>第1日!I91="待设计"</f>
        <v>0</v>
      </c>
      <c r="O69" s="13">
        <v>11</v>
      </c>
      <c r="P69" s="13" t="str">
        <f>IF(第1日!B104="","",IFERROR(VLOOKUP(第1日!B104,敌人目录!$A$6:$B$68,2,FALSE),""))</f>
        <v>slime_green</v>
      </c>
      <c r="Q69" s="13">
        <f>IF(第1日!B104="","",第1日!C104)</f>
        <v>50</v>
      </c>
      <c r="R69" s="13">
        <v>-1</v>
      </c>
      <c r="S69" s="13" t="str">
        <f>IF(第1日!B104="","",第1日!I104)</f>
        <v>可回读</v>
      </c>
    </row>
    <row r="70" spans="1:19" ht="16.5">
      <c r="A70" s="13">
        <v>3</v>
      </c>
      <c r="B70" s="13" t="s">
        <v>535</v>
      </c>
      <c r="C70" s="13">
        <v>4</v>
      </c>
      <c r="D70" s="13">
        <v>1</v>
      </c>
      <c r="E70" s="13">
        <v>4</v>
      </c>
      <c r="F70" s="13" t="s">
        <v>55</v>
      </c>
      <c r="G70" s="13" t="str">
        <f>第1日!B90</f>
        <v>第4波</v>
      </c>
      <c r="H70" s="13">
        <f>IF(第1日!B91="点1·开启",1,0)+IF(第1日!C91="点2·开启",2,0)+IF(第1日!D91="点3·开启",4,0)+IF(第1日!E91="点4·开启",8,0)+IF(第1日!F91="点5·开启",16,0)+IF(第1日!G91="点6·开启",32,0)</f>
        <v>63</v>
      </c>
      <c r="I70" s="13">
        <f>第1日!E90</f>
        <v>0.1</v>
      </c>
      <c r="J70" s="13">
        <f>第1日!G90</f>
        <v>3</v>
      </c>
      <c r="K70" s="13">
        <f>第1日!I90</f>
        <v>300</v>
      </c>
      <c r="L70" s="13" t="s">
        <v>531</v>
      </c>
      <c r="M70" s="13" t="s">
        <v>532</v>
      </c>
      <c r="N70" s="13" t="b">
        <f>第1日!I91="待设计"</f>
        <v>0</v>
      </c>
      <c r="O70" s="13">
        <v>12</v>
      </c>
      <c r="P70" s="13" t="str">
        <f>IF(第1日!B105="","",IFERROR(VLOOKUP(第1日!B105,敌人目录!$A$6:$B$68,2,FALSE),""))</f>
        <v/>
      </c>
      <c r="Q70" s="13" t="str">
        <f>IF(第1日!B105="","",第1日!C105)</f>
        <v/>
      </c>
      <c r="R70" s="13">
        <v>-1</v>
      </c>
      <c r="S70" s="13" t="str">
        <f>IF(第1日!B105="","",第1日!I105)</f>
        <v/>
      </c>
    </row>
    <row r="71" spans="1:19" ht="16.5">
      <c r="A71" s="13">
        <v>3</v>
      </c>
      <c r="B71" s="13" t="s">
        <v>535</v>
      </c>
      <c r="C71" s="13">
        <v>4</v>
      </c>
      <c r="D71" s="13">
        <v>1</v>
      </c>
      <c r="E71" s="13">
        <v>4</v>
      </c>
      <c r="F71" s="13" t="s">
        <v>55</v>
      </c>
      <c r="G71" s="13" t="str">
        <f>第1日!B90</f>
        <v>第4波</v>
      </c>
      <c r="H71" s="13">
        <f>IF(第1日!B91="点1·开启",1,0)+IF(第1日!C91="点2·开启",2,0)+IF(第1日!D91="点3·开启",4,0)+IF(第1日!E91="点4·开启",8,0)+IF(第1日!F91="点5·开启",16,0)+IF(第1日!G91="点6·开启",32,0)</f>
        <v>63</v>
      </c>
      <c r="I71" s="13">
        <f>第1日!E90</f>
        <v>0.1</v>
      </c>
      <c r="J71" s="13">
        <f>第1日!G90</f>
        <v>3</v>
      </c>
      <c r="K71" s="13">
        <f>第1日!I90</f>
        <v>300</v>
      </c>
      <c r="L71" s="13" t="s">
        <v>531</v>
      </c>
      <c r="M71" s="13" t="s">
        <v>532</v>
      </c>
      <c r="N71" s="13" t="b">
        <f>第1日!I91="待设计"</f>
        <v>0</v>
      </c>
      <c r="O71" s="13">
        <v>13</v>
      </c>
      <c r="P71" s="13" t="str">
        <f>IF(第1日!B106="","",IFERROR(VLOOKUP(第1日!B106,敌人目录!$A$6:$B$68,2,FALSE),""))</f>
        <v/>
      </c>
      <c r="Q71" s="13" t="str">
        <f>IF(第1日!B106="","",第1日!C106)</f>
        <v/>
      </c>
      <c r="R71" s="13">
        <v>-1</v>
      </c>
      <c r="S71" s="13" t="str">
        <f>IF(第1日!B106="","",第1日!I106)</f>
        <v/>
      </c>
    </row>
    <row r="72" spans="1:19" ht="16.5">
      <c r="A72" s="13">
        <v>3</v>
      </c>
      <c r="B72" s="13" t="s">
        <v>535</v>
      </c>
      <c r="C72" s="13">
        <v>4</v>
      </c>
      <c r="D72" s="13">
        <v>1</v>
      </c>
      <c r="E72" s="13">
        <v>4</v>
      </c>
      <c r="F72" s="13" t="s">
        <v>55</v>
      </c>
      <c r="G72" s="13" t="str">
        <f>第1日!B90</f>
        <v>第4波</v>
      </c>
      <c r="H72" s="13">
        <f>IF(第1日!B91="点1·开启",1,0)+IF(第1日!C91="点2·开启",2,0)+IF(第1日!D91="点3·开启",4,0)+IF(第1日!E91="点4·开启",8,0)+IF(第1日!F91="点5·开启",16,0)+IF(第1日!G91="点6·开启",32,0)</f>
        <v>63</v>
      </c>
      <c r="I72" s="13">
        <f>第1日!E90</f>
        <v>0.1</v>
      </c>
      <c r="J72" s="13">
        <f>第1日!G90</f>
        <v>3</v>
      </c>
      <c r="K72" s="13">
        <f>第1日!I90</f>
        <v>300</v>
      </c>
      <c r="L72" s="13" t="s">
        <v>531</v>
      </c>
      <c r="M72" s="13" t="s">
        <v>532</v>
      </c>
      <c r="N72" s="13" t="b">
        <f>第1日!I91="待设计"</f>
        <v>0</v>
      </c>
      <c r="O72" s="13">
        <v>14</v>
      </c>
      <c r="P72" s="13" t="str">
        <f>IF(第1日!B107="","",IFERROR(VLOOKUP(第1日!B107,敌人目录!$A$6:$B$68,2,FALSE),""))</f>
        <v/>
      </c>
      <c r="Q72" s="13" t="str">
        <f>IF(第1日!B107="","",第1日!C107)</f>
        <v/>
      </c>
      <c r="R72" s="13">
        <v>-1</v>
      </c>
      <c r="S72" s="13" t="str">
        <f>IF(第1日!B107="","",第1日!I107)</f>
        <v/>
      </c>
    </row>
    <row r="73" spans="1:19" ht="16.5">
      <c r="A73" s="13">
        <v>3</v>
      </c>
      <c r="B73" s="13" t="s">
        <v>535</v>
      </c>
      <c r="C73" s="13">
        <v>4</v>
      </c>
      <c r="D73" s="13">
        <v>1</v>
      </c>
      <c r="E73" s="13">
        <v>4</v>
      </c>
      <c r="F73" s="13" t="s">
        <v>55</v>
      </c>
      <c r="G73" s="13" t="str">
        <f>第1日!B90</f>
        <v>第4波</v>
      </c>
      <c r="H73" s="13">
        <f>IF(第1日!B91="点1·开启",1,0)+IF(第1日!C91="点2·开启",2,0)+IF(第1日!D91="点3·开启",4,0)+IF(第1日!E91="点4·开启",8,0)+IF(第1日!F91="点5·开启",16,0)+IF(第1日!G91="点6·开启",32,0)</f>
        <v>63</v>
      </c>
      <c r="I73" s="13">
        <f>第1日!E90</f>
        <v>0.1</v>
      </c>
      <c r="J73" s="13">
        <f>第1日!G90</f>
        <v>3</v>
      </c>
      <c r="K73" s="13">
        <f>第1日!I90</f>
        <v>300</v>
      </c>
      <c r="L73" s="13" t="s">
        <v>531</v>
      </c>
      <c r="M73" s="13" t="s">
        <v>532</v>
      </c>
      <c r="N73" s="13" t="b">
        <f>第1日!I91="待设计"</f>
        <v>0</v>
      </c>
      <c r="O73" s="13">
        <v>15</v>
      </c>
      <c r="P73" s="13" t="str">
        <f>IF(第1日!B108="","",IFERROR(VLOOKUP(第1日!B108,敌人目录!$A$6:$B$68,2,FALSE),""))</f>
        <v/>
      </c>
      <c r="Q73" s="13" t="str">
        <f>IF(第1日!B108="","",第1日!C108)</f>
        <v/>
      </c>
      <c r="R73" s="13">
        <v>-1</v>
      </c>
      <c r="S73" s="13" t="str">
        <f>IF(第1日!B108="","",第1日!I108)</f>
        <v/>
      </c>
    </row>
    <row r="74" spans="1:19" ht="16.5">
      <c r="A74" s="13">
        <v>3</v>
      </c>
      <c r="B74" s="13" t="s">
        <v>535</v>
      </c>
      <c r="C74" s="13">
        <v>4</v>
      </c>
      <c r="D74" s="13">
        <v>1</v>
      </c>
      <c r="E74" s="13">
        <v>4</v>
      </c>
      <c r="F74" s="13" t="s">
        <v>55</v>
      </c>
      <c r="G74" s="13" t="str">
        <f>第1日!B90</f>
        <v>第4波</v>
      </c>
      <c r="H74" s="13">
        <f>IF(第1日!B91="点1·开启",1,0)+IF(第1日!C91="点2·开启",2,0)+IF(第1日!D91="点3·开启",4,0)+IF(第1日!E91="点4·开启",8,0)+IF(第1日!F91="点5·开启",16,0)+IF(第1日!G91="点6·开启",32,0)</f>
        <v>63</v>
      </c>
      <c r="I74" s="13">
        <f>第1日!E90</f>
        <v>0.1</v>
      </c>
      <c r="J74" s="13">
        <f>第1日!G90</f>
        <v>3</v>
      </c>
      <c r="K74" s="13">
        <f>第1日!I90</f>
        <v>300</v>
      </c>
      <c r="L74" s="13" t="s">
        <v>531</v>
      </c>
      <c r="M74" s="13" t="s">
        <v>532</v>
      </c>
      <c r="N74" s="13" t="b">
        <f>第1日!I91="待设计"</f>
        <v>0</v>
      </c>
      <c r="O74" s="13">
        <v>16</v>
      </c>
      <c r="P74" s="13" t="str">
        <f>IF(第1日!B109="","",IFERROR(VLOOKUP(第1日!B109,敌人目录!$A$6:$B$68,2,FALSE),""))</f>
        <v/>
      </c>
      <c r="Q74" s="13" t="str">
        <f>IF(第1日!B109="","",第1日!C109)</f>
        <v/>
      </c>
      <c r="R74" s="13">
        <v>-1</v>
      </c>
      <c r="S74" s="13" t="str">
        <f>IF(第1日!B109="","",第1日!I109)</f>
        <v/>
      </c>
    </row>
    <row r="75" spans="1:19" ht="16.5">
      <c r="A75" s="13">
        <v>3</v>
      </c>
      <c r="B75" s="13" t="s">
        <v>535</v>
      </c>
      <c r="C75" s="13">
        <v>4</v>
      </c>
      <c r="D75" s="13">
        <v>1</v>
      </c>
      <c r="E75" s="13">
        <v>4</v>
      </c>
      <c r="F75" s="13" t="s">
        <v>55</v>
      </c>
      <c r="G75" s="13" t="str">
        <f>第1日!B90</f>
        <v>第4波</v>
      </c>
      <c r="H75" s="13">
        <f>IF(第1日!B91="点1·开启",1,0)+IF(第1日!C91="点2·开启",2,0)+IF(第1日!D91="点3·开启",4,0)+IF(第1日!E91="点4·开启",8,0)+IF(第1日!F91="点5·开启",16,0)+IF(第1日!G91="点6·开启",32,0)</f>
        <v>63</v>
      </c>
      <c r="I75" s="13">
        <f>第1日!E90</f>
        <v>0.1</v>
      </c>
      <c r="J75" s="13">
        <f>第1日!G90</f>
        <v>3</v>
      </c>
      <c r="K75" s="13">
        <f>第1日!I90</f>
        <v>300</v>
      </c>
      <c r="L75" s="13" t="s">
        <v>531</v>
      </c>
      <c r="M75" s="13" t="s">
        <v>532</v>
      </c>
      <c r="N75" s="13" t="b">
        <f>第1日!I91="待设计"</f>
        <v>0</v>
      </c>
      <c r="O75" s="13">
        <v>17</v>
      </c>
      <c r="P75" s="13" t="str">
        <f>IF(第1日!B110="","",IFERROR(VLOOKUP(第1日!B110,敌人目录!$A$6:$B$68,2,FALSE),""))</f>
        <v/>
      </c>
      <c r="Q75" s="13" t="str">
        <f>IF(第1日!B110="","",第1日!C110)</f>
        <v/>
      </c>
      <c r="R75" s="13">
        <v>-1</v>
      </c>
      <c r="S75" s="13" t="str">
        <f>IF(第1日!B110="","",第1日!I110)</f>
        <v/>
      </c>
    </row>
    <row r="76" spans="1:19" ht="16.5">
      <c r="A76" s="13">
        <v>3</v>
      </c>
      <c r="B76" s="13" t="s">
        <v>535</v>
      </c>
      <c r="C76" s="13">
        <v>4</v>
      </c>
      <c r="D76" s="13">
        <v>1</v>
      </c>
      <c r="E76" s="13">
        <v>4</v>
      </c>
      <c r="F76" s="13" t="s">
        <v>55</v>
      </c>
      <c r="G76" s="13" t="str">
        <f>第1日!B90</f>
        <v>第4波</v>
      </c>
      <c r="H76" s="13">
        <f>IF(第1日!B91="点1·开启",1,0)+IF(第1日!C91="点2·开启",2,0)+IF(第1日!D91="点3·开启",4,0)+IF(第1日!E91="点4·开启",8,0)+IF(第1日!F91="点5·开启",16,0)+IF(第1日!G91="点6·开启",32,0)</f>
        <v>63</v>
      </c>
      <c r="I76" s="13">
        <f>第1日!E90</f>
        <v>0.1</v>
      </c>
      <c r="J76" s="13">
        <f>第1日!G90</f>
        <v>3</v>
      </c>
      <c r="K76" s="13">
        <f>第1日!I90</f>
        <v>300</v>
      </c>
      <c r="L76" s="13" t="s">
        <v>531</v>
      </c>
      <c r="M76" s="13" t="s">
        <v>532</v>
      </c>
      <c r="N76" s="13" t="b">
        <f>第1日!I91="待设计"</f>
        <v>0</v>
      </c>
      <c r="O76" s="13">
        <v>18</v>
      </c>
      <c r="P76" s="13" t="str">
        <f>IF(第1日!B111="","",IFERROR(VLOOKUP(第1日!B111,敌人目录!$A$6:$B$68,2,FALSE),""))</f>
        <v/>
      </c>
      <c r="Q76" s="13" t="str">
        <f>IF(第1日!B111="","",第1日!C111)</f>
        <v/>
      </c>
      <c r="R76" s="13">
        <v>-1</v>
      </c>
      <c r="S76" s="13" t="str">
        <f>IF(第1日!B111="","",第1日!I111)</f>
        <v/>
      </c>
    </row>
    <row r="77" spans="1:19" ht="16.5">
      <c r="A77" s="13">
        <v>3</v>
      </c>
      <c r="B77" s="13" t="s">
        <v>536</v>
      </c>
      <c r="C77" s="13">
        <v>5</v>
      </c>
      <c r="D77" s="13">
        <v>2</v>
      </c>
      <c r="E77" s="13">
        <v>1</v>
      </c>
      <c r="F77" s="13" t="s">
        <v>52</v>
      </c>
      <c r="G77" s="13" t="str">
        <f>第2日!B3</f>
        <v>第5波</v>
      </c>
      <c r="H77" s="13">
        <f>IF(第2日!B4="点1·开启",1,0)+IF(第2日!C4="点2·开启",2,0)+IF(第2日!D4="点3·开启",4,0)+IF(第2日!E4="点4·开启",8,0)+IF(第2日!F4="点5·开启",16,0)+IF(第2日!G4="点6·开启",32,0)</f>
        <v>63</v>
      </c>
      <c r="I77" s="13">
        <f>第2日!E3</f>
        <v>0.1</v>
      </c>
      <c r="J77" s="13">
        <f>第2日!G3</f>
        <v>4</v>
      </c>
      <c r="K77" s="13">
        <f>第2日!I3</f>
        <v>300</v>
      </c>
      <c r="L77" s="13" t="s">
        <v>537</v>
      </c>
      <c r="M77" s="13" t="s">
        <v>538</v>
      </c>
      <c r="N77" s="13" t="b">
        <f>第2日!I4="待设计"</f>
        <v>0</v>
      </c>
      <c r="O77" s="13">
        <v>1</v>
      </c>
      <c r="P77" s="13" t="str">
        <f>IF(第2日!B7="","",IFERROR(VLOOKUP(第2日!B7,敌人目录!$A$6:$B$68,2,FALSE),""))</f>
        <v>slime_basic</v>
      </c>
      <c r="Q77" s="13">
        <f>IF(第2日!B7="","",第2日!C7)</f>
        <v>350</v>
      </c>
      <c r="R77" s="13">
        <v>-1</v>
      </c>
      <c r="S77" s="13" t="str">
        <f>IF(第2日!B7="","",第2日!I7)</f>
        <v>可回读</v>
      </c>
    </row>
    <row r="78" spans="1:19" ht="16.5">
      <c r="A78" s="13">
        <v>3</v>
      </c>
      <c r="B78" s="13" t="s">
        <v>536</v>
      </c>
      <c r="C78" s="13">
        <v>5</v>
      </c>
      <c r="D78" s="13">
        <v>2</v>
      </c>
      <c r="E78" s="13">
        <v>1</v>
      </c>
      <c r="F78" s="13" t="s">
        <v>52</v>
      </c>
      <c r="G78" s="13" t="str">
        <f>第2日!B3</f>
        <v>第5波</v>
      </c>
      <c r="H78" s="13">
        <f>IF(第2日!B4="点1·开启",1,0)+IF(第2日!C4="点2·开启",2,0)+IF(第2日!D4="点3·开启",4,0)+IF(第2日!E4="点4·开启",8,0)+IF(第2日!F4="点5·开启",16,0)+IF(第2日!G4="点6·开启",32,0)</f>
        <v>63</v>
      </c>
      <c r="I78" s="13">
        <f>第2日!E3</f>
        <v>0.1</v>
      </c>
      <c r="J78" s="13">
        <f>第2日!G3</f>
        <v>4</v>
      </c>
      <c r="K78" s="13">
        <f>第2日!I3</f>
        <v>300</v>
      </c>
      <c r="L78" s="13" t="s">
        <v>537</v>
      </c>
      <c r="M78" s="13" t="s">
        <v>538</v>
      </c>
      <c r="N78" s="13" t="b">
        <f>第2日!I4="待设计"</f>
        <v>0</v>
      </c>
      <c r="O78" s="13">
        <v>2</v>
      </c>
      <c r="P78" s="13" t="str">
        <f>IF(第2日!B8="","",IFERROR(VLOOKUP(第2日!B8,敌人目录!$A$6:$B$68,2,FALSE),""))</f>
        <v>yuanshi_insect_basic</v>
      </c>
      <c r="Q78" s="13">
        <f>IF(第2日!B8="","",第2日!C8)</f>
        <v>300</v>
      </c>
      <c r="R78" s="13">
        <v>-1</v>
      </c>
      <c r="S78" s="13" t="str">
        <f>IF(第2日!B8="","",第2日!I8)</f>
        <v>可回读</v>
      </c>
    </row>
    <row r="79" spans="1:19" ht="16.5">
      <c r="A79" s="13">
        <v>3</v>
      </c>
      <c r="B79" s="13" t="s">
        <v>536</v>
      </c>
      <c r="C79" s="13">
        <v>5</v>
      </c>
      <c r="D79" s="13">
        <v>2</v>
      </c>
      <c r="E79" s="13">
        <v>1</v>
      </c>
      <c r="F79" s="13" t="s">
        <v>52</v>
      </c>
      <c r="G79" s="13" t="str">
        <f>第2日!B3</f>
        <v>第5波</v>
      </c>
      <c r="H79" s="13">
        <f>IF(第2日!B4="点1·开启",1,0)+IF(第2日!C4="点2·开启",2,0)+IF(第2日!D4="点3·开启",4,0)+IF(第2日!E4="点4·开启",8,0)+IF(第2日!F4="点5·开启",16,0)+IF(第2日!G4="点6·开启",32,0)</f>
        <v>63</v>
      </c>
      <c r="I79" s="13">
        <f>第2日!E3</f>
        <v>0.1</v>
      </c>
      <c r="J79" s="13">
        <f>第2日!G3</f>
        <v>4</v>
      </c>
      <c r="K79" s="13">
        <f>第2日!I3</f>
        <v>300</v>
      </c>
      <c r="L79" s="13" t="s">
        <v>537</v>
      </c>
      <c r="M79" s="13" t="s">
        <v>538</v>
      </c>
      <c r="N79" s="13" t="b">
        <f>第2日!I4="待设计"</f>
        <v>0</v>
      </c>
      <c r="O79" s="13">
        <v>3</v>
      </c>
      <c r="P79" s="13" t="str">
        <f>IF(第2日!B9="","",IFERROR(VLOOKUP(第2日!B9,敌人目录!$A$6:$B$68,2,FALSE),""))</f>
        <v>yuanshi_insect_fast</v>
      </c>
      <c r="Q79" s="13">
        <f>IF(第2日!B9="","",第2日!C9)</f>
        <v>250</v>
      </c>
      <c r="R79" s="13">
        <v>-1</v>
      </c>
      <c r="S79" s="13" t="str">
        <f>IF(第2日!B9="","",第2日!I9)</f>
        <v>可回读</v>
      </c>
    </row>
    <row r="80" spans="1:19" ht="16.5">
      <c r="A80" s="13">
        <v>3</v>
      </c>
      <c r="B80" s="13" t="s">
        <v>536</v>
      </c>
      <c r="C80" s="13">
        <v>5</v>
      </c>
      <c r="D80" s="13">
        <v>2</v>
      </c>
      <c r="E80" s="13">
        <v>1</v>
      </c>
      <c r="F80" s="13" t="s">
        <v>52</v>
      </c>
      <c r="G80" s="13" t="str">
        <f>第2日!B3</f>
        <v>第5波</v>
      </c>
      <c r="H80" s="13">
        <f>IF(第2日!B4="点1·开启",1,0)+IF(第2日!C4="点2·开启",2,0)+IF(第2日!D4="点3·开启",4,0)+IF(第2日!E4="点4·开启",8,0)+IF(第2日!F4="点5·开启",16,0)+IF(第2日!G4="点6·开启",32,0)</f>
        <v>63</v>
      </c>
      <c r="I80" s="13">
        <f>第2日!E3</f>
        <v>0.1</v>
      </c>
      <c r="J80" s="13">
        <f>第2日!G3</f>
        <v>4</v>
      </c>
      <c r="K80" s="13">
        <f>第2日!I3</f>
        <v>300</v>
      </c>
      <c r="L80" s="13" t="s">
        <v>537</v>
      </c>
      <c r="M80" s="13" t="s">
        <v>538</v>
      </c>
      <c r="N80" s="13" t="b">
        <f>第2日!I4="待设计"</f>
        <v>0</v>
      </c>
      <c r="O80" s="13">
        <v>4</v>
      </c>
      <c r="P80" s="13" t="str">
        <f>IF(第2日!B10="","",IFERROR(VLOOKUP(第2日!B10,敌人目录!$A$6:$B$68,2,FALSE),""))</f>
        <v>yuanshi_insect_bomber</v>
      </c>
      <c r="Q80" s="13">
        <f>IF(第2日!B10="","",第2日!C10)</f>
        <v>200</v>
      </c>
      <c r="R80" s="13">
        <v>-1</v>
      </c>
      <c r="S80" s="13" t="str">
        <f>IF(第2日!B10="","",第2日!I10)</f>
        <v>可回读</v>
      </c>
    </row>
    <row r="81" spans="1:19" ht="16.5">
      <c r="A81" s="13">
        <v>3</v>
      </c>
      <c r="B81" s="13" t="s">
        <v>536</v>
      </c>
      <c r="C81" s="13">
        <v>5</v>
      </c>
      <c r="D81" s="13">
        <v>2</v>
      </c>
      <c r="E81" s="13">
        <v>1</v>
      </c>
      <c r="F81" s="13" t="s">
        <v>52</v>
      </c>
      <c r="G81" s="13" t="str">
        <f>第2日!B3</f>
        <v>第5波</v>
      </c>
      <c r="H81" s="13">
        <f>IF(第2日!B4="点1·开启",1,0)+IF(第2日!C4="点2·开启",2,0)+IF(第2日!D4="点3·开启",4,0)+IF(第2日!E4="点4·开启",8,0)+IF(第2日!F4="点5·开启",16,0)+IF(第2日!G4="点6·开启",32,0)</f>
        <v>63</v>
      </c>
      <c r="I81" s="13">
        <f>第2日!E3</f>
        <v>0.1</v>
      </c>
      <c r="J81" s="13">
        <f>第2日!G3</f>
        <v>4</v>
      </c>
      <c r="K81" s="13">
        <f>第2日!I3</f>
        <v>300</v>
      </c>
      <c r="L81" s="13" t="s">
        <v>537</v>
      </c>
      <c r="M81" s="13" t="s">
        <v>538</v>
      </c>
      <c r="N81" s="13" t="b">
        <f>第2日!I4="待设计"</f>
        <v>0</v>
      </c>
      <c r="O81" s="13">
        <v>5</v>
      </c>
      <c r="P81" s="13" t="str">
        <f>IF(第2日!B11="","",IFERROR(VLOOKUP(第2日!B11,敌人目录!$A$6:$B$68,2,FALSE),""))</f>
        <v>yuanshi_insect_fire_ranged</v>
      </c>
      <c r="Q81" s="13">
        <f>IF(第2日!B11="","",第2日!C11)</f>
        <v>200</v>
      </c>
      <c r="R81" s="13">
        <v>-1</v>
      </c>
      <c r="S81" s="13" t="str">
        <f>IF(第2日!B11="","",第2日!I11)</f>
        <v>可回读</v>
      </c>
    </row>
    <row r="82" spans="1:19" ht="16.5">
      <c r="A82" s="13">
        <v>3</v>
      </c>
      <c r="B82" s="13" t="s">
        <v>536</v>
      </c>
      <c r="C82" s="13">
        <v>5</v>
      </c>
      <c r="D82" s="13">
        <v>2</v>
      </c>
      <c r="E82" s="13">
        <v>1</v>
      </c>
      <c r="F82" s="13" t="s">
        <v>52</v>
      </c>
      <c r="G82" s="13" t="str">
        <f>第2日!B3</f>
        <v>第5波</v>
      </c>
      <c r="H82" s="13">
        <f>IF(第2日!B4="点1·开启",1,0)+IF(第2日!C4="点2·开启",2,0)+IF(第2日!D4="点3·开启",4,0)+IF(第2日!E4="点4·开启",8,0)+IF(第2日!F4="点5·开启",16,0)+IF(第2日!G4="点6·开启",32,0)</f>
        <v>63</v>
      </c>
      <c r="I82" s="13">
        <f>第2日!E3</f>
        <v>0.1</v>
      </c>
      <c r="J82" s="13">
        <f>第2日!G3</f>
        <v>4</v>
      </c>
      <c r="K82" s="13">
        <f>第2日!I3</f>
        <v>300</v>
      </c>
      <c r="L82" s="13" t="s">
        <v>537</v>
      </c>
      <c r="M82" s="13" t="s">
        <v>538</v>
      </c>
      <c r="N82" s="13" t="b">
        <f>第2日!I4="待设计"</f>
        <v>0</v>
      </c>
      <c r="O82" s="13">
        <v>6</v>
      </c>
      <c r="P82" s="13" t="str">
        <f>IF(第2日!B12="","",IFERROR(VLOOKUP(第2日!B12,敌人目录!$A$6:$B$68,2,FALSE),""))</f>
        <v>yuanshi_insect_shell</v>
      </c>
      <c r="Q82" s="13">
        <f>IF(第2日!B12="","",第2日!C12)</f>
        <v>250</v>
      </c>
      <c r="R82" s="13">
        <v>-1</v>
      </c>
      <c r="S82" s="13" t="str">
        <f>IF(第2日!B12="","",第2日!I12)</f>
        <v>可回读</v>
      </c>
    </row>
    <row r="83" spans="1:19" ht="16.5">
      <c r="A83" s="13">
        <v>3</v>
      </c>
      <c r="B83" s="13" t="s">
        <v>536</v>
      </c>
      <c r="C83" s="13">
        <v>5</v>
      </c>
      <c r="D83" s="13">
        <v>2</v>
      </c>
      <c r="E83" s="13">
        <v>1</v>
      </c>
      <c r="F83" s="13" t="s">
        <v>52</v>
      </c>
      <c r="G83" s="13" t="str">
        <f>第2日!B3</f>
        <v>第5波</v>
      </c>
      <c r="H83" s="13">
        <f>IF(第2日!B4="点1·开启",1,0)+IF(第2日!C4="点2·开启",2,0)+IF(第2日!D4="点3·开启",4,0)+IF(第2日!E4="点4·开启",8,0)+IF(第2日!F4="点5·开启",16,0)+IF(第2日!G4="点6·开启",32,0)</f>
        <v>63</v>
      </c>
      <c r="I83" s="13">
        <f>第2日!E3</f>
        <v>0.1</v>
      </c>
      <c r="J83" s="13">
        <f>第2日!G3</f>
        <v>4</v>
      </c>
      <c r="K83" s="13">
        <f>第2日!I3</f>
        <v>300</v>
      </c>
      <c r="L83" s="13" t="s">
        <v>537</v>
      </c>
      <c r="M83" s="13" t="s">
        <v>538</v>
      </c>
      <c r="N83" s="13" t="b">
        <f>第2日!I4="待设计"</f>
        <v>0</v>
      </c>
      <c r="O83" s="13">
        <v>7</v>
      </c>
      <c r="P83" s="13" t="str">
        <f>IF(第2日!B13="","",IFERROR(VLOOKUP(第2日!B13,敌人目录!$A$6:$B$68,2,FALSE),""))</f>
        <v>yuanshi_insect_guardian</v>
      </c>
      <c r="Q83" s="13">
        <f>IF(第2日!B13="","",第2日!C13)</f>
        <v>150</v>
      </c>
      <c r="R83" s="13">
        <v>-1</v>
      </c>
      <c r="S83" s="13" t="str">
        <f>IF(第2日!B13="","",第2日!I13)</f>
        <v>可回读</v>
      </c>
    </row>
    <row r="84" spans="1:19" ht="16.5">
      <c r="A84" s="13">
        <v>3</v>
      </c>
      <c r="B84" s="13" t="s">
        <v>536</v>
      </c>
      <c r="C84" s="13">
        <v>5</v>
      </c>
      <c r="D84" s="13">
        <v>2</v>
      </c>
      <c r="E84" s="13">
        <v>1</v>
      </c>
      <c r="F84" s="13" t="s">
        <v>52</v>
      </c>
      <c r="G84" s="13" t="str">
        <f>第2日!B3</f>
        <v>第5波</v>
      </c>
      <c r="H84" s="13">
        <f>IF(第2日!B4="点1·开启",1,0)+IF(第2日!C4="点2·开启",2,0)+IF(第2日!D4="点3·开启",4,0)+IF(第2日!E4="点4·开启",8,0)+IF(第2日!F4="点5·开启",16,0)+IF(第2日!G4="点6·开启",32,0)</f>
        <v>63</v>
      </c>
      <c r="I84" s="13">
        <f>第2日!E3</f>
        <v>0.1</v>
      </c>
      <c r="J84" s="13">
        <f>第2日!G3</f>
        <v>4</v>
      </c>
      <c r="K84" s="13">
        <f>第2日!I3</f>
        <v>300</v>
      </c>
      <c r="L84" s="13" t="s">
        <v>537</v>
      </c>
      <c r="M84" s="13" t="s">
        <v>538</v>
      </c>
      <c r="N84" s="13" t="b">
        <f>第2日!I4="待设计"</f>
        <v>0</v>
      </c>
      <c r="O84" s="13">
        <v>8</v>
      </c>
      <c r="P84" s="13" t="str">
        <f>IF(第2日!B14="","",IFERROR(VLOOKUP(第2日!B14,敌人目录!$A$6:$B$68,2,FALSE),""))</f>
        <v>yuanshi_insect_green_shell</v>
      </c>
      <c r="Q84" s="13">
        <f>IF(第2日!B14="","",第2日!C14)</f>
        <v>100</v>
      </c>
      <c r="R84" s="13">
        <v>-1</v>
      </c>
      <c r="S84" s="13" t="str">
        <f>IF(第2日!B14="","",第2日!I14)</f>
        <v>可回读</v>
      </c>
    </row>
    <row r="85" spans="1:19" ht="16.5">
      <c r="A85" s="13">
        <v>3</v>
      </c>
      <c r="B85" s="13" t="s">
        <v>536</v>
      </c>
      <c r="C85" s="13">
        <v>5</v>
      </c>
      <c r="D85" s="13">
        <v>2</v>
      </c>
      <c r="E85" s="13">
        <v>1</v>
      </c>
      <c r="F85" s="13" t="s">
        <v>52</v>
      </c>
      <c r="G85" s="13" t="str">
        <f>第2日!B3</f>
        <v>第5波</v>
      </c>
      <c r="H85" s="13">
        <f>IF(第2日!B4="点1·开启",1,0)+IF(第2日!C4="点2·开启",2,0)+IF(第2日!D4="点3·开启",4,0)+IF(第2日!E4="点4·开启",8,0)+IF(第2日!F4="点5·开启",16,0)+IF(第2日!G4="点6·开启",32,0)</f>
        <v>63</v>
      </c>
      <c r="I85" s="13">
        <f>第2日!E3</f>
        <v>0.1</v>
      </c>
      <c r="J85" s="13">
        <f>第2日!G3</f>
        <v>4</v>
      </c>
      <c r="K85" s="13">
        <f>第2日!I3</f>
        <v>300</v>
      </c>
      <c r="L85" s="13" t="s">
        <v>537</v>
      </c>
      <c r="M85" s="13" t="s">
        <v>538</v>
      </c>
      <c r="N85" s="13" t="b">
        <f>第2日!I4="待设计"</f>
        <v>0</v>
      </c>
      <c r="O85" s="13">
        <v>9</v>
      </c>
      <c r="P85" s="13" t="str">
        <f>IF(第2日!B15="","",IFERROR(VLOOKUP(第2日!B15,敌人目录!$A$6:$B$68,2,FALSE),""))</f>
        <v>combat_robot</v>
      </c>
      <c r="Q85" s="13">
        <f>IF(第2日!B15="","",第2日!C15)</f>
        <v>80</v>
      </c>
      <c r="R85" s="13">
        <v>-1</v>
      </c>
      <c r="S85" s="13" t="str">
        <f>IF(第2日!B15="","",第2日!I15)</f>
        <v>可回读</v>
      </c>
    </row>
    <row r="86" spans="1:19" ht="16.5">
      <c r="A86" s="13">
        <v>3</v>
      </c>
      <c r="B86" s="13" t="s">
        <v>536</v>
      </c>
      <c r="C86" s="13">
        <v>5</v>
      </c>
      <c r="D86" s="13">
        <v>2</v>
      </c>
      <c r="E86" s="13">
        <v>1</v>
      </c>
      <c r="F86" s="13" t="s">
        <v>52</v>
      </c>
      <c r="G86" s="13" t="str">
        <f>第2日!B3</f>
        <v>第5波</v>
      </c>
      <c r="H86" s="13">
        <f>IF(第2日!B4="点1·开启",1,0)+IF(第2日!C4="点2·开启",2,0)+IF(第2日!D4="点3·开启",4,0)+IF(第2日!E4="点4·开启",8,0)+IF(第2日!F4="点5·开启",16,0)+IF(第2日!G4="点6·开启",32,0)</f>
        <v>63</v>
      </c>
      <c r="I86" s="13">
        <f>第2日!E3</f>
        <v>0.1</v>
      </c>
      <c r="J86" s="13">
        <f>第2日!G3</f>
        <v>4</v>
      </c>
      <c r="K86" s="13">
        <f>第2日!I3</f>
        <v>300</v>
      </c>
      <c r="L86" s="13" t="s">
        <v>537</v>
      </c>
      <c r="M86" s="13" t="s">
        <v>538</v>
      </c>
      <c r="N86" s="13" t="b">
        <f>第2日!I4="待设计"</f>
        <v>0</v>
      </c>
      <c r="O86" s="13">
        <v>10</v>
      </c>
      <c r="P86" s="13" t="str">
        <f>IF(第2日!B16="","",IFERROR(VLOOKUP(第2日!B16,敌人目录!$A$6:$B$68,2,FALSE),""))</f>
        <v>combat_robot_gunner</v>
      </c>
      <c r="Q86" s="13">
        <f>IF(第2日!B16="","",第2日!C16)</f>
        <v>60</v>
      </c>
      <c r="R86" s="13">
        <v>-1</v>
      </c>
      <c r="S86" s="13" t="str">
        <f>IF(第2日!B16="","",第2日!I16)</f>
        <v>可回读</v>
      </c>
    </row>
    <row r="87" spans="1:19" ht="16.5">
      <c r="A87" s="13">
        <v>3</v>
      </c>
      <c r="B87" s="13" t="s">
        <v>536</v>
      </c>
      <c r="C87" s="13">
        <v>5</v>
      </c>
      <c r="D87" s="13">
        <v>2</v>
      </c>
      <c r="E87" s="13">
        <v>1</v>
      </c>
      <c r="F87" s="13" t="s">
        <v>52</v>
      </c>
      <c r="G87" s="13" t="str">
        <f>第2日!B3</f>
        <v>第5波</v>
      </c>
      <c r="H87" s="13">
        <f>IF(第2日!B4="点1·开启",1,0)+IF(第2日!C4="点2·开启",2,0)+IF(第2日!D4="点3·开启",4,0)+IF(第2日!E4="点4·开启",8,0)+IF(第2日!F4="点5·开启",16,0)+IF(第2日!G4="点6·开启",32,0)</f>
        <v>63</v>
      </c>
      <c r="I87" s="13">
        <f>第2日!E3</f>
        <v>0.1</v>
      </c>
      <c r="J87" s="13">
        <f>第2日!G3</f>
        <v>4</v>
      </c>
      <c r="K87" s="13">
        <f>第2日!I3</f>
        <v>300</v>
      </c>
      <c r="L87" s="13" t="s">
        <v>537</v>
      </c>
      <c r="M87" s="13" t="s">
        <v>538</v>
      </c>
      <c r="N87" s="13" t="b">
        <f>第2日!I4="待设计"</f>
        <v>0</v>
      </c>
      <c r="O87" s="13">
        <v>11</v>
      </c>
      <c r="P87" s="13" t="str">
        <f>IF(第2日!B17="","",IFERROR(VLOOKUP(第2日!B17,敌人目录!$A$6:$B$68,2,FALSE),""))</f>
        <v>capoo_ak47</v>
      </c>
      <c r="Q87" s="13">
        <f>IF(第2日!B17="","",第2日!C17)</f>
        <v>60</v>
      </c>
      <c r="R87" s="13">
        <v>-1</v>
      </c>
      <c r="S87" s="13" t="str">
        <f>IF(第2日!B17="","",第2日!I17)</f>
        <v>可回读</v>
      </c>
    </row>
    <row r="88" spans="1:19" ht="16.5">
      <c r="A88" s="13">
        <v>3</v>
      </c>
      <c r="B88" s="13" t="s">
        <v>536</v>
      </c>
      <c r="C88" s="13">
        <v>5</v>
      </c>
      <c r="D88" s="13">
        <v>2</v>
      </c>
      <c r="E88" s="13">
        <v>1</v>
      </c>
      <c r="F88" s="13" t="s">
        <v>52</v>
      </c>
      <c r="G88" s="13" t="str">
        <f>第2日!B3</f>
        <v>第5波</v>
      </c>
      <c r="H88" s="13">
        <f>IF(第2日!B4="点1·开启",1,0)+IF(第2日!C4="点2·开启",2,0)+IF(第2日!D4="点3·开启",4,0)+IF(第2日!E4="点4·开启",8,0)+IF(第2日!F4="点5·开启",16,0)+IF(第2日!G4="点6·开启",32,0)</f>
        <v>63</v>
      </c>
      <c r="I88" s="13">
        <f>第2日!E3</f>
        <v>0.1</v>
      </c>
      <c r="J88" s="13">
        <f>第2日!G3</f>
        <v>4</v>
      </c>
      <c r="K88" s="13">
        <f>第2日!I3</f>
        <v>300</v>
      </c>
      <c r="L88" s="13" t="s">
        <v>537</v>
      </c>
      <c r="M88" s="13" t="s">
        <v>538</v>
      </c>
      <c r="N88" s="13" t="b">
        <f>第2日!I4="待设计"</f>
        <v>0</v>
      </c>
      <c r="O88" s="13">
        <v>12</v>
      </c>
      <c r="P88" s="13" t="str">
        <f>IF(第2日!B18="","",IFERROR(VLOOKUP(第2日!B18,敌人目录!$A$6:$B$68,2,FALSE),""))</f>
        <v>capoo_smg</v>
      </c>
      <c r="Q88" s="13">
        <f>IF(第2日!B18="","",第2日!C18)</f>
        <v>40</v>
      </c>
      <c r="R88" s="13">
        <v>-1</v>
      </c>
      <c r="S88" s="13" t="str">
        <f>IF(第2日!B18="","",第2日!I18)</f>
        <v>可回读</v>
      </c>
    </row>
    <row r="89" spans="1:19" ht="16.5">
      <c r="A89" s="13">
        <v>3</v>
      </c>
      <c r="B89" s="13" t="s">
        <v>536</v>
      </c>
      <c r="C89" s="13">
        <v>5</v>
      </c>
      <c r="D89" s="13">
        <v>2</v>
      </c>
      <c r="E89" s="13">
        <v>1</v>
      </c>
      <c r="F89" s="13" t="s">
        <v>52</v>
      </c>
      <c r="G89" s="13" t="str">
        <f>第2日!B3</f>
        <v>第5波</v>
      </c>
      <c r="H89" s="13">
        <f>IF(第2日!B4="点1·开启",1,0)+IF(第2日!C4="点2·开启",2,0)+IF(第2日!D4="点3·开启",4,0)+IF(第2日!E4="点4·开启",8,0)+IF(第2日!F4="点5·开启",16,0)+IF(第2日!G4="点6·开启",32,0)</f>
        <v>63</v>
      </c>
      <c r="I89" s="13">
        <f>第2日!E3</f>
        <v>0.1</v>
      </c>
      <c r="J89" s="13">
        <f>第2日!G3</f>
        <v>4</v>
      </c>
      <c r="K89" s="13">
        <f>第2日!I3</f>
        <v>300</v>
      </c>
      <c r="L89" s="13" t="s">
        <v>537</v>
      </c>
      <c r="M89" s="13" t="s">
        <v>538</v>
      </c>
      <c r="N89" s="13" t="b">
        <f>第2日!I4="待设计"</f>
        <v>0</v>
      </c>
      <c r="O89" s="13">
        <v>13</v>
      </c>
      <c r="P89" s="13" t="str">
        <f>IF(第2日!B19="","",IFERROR(VLOOKUP(第2日!B19,敌人目录!$A$6:$B$68,2,FALSE),""))</f>
        <v>capoo_mage</v>
      </c>
      <c r="Q89" s="13">
        <f>IF(第2日!B19="","",第2日!C19)</f>
        <v>30</v>
      </c>
      <c r="R89" s="13">
        <v>-1</v>
      </c>
      <c r="S89" s="13" t="str">
        <f>IF(第2日!B19="","",第2日!I19)</f>
        <v>可回读</v>
      </c>
    </row>
    <row r="90" spans="1:19" ht="16.5">
      <c r="A90" s="13">
        <v>3</v>
      </c>
      <c r="B90" s="13" t="s">
        <v>536</v>
      </c>
      <c r="C90" s="13">
        <v>5</v>
      </c>
      <c r="D90" s="13">
        <v>2</v>
      </c>
      <c r="E90" s="13">
        <v>1</v>
      </c>
      <c r="F90" s="13" t="s">
        <v>52</v>
      </c>
      <c r="G90" s="13" t="str">
        <f>第2日!B3</f>
        <v>第5波</v>
      </c>
      <c r="H90" s="13">
        <f>IF(第2日!B4="点1·开启",1,0)+IF(第2日!C4="点2·开启",2,0)+IF(第2日!D4="点3·开启",4,0)+IF(第2日!E4="点4·开启",8,0)+IF(第2日!F4="点5·开启",16,0)+IF(第2日!G4="点6·开启",32,0)</f>
        <v>63</v>
      </c>
      <c r="I90" s="13">
        <f>第2日!E3</f>
        <v>0.1</v>
      </c>
      <c r="J90" s="13">
        <f>第2日!G3</f>
        <v>4</v>
      </c>
      <c r="K90" s="13">
        <f>第2日!I3</f>
        <v>300</v>
      </c>
      <c r="L90" s="13" t="s">
        <v>537</v>
      </c>
      <c r="M90" s="13" t="s">
        <v>538</v>
      </c>
      <c r="N90" s="13" t="b">
        <f>第2日!I4="待设计"</f>
        <v>0</v>
      </c>
      <c r="O90" s="13">
        <v>14</v>
      </c>
      <c r="P90" s="13" t="str">
        <f>IF(第2日!B20="","",IFERROR(VLOOKUP(第2日!B20,敌人目录!$A$6:$B$68,2,FALSE),""))</f>
        <v>fire_sorcerer</v>
      </c>
      <c r="Q90" s="13">
        <f>IF(第2日!B20="","",第2日!C20)</f>
        <v>20</v>
      </c>
      <c r="R90" s="13">
        <v>-1</v>
      </c>
      <c r="S90" s="13" t="str">
        <f>IF(第2日!B20="","",第2日!I20)</f>
        <v>可回读</v>
      </c>
    </row>
    <row r="91" spans="1:19" ht="16.5">
      <c r="A91" s="13">
        <v>3</v>
      </c>
      <c r="B91" s="13" t="s">
        <v>536</v>
      </c>
      <c r="C91" s="13">
        <v>5</v>
      </c>
      <c r="D91" s="13">
        <v>2</v>
      </c>
      <c r="E91" s="13">
        <v>1</v>
      </c>
      <c r="F91" s="13" t="s">
        <v>52</v>
      </c>
      <c r="G91" s="13" t="str">
        <f>第2日!B3</f>
        <v>第5波</v>
      </c>
      <c r="H91" s="13">
        <f>IF(第2日!B4="点1·开启",1,0)+IF(第2日!C4="点2·开启",2,0)+IF(第2日!D4="点3·开启",4,0)+IF(第2日!E4="点4·开启",8,0)+IF(第2日!F4="点5·开启",16,0)+IF(第2日!G4="点6·开启",32,0)</f>
        <v>63</v>
      </c>
      <c r="I91" s="13">
        <f>第2日!E3</f>
        <v>0.1</v>
      </c>
      <c r="J91" s="13">
        <f>第2日!G3</f>
        <v>4</v>
      </c>
      <c r="K91" s="13">
        <f>第2日!I3</f>
        <v>300</v>
      </c>
      <c r="L91" s="13" t="s">
        <v>537</v>
      </c>
      <c r="M91" s="13" t="s">
        <v>538</v>
      </c>
      <c r="N91" s="13" t="b">
        <f>第2日!I4="待设计"</f>
        <v>0</v>
      </c>
      <c r="O91" s="13">
        <v>15</v>
      </c>
      <c r="P91" s="13" t="str">
        <f>IF(第2日!B21="","",IFERROR(VLOOKUP(第2日!B21,敌人目录!$A$6:$B$68,2,FALSE),""))</f>
        <v>stone_golem</v>
      </c>
      <c r="Q91" s="13">
        <f>IF(第2日!B21="","",第2日!C21)</f>
        <v>10</v>
      </c>
      <c r="R91" s="13">
        <v>-1</v>
      </c>
      <c r="S91" s="13" t="str">
        <f>IF(第2日!B21="","",第2日!I21)</f>
        <v>可回读</v>
      </c>
    </row>
    <row r="92" spans="1:19" ht="16.5">
      <c r="A92" s="13">
        <v>3</v>
      </c>
      <c r="B92" s="13" t="s">
        <v>536</v>
      </c>
      <c r="C92" s="13">
        <v>5</v>
      </c>
      <c r="D92" s="13">
        <v>2</v>
      </c>
      <c r="E92" s="13">
        <v>1</v>
      </c>
      <c r="F92" s="13" t="s">
        <v>52</v>
      </c>
      <c r="G92" s="13" t="str">
        <f>第2日!B3</f>
        <v>第5波</v>
      </c>
      <c r="H92" s="13">
        <f>IF(第2日!B4="点1·开启",1,0)+IF(第2日!C4="点2·开启",2,0)+IF(第2日!D4="点3·开启",4,0)+IF(第2日!E4="点4·开启",8,0)+IF(第2日!F4="点5·开启",16,0)+IF(第2日!G4="点6·开启",32,0)</f>
        <v>63</v>
      </c>
      <c r="I92" s="13">
        <f>第2日!E3</f>
        <v>0.1</v>
      </c>
      <c r="J92" s="13">
        <f>第2日!G3</f>
        <v>4</v>
      </c>
      <c r="K92" s="13">
        <f>第2日!I3</f>
        <v>300</v>
      </c>
      <c r="L92" s="13" t="s">
        <v>537</v>
      </c>
      <c r="M92" s="13" t="s">
        <v>538</v>
      </c>
      <c r="N92" s="13" t="b">
        <f>第2日!I4="待设计"</f>
        <v>0</v>
      </c>
      <c r="O92" s="13">
        <v>16</v>
      </c>
      <c r="P92" s="13" t="str">
        <f>IF(第2日!B22="","",IFERROR(VLOOKUP(第2日!B22,敌人目录!$A$6:$B$68,2,FALSE),""))</f>
        <v/>
      </c>
      <c r="Q92" s="13" t="str">
        <f>IF(第2日!B22="","",第2日!C22)</f>
        <v/>
      </c>
      <c r="R92" s="13">
        <v>-1</v>
      </c>
      <c r="S92" s="13" t="str">
        <f>IF(第2日!B22="","",第2日!I22)</f>
        <v/>
      </c>
    </row>
    <row r="93" spans="1:19" ht="16.5">
      <c r="A93" s="13">
        <v>3</v>
      </c>
      <c r="B93" s="13" t="s">
        <v>536</v>
      </c>
      <c r="C93" s="13">
        <v>5</v>
      </c>
      <c r="D93" s="13">
        <v>2</v>
      </c>
      <c r="E93" s="13">
        <v>1</v>
      </c>
      <c r="F93" s="13" t="s">
        <v>52</v>
      </c>
      <c r="G93" s="13" t="str">
        <f>第2日!B3</f>
        <v>第5波</v>
      </c>
      <c r="H93" s="13">
        <f>IF(第2日!B4="点1·开启",1,0)+IF(第2日!C4="点2·开启",2,0)+IF(第2日!D4="点3·开启",4,0)+IF(第2日!E4="点4·开启",8,0)+IF(第2日!F4="点5·开启",16,0)+IF(第2日!G4="点6·开启",32,0)</f>
        <v>63</v>
      </c>
      <c r="I93" s="13">
        <f>第2日!E3</f>
        <v>0.1</v>
      </c>
      <c r="J93" s="13">
        <f>第2日!G3</f>
        <v>4</v>
      </c>
      <c r="K93" s="13">
        <f>第2日!I3</f>
        <v>300</v>
      </c>
      <c r="L93" s="13" t="s">
        <v>537</v>
      </c>
      <c r="M93" s="13" t="s">
        <v>538</v>
      </c>
      <c r="N93" s="13" t="b">
        <f>第2日!I4="待设计"</f>
        <v>0</v>
      </c>
      <c r="O93" s="13">
        <v>17</v>
      </c>
      <c r="P93" s="13" t="str">
        <f>IF(第2日!B23="","",IFERROR(VLOOKUP(第2日!B23,敌人目录!$A$6:$B$68,2,FALSE),""))</f>
        <v/>
      </c>
      <c r="Q93" s="13" t="str">
        <f>IF(第2日!B23="","",第2日!C23)</f>
        <v/>
      </c>
      <c r="R93" s="13">
        <v>-1</v>
      </c>
      <c r="S93" s="13" t="str">
        <f>IF(第2日!B23="","",第2日!I23)</f>
        <v/>
      </c>
    </row>
    <row r="94" spans="1:19" ht="16.5">
      <c r="A94" s="13">
        <v>3</v>
      </c>
      <c r="B94" s="13" t="s">
        <v>536</v>
      </c>
      <c r="C94" s="13">
        <v>5</v>
      </c>
      <c r="D94" s="13">
        <v>2</v>
      </c>
      <c r="E94" s="13">
        <v>1</v>
      </c>
      <c r="F94" s="13" t="s">
        <v>52</v>
      </c>
      <c r="G94" s="13" t="str">
        <f>第2日!B3</f>
        <v>第5波</v>
      </c>
      <c r="H94" s="13">
        <f>IF(第2日!B4="点1·开启",1,0)+IF(第2日!C4="点2·开启",2,0)+IF(第2日!D4="点3·开启",4,0)+IF(第2日!E4="点4·开启",8,0)+IF(第2日!F4="点5·开启",16,0)+IF(第2日!G4="点6·开启",32,0)</f>
        <v>63</v>
      </c>
      <c r="I94" s="13">
        <f>第2日!E3</f>
        <v>0.1</v>
      </c>
      <c r="J94" s="13">
        <f>第2日!G3</f>
        <v>4</v>
      </c>
      <c r="K94" s="13">
        <f>第2日!I3</f>
        <v>300</v>
      </c>
      <c r="L94" s="13" t="s">
        <v>537</v>
      </c>
      <c r="M94" s="13" t="s">
        <v>538</v>
      </c>
      <c r="N94" s="13" t="b">
        <f>第2日!I4="待设计"</f>
        <v>0</v>
      </c>
      <c r="O94" s="13">
        <v>18</v>
      </c>
      <c r="P94" s="13" t="str">
        <f>IF(第2日!B24="","",IFERROR(VLOOKUP(第2日!B24,敌人目录!$A$6:$B$68,2,FALSE),""))</f>
        <v/>
      </c>
      <c r="Q94" s="13" t="str">
        <f>IF(第2日!B24="","",第2日!C24)</f>
        <v/>
      </c>
      <c r="R94" s="13">
        <v>-1</v>
      </c>
      <c r="S94" s="13" t="str">
        <f>IF(第2日!B24="","",第2日!I24)</f>
        <v/>
      </c>
    </row>
    <row r="95" spans="1:19" ht="16.5">
      <c r="A95" s="13">
        <v>3</v>
      </c>
      <c r="B95" s="13" t="s">
        <v>539</v>
      </c>
      <c r="C95" s="13">
        <v>6</v>
      </c>
      <c r="D95" s="13">
        <v>2</v>
      </c>
      <c r="E95" s="13">
        <v>2</v>
      </c>
      <c r="F95" s="13" t="s">
        <v>52</v>
      </c>
      <c r="G95" s="13" t="str">
        <f>第2日!B32</f>
        <v>第6波</v>
      </c>
      <c r="H95" s="13">
        <f>IF(第2日!B33="点1·开启",1,0)+IF(第2日!C33="点2·开启",2,0)+IF(第2日!D33="点3·开启",4,0)+IF(第2日!E33="点4·开启",8,0)+IF(第2日!F33="点5·开启",16,0)+IF(第2日!G33="点6·开启",32,0)</f>
        <v>63</v>
      </c>
      <c r="I95" s="13">
        <f>第2日!E32</f>
        <v>0.09</v>
      </c>
      <c r="J95" s="13">
        <f>第2日!G32</f>
        <v>1</v>
      </c>
      <c r="K95" s="13">
        <f>第2日!I32</f>
        <v>275</v>
      </c>
      <c r="L95" s="13" t="s">
        <v>537</v>
      </c>
      <c r="M95" s="13" t="s">
        <v>538</v>
      </c>
      <c r="N95" s="13" t="b">
        <f>第2日!I33="待设计"</f>
        <v>0</v>
      </c>
      <c r="O95" s="13">
        <v>1</v>
      </c>
      <c r="P95" s="13" t="str">
        <f>IF(第2日!B36="","",IFERROR(VLOOKUP(第2日!B36,敌人目录!$A$6:$B$68,2,FALSE),""))</f>
        <v>slime_basic</v>
      </c>
      <c r="Q95" s="13">
        <f>IF(第2日!B36="","",第2日!C36)</f>
        <v>300</v>
      </c>
      <c r="R95" s="13">
        <v>-1</v>
      </c>
      <c r="S95" s="13" t="str">
        <f>IF(第2日!B36="","",第2日!I36)</f>
        <v>可回读</v>
      </c>
    </row>
    <row r="96" spans="1:19" ht="16.5">
      <c r="A96" s="13">
        <v>3</v>
      </c>
      <c r="B96" s="13" t="s">
        <v>539</v>
      </c>
      <c r="C96" s="13">
        <v>6</v>
      </c>
      <c r="D96" s="13">
        <v>2</v>
      </c>
      <c r="E96" s="13">
        <v>2</v>
      </c>
      <c r="F96" s="13" t="s">
        <v>52</v>
      </c>
      <c r="G96" s="13" t="str">
        <f>第2日!B32</f>
        <v>第6波</v>
      </c>
      <c r="H96" s="13">
        <f>IF(第2日!B33="点1·开启",1,0)+IF(第2日!C33="点2·开启",2,0)+IF(第2日!D33="点3·开启",4,0)+IF(第2日!E33="点4·开启",8,0)+IF(第2日!F33="点5·开启",16,0)+IF(第2日!G33="点6·开启",32,0)</f>
        <v>63</v>
      </c>
      <c r="I96" s="13">
        <f>第2日!E32</f>
        <v>0.09</v>
      </c>
      <c r="J96" s="13">
        <f>第2日!G32</f>
        <v>1</v>
      </c>
      <c r="K96" s="13">
        <f>第2日!I32</f>
        <v>275</v>
      </c>
      <c r="L96" s="13" t="s">
        <v>537</v>
      </c>
      <c r="M96" s="13" t="s">
        <v>538</v>
      </c>
      <c r="N96" s="13" t="b">
        <f>第2日!I33="待设计"</f>
        <v>0</v>
      </c>
      <c r="O96" s="13">
        <v>2</v>
      </c>
      <c r="P96" s="13" t="str">
        <f>IF(第2日!B37="","",IFERROR(VLOOKUP(第2日!B37,敌人目录!$A$6:$B$68,2,FALSE),""))</f>
        <v>slime_fire</v>
      </c>
      <c r="Q96" s="13">
        <f>IF(第2日!B37="","",第2日!C37)</f>
        <v>200</v>
      </c>
      <c r="R96" s="13">
        <v>-1</v>
      </c>
      <c r="S96" s="13" t="str">
        <f>IF(第2日!B37="","",第2日!I37)</f>
        <v>可回读</v>
      </c>
    </row>
    <row r="97" spans="1:19" ht="16.5">
      <c r="A97" s="13">
        <v>3</v>
      </c>
      <c r="B97" s="13" t="s">
        <v>539</v>
      </c>
      <c r="C97" s="13">
        <v>6</v>
      </c>
      <c r="D97" s="13">
        <v>2</v>
      </c>
      <c r="E97" s="13">
        <v>2</v>
      </c>
      <c r="F97" s="13" t="s">
        <v>52</v>
      </c>
      <c r="G97" s="13" t="str">
        <f>第2日!B32</f>
        <v>第6波</v>
      </c>
      <c r="H97" s="13">
        <f>IF(第2日!B33="点1·开启",1,0)+IF(第2日!C33="点2·开启",2,0)+IF(第2日!D33="点3·开启",4,0)+IF(第2日!E33="点4·开启",8,0)+IF(第2日!F33="点5·开启",16,0)+IF(第2日!G33="点6·开启",32,0)</f>
        <v>63</v>
      </c>
      <c r="I97" s="13">
        <f>第2日!E32</f>
        <v>0.09</v>
      </c>
      <c r="J97" s="13">
        <f>第2日!G32</f>
        <v>1</v>
      </c>
      <c r="K97" s="13">
        <f>第2日!I32</f>
        <v>275</v>
      </c>
      <c r="L97" s="13" t="s">
        <v>537</v>
      </c>
      <c r="M97" s="13" t="s">
        <v>538</v>
      </c>
      <c r="N97" s="13" t="b">
        <f>第2日!I33="待设计"</f>
        <v>0</v>
      </c>
      <c r="O97" s="13">
        <v>3</v>
      </c>
      <c r="P97" s="13" t="str">
        <f>IF(第2日!B38="","",IFERROR(VLOOKUP(第2日!B38,敌人目录!$A$6:$B$68,2,FALSE),""))</f>
        <v>slime_frost</v>
      </c>
      <c r="Q97" s="13">
        <f>IF(第2日!B38="","",第2日!C38)</f>
        <v>200</v>
      </c>
      <c r="R97" s="13">
        <v>-1</v>
      </c>
      <c r="S97" s="13" t="str">
        <f>IF(第2日!B38="","",第2日!I38)</f>
        <v>可回读</v>
      </c>
    </row>
    <row r="98" spans="1:19" ht="16.5">
      <c r="A98" s="13">
        <v>3</v>
      </c>
      <c r="B98" s="13" t="s">
        <v>539</v>
      </c>
      <c r="C98" s="13">
        <v>6</v>
      </c>
      <c r="D98" s="13">
        <v>2</v>
      </c>
      <c r="E98" s="13">
        <v>2</v>
      </c>
      <c r="F98" s="13" t="s">
        <v>52</v>
      </c>
      <c r="G98" s="13" t="str">
        <f>第2日!B32</f>
        <v>第6波</v>
      </c>
      <c r="H98" s="13">
        <f>IF(第2日!B33="点1·开启",1,0)+IF(第2日!C33="点2·开启",2,0)+IF(第2日!D33="点3·开启",4,0)+IF(第2日!E33="点4·开启",8,0)+IF(第2日!F33="点5·开启",16,0)+IF(第2日!G33="点6·开启",32,0)</f>
        <v>63</v>
      </c>
      <c r="I98" s="13">
        <f>第2日!E32</f>
        <v>0.09</v>
      </c>
      <c r="J98" s="13">
        <f>第2日!G32</f>
        <v>1</v>
      </c>
      <c r="K98" s="13">
        <f>第2日!I32</f>
        <v>275</v>
      </c>
      <c r="L98" s="13" t="s">
        <v>537</v>
      </c>
      <c r="M98" s="13" t="s">
        <v>538</v>
      </c>
      <c r="N98" s="13" t="b">
        <f>第2日!I33="待设计"</f>
        <v>0</v>
      </c>
      <c r="O98" s="13">
        <v>4</v>
      </c>
      <c r="P98" s="13" t="str">
        <f>IF(第2日!B39="","",IFERROR(VLOOKUP(第2日!B39,敌人目录!$A$6:$B$68,2,FALSE),""))</f>
        <v>yuanshi_insect_basic</v>
      </c>
      <c r="Q98" s="13">
        <f>IF(第2日!B39="","",第2日!C39)</f>
        <v>260</v>
      </c>
      <c r="R98" s="13">
        <v>-1</v>
      </c>
      <c r="S98" s="13" t="str">
        <f>IF(第2日!B39="","",第2日!I39)</f>
        <v>可回读</v>
      </c>
    </row>
    <row r="99" spans="1:19" ht="16.5">
      <c r="A99" s="13">
        <v>3</v>
      </c>
      <c r="B99" s="13" t="s">
        <v>539</v>
      </c>
      <c r="C99" s="13">
        <v>6</v>
      </c>
      <c r="D99" s="13">
        <v>2</v>
      </c>
      <c r="E99" s="13">
        <v>2</v>
      </c>
      <c r="F99" s="13" t="s">
        <v>52</v>
      </c>
      <c r="G99" s="13" t="str">
        <f>第2日!B32</f>
        <v>第6波</v>
      </c>
      <c r="H99" s="13">
        <f>IF(第2日!B33="点1·开启",1,0)+IF(第2日!C33="点2·开启",2,0)+IF(第2日!D33="点3·开启",4,0)+IF(第2日!E33="点4·开启",8,0)+IF(第2日!F33="点5·开启",16,0)+IF(第2日!G33="点6·开启",32,0)</f>
        <v>63</v>
      </c>
      <c r="I99" s="13">
        <f>第2日!E32</f>
        <v>0.09</v>
      </c>
      <c r="J99" s="13">
        <f>第2日!G32</f>
        <v>1</v>
      </c>
      <c r="K99" s="13">
        <f>第2日!I32</f>
        <v>275</v>
      </c>
      <c r="L99" s="13" t="s">
        <v>537</v>
      </c>
      <c r="M99" s="13" t="s">
        <v>538</v>
      </c>
      <c r="N99" s="13" t="b">
        <f>第2日!I33="待设计"</f>
        <v>0</v>
      </c>
      <c r="O99" s="13">
        <v>5</v>
      </c>
      <c r="P99" s="13" t="str">
        <f>IF(第2日!B40="","",IFERROR(VLOOKUP(第2日!B40,敌人目录!$A$6:$B$68,2,FALSE),""))</f>
        <v>yuanshi_insect_fast</v>
      </c>
      <c r="Q99" s="13">
        <f>IF(第2日!B40="","",第2日!C40)</f>
        <v>200</v>
      </c>
      <c r="R99" s="13">
        <v>-1</v>
      </c>
      <c r="S99" s="13" t="str">
        <f>IF(第2日!B40="","",第2日!I40)</f>
        <v>可回读</v>
      </c>
    </row>
    <row r="100" spans="1:19" ht="16.5">
      <c r="A100" s="13">
        <v>3</v>
      </c>
      <c r="B100" s="13" t="s">
        <v>539</v>
      </c>
      <c r="C100" s="13">
        <v>6</v>
      </c>
      <c r="D100" s="13">
        <v>2</v>
      </c>
      <c r="E100" s="13">
        <v>2</v>
      </c>
      <c r="F100" s="13" t="s">
        <v>52</v>
      </c>
      <c r="G100" s="13" t="str">
        <f>第2日!B32</f>
        <v>第6波</v>
      </c>
      <c r="H100" s="13">
        <f>IF(第2日!B33="点1·开启",1,0)+IF(第2日!C33="点2·开启",2,0)+IF(第2日!D33="点3·开启",4,0)+IF(第2日!E33="点4·开启",8,0)+IF(第2日!F33="点5·开启",16,0)+IF(第2日!G33="点6·开启",32,0)</f>
        <v>63</v>
      </c>
      <c r="I100" s="13">
        <f>第2日!E32</f>
        <v>0.09</v>
      </c>
      <c r="J100" s="13">
        <f>第2日!G32</f>
        <v>1</v>
      </c>
      <c r="K100" s="13">
        <f>第2日!I32</f>
        <v>275</v>
      </c>
      <c r="L100" s="13" t="s">
        <v>537</v>
      </c>
      <c r="M100" s="13" t="s">
        <v>538</v>
      </c>
      <c r="N100" s="13" t="b">
        <f>第2日!I33="待设计"</f>
        <v>0</v>
      </c>
      <c r="O100" s="13">
        <v>6</v>
      </c>
      <c r="P100" s="13" t="str">
        <f>IF(第2日!B41="","",IFERROR(VLOOKUP(第2日!B41,敌人目录!$A$6:$B$68,2,FALSE),""))</f>
        <v>yuanshi_insect_bomber</v>
      </c>
      <c r="Q100" s="13">
        <f>IF(第2日!B41="","",第2日!C41)</f>
        <v>150</v>
      </c>
      <c r="R100" s="13">
        <v>-1</v>
      </c>
      <c r="S100" s="13" t="str">
        <f>IF(第2日!B41="","",第2日!I41)</f>
        <v>可回读</v>
      </c>
    </row>
    <row r="101" spans="1:19" ht="16.5">
      <c r="A101" s="13">
        <v>3</v>
      </c>
      <c r="B101" s="13" t="s">
        <v>539</v>
      </c>
      <c r="C101" s="13">
        <v>6</v>
      </c>
      <c r="D101" s="13">
        <v>2</v>
      </c>
      <c r="E101" s="13">
        <v>2</v>
      </c>
      <c r="F101" s="13" t="s">
        <v>52</v>
      </c>
      <c r="G101" s="13" t="str">
        <f>第2日!B32</f>
        <v>第6波</v>
      </c>
      <c r="H101" s="13">
        <f>IF(第2日!B33="点1·开启",1,0)+IF(第2日!C33="点2·开启",2,0)+IF(第2日!D33="点3·开启",4,0)+IF(第2日!E33="点4·开启",8,0)+IF(第2日!F33="点5·开启",16,0)+IF(第2日!G33="点6·开启",32,0)</f>
        <v>63</v>
      </c>
      <c r="I101" s="13">
        <f>第2日!E32</f>
        <v>0.09</v>
      </c>
      <c r="J101" s="13">
        <f>第2日!G32</f>
        <v>1</v>
      </c>
      <c r="K101" s="13">
        <f>第2日!I32</f>
        <v>275</v>
      </c>
      <c r="L101" s="13" t="s">
        <v>537</v>
      </c>
      <c r="M101" s="13" t="s">
        <v>538</v>
      </c>
      <c r="N101" s="13" t="b">
        <f>第2日!I33="待设计"</f>
        <v>0</v>
      </c>
      <c r="O101" s="13">
        <v>7</v>
      </c>
      <c r="P101" s="13" t="str">
        <f>IF(第2日!B42="","",IFERROR(VLOOKUP(第2日!B42,敌人目录!$A$6:$B$68,2,FALSE),""))</f>
        <v>yuanshi_insect_purple_bomber</v>
      </c>
      <c r="Q101" s="13">
        <f>IF(第2日!B42="","",第2日!C42)</f>
        <v>100</v>
      </c>
      <c r="R101" s="13">
        <v>-1</v>
      </c>
      <c r="S101" s="13" t="str">
        <f>IF(第2日!B42="","",第2日!I42)</f>
        <v>可回读</v>
      </c>
    </row>
    <row r="102" spans="1:19" ht="16.5">
      <c r="A102" s="13">
        <v>3</v>
      </c>
      <c r="B102" s="13" t="s">
        <v>539</v>
      </c>
      <c r="C102" s="13">
        <v>6</v>
      </c>
      <c r="D102" s="13">
        <v>2</v>
      </c>
      <c r="E102" s="13">
        <v>2</v>
      </c>
      <c r="F102" s="13" t="s">
        <v>52</v>
      </c>
      <c r="G102" s="13" t="str">
        <f>第2日!B32</f>
        <v>第6波</v>
      </c>
      <c r="H102" s="13">
        <f>IF(第2日!B33="点1·开启",1,0)+IF(第2日!C33="点2·开启",2,0)+IF(第2日!D33="点3·开启",4,0)+IF(第2日!E33="点4·开启",8,0)+IF(第2日!F33="点5·开启",16,0)+IF(第2日!G33="点6·开启",32,0)</f>
        <v>63</v>
      </c>
      <c r="I102" s="13">
        <f>第2日!E32</f>
        <v>0.09</v>
      </c>
      <c r="J102" s="13">
        <f>第2日!G32</f>
        <v>1</v>
      </c>
      <c r="K102" s="13">
        <f>第2日!I32</f>
        <v>275</v>
      </c>
      <c r="L102" s="13" t="s">
        <v>537</v>
      </c>
      <c r="M102" s="13" t="s">
        <v>538</v>
      </c>
      <c r="N102" s="13" t="b">
        <f>第2日!I33="待设计"</f>
        <v>0</v>
      </c>
      <c r="O102" s="13">
        <v>8</v>
      </c>
      <c r="P102" s="13" t="str">
        <f>IF(第2日!B43="","",IFERROR(VLOOKUP(第2日!B43,敌人目录!$A$6:$B$68,2,FALSE),""))</f>
        <v>yuanshi_insect_fire_ranged</v>
      </c>
      <c r="Q102" s="13">
        <f>IF(第2日!B43="","",第2日!C43)</f>
        <v>150</v>
      </c>
      <c r="R102" s="13">
        <v>-1</v>
      </c>
      <c r="S102" s="13" t="str">
        <f>IF(第2日!B43="","",第2日!I43)</f>
        <v>可回读</v>
      </c>
    </row>
    <row r="103" spans="1:19" ht="16.5">
      <c r="A103" s="13">
        <v>3</v>
      </c>
      <c r="B103" s="13" t="s">
        <v>539</v>
      </c>
      <c r="C103" s="13">
        <v>6</v>
      </c>
      <c r="D103" s="13">
        <v>2</v>
      </c>
      <c r="E103" s="13">
        <v>2</v>
      </c>
      <c r="F103" s="13" t="s">
        <v>52</v>
      </c>
      <c r="G103" s="13" t="str">
        <f>第2日!B32</f>
        <v>第6波</v>
      </c>
      <c r="H103" s="13">
        <f>IF(第2日!B33="点1·开启",1,0)+IF(第2日!C33="点2·开启",2,0)+IF(第2日!D33="点3·开启",4,0)+IF(第2日!E33="点4·开启",8,0)+IF(第2日!F33="点5·开启",16,0)+IF(第2日!G33="点6·开启",32,0)</f>
        <v>63</v>
      </c>
      <c r="I103" s="13">
        <f>第2日!E32</f>
        <v>0.09</v>
      </c>
      <c r="J103" s="13">
        <f>第2日!G32</f>
        <v>1</v>
      </c>
      <c r="K103" s="13">
        <f>第2日!I32</f>
        <v>275</v>
      </c>
      <c r="L103" s="13" t="s">
        <v>537</v>
      </c>
      <c r="M103" s="13" t="s">
        <v>538</v>
      </c>
      <c r="N103" s="13" t="b">
        <f>第2日!I33="待设计"</f>
        <v>0</v>
      </c>
      <c r="O103" s="13">
        <v>9</v>
      </c>
      <c r="P103" s="13" t="str">
        <f>IF(第2日!B44="","",IFERROR(VLOOKUP(第2日!B44,敌人目录!$A$6:$B$68,2,FALSE),""))</f>
        <v>yuanshi_insect_shell</v>
      </c>
      <c r="Q103" s="13">
        <f>IF(第2日!B44="","",第2日!C44)</f>
        <v>300</v>
      </c>
      <c r="R103" s="13">
        <v>-1</v>
      </c>
      <c r="S103" s="13" t="str">
        <f>IF(第2日!B44="","",第2日!I44)</f>
        <v>可回读</v>
      </c>
    </row>
    <row r="104" spans="1:19" ht="16.5">
      <c r="A104" s="13">
        <v>3</v>
      </c>
      <c r="B104" s="13" t="s">
        <v>539</v>
      </c>
      <c r="C104" s="13">
        <v>6</v>
      </c>
      <c r="D104" s="13">
        <v>2</v>
      </c>
      <c r="E104" s="13">
        <v>2</v>
      </c>
      <c r="F104" s="13" t="s">
        <v>52</v>
      </c>
      <c r="G104" s="13" t="str">
        <f>第2日!B32</f>
        <v>第6波</v>
      </c>
      <c r="H104" s="13">
        <f>IF(第2日!B33="点1·开启",1,0)+IF(第2日!C33="点2·开启",2,0)+IF(第2日!D33="点3·开启",4,0)+IF(第2日!E33="点4·开启",8,0)+IF(第2日!F33="点5·开启",16,0)+IF(第2日!G33="点6·开启",32,0)</f>
        <v>63</v>
      </c>
      <c r="I104" s="13">
        <f>第2日!E32</f>
        <v>0.09</v>
      </c>
      <c r="J104" s="13">
        <f>第2日!G32</f>
        <v>1</v>
      </c>
      <c r="K104" s="13">
        <f>第2日!I32</f>
        <v>275</v>
      </c>
      <c r="L104" s="13" t="s">
        <v>537</v>
      </c>
      <c r="M104" s="13" t="s">
        <v>538</v>
      </c>
      <c r="N104" s="13" t="b">
        <f>第2日!I33="待设计"</f>
        <v>0</v>
      </c>
      <c r="O104" s="13">
        <v>10</v>
      </c>
      <c r="P104" s="13" t="str">
        <f>IF(第2日!B45="","",IFERROR(VLOOKUP(第2日!B45,敌人目录!$A$6:$B$68,2,FALSE),""))</f>
        <v>yuanshi_insect_green_shell</v>
      </c>
      <c r="Q104" s="13">
        <f>IF(第2日!B45="","",第2日!C45)</f>
        <v>100</v>
      </c>
      <c r="R104" s="13">
        <v>-1</v>
      </c>
      <c r="S104" s="13" t="str">
        <f>IF(第2日!B45="","",第2日!I45)</f>
        <v>可回读</v>
      </c>
    </row>
    <row r="105" spans="1:19" ht="16.5">
      <c r="A105" s="13">
        <v>3</v>
      </c>
      <c r="B105" s="13" t="s">
        <v>539</v>
      </c>
      <c r="C105" s="13">
        <v>6</v>
      </c>
      <c r="D105" s="13">
        <v>2</v>
      </c>
      <c r="E105" s="13">
        <v>2</v>
      </c>
      <c r="F105" s="13" t="s">
        <v>52</v>
      </c>
      <c r="G105" s="13" t="str">
        <f>第2日!B32</f>
        <v>第6波</v>
      </c>
      <c r="H105" s="13">
        <f>IF(第2日!B33="点1·开启",1,0)+IF(第2日!C33="点2·开启",2,0)+IF(第2日!D33="点3·开启",4,0)+IF(第2日!E33="点4·开启",8,0)+IF(第2日!F33="点5·开启",16,0)+IF(第2日!G33="点6·开启",32,0)</f>
        <v>63</v>
      </c>
      <c r="I105" s="13">
        <f>第2日!E32</f>
        <v>0.09</v>
      </c>
      <c r="J105" s="13">
        <f>第2日!G32</f>
        <v>1</v>
      </c>
      <c r="K105" s="13">
        <f>第2日!I32</f>
        <v>275</v>
      </c>
      <c r="L105" s="13" t="s">
        <v>537</v>
      </c>
      <c r="M105" s="13" t="s">
        <v>538</v>
      </c>
      <c r="N105" s="13" t="b">
        <f>第2日!I33="待设计"</f>
        <v>0</v>
      </c>
      <c r="O105" s="13">
        <v>11</v>
      </c>
      <c r="P105" s="13" t="str">
        <f>IF(第2日!B46="","",IFERROR(VLOOKUP(第2日!B46,敌人目录!$A$6:$B$68,2,FALSE),""))</f>
        <v>yuanshi_insect_guardian</v>
      </c>
      <c r="Q105" s="13">
        <f>IF(第2日!B46="","",第2日!C46)</f>
        <v>50</v>
      </c>
      <c r="R105" s="13">
        <v>-1</v>
      </c>
      <c r="S105" s="13" t="str">
        <f>IF(第2日!B46="","",第2日!I46)</f>
        <v>可回读</v>
      </c>
    </row>
    <row r="106" spans="1:19" ht="16.5">
      <c r="A106" s="13">
        <v>3</v>
      </c>
      <c r="B106" s="13" t="s">
        <v>539</v>
      </c>
      <c r="C106" s="13">
        <v>6</v>
      </c>
      <c r="D106" s="13">
        <v>2</v>
      </c>
      <c r="E106" s="13">
        <v>2</v>
      </c>
      <c r="F106" s="13" t="s">
        <v>52</v>
      </c>
      <c r="G106" s="13" t="str">
        <f>第2日!B32</f>
        <v>第6波</v>
      </c>
      <c r="H106" s="13">
        <f>IF(第2日!B33="点1·开启",1,0)+IF(第2日!C33="点2·开启",2,0)+IF(第2日!D33="点3·开启",4,0)+IF(第2日!E33="点4·开启",8,0)+IF(第2日!F33="点5·开启",16,0)+IF(第2日!G33="点6·开启",32,0)</f>
        <v>63</v>
      </c>
      <c r="I106" s="13">
        <f>第2日!E32</f>
        <v>0.09</v>
      </c>
      <c r="J106" s="13">
        <f>第2日!G32</f>
        <v>1</v>
      </c>
      <c r="K106" s="13">
        <f>第2日!I32</f>
        <v>275</v>
      </c>
      <c r="L106" s="13" t="s">
        <v>537</v>
      </c>
      <c r="M106" s="13" t="s">
        <v>538</v>
      </c>
      <c r="N106" s="13" t="b">
        <f>第2日!I33="待设计"</f>
        <v>0</v>
      </c>
      <c r="O106" s="13">
        <v>12</v>
      </c>
      <c r="P106" s="13" t="str">
        <f>IF(第2日!B47="","",IFERROR(VLOOKUP(第2日!B47,敌人目录!$A$6:$B$68,2,FALSE),""))</f>
        <v>combat_robot_gunner</v>
      </c>
      <c r="Q106" s="13">
        <f>IF(第2日!B47="","",第2日!C47)</f>
        <v>25</v>
      </c>
      <c r="R106" s="13">
        <v>-1</v>
      </c>
      <c r="S106" s="13" t="str">
        <f>IF(第2日!B47="","",第2日!I47)</f>
        <v>可回读</v>
      </c>
    </row>
    <row r="107" spans="1:19" ht="16.5">
      <c r="A107" s="13">
        <v>3</v>
      </c>
      <c r="B107" s="13" t="s">
        <v>539</v>
      </c>
      <c r="C107" s="13">
        <v>6</v>
      </c>
      <c r="D107" s="13">
        <v>2</v>
      </c>
      <c r="E107" s="13">
        <v>2</v>
      </c>
      <c r="F107" s="13" t="s">
        <v>52</v>
      </c>
      <c r="G107" s="13" t="str">
        <f>第2日!B32</f>
        <v>第6波</v>
      </c>
      <c r="H107" s="13">
        <f>IF(第2日!B33="点1·开启",1,0)+IF(第2日!C33="点2·开启",2,0)+IF(第2日!D33="点3·开启",4,0)+IF(第2日!E33="点4·开启",8,0)+IF(第2日!F33="点5·开启",16,0)+IF(第2日!G33="点6·开启",32,0)</f>
        <v>63</v>
      </c>
      <c r="I107" s="13">
        <f>第2日!E32</f>
        <v>0.09</v>
      </c>
      <c r="J107" s="13">
        <f>第2日!G32</f>
        <v>1</v>
      </c>
      <c r="K107" s="13">
        <f>第2日!I32</f>
        <v>275</v>
      </c>
      <c r="L107" s="13" t="s">
        <v>537</v>
      </c>
      <c r="M107" s="13" t="s">
        <v>538</v>
      </c>
      <c r="N107" s="13" t="b">
        <f>第2日!I33="待设计"</f>
        <v>0</v>
      </c>
      <c r="O107" s="13">
        <v>13</v>
      </c>
      <c r="P107" s="13" t="str">
        <f>IF(第2日!B48="","",IFERROR(VLOOKUP(第2日!B48,敌人目录!$A$6:$B$68,2,FALSE),""))</f>
        <v>combat_robot_shield_bearer</v>
      </c>
      <c r="Q107" s="13">
        <f>IF(第2日!B48="","",第2日!C48)</f>
        <v>25</v>
      </c>
      <c r="R107" s="13">
        <v>-1</v>
      </c>
      <c r="S107" s="13" t="str">
        <f>IF(第2日!B48="","",第2日!I48)</f>
        <v>可回读</v>
      </c>
    </row>
    <row r="108" spans="1:19" ht="16.5">
      <c r="A108" s="13">
        <v>3</v>
      </c>
      <c r="B108" s="13" t="s">
        <v>539</v>
      </c>
      <c r="C108" s="13">
        <v>6</v>
      </c>
      <c r="D108" s="13">
        <v>2</v>
      </c>
      <c r="E108" s="13">
        <v>2</v>
      </c>
      <c r="F108" s="13" t="s">
        <v>52</v>
      </c>
      <c r="G108" s="13" t="str">
        <f>第2日!B32</f>
        <v>第6波</v>
      </c>
      <c r="H108" s="13">
        <f>IF(第2日!B33="点1·开启",1,0)+IF(第2日!C33="点2·开启",2,0)+IF(第2日!D33="点3·开启",4,0)+IF(第2日!E33="点4·开启",8,0)+IF(第2日!F33="点5·开启",16,0)+IF(第2日!G33="点6·开启",32,0)</f>
        <v>63</v>
      </c>
      <c r="I108" s="13">
        <f>第2日!E32</f>
        <v>0.09</v>
      </c>
      <c r="J108" s="13">
        <f>第2日!G32</f>
        <v>1</v>
      </c>
      <c r="K108" s="13">
        <f>第2日!I32</f>
        <v>275</v>
      </c>
      <c r="L108" s="13" t="s">
        <v>537</v>
      </c>
      <c r="M108" s="13" t="s">
        <v>538</v>
      </c>
      <c r="N108" s="13" t="b">
        <f>第2日!I33="待设计"</f>
        <v>0</v>
      </c>
      <c r="O108" s="13">
        <v>14</v>
      </c>
      <c r="P108" s="13" t="str">
        <f>IF(第2日!B49="","",IFERROR(VLOOKUP(第2日!B49,敌人目录!$A$6:$B$68,2,FALSE),""))</f>
        <v>combat_robot_drone_operator</v>
      </c>
      <c r="Q108" s="13">
        <f>IF(第2日!B49="","",第2日!C49)</f>
        <v>20</v>
      </c>
      <c r="R108" s="13">
        <v>-1</v>
      </c>
      <c r="S108" s="13" t="str">
        <f>IF(第2日!B49="","",第2日!I49)</f>
        <v>可回读</v>
      </c>
    </row>
    <row r="109" spans="1:19" ht="16.5">
      <c r="A109" s="13">
        <v>3</v>
      </c>
      <c r="B109" s="13" t="s">
        <v>539</v>
      </c>
      <c r="C109" s="13">
        <v>6</v>
      </c>
      <c r="D109" s="13">
        <v>2</v>
      </c>
      <c r="E109" s="13">
        <v>2</v>
      </c>
      <c r="F109" s="13" t="s">
        <v>52</v>
      </c>
      <c r="G109" s="13" t="str">
        <f>第2日!B32</f>
        <v>第6波</v>
      </c>
      <c r="H109" s="13">
        <f>IF(第2日!B33="点1·开启",1,0)+IF(第2日!C33="点2·开启",2,0)+IF(第2日!D33="点3·开启",4,0)+IF(第2日!E33="点4·开启",8,0)+IF(第2日!F33="点5·开启",16,0)+IF(第2日!G33="点6·开启",32,0)</f>
        <v>63</v>
      </c>
      <c r="I109" s="13">
        <f>第2日!E32</f>
        <v>0.09</v>
      </c>
      <c r="J109" s="13">
        <f>第2日!G32</f>
        <v>1</v>
      </c>
      <c r="K109" s="13">
        <f>第2日!I32</f>
        <v>275</v>
      </c>
      <c r="L109" s="13" t="s">
        <v>537</v>
      </c>
      <c r="M109" s="13" t="s">
        <v>538</v>
      </c>
      <c r="N109" s="13" t="b">
        <f>第2日!I33="待设计"</f>
        <v>0</v>
      </c>
      <c r="O109" s="13">
        <v>15</v>
      </c>
      <c r="P109" s="13" t="str">
        <f>IF(第2日!B50="","",IFERROR(VLOOKUP(第2日!B50,敌人目录!$A$6:$B$68,2,FALSE),""))</f>
        <v>capoo_mage</v>
      </c>
      <c r="Q109" s="13">
        <f>IF(第2日!B50="","",第2日!C50)</f>
        <v>50</v>
      </c>
      <c r="R109" s="13">
        <v>-1</v>
      </c>
      <c r="S109" s="13" t="str">
        <f>IF(第2日!B50="","",第2日!I50)</f>
        <v>可回读</v>
      </c>
    </row>
    <row r="110" spans="1:19" ht="16.5">
      <c r="A110" s="13">
        <v>3</v>
      </c>
      <c r="B110" s="13" t="s">
        <v>539</v>
      </c>
      <c r="C110" s="13">
        <v>6</v>
      </c>
      <c r="D110" s="13">
        <v>2</v>
      </c>
      <c r="E110" s="13">
        <v>2</v>
      </c>
      <c r="F110" s="13" t="s">
        <v>52</v>
      </c>
      <c r="G110" s="13" t="str">
        <f>第2日!B32</f>
        <v>第6波</v>
      </c>
      <c r="H110" s="13">
        <f>IF(第2日!B33="点1·开启",1,0)+IF(第2日!C33="点2·开启",2,0)+IF(第2日!D33="点3·开启",4,0)+IF(第2日!E33="点4·开启",8,0)+IF(第2日!F33="点5·开启",16,0)+IF(第2日!G33="点6·开启",32,0)</f>
        <v>63</v>
      </c>
      <c r="I110" s="13">
        <f>第2日!E32</f>
        <v>0.09</v>
      </c>
      <c r="J110" s="13">
        <f>第2日!G32</f>
        <v>1</v>
      </c>
      <c r="K110" s="13">
        <f>第2日!I32</f>
        <v>275</v>
      </c>
      <c r="L110" s="13" t="s">
        <v>537</v>
      </c>
      <c r="M110" s="13" t="s">
        <v>538</v>
      </c>
      <c r="N110" s="13" t="b">
        <f>第2日!I33="待设计"</f>
        <v>0</v>
      </c>
      <c r="O110" s="13">
        <v>16</v>
      </c>
      <c r="P110" s="13" t="str">
        <f>IF(第2日!B51="","",IFERROR(VLOOKUP(第2日!B51,敌人目录!$A$6:$B$68,2,FALSE),""))</f>
        <v>frost_sorcerer</v>
      </c>
      <c r="Q110" s="13">
        <f>IF(第2日!B51="","",第2日!C51)</f>
        <v>50</v>
      </c>
      <c r="R110" s="13">
        <v>-1</v>
      </c>
      <c r="S110" s="13" t="str">
        <f>IF(第2日!B51="","",第2日!I51)</f>
        <v>可回读</v>
      </c>
    </row>
    <row r="111" spans="1:19" ht="16.5">
      <c r="A111" s="13">
        <v>3</v>
      </c>
      <c r="B111" s="13" t="s">
        <v>539</v>
      </c>
      <c r="C111" s="13">
        <v>6</v>
      </c>
      <c r="D111" s="13">
        <v>2</v>
      </c>
      <c r="E111" s="13">
        <v>2</v>
      </c>
      <c r="F111" s="13" t="s">
        <v>52</v>
      </c>
      <c r="G111" s="13" t="str">
        <f>第2日!B32</f>
        <v>第6波</v>
      </c>
      <c r="H111" s="13">
        <f>IF(第2日!B33="点1·开启",1,0)+IF(第2日!C33="点2·开启",2,0)+IF(第2日!D33="点3·开启",4,0)+IF(第2日!E33="点4·开启",8,0)+IF(第2日!F33="点5·开启",16,0)+IF(第2日!G33="点6·开启",32,0)</f>
        <v>63</v>
      </c>
      <c r="I111" s="13">
        <f>第2日!E32</f>
        <v>0.09</v>
      </c>
      <c r="J111" s="13">
        <f>第2日!G32</f>
        <v>1</v>
      </c>
      <c r="K111" s="13">
        <f>第2日!I32</f>
        <v>275</v>
      </c>
      <c r="L111" s="13" t="s">
        <v>537</v>
      </c>
      <c r="M111" s="13" t="s">
        <v>538</v>
      </c>
      <c r="N111" s="13" t="b">
        <f>第2日!I33="待设计"</f>
        <v>0</v>
      </c>
      <c r="O111" s="13">
        <v>17</v>
      </c>
      <c r="P111" s="13" t="str">
        <f>IF(第2日!B52="","",IFERROR(VLOOKUP(第2日!B52,敌人目录!$A$6:$B$68,2,FALSE),""))</f>
        <v>fire_sorcerer_elite</v>
      </c>
      <c r="Q111" s="13">
        <f>IF(第2日!B52="","",第2日!C52)</f>
        <v>30</v>
      </c>
      <c r="R111" s="13">
        <v>-1</v>
      </c>
      <c r="S111" s="13" t="str">
        <f>IF(第2日!B52="","",第2日!I52)</f>
        <v>可回读</v>
      </c>
    </row>
    <row r="112" spans="1:19" ht="16.5">
      <c r="A112" s="13">
        <v>3</v>
      </c>
      <c r="B112" s="13" t="s">
        <v>539</v>
      </c>
      <c r="C112" s="13">
        <v>6</v>
      </c>
      <c r="D112" s="13">
        <v>2</v>
      </c>
      <c r="E112" s="13">
        <v>2</v>
      </c>
      <c r="F112" s="13" t="s">
        <v>52</v>
      </c>
      <c r="G112" s="13" t="str">
        <f>第2日!B32</f>
        <v>第6波</v>
      </c>
      <c r="H112" s="13">
        <f>IF(第2日!B33="点1·开启",1,0)+IF(第2日!C33="点2·开启",2,0)+IF(第2日!D33="点3·开启",4,0)+IF(第2日!E33="点4·开启",8,0)+IF(第2日!F33="点5·开启",16,0)+IF(第2日!G33="点6·开启",32,0)</f>
        <v>63</v>
      </c>
      <c r="I112" s="13">
        <f>第2日!E32</f>
        <v>0.09</v>
      </c>
      <c r="J112" s="13">
        <f>第2日!G32</f>
        <v>1</v>
      </c>
      <c r="K112" s="13">
        <f>第2日!I32</f>
        <v>275</v>
      </c>
      <c r="L112" s="13" t="s">
        <v>537</v>
      </c>
      <c r="M112" s="13" t="s">
        <v>538</v>
      </c>
      <c r="N112" s="13" t="b">
        <f>第2日!I33="待设计"</f>
        <v>0</v>
      </c>
      <c r="O112" s="13">
        <v>18</v>
      </c>
      <c r="P112" s="13" t="str">
        <f>IF(第2日!B53="","",IFERROR(VLOOKUP(第2日!B53,敌人目录!$A$6:$B$68,2,FALSE),""))</f>
        <v>stone_golem</v>
      </c>
      <c r="Q112" s="13">
        <f>IF(第2日!B53="","",第2日!C53)</f>
        <v>30</v>
      </c>
      <c r="R112" s="13">
        <v>-1</v>
      </c>
      <c r="S112" s="13" t="str">
        <f>IF(第2日!B53="","",第2日!I53)</f>
        <v>可回读</v>
      </c>
    </row>
    <row r="113" spans="1:19" ht="16.5">
      <c r="A113" s="13">
        <v>3</v>
      </c>
      <c r="B113" s="13" t="s">
        <v>540</v>
      </c>
      <c r="C113" s="13">
        <v>7</v>
      </c>
      <c r="D113" s="13">
        <v>2</v>
      </c>
      <c r="E113" s="13">
        <v>3</v>
      </c>
      <c r="F113" s="13" t="s">
        <v>55</v>
      </c>
      <c r="G113" s="13" t="str">
        <f>第2日!B61</f>
        <v>第7波</v>
      </c>
      <c r="H113" s="13">
        <f>IF(第2日!B62="点1·开启",1,0)+IF(第2日!C62="点2·开启",2,0)+IF(第2日!D62="点3·开启",4,0)+IF(第2日!E62="点4·开启",8,0)+IF(第2日!F62="点5·开启",16,0)+IF(第2日!G62="点6·开启",32,0)</f>
        <v>63</v>
      </c>
      <c r="I113" s="13">
        <f>第2日!E61</f>
        <v>0.08</v>
      </c>
      <c r="J113" s="13">
        <f>第2日!G61</f>
        <v>1</v>
      </c>
      <c r="K113" s="13">
        <f>第2日!I61</f>
        <v>285</v>
      </c>
      <c r="L113" s="13" t="s">
        <v>537</v>
      </c>
      <c r="M113" s="13" t="s">
        <v>538</v>
      </c>
      <c r="N113" s="13" t="b">
        <f>第2日!I62="待设计"</f>
        <v>0</v>
      </c>
      <c r="O113" s="13">
        <v>1</v>
      </c>
      <c r="P113" s="13" t="str">
        <f>IF(第2日!B65="","",IFERROR(VLOOKUP(第2日!B65,敌人目录!$A$6:$B$68,2,FALSE),""))</f>
        <v>slime_basic</v>
      </c>
      <c r="Q113" s="13">
        <f>IF(第2日!B65="","",第2日!C65)</f>
        <v>250</v>
      </c>
      <c r="R113" s="13">
        <v>-1</v>
      </c>
      <c r="S113" s="13" t="str">
        <f>IF(第2日!B65="","",第2日!I65)</f>
        <v>可回读</v>
      </c>
    </row>
    <row r="114" spans="1:19" ht="16.5">
      <c r="A114" s="13">
        <v>3</v>
      </c>
      <c r="B114" s="13" t="s">
        <v>540</v>
      </c>
      <c r="C114" s="13">
        <v>7</v>
      </c>
      <c r="D114" s="13">
        <v>2</v>
      </c>
      <c r="E114" s="13">
        <v>3</v>
      </c>
      <c r="F114" s="13" t="s">
        <v>55</v>
      </c>
      <c r="G114" s="13" t="str">
        <f>第2日!B61</f>
        <v>第7波</v>
      </c>
      <c r="H114" s="13">
        <f>IF(第2日!B62="点1·开启",1,0)+IF(第2日!C62="点2·开启",2,0)+IF(第2日!D62="点3·开启",4,0)+IF(第2日!E62="点4·开启",8,0)+IF(第2日!F62="点5·开启",16,0)+IF(第2日!G62="点6·开启",32,0)</f>
        <v>63</v>
      </c>
      <c r="I114" s="13">
        <f>第2日!E61</f>
        <v>0.08</v>
      </c>
      <c r="J114" s="13">
        <f>第2日!G61</f>
        <v>1</v>
      </c>
      <c r="K114" s="13">
        <f>第2日!I61</f>
        <v>285</v>
      </c>
      <c r="L114" s="13" t="s">
        <v>537</v>
      </c>
      <c r="M114" s="13" t="s">
        <v>538</v>
      </c>
      <c r="N114" s="13" t="b">
        <f>第2日!I62="待设计"</f>
        <v>0</v>
      </c>
      <c r="O114" s="13">
        <v>2</v>
      </c>
      <c r="P114" s="13" t="str">
        <f>IF(第2日!B66="","",IFERROR(VLOOKUP(第2日!B66,敌人目录!$A$6:$B$68,2,FALSE),""))</f>
        <v>slime_green</v>
      </c>
      <c r="Q114" s="13">
        <f>IF(第2日!B66="","",第2日!C66)</f>
        <v>200</v>
      </c>
      <c r="R114" s="13">
        <v>-1</v>
      </c>
      <c r="S114" s="13" t="str">
        <f>IF(第2日!B66="","",第2日!I66)</f>
        <v>可回读</v>
      </c>
    </row>
    <row r="115" spans="1:19" ht="16.5">
      <c r="A115" s="13">
        <v>3</v>
      </c>
      <c r="B115" s="13" t="s">
        <v>540</v>
      </c>
      <c r="C115" s="13">
        <v>7</v>
      </c>
      <c r="D115" s="13">
        <v>2</v>
      </c>
      <c r="E115" s="13">
        <v>3</v>
      </c>
      <c r="F115" s="13" t="s">
        <v>55</v>
      </c>
      <c r="G115" s="13" t="str">
        <f>第2日!B61</f>
        <v>第7波</v>
      </c>
      <c r="H115" s="13">
        <f>IF(第2日!B62="点1·开启",1,0)+IF(第2日!C62="点2·开启",2,0)+IF(第2日!D62="点3·开启",4,0)+IF(第2日!E62="点4·开启",8,0)+IF(第2日!F62="点5·开启",16,0)+IF(第2日!G62="点6·开启",32,0)</f>
        <v>63</v>
      </c>
      <c r="I115" s="13">
        <f>第2日!E61</f>
        <v>0.08</v>
      </c>
      <c r="J115" s="13">
        <f>第2日!G61</f>
        <v>1</v>
      </c>
      <c r="K115" s="13">
        <f>第2日!I61</f>
        <v>285</v>
      </c>
      <c r="L115" s="13" t="s">
        <v>537</v>
      </c>
      <c r="M115" s="13" t="s">
        <v>538</v>
      </c>
      <c r="N115" s="13" t="b">
        <f>第2日!I62="待设计"</f>
        <v>0</v>
      </c>
      <c r="O115" s="13">
        <v>3</v>
      </c>
      <c r="P115" s="13" t="str">
        <f>IF(第2日!B67="","",IFERROR(VLOOKUP(第2日!B67,敌人目录!$A$6:$B$68,2,FALSE),""))</f>
        <v>yuanshi_insect_basic</v>
      </c>
      <c r="Q115" s="13">
        <f>IF(第2日!B67="","",第2日!C67)</f>
        <v>250</v>
      </c>
      <c r="R115" s="13">
        <v>-1</v>
      </c>
      <c r="S115" s="13" t="str">
        <f>IF(第2日!B67="","",第2日!I67)</f>
        <v>可回读</v>
      </c>
    </row>
    <row r="116" spans="1:19" ht="16.5">
      <c r="A116" s="13">
        <v>3</v>
      </c>
      <c r="B116" s="13" t="s">
        <v>540</v>
      </c>
      <c r="C116" s="13">
        <v>7</v>
      </c>
      <c r="D116" s="13">
        <v>2</v>
      </c>
      <c r="E116" s="13">
        <v>3</v>
      </c>
      <c r="F116" s="13" t="s">
        <v>55</v>
      </c>
      <c r="G116" s="13" t="str">
        <f>第2日!B61</f>
        <v>第7波</v>
      </c>
      <c r="H116" s="13">
        <f>IF(第2日!B62="点1·开启",1,0)+IF(第2日!C62="点2·开启",2,0)+IF(第2日!D62="点3·开启",4,0)+IF(第2日!E62="点4·开启",8,0)+IF(第2日!F62="点5·开启",16,0)+IF(第2日!G62="点6·开启",32,0)</f>
        <v>63</v>
      </c>
      <c r="I116" s="13">
        <f>第2日!E61</f>
        <v>0.08</v>
      </c>
      <c r="J116" s="13">
        <f>第2日!G61</f>
        <v>1</v>
      </c>
      <c r="K116" s="13">
        <f>第2日!I61</f>
        <v>285</v>
      </c>
      <c r="L116" s="13" t="s">
        <v>537</v>
      </c>
      <c r="M116" s="13" t="s">
        <v>538</v>
      </c>
      <c r="N116" s="13" t="b">
        <f>第2日!I62="待设计"</f>
        <v>0</v>
      </c>
      <c r="O116" s="13">
        <v>4</v>
      </c>
      <c r="P116" s="13" t="str">
        <f>IF(第2日!B68="","",IFERROR(VLOOKUP(第2日!B68,敌人目录!$A$6:$B$68,2,FALSE),""))</f>
        <v>yuanshi_insect_fast</v>
      </c>
      <c r="Q116" s="13">
        <f>IF(第2日!B68="","",第2日!C68)</f>
        <v>200</v>
      </c>
      <c r="R116" s="13">
        <v>-1</v>
      </c>
      <c r="S116" s="13" t="str">
        <f>IF(第2日!B68="","",第2日!I68)</f>
        <v>可回读</v>
      </c>
    </row>
    <row r="117" spans="1:19" ht="16.5">
      <c r="A117" s="13">
        <v>3</v>
      </c>
      <c r="B117" s="13" t="s">
        <v>540</v>
      </c>
      <c r="C117" s="13">
        <v>7</v>
      </c>
      <c r="D117" s="13">
        <v>2</v>
      </c>
      <c r="E117" s="13">
        <v>3</v>
      </c>
      <c r="F117" s="13" t="s">
        <v>55</v>
      </c>
      <c r="G117" s="13" t="str">
        <f>第2日!B61</f>
        <v>第7波</v>
      </c>
      <c r="H117" s="13">
        <f>IF(第2日!B62="点1·开启",1,0)+IF(第2日!C62="点2·开启",2,0)+IF(第2日!D62="点3·开启",4,0)+IF(第2日!E62="点4·开启",8,0)+IF(第2日!F62="点5·开启",16,0)+IF(第2日!G62="点6·开启",32,0)</f>
        <v>63</v>
      </c>
      <c r="I117" s="13">
        <f>第2日!E61</f>
        <v>0.08</v>
      </c>
      <c r="J117" s="13">
        <f>第2日!G61</f>
        <v>1</v>
      </c>
      <c r="K117" s="13">
        <f>第2日!I61</f>
        <v>285</v>
      </c>
      <c r="L117" s="13" t="s">
        <v>537</v>
      </c>
      <c r="M117" s="13" t="s">
        <v>538</v>
      </c>
      <c r="N117" s="13" t="b">
        <f>第2日!I62="待设计"</f>
        <v>0</v>
      </c>
      <c r="O117" s="13">
        <v>5</v>
      </c>
      <c r="P117" s="13" t="str">
        <f>IF(第2日!B69="","",IFERROR(VLOOKUP(第2日!B69,敌人目录!$A$6:$B$68,2,FALSE),""))</f>
        <v>yuanshi_insect_bomber</v>
      </c>
      <c r="Q117" s="13">
        <f>IF(第2日!B69="","",第2日!C69)</f>
        <v>150</v>
      </c>
      <c r="R117" s="13">
        <v>-1</v>
      </c>
      <c r="S117" s="13" t="str">
        <f>IF(第2日!B69="","",第2日!I69)</f>
        <v>可回读</v>
      </c>
    </row>
    <row r="118" spans="1:19" ht="16.5">
      <c r="A118" s="13">
        <v>3</v>
      </c>
      <c r="B118" s="13" t="s">
        <v>540</v>
      </c>
      <c r="C118" s="13">
        <v>7</v>
      </c>
      <c r="D118" s="13">
        <v>2</v>
      </c>
      <c r="E118" s="13">
        <v>3</v>
      </c>
      <c r="F118" s="13" t="s">
        <v>55</v>
      </c>
      <c r="G118" s="13" t="str">
        <f>第2日!B61</f>
        <v>第7波</v>
      </c>
      <c r="H118" s="13">
        <f>IF(第2日!B62="点1·开启",1,0)+IF(第2日!C62="点2·开启",2,0)+IF(第2日!D62="点3·开启",4,0)+IF(第2日!E62="点4·开启",8,0)+IF(第2日!F62="点5·开启",16,0)+IF(第2日!G62="点6·开启",32,0)</f>
        <v>63</v>
      </c>
      <c r="I118" s="13">
        <f>第2日!E61</f>
        <v>0.08</v>
      </c>
      <c r="J118" s="13">
        <f>第2日!G61</f>
        <v>1</v>
      </c>
      <c r="K118" s="13">
        <f>第2日!I61</f>
        <v>285</v>
      </c>
      <c r="L118" s="13" t="s">
        <v>537</v>
      </c>
      <c r="M118" s="13" t="s">
        <v>538</v>
      </c>
      <c r="N118" s="13" t="b">
        <f>第2日!I62="待设计"</f>
        <v>0</v>
      </c>
      <c r="O118" s="13">
        <v>6</v>
      </c>
      <c r="P118" s="13" t="str">
        <f>IF(第2日!B70="","",IFERROR(VLOOKUP(第2日!B70,敌人目录!$A$6:$B$68,2,FALSE),""))</f>
        <v>yuanshi_insect_purple_bomber</v>
      </c>
      <c r="Q118" s="13">
        <f>IF(第2日!B70="","",第2日!C70)</f>
        <v>100</v>
      </c>
      <c r="R118" s="13">
        <v>-1</v>
      </c>
      <c r="S118" s="13" t="str">
        <f>IF(第2日!B70="","",第2日!I70)</f>
        <v>可回读</v>
      </c>
    </row>
    <row r="119" spans="1:19" ht="16.5">
      <c r="A119" s="13">
        <v>3</v>
      </c>
      <c r="B119" s="13" t="s">
        <v>540</v>
      </c>
      <c r="C119" s="13">
        <v>7</v>
      </c>
      <c r="D119" s="13">
        <v>2</v>
      </c>
      <c r="E119" s="13">
        <v>3</v>
      </c>
      <c r="F119" s="13" t="s">
        <v>55</v>
      </c>
      <c r="G119" s="13" t="str">
        <f>第2日!B61</f>
        <v>第7波</v>
      </c>
      <c r="H119" s="13">
        <f>IF(第2日!B62="点1·开启",1,0)+IF(第2日!C62="点2·开启",2,0)+IF(第2日!D62="点3·开启",4,0)+IF(第2日!E62="点4·开启",8,0)+IF(第2日!F62="点5·开启",16,0)+IF(第2日!G62="点6·开启",32,0)</f>
        <v>63</v>
      </c>
      <c r="I119" s="13">
        <f>第2日!E61</f>
        <v>0.08</v>
      </c>
      <c r="J119" s="13">
        <f>第2日!G61</f>
        <v>1</v>
      </c>
      <c r="K119" s="13">
        <f>第2日!I61</f>
        <v>285</v>
      </c>
      <c r="L119" s="13" t="s">
        <v>537</v>
      </c>
      <c r="M119" s="13" t="s">
        <v>538</v>
      </c>
      <c r="N119" s="13" t="b">
        <f>第2日!I62="待设计"</f>
        <v>0</v>
      </c>
      <c r="O119" s="13">
        <v>7</v>
      </c>
      <c r="P119" s="13" t="str">
        <f>IF(第2日!B71="","",IFERROR(VLOOKUP(第2日!B71,敌人目录!$A$6:$B$68,2,FALSE),""))</f>
        <v>yuanshi_insect_fire_ranged</v>
      </c>
      <c r="Q119" s="13">
        <f>IF(第2日!B71="","",第2日!C71)</f>
        <v>200</v>
      </c>
      <c r="R119" s="13">
        <v>-1</v>
      </c>
      <c r="S119" s="13" t="str">
        <f>IF(第2日!B71="","",第2日!I71)</f>
        <v>可回读</v>
      </c>
    </row>
    <row r="120" spans="1:19" ht="16.5">
      <c r="A120" s="13">
        <v>3</v>
      </c>
      <c r="B120" s="13" t="s">
        <v>540</v>
      </c>
      <c r="C120" s="13">
        <v>7</v>
      </c>
      <c r="D120" s="13">
        <v>2</v>
      </c>
      <c r="E120" s="13">
        <v>3</v>
      </c>
      <c r="F120" s="13" t="s">
        <v>55</v>
      </c>
      <c r="G120" s="13" t="str">
        <f>第2日!B61</f>
        <v>第7波</v>
      </c>
      <c r="H120" s="13">
        <f>IF(第2日!B62="点1·开启",1,0)+IF(第2日!C62="点2·开启",2,0)+IF(第2日!D62="点3·开启",4,0)+IF(第2日!E62="点4·开启",8,0)+IF(第2日!F62="点5·开启",16,0)+IF(第2日!G62="点6·开启",32,0)</f>
        <v>63</v>
      </c>
      <c r="I120" s="13">
        <f>第2日!E61</f>
        <v>0.08</v>
      </c>
      <c r="J120" s="13">
        <f>第2日!G61</f>
        <v>1</v>
      </c>
      <c r="K120" s="13">
        <f>第2日!I61</f>
        <v>285</v>
      </c>
      <c r="L120" s="13" t="s">
        <v>537</v>
      </c>
      <c r="M120" s="13" t="s">
        <v>538</v>
      </c>
      <c r="N120" s="13" t="b">
        <f>第2日!I62="待设计"</f>
        <v>0</v>
      </c>
      <c r="O120" s="13">
        <v>8</v>
      </c>
      <c r="P120" s="13" t="str">
        <f>IF(第2日!B72="","",IFERROR(VLOOKUP(第2日!B72,敌人目录!$A$6:$B$68,2,FALSE),""))</f>
        <v>yuanshi_insect_shell</v>
      </c>
      <c r="Q120" s="13">
        <f>IF(第2日!B72="","",第2日!C72)</f>
        <v>250</v>
      </c>
      <c r="R120" s="13">
        <v>-1</v>
      </c>
      <c r="S120" s="13" t="str">
        <f>IF(第2日!B72="","",第2日!I72)</f>
        <v>可回读</v>
      </c>
    </row>
    <row r="121" spans="1:19" ht="16.5">
      <c r="A121" s="13">
        <v>3</v>
      </c>
      <c r="B121" s="13" t="s">
        <v>540</v>
      </c>
      <c r="C121" s="13">
        <v>7</v>
      </c>
      <c r="D121" s="13">
        <v>2</v>
      </c>
      <c r="E121" s="13">
        <v>3</v>
      </c>
      <c r="F121" s="13" t="s">
        <v>55</v>
      </c>
      <c r="G121" s="13" t="str">
        <f>第2日!B61</f>
        <v>第7波</v>
      </c>
      <c r="H121" s="13">
        <f>IF(第2日!B62="点1·开启",1,0)+IF(第2日!C62="点2·开启",2,0)+IF(第2日!D62="点3·开启",4,0)+IF(第2日!E62="点4·开启",8,0)+IF(第2日!F62="点5·开启",16,0)+IF(第2日!G62="点6·开启",32,0)</f>
        <v>63</v>
      </c>
      <c r="I121" s="13">
        <f>第2日!E61</f>
        <v>0.08</v>
      </c>
      <c r="J121" s="13">
        <f>第2日!G61</f>
        <v>1</v>
      </c>
      <c r="K121" s="13">
        <f>第2日!I61</f>
        <v>285</v>
      </c>
      <c r="L121" s="13" t="s">
        <v>537</v>
      </c>
      <c r="M121" s="13" t="s">
        <v>538</v>
      </c>
      <c r="N121" s="13" t="b">
        <f>第2日!I62="待设计"</f>
        <v>0</v>
      </c>
      <c r="O121" s="13">
        <v>9</v>
      </c>
      <c r="P121" s="13" t="str">
        <f>IF(第2日!B73="","",IFERROR(VLOOKUP(第2日!B73,敌人目录!$A$6:$B$68,2,FALSE),""))</f>
        <v>yuanshi_insect_green_shell</v>
      </c>
      <c r="Q121" s="13">
        <f>IF(第2日!B73="","",第2日!C73)</f>
        <v>150</v>
      </c>
      <c r="R121" s="13">
        <v>-1</v>
      </c>
      <c r="S121" s="13" t="str">
        <f>IF(第2日!B73="","",第2日!I73)</f>
        <v>可回读</v>
      </c>
    </row>
    <row r="122" spans="1:19" ht="16.5">
      <c r="A122" s="13">
        <v>3</v>
      </c>
      <c r="B122" s="13" t="s">
        <v>540</v>
      </c>
      <c r="C122" s="13">
        <v>7</v>
      </c>
      <c r="D122" s="13">
        <v>2</v>
      </c>
      <c r="E122" s="13">
        <v>3</v>
      </c>
      <c r="F122" s="13" t="s">
        <v>55</v>
      </c>
      <c r="G122" s="13" t="str">
        <f>第2日!B61</f>
        <v>第7波</v>
      </c>
      <c r="H122" s="13">
        <f>IF(第2日!B62="点1·开启",1,0)+IF(第2日!C62="点2·开启",2,0)+IF(第2日!D62="点3·开启",4,0)+IF(第2日!E62="点4·开启",8,0)+IF(第2日!F62="点5·开启",16,0)+IF(第2日!G62="点6·开启",32,0)</f>
        <v>63</v>
      </c>
      <c r="I122" s="13">
        <f>第2日!E61</f>
        <v>0.08</v>
      </c>
      <c r="J122" s="13">
        <f>第2日!G61</f>
        <v>1</v>
      </c>
      <c r="K122" s="13">
        <f>第2日!I61</f>
        <v>285</v>
      </c>
      <c r="L122" s="13" t="s">
        <v>537</v>
      </c>
      <c r="M122" s="13" t="s">
        <v>538</v>
      </c>
      <c r="N122" s="13" t="b">
        <f>第2日!I62="待设计"</f>
        <v>0</v>
      </c>
      <c r="O122" s="13">
        <v>10</v>
      </c>
      <c r="P122" s="13" t="str">
        <f>IF(第2日!B74="","",IFERROR(VLOOKUP(第2日!B74,敌人目录!$A$6:$B$68,2,FALSE),""))</f>
        <v>yuanshi_insect_guardian</v>
      </c>
      <c r="Q122" s="13">
        <f>IF(第2日!B74="","",第2日!C74)</f>
        <v>50</v>
      </c>
      <c r="R122" s="13">
        <v>-1</v>
      </c>
      <c r="S122" s="13" t="str">
        <f>IF(第2日!B74="","",第2日!I74)</f>
        <v>可回读</v>
      </c>
    </row>
    <row r="123" spans="1:19" ht="16.5">
      <c r="A123" s="13">
        <v>3</v>
      </c>
      <c r="B123" s="13" t="s">
        <v>540</v>
      </c>
      <c r="C123" s="13">
        <v>7</v>
      </c>
      <c r="D123" s="13">
        <v>2</v>
      </c>
      <c r="E123" s="13">
        <v>3</v>
      </c>
      <c r="F123" s="13" t="s">
        <v>55</v>
      </c>
      <c r="G123" s="13" t="str">
        <f>第2日!B61</f>
        <v>第7波</v>
      </c>
      <c r="H123" s="13">
        <f>IF(第2日!B62="点1·开启",1,0)+IF(第2日!C62="点2·开启",2,0)+IF(第2日!D62="点3·开启",4,0)+IF(第2日!E62="点4·开启",8,0)+IF(第2日!F62="点5·开启",16,0)+IF(第2日!G62="点6·开启",32,0)</f>
        <v>63</v>
      </c>
      <c r="I123" s="13">
        <f>第2日!E61</f>
        <v>0.08</v>
      </c>
      <c r="J123" s="13">
        <f>第2日!G61</f>
        <v>1</v>
      </c>
      <c r="K123" s="13">
        <f>第2日!I61</f>
        <v>285</v>
      </c>
      <c r="L123" s="13" t="s">
        <v>537</v>
      </c>
      <c r="M123" s="13" t="s">
        <v>538</v>
      </c>
      <c r="N123" s="13" t="b">
        <f>第2日!I62="待设计"</f>
        <v>0</v>
      </c>
      <c r="O123" s="13">
        <v>11</v>
      </c>
      <c r="P123" s="13" t="str">
        <f>IF(第2日!B75="","",IFERROR(VLOOKUP(第2日!B75,敌人目录!$A$6:$B$68,2,FALSE),""))</f>
        <v>combat_robot_elite</v>
      </c>
      <c r="Q123" s="13">
        <f>IF(第2日!B75="","",第2日!C75)</f>
        <v>40</v>
      </c>
      <c r="R123" s="13">
        <v>-1</v>
      </c>
      <c r="S123" s="13" t="str">
        <f>IF(第2日!B75="","",第2日!I75)</f>
        <v>可回读</v>
      </c>
    </row>
    <row r="124" spans="1:19" ht="16.5">
      <c r="A124" s="13">
        <v>3</v>
      </c>
      <c r="B124" s="13" t="s">
        <v>540</v>
      </c>
      <c r="C124" s="13">
        <v>7</v>
      </c>
      <c r="D124" s="13">
        <v>2</v>
      </c>
      <c r="E124" s="13">
        <v>3</v>
      </c>
      <c r="F124" s="13" t="s">
        <v>55</v>
      </c>
      <c r="G124" s="13" t="str">
        <f>第2日!B61</f>
        <v>第7波</v>
      </c>
      <c r="H124" s="13">
        <f>IF(第2日!B62="点1·开启",1,0)+IF(第2日!C62="点2·开启",2,0)+IF(第2日!D62="点3·开启",4,0)+IF(第2日!E62="点4·开启",8,0)+IF(第2日!F62="点5·开启",16,0)+IF(第2日!G62="点6·开启",32,0)</f>
        <v>63</v>
      </c>
      <c r="I124" s="13">
        <f>第2日!E61</f>
        <v>0.08</v>
      </c>
      <c r="J124" s="13">
        <f>第2日!G61</f>
        <v>1</v>
      </c>
      <c r="K124" s="13">
        <f>第2日!I61</f>
        <v>285</v>
      </c>
      <c r="L124" s="13" t="s">
        <v>537</v>
      </c>
      <c r="M124" s="13" t="s">
        <v>538</v>
      </c>
      <c r="N124" s="13" t="b">
        <f>第2日!I62="待设计"</f>
        <v>0</v>
      </c>
      <c r="O124" s="13">
        <v>12</v>
      </c>
      <c r="P124" s="13" t="str">
        <f>IF(第2日!B76="","",IFERROR(VLOOKUP(第2日!B76,敌人目录!$A$6:$B$68,2,FALSE),""))</f>
        <v>combat_robot_gunner_elite</v>
      </c>
      <c r="Q124" s="13">
        <f>IF(第2日!B76="","",第2日!C76)</f>
        <v>40</v>
      </c>
      <c r="R124" s="13">
        <v>-1</v>
      </c>
      <c r="S124" s="13" t="str">
        <f>IF(第2日!B76="","",第2日!I76)</f>
        <v>可回读</v>
      </c>
    </row>
    <row r="125" spans="1:19" ht="16.5">
      <c r="A125" s="13">
        <v>3</v>
      </c>
      <c r="B125" s="13" t="s">
        <v>540</v>
      </c>
      <c r="C125" s="13">
        <v>7</v>
      </c>
      <c r="D125" s="13">
        <v>2</v>
      </c>
      <c r="E125" s="13">
        <v>3</v>
      </c>
      <c r="F125" s="13" t="s">
        <v>55</v>
      </c>
      <c r="G125" s="13" t="str">
        <f>第2日!B61</f>
        <v>第7波</v>
      </c>
      <c r="H125" s="13">
        <f>IF(第2日!B62="点1·开启",1,0)+IF(第2日!C62="点2·开启",2,0)+IF(第2日!D62="点3·开启",4,0)+IF(第2日!E62="点4·开启",8,0)+IF(第2日!F62="点5·开启",16,0)+IF(第2日!G62="点6·开启",32,0)</f>
        <v>63</v>
      </c>
      <c r="I125" s="13">
        <f>第2日!E61</f>
        <v>0.08</v>
      </c>
      <c r="J125" s="13">
        <f>第2日!G61</f>
        <v>1</v>
      </c>
      <c r="K125" s="13">
        <f>第2日!I61</f>
        <v>285</v>
      </c>
      <c r="L125" s="13" t="s">
        <v>537</v>
      </c>
      <c r="M125" s="13" t="s">
        <v>538</v>
      </c>
      <c r="N125" s="13" t="b">
        <f>第2日!I62="待设计"</f>
        <v>0</v>
      </c>
      <c r="O125" s="13">
        <v>13</v>
      </c>
      <c r="P125" s="13" t="str">
        <f>IF(第2日!B77="","",IFERROR(VLOOKUP(第2日!B77,敌人目录!$A$6:$B$68,2,FALSE),""))</f>
        <v>combat_robot_drone_operator_elite</v>
      </c>
      <c r="Q125" s="13">
        <f>IF(第2日!B77="","",第2日!C77)</f>
        <v>30</v>
      </c>
      <c r="R125" s="13">
        <v>-1</v>
      </c>
      <c r="S125" s="13" t="str">
        <f>IF(第2日!B77="","",第2日!I77)</f>
        <v>可回读</v>
      </c>
    </row>
    <row r="126" spans="1:19" ht="16.5">
      <c r="A126" s="13">
        <v>3</v>
      </c>
      <c r="B126" s="13" t="s">
        <v>540</v>
      </c>
      <c r="C126" s="13">
        <v>7</v>
      </c>
      <c r="D126" s="13">
        <v>2</v>
      </c>
      <c r="E126" s="13">
        <v>3</v>
      </c>
      <c r="F126" s="13" t="s">
        <v>55</v>
      </c>
      <c r="G126" s="13" t="str">
        <f>第2日!B61</f>
        <v>第7波</v>
      </c>
      <c r="H126" s="13">
        <f>IF(第2日!B62="点1·开启",1,0)+IF(第2日!C62="点2·开启",2,0)+IF(第2日!D62="点3·开启",4,0)+IF(第2日!E62="点4·开启",8,0)+IF(第2日!F62="点5·开启",16,0)+IF(第2日!G62="点6·开启",32,0)</f>
        <v>63</v>
      </c>
      <c r="I126" s="13">
        <f>第2日!E61</f>
        <v>0.08</v>
      </c>
      <c r="J126" s="13">
        <f>第2日!G61</f>
        <v>1</v>
      </c>
      <c r="K126" s="13">
        <f>第2日!I61</f>
        <v>285</v>
      </c>
      <c r="L126" s="13" t="s">
        <v>537</v>
      </c>
      <c r="M126" s="13" t="s">
        <v>538</v>
      </c>
      <c r="N126" s="13" t="b">
        <f>第2日!I62="待设计"</f>
        <v>0</v>
      </c>
      <c r="O126" s="13">
        <v>14</v>
      </c>
      <c r="P126" s="13" t="str">
        <f>IF(第2日!B78="","",IFERROR(VLOOKUP(第2日!B78,敌人目录!$A$6:$B$68,2,FALSE),""))</f>
        <v>combat_robot_ninja</v>
      </c>
      <c r="Q126" s="13">
        <f>IF(第2日!B78="","",第2日!C78)</f>
        <v>40</v>
      </c>
      <c r="R126" s="13">
        <v>-1</v>
      </c>
      <c r="S126" s="13" t="str">
        <f>IF(第2日!B78="","",第2日!I78)</f>
        <v>可回读</v>
      </c>
    </row>
    <row r="127" spans="1:19" ht="16.5">
      <c r="A127" s="13">
        <v>3</v>
      </c>
      <c r="B127" s="13" t="s">
        <v>540</v>
      </c>
      <c r="C127" s="13">
        <v>7</v>
      </c>
      <c r="D127" s="13">
        <v>2</v>
      </c>
      <c r="E127" s="13">
        <v>3</v>
      </c>
      <c r="F127" s="13" t="s">
        <v>55</v>
      </c>
      <c r="G127" s="13" t="str">
        <f>第2日!B61</f>
        <v>第7波</v>
      </c>
      <c r="H127" s="13">
        <f>IF(第2日!B62="点1·开启",1,0)+IF(第2日!C62="点2·开启",2,0)+IF(第2日!D62="点3·开启",4,0)+IF(第2日!E62="点4·开启",8,0)+IF(第2日!F62="点5·开启",16,0)+IF(第2日!G62="点6·开启",32,0)</f>
        <v>63</v>
      </c>
      <c r="I127" s="13">
        <f>第2日!E61</f>
        <v>0.08</v>
      </c>
      <c r="J127" s="13">
        <f>第2日!G61</f>
        <v>1</v>
      </c>
      <c r="K127" s="13">
        <f>第2日!I61</f>
        <v>285</v>
      </c>
      <c r="L127" s="13" t="s">
        <v>537</v>
      </c>
      <c r="M127" s="13" t="s">
        <v>538</v>
      </c>
      <c r="N127" s="13" t="b">
        <f>第2日!I62="待设计"</f>
        <v>0</v>
      </c>
      <c r="O127" s="13">
        <v>15</v>
      </c>
      <c r="P127" s="13" t="str">
        <f>IF(第2日!B79="","",IFERROR(VLOOKUP(第2日!B79,敌人目录!$A$6:$B$68,2,FALSE),""))</f>
        <v>capoo_rpg</v>
      </c>
      <c r="Q127" s="13">
        <f>IF(第2日!B79="","",第2日!C79)</f>
        <v>40</v>
      </c>
      <c r="R127" s="13">
        <v>-1</v>
      </c>
      <c r="S127" s="13" t="str">
        <f>IF(第2日!B79="","",第2日!I79)</f>
        <v>可回读</v>
      </c>
    </row>
    <row r="128" spans="1:19" ht="16.5">
      <c r="A128" s="13">
        <v>3</v>
      </c>
      <c r="B128" s="13" t="s">
        <v>540</v>
      </c>
      <c r="C128" s="13">
        <v>7</v>
      </c>
      <c r="D128" s="13">
        <v>2</v>
      </c>
      <c r="E128" s="13">
        <v>3</v>
      </c>
      <c r="F128" s="13" t="s">
        <v>55</v>
      </c>
      <c r="G128" s="13" t="str">
        <f>第2日!B61</f>
        <v>第7波</v>
      </c>
      <c r="H128" s="13">
        <f>IF(第2日!B62="点1·开启",1,0)+IF(第2日!C62="点2·开启",2,0)+IF(第2日!D62="点3·开启",4,0)+IF(第2日!E62="点4·开启",8,0)+IF(第2日!F62="点5·开启",16,0)+IF(第2日!G62="点6·开启",32,0)</f>
        <v>63</v>
      </c>
      <c r="I128" s="13">
        <f>第2日!E61</f>
        <v>0.08</v>
      </c>
      <c r="J128" s="13">
        <f>第2日!G61</f>
        <v>1</v>
      </c>
      <c r="K128" s="13">
        <f>第2日!I61</f>
        <v>285</v>
      </c>
      <c r="L128" s="13" t="s">
        <v>537</v>
      </c>
      <c r="M128" s="13" t="s">
        <v>538</v>
      </c>
      <c r="N128" s="13" t="b">
        <f>第2日!I62="待设计"</f>
        <v>0</v>
      </c>
      <c r="O128" s="13">
        <v>16</v>
      </c>
      <c r="P128" s="13" t="str">
        <f>IF(第2日!B80="","",IFERROR(VLOOKUP(第2日!B80,敌人目录!$A$6:$B$68,2,FALSE),""))</f>
        <v>fire_sorcerer_elite</v>
      </c>
      <c r="Q128" s="13">
        <f>IF(第2日!B80="","",第2日!C80)</f>
        <v>50</v>
      </c>
      <c r="R128" s="13">
        <v>-1</v>
      </c>
      <c r="S128" s="13" t="str">
        <f>IF(第2日!B80="","",第2日!I80)</f>
        <v>可回读</v>
      </c>
    </row>
    <row r="129" spans="1:19" ht="16.5">
      <c r="A129" s="13">
        <v>3</v>
      </c>
      <c r="B129" s="13" t="s">
        <v>540</v>
      </c>
      <c r="C129" s="13">
        <v>7</v>
      </c>
      <c r="D129" s="13">
        <v>2</v>
      </c>
      <c r="E129" s="13">
        <v>3</v>
      </c>
      <c r="F129" s="13" t="s">
        <v>55</v>
      </c>
      <c r="G129" s="13" t="str">
        <f>第2日!B61</f>
        <v>第7波</v>
      </c>
      <c r="H129" s="13">
        <f>IF(第2日!B62="点1·开启",1,0)+IF(第2日!C62="点2·开启",2,0)+IF(第2日!D62="点3·开启",4,0)+IF(第2日!E62="点4·开启",8,0)+IF(第2日!F62="点5·开启",16,0)+IF(第2日!G62="点6·开启",32,0)</f>
        <v>63</v>
      </c>
      <c r="I129" s="13">
        <f>第2日!E61</f>
        <v>0.08</v>
      </c>
      <c r="J129" s="13">
        <f>第2日!G61</f>
        <v>1</v>
      </c>
      <c r="K129" s="13">
        <f>第2日!I61</f>
        <v>285</v>
      </c>
      <c r="L129" s="13" t="s">
        <v>537</v>
      </c>
      <c r="M129" s="13" t="s">
        <v>538</v>
      </c>
      <c r="N129" s="13" t="b">
        <f>第2日!I62="待设计"</f>
        <v>0</v>
      </c>
      <c r="O129" s="13">
        <v>17</v>
      </c>
      <c r="P129" s="13" t="str">
        <f>IF(第2日!B81="","",IFERROR(VLOOKUP(第2日!B81,敌人目录!$A$6:$B$68,2,FALSE),""))</f>
        <v>frost_sorcerer_elite</v>
      </c>
      <c r="Q129" s="13">
        <f>IF(第2日!B81="","",第2日!C81)</f>
        <v>50</v>
      </c>
      <c r="R129" s="13">
        <v>-1</v>
      </c>
      <c r="S129" s="13" t="str">
        <f>IF(第2日!B81="","",第2日!I81)</f>
        <v>可回读</v>
      </c>
    </row>
    <row r="130" spans="1:19" ht="16.5">
      <c r="A130" s="13">
        <v>3</v>
      </c>
      <c r="B130" s="13" t="s">
        <v>540</v>
      </c>
      <c r="C130" s="13">
        <v>7</v>
      </c>
      <c r="D130" s="13">
        <v>2</v>
      </c>
      <c r="E130" s="13">
        <v>3</v>
      </c>
      <c r="F130" s="13" t="s">
        <v>55</v>
      </c>
      <c r="G130" s="13" t="str">
        <f>第2日!B61</f>
        <v>第7波</v>
      </c>
      <c r="H130" s="13">
        <f>IF(第2日!B62="点1·开启",1,0)+IF(第2日!C62="点2·开启",2,0)+IF(第2日!D62="点3·开启",4,0)+IF(第2日!E62="点4·开启",8,0)+IF(第2日!F62="点5·开启",16,0)+IF(第2日!G62="点6·开启",32,0)</f>
        <v>63</v>
      </c>
      <c r="I130" s="13">
        <f>第2日!E61</f>
        <v>0.08</v>
      </c>
      <c r="J130" s="13">
        <f>第2日!G61</f>
        <v>1</v>
      </c>
      <c r="K130" s="13">
        <f>第2日!I61</f>
        <v>285</v>
      </c>
      <c r="L130" s="13" t="s">
        <v>537</v>
      </c>
      <c r="M130" s="13" t="s">
        <v>538</v>
      </c>
      <c r="N130" s="13" t="b">
        <f>第2日!I62="待设计"</f>
        <v>0</v>
      </c>
      <c r="O130" s="13">
        <v>18</v>
      </c>
      <c r="P130" s="13" t="str">
        <f>IF(第2日!B82="","",IFERROR(VLOOKUP(第2日!B82,敌人目录!$A$6:$B$68,2,FALSE),""))</f>
        <v>lightning_sorcerer</v>
      </c>
      <c r="Q130" s="13">
        <f>IF(第2日!B82="","",第2日!C82)</f>
        <v>60</v>
      </c>
      <c r="R130" s="13">
        <v>-1</v>
      </c>
      <c r="S130" s="13" t="str">
        <f>IF(第2日!B82="","",第2日!I82)</f>
        <v>可回读</v>
      </c>
    </row>
    <row r="131" spans="1:19" ht="16.5">
      <c r="A131" s="13">
        <v>3</v>
      </c>
      <c r="B131" s="13" t="s">
        <v>541</v>
      </c>
      <c r="C131" s="13">
        <v>8</v>
      </c>
      <c r="D131" s="13">
        <v>2</v>
      </c>
      <c r="E131" s="13">
        <v>4</v>
      </c>
      <c r="F131" s="13" t="s">
        <v>55</v>
      </c>
      <c r="G131" s="13" t="str">
        <f>第2日!B90</f>
        <v>第8波</v>
      </c>
      <c r="H131" s="13">
        <f>IF(第2日!B91="点1·开启",1,0)+IF(第2日!C91="点2·开启",2,0)+IF(第2日!D91="点3·开启",4,0)+IF(第2日!E91="点4·开启",8,0)+IF(第2日!F91="点5·开启",16,0)+IF(第2日!G91="点6·开启",32,0)</f>
        <v>63</v>
      </c>
      <c r="I131" s="13">
        <f>第2日!E90</f>
        <v>7.4999999999999997E-2</v>
      </c>
      <c r="J131" s="13">
        <f>第2日!G90</f>
        <v>1</v>
      </c>
      <c r="K131" s="13">
        <f>第2日!I90</f>
        <v>300</v>
      </c>
      <c r="L131" s="13" t="s">
        <v>537</v>
      </c>
      <c r="M131" s="13" t="s">
        <v>538</v>
      </c>
      <c r="N131" s="13" t="b">
        <f>第2日!I91="待设计"</f>
        <v>0</v>
      </c>
      <c r="O131" s="13">
        <v>1</v>
      </c>
      <c r="P131" s="13" t="str">
        <f>IF(第2日!B94="","",IFERROR(VLOOKUP(第2日!B94,敌人目录!$A$6:$B$68,2,FALSE),""))</f>
        <v>slime_fire</v>
      </c>
      <c r="Q131" s="13">
        <f>IF(第2日!B94="","",第2日!C94)</f>
        <v>200</v>
      </c>
      <c r="R131" s="13">
        <v>-1</v>
      </c>
      <c r="S131" s="13" t="str">
        <f>IF(第2日!B94="","",第2日!I94)</f>
        <v>可回读</v>
      </c>
    </row>
    <row r="132" spans="1:19" ht="16.5">
      <c r="A132" s="13">
        <v>3</v>
      </c>
      <c r="B132" s="13" t="s">
        <v>541</v>
      </c>
      <c r="C132" s="13">
        <v>8</v>
      </c>
      <c r="D132" s="13">
        <v>2</v>
      </c>
      <c r="E132" s="13">
        <v>4</v>
      </c>
      <c r="F132" s="13" t="s">
        <v>55</v>
      </c>
      <c r="G132" s="13" t="str">
        <f>第2日!B90</f>
        <v>第8波</v>
      </c>
      <c r="H132" s="13">
        <f>IF(第2日!B91="点1·开启",1,0)+IF(第2日!C91="点2·开启",2,0)+IF(第2日!D91="点3·开启",4,0)+IF(第2日!E91="点4·开启",8,0)+IF(第2日!F91="点5·开启",16,0)+IF(第2日!G91="点6·开启",32,0)</f>
        <v>63</v>
      </c>
      <c r="I132" s="13">
        <f>第2日!E90</f>
        <v>7.4999999999999997E-2</v>
      </c>
      <c r="J132" s="13">
        <f>第2日!G90</f>
        <v>1</v>
      </c>
      <c r="K132" s="13">
        <f>第2日!I90</f>
        <v>300</v>
      </c>
      <c r="L132" s="13" t="s">
        <v>537</v>
      </c>
      <c r="M132" s="13" t="s">
        <v>538</v>
      </c>
      <c r="N132" s="13" t="b">
        <f>第2日!I91="待设计"</f>
        <v>0</v>
      </c>
      <c r="O132" s="13">
        <v>2</v>
      </c>
      <c r="P132" s="13" t="str">
        <f>IF(第2日!B95="","",IFERROR(VLOOKUP(第2日!B95,敌人目录!$A$6:$B$68,2,FALSE),""))</f>
        <v>slime_frost</v>
      </c>
      <c r="Q132" s="13">
        <f>IF(第2日!B95="","",第2日!C95)</f>
        <v>200</v>
      </c>
      <c r="R132" s="13">
        <v>-1</v>
      </c>
      <c r="S132" s="13" t="str">
        <f>IF(第2日!B95="","",第2日!I95)</f>
        <v>可回读</v>
      </c>
    </row>
    <row r="133" spans="1:19" ht="16.5">
      <c r="A133" s="13">
        <v>3</v>
      </c>
      <c r="B133" s="13" t="s">
        <v>541</v>
      </c>
      <c r="C133" s="13">
        <v>8</v>
      </c>
      <c r="D133" s="13">
        <v>2</v>
      </c>
      <c r="E133" s="13">
        <v>4</v>
      </c>
      <c r="F133" s="13" t="s">
        <v>55</v>
      </c>
      <c r="G133" s="13" t="str">
        <f>第2日!B90</f>
        <v>第8波</v>
      </c>
      <c r="H133" s="13">
        <f>IF(第2日!B91="点1·开启",1,0)+IF(第2日!C91="点2·开启",2,0)+IF(第2日!D91="点3·开启",4,0)+IF(第2日!E91="点4·开启",8,0)+IF(第2日!F91="点5·开启",16,0)+IF(第2日!G91="点6·开启",32,0)</f>
        <v>63</v>
      </c>
      <c r="I133" s="13">
        <f>第2日!E90</f>
        <v>7.4999999999999997E-2</v>
      </c>
      <c r="J133" s="13">
        <f>第2日!G90</f>
        <v>1</v>
      </c>
      <c r="K133" s="13">
        <f>第2日!I90</f>
        <v>300</v>
      </c>
      <c r="L133" s="13" t="s">
        <v>537</v>
      </c>
      <c r="M133" s="13" t="s">
        <v>538</v>
      </c>
      <c r="N133" s="13" t="b">
        <f>第2日!I91="待设计"</f>
        <v>0</v>
      </c>
      <c r="O133" s="13">
        <v>3</v>
      </c>
      <c r="P133" s="13" t="str">
        <f>IF(第2日!B96="","",IFERROR(VLOOKUP(第2日!B96,敌人目录!$A$6:$B$68,2,FALSE),""))</f>
        <v>slime_green</v>
      </c>
      <c r="Q133" s="13">
        <f>IF(第2日!B96="","",第2日!C96)</f>
        <v>200</v>
      </c>
      <c r="R133" s="13">
        <v>-1</v>
      </c>
      <c r="S133" s="13" t="str">
        <f>IF(第2日!B96="","",第2日!I96)</f>
        <v>可回读</v>
      </c>
    </row>
    <row r="134" spans="1:19" ht="16.5">
      <c r="A134" s="13">
        <v>3</v>
      </c>
      <c r="B134" s="13" t="s">
        <v>541</v>
      </c>
      <c r="C134" s="13">
        <v>8</v>
      </c>
      <c r="D134" s="13">
        <v>2</v>
      </c>
      <c r="E134" s="13">
        <v>4</v>
      </c>
      <c r="F134" s="13" t="s">
        <v>55</v>
      </c>
      <c r="G134" s="13" t="str">
        <f>第2日!B90</f>
        <v>第8波</v>
      </c>
      <c r="H134" s="13">
        <f>IF(第2日!B91="点1·开启",1,0)+IF(第2日!C91="点2·开启",2,0)+IF(第2日!D91="点3·开启",4,0)+IF(第2日!E91="点4·开启",8,0)+IF(第2日!F91="点5·开启",16,0)+IF(第2日!G91="点6·开启",32,0)</f>
        <v>63</v>
      </c>
      <c r="I134" s="13">
        <f>第2日!E90</f>
        <v>7.4999999999999997E-2</v>
      </c>
      <c r="J134" s="13">
        <f>第2日!G90</f>
        <v>1</v>
      </c>
      <c r="K134" s="13">
        <f>第2日!I90</f>
        <v>300</v>
      </c>
      <c r="L134" s="13" t="s">
        <v>537</v>
      </c>
      <c r="M134" s="13" t="s">
        <v>538</v>
      </c>
      <c r="N134" s="13" t="b">
        <f>第2日!I91="待设计"</f>
        <v>0</v>
      </c>
      <c r="O134" s="13">
        <v>4</v>
      </c>
      <c r="P134" s="13" t="str">
        <f>IF(第2日!B97="","",IFERROR(VLOOKUP(第2日!B97,敌人目录!$A$6:$B$68,2,FALSE),""))</f>
        <v>yuanshi_insect_basic</v>
      </c>
      <c r="Q134" s="13">
        <f>IF(第2日!B97="","",第2日!C97)</f>
        <v>200</v>
      </c>
      <c r="R134" s="13">
        <v>-1</v>
      </c>
      <c r="S134" s="13" t="str">
        <f>IF(第2日!B97="","",第2日!I97)</f>
        <v>可回读</v>
      </c>
    </row>
    <row r="135" spans="1:19" ht="16.5">
      <c r="A135" s="13">
        <v>3</v>
      </c>
      <c r="B135" s="13" t="s">
        <v>541</v>
      </c>
      <c r="C135" s="13">
        <v>8</v>
      </c>
      <c r="D135" s="13">
        <v>2</v>
      </c>
      <c r="E135" s="13">
        <v>4</v>
      </c>
      <c r="F135" s="13" t="s">
        <v>55</v>
      </c>
      <c r="G135" s="13" t="str">
        <f>第2日!B90</f>
        <v>第8波</v>
      </c>
      <c r="H135" s="13">
        <f>IF(第2日!B91="点1·开启",1,0)+IF(第2日!C91="点2·开启",2,0)+IF(第2日!D91="点3·开启",4,0)+IF(第2日!E91="点4·开启",8,0)+IF(第2日!F91="点5·开启",16,0)+IF(第2日!G91="点6·开启",32,0)</f>
        <v>63</v>
      </c>
      <c r="I135" s="13">
        <f>第2日!E90</f>
        <v>7.4999999999999997E-2</v>
      </c>
      <c r="J135" s="13">
        <f>第2日!G90</f>
        <v>1</v>
      </c>
      <c r="K135" s="13">
        <f>第2日!I90</f>
        <v>300</v>
      </c>
      <c r="L135" s="13" t="s">
        <v>537</v>
      </c>
      <c r="M135" s="13" t="s">
        <v>538</v>
      </c>
      <c r="N135" s="13" t="b">
        <f>第2日!I91="待设计"</f>
        <v>0</v>
      </c>
      <c r="O135" s="13">
        <v>5</v>
      </c>
      <c r="P135" s="13" t="str">
        <f>IF(第2日!B98="","",IFERROR(VLOOKUP(第2日!B98,敌人目录!$A$6:$B$68,2,FALSE),""))</f>
        <v>yuanshi_insect_fast</v>
      </c>
      <c r="Q135" s="13">
        <f>IF(第2日!B98="","",第2日!C98)</f>
        <v>200</v>
      </c>
      <c r="R135" s="13">
        <v>-1</v>
      </c>
      <c r="S135" s="13" t="str">
        <f>IF(第2日!B98="","",第2日!I98)</f>
        <v>可回读</v>
      </c>
    </row>
    <row r="136" spans="1:19" ht="16.5">
      <c r="A136" s="13">
        <v>3</v>
      </c>
      <c r="B136" s="13" t="s">
        <v>541</v>
      </c>
      <c r="C136" s="13">
        <v>8</v>
      </c>
      <c r="D136" s="13">
        <v>2</v>
      </c>
      <c r="E136" s="13">
        <v>4</v>
      </c>
      <c r="F136" s="13" t="s">
        <v>55</v>
      </c>
      <c r="G136" s="13" t="str">
        <f>第2日!B90</f>
        <v>第8波</v>
      </c>
      <c r="H136" s="13">
        <f>IF(第2日!B91="点1·开启",1,0)+IF(第2日!C91="点2·开启",2,0)+IF(第2日!D91="点3·开启",4,0)+IF(第2日!E91="点4·开启",8,0)+IF(第2日!F91="点5·开启",16,0)+IF(第2日!G91="点6·开启",32,0)</f>
        <v>63</v>
      </c>
      <c r="I136" s="13">
        <f>第2日!E90</f>
        <v>7.4999999999999997E-2</v>
      </c>
      <c r="J136" s="13">
        <f>第2日!G90</f>
        <v>1</v>
      </c>
      <c r="K136" s="13">
        <f>第2日!I90</f>
        <v>300</v>
      </c>
      <c r="L136" s="13" t="s">
        <v>537</v>
      </c>
      <c r="M136" s="13" t="s">
        <v>538</v>
      </c>
      <c r="N136" s="13" t="b">
        <f>第2日!I91="待设计"</f>
        <v>0</v>
      </c>
      <c r="O136" s="13">
        <v>6</v>
      </c>
      <c r="P136" s="13" t="str">
        <f>IF(第2日!B99="","",IFERROR(VLOOKUP(第2日!B99,敌人目录!$A$6:$B$68,2,FALSE),""))</f>
        <v>yuanshi_insect_bomber</v>
      </c>
      <c r="Q136" s="13">
        <f>IF(第2日!B99="","",第2日!C99)</f>
        <v>150</v>
      </c>
      <c r="R136" s="13">
        <v>-1</v>
      </c>
      <c r="S136" s="13" t="str">
        <f>IF(第2日!B99="","",第2日!I99)</f>
        <v>可回读</v>
      </c>
    </row>
    <row r="137" spans="1:19" ht="16.5">
      <c r="A137" s="13">
        <v>3</v>
      </c>
      <c r="B137" s="13" t="s">
        <v>541</v>
      </c>
      <c r="C137" s="13">
        <v>8</v>
      </c>
      <c r="D137" s="13">
        <v>2</v>
      </c>
      <c r="E137" s="13">
        <v>4</v>
      </c>
      <c r="F137" s="13" t="s">
        <v>55</v>
      </c>
      <c r="G137" s="13" t="str">
        <f>第2日!B90</f>
        <v>第8波</v>
      </c>
      <c r="H137" s="13">
        <f>IF(第2日!B91="点1·开启",1,0)+IF(第2日!C91="点2·开启",2,0)+IF(第2日!D91="点3·开启",4,0)+IF(第2日!E91="点4·开启",8,0)+IF(第2日!F91="点5·开启",16,0)+IF(第2日!G91="点6·开启",32,0)</f>
        <v>63</v>
      </c>
      <c r="I137" s="13">
        <f>第2日!E90</f>
        <v>7.4999999999999997E-2</v>
      </c>
      <c r="J137" s="13">
        <f>第2日!G90</f>
        <v>1</v>
      </c>
      <c r="K137" s="13">
        <f>第2日!I90</f>
        <v>300</v>
      </c>
      <c r="L137" s="13" t="s">
        <v>537</v>
      </c>
      <c r="M137" s="13" t="s">
        <v>538</v>
      </c>
      <c r="N137" s="13" t="b">
        <f>第2日!I91="待设计"</f>
        <v>0</v>
      </c>
      <c r="O137" s="13">
        <v>7</v>
      </c>
      <c r="P137" s="13" t="str">
        <f>IF(第2日!B100="","",IFERROR(VLOOKUP(第2日!B100,敌人目录!$A$6:$B$68,2,FALSE),""))</f>
        <v>yuanshi_insect_purple_bomber</v>
      </c>
      <c r="Q137" s="13">
        <f>IF(第2日!B100="","",第2日!C100)</f>
        <v>150</v>
      </c>
      <c r="R137" s="13">
        <v>-1</v>
      </c>
      <c r="S137" s="13" t="str">
        <f>IF(第2日!B100="","",第2日!I100)</f>
        <v>可回读</v>
      </c>
    </row>
    <row r="138" spans="1:19" ht="16.5">
      <c r="A138" s="13">
        <v>3</v>
      </c>
      <c r="B138" s="13" t="s">
        <v>541</v>
      </c>
      <c r="C138" s="13">
        <v>8</v>
      </c>
      <c r="D138" s="13">
        <v>2</v>
      </c>
      <c r="E138" s="13">
        <v>4</v>
      </c>
      <c r="F138" s="13" t="s">
        <v>55</v>
      </c>
      <c r="G138" s="13" t="str">
        <f>第2日!B90</f>
        <v>第8波</v>
      </c>
      <c r="H138" s="13">
        <f>IF(第2日!B91="点1·开启",1,0)+IF(第2日!C91="点2·开启",2,0)+IF(第2日!D91="点3·开启",4,0)+IF(第2日!E91="点4·开启",8,0)+IF(第2日!F91="点5·开启",16,0)+IF(第2日!G91="点6·开启",32,0)</f>
        <v>63</v>
      </c>
      <c r="I138" s="13">
        <f>第2日!E90</f>
        <v>7.4999999999999997E-2</v>
      </c>
      <c r="J138" s="13">
        <f>第2日!G90</f>
        <v>1</v>
      </c>
      <c r="K138" s="13">
        <f>第2日!I90</f>
        <v>300</v>
      </c>
      <c r="L138" s="13" t="s">
        <v>537</v>
      </c>
      <c r="M138" s="13" t="s">
        <v>538</v>
      </c>
      <c r="N138" s="13" t="b">
        <f>第2日!I91="待设计"</f>
        <v>0</v>
      </c>
      <c r="O138" s="13">
        <v>8</v>
      </c>
      <c r="P138" s="13" t="str">
        <f>IF(第2日!B101="","",IFERROR(VLOOKUP(第2日!B101,敌人目录!$A$6:$B$68,2,FALSE),""))</f>
        <v>yuanshi_insect_fire_ranged</v>
      </c>
      <c r="Q138" s="13">
        <f>IF(第2日!B101="","",第2日!C101)</f>
        <v>200</v>
      </c>
      <c r="R138" s="13">
        <v>-1</v>
      </c>
      <c r="S138" s="13" t="str">
        <f>IF(第2日!B101="","",第2日!I101)</f>
        <v>可回读</v>
      </c>
    </row>
    <row r="139" spans="1:19" ht="16.5">
      <c r="A139" s="13">
        <v>3</v>
      </c>
      <c r="B139" s="13" t="s">
        <v>541</v>
      </c>
      <c r="C139" s="13">
        <v>8</v>
      </c>
      <c r="D139" s="13">
        <v>2</v>
      </c>
      <c r="E139" s="13">
        <v>4</v>
      </c>
      <c r="F139" s="13" t="s">
        <v>55</v>
      </c>
      <c r="G139" s="13" t="str">
        <f>第2日!B90</f>
        <v>第8波</v>
      </c>
      <c r="H139" s="13">
        <f>IF(第2日!B91="点1·开启",1,0)+IF(第2日!C91="点2·开启",2,0)+IF(第2日!D91="点3·开启",4,0)+IF(第2日!E91="点4·开启",8,0)+IF(第2日!F91="点5·开启",16,0)+IF(第2日!G91="点6·开启",32,0)</f>
        <v>63</v>
      </c>
      <c r="I139" s="13">
        <f>第2日!E90</f>
        <v>7.4999999999999997E-2</v>
      </c>
      <c r="J139" s="13">
        <f>第2日!G90</f>
        <v>1</v>
      </c>
      <c r="K139" s="13">
        <f>第2日!I90</f>
        <v>300</v>
      </c>
      <c r="L139" s="13" t="s">
        <v>537</v>
      </c>
      <c r="M139" s="13" t="s">
        <v>538</v>
      </c>
      <c r="N139" s="13" t="b">
        <f>第2日!I91="待设计"</f>
        <v>0</v>
      </c>
      <c r="O139" s="13">
        <v>9</v>
      </c>
      <c r="P139" s="13" t="str">
        <f>IF(第2日!B102="","",IFERROR(VLOOKUP(第2日!B102,敌人目录!$A$6:$B$68,2,FALSE),""))</f>
        <v>yuanshi_insect_shell</v>
      </c>
      <c r="Q139" s="13">
        <f>IF(第2日!B102="","",第2日!C102)</f>
        <v>250</v>
      </c>
      <c r="R139" s="13">
        <v>-1</v>
      </c>
      <c r="S139" s="13" t="str">
        <f>IF(第2日!B102="","",第2日!I102)</f>
        <v>可回读</v>
      </c>
    </row>
    <row r="140" spans="1:19" ht="16.5">
      <c r="A140" s="13">
        <v>3</v>
      </c>
      <c r="B140" s="13" t="s">
        <v>541</v>
      </c>
      <c r="C140" s="13">
        <v>8</v>
      </c>
      <c r="D140" s="13">
        <v>2</v>
      </c>
      <c r="E140" s="13">
        <v>4</v>
      </c>
      <c r="F140" s="13" t="s">
        <v>55</v>
      </c>
      <c r="G140" s="13" t="str">
        <f>第2日!B90</f>
        <v>第8波</v>
      </c>
      <c r="H140" s="13">
        <f>IF(第2日!B91="点1·开启",1,0)+IF(第2日!C91="点2·开启",2,0)+IF(第2日!D91="点3·开启",4,0)+IF(第2日!E91="点4·开启",8,0)+IF(第2日!F91="点5·开启",16,0)+IF(第2日!G91="点6·开启",32,0)</f>
        <v>63</v>
      </c>
      <c r="I140" s="13">
        <f>第2日!E90</f>
        <v>7.4999999999999997E-2</v>
      </c>
      <c r="J140" s="13">
        <f>第2日!G90</f>
        <v>1</v>
      </c>
      <c r="K140" s="13">
        <f>第2日!I90</f>
        <v>300</v>
      </c>
      <c r="L140" s="13" t="s">
        <v>537</v>
      </c>
      <c r="M140" s="13" t="s">
        <v>538</v>
      </c>
      <c r="N140" s="13" t="b">
        <f>第2日!I91="待设计"</f>
        <v>0</v>
      </c>
      <c r="O140" s="13">
        <v>10</v>
      </c>
      <c r="P140" s="13" t="str">
        <f>IF(第2日!B103="","",IFERROR(VLOOKUP(第2日!B103,敌人目录!$A$6:$B$68,2,FALSE),""))</f>
        <v>yuanshi_insect_guardian</v>
      </c>
      <c r="Q140" s="13">
        <f>IF(第2日!B103="","",第2日!C103)</f>
        <v>150</v>
      </c>
      <c r="R140" s="13">
        <v>-1</v>
      </c>
      <c r="S140" s="13" t="str">
        <f>IF(第2日!B103="","",第2日!I103)</f>
        <v>可回读</v>
      </c>
    </row>
    <row r="141" spans="1:19" ht="16.5">
      <c r="A141" s="13">
        <v>3</v>
      </c>
      <c r="B141" s="13" t="s">
        <v>541</v>
      </c>
      <c r="C141" s="13">
        <v>8</v>
      </c>
      <c r="D141" s="13">
        <v>2</v>
      </c>
      <c r="E141" s="13">
        <v>4</v>
      </c>
      <c r="F141" s="13" t="s">
        <v>55</v>
      </c>
      <c r="G141" s="13" t="str">
        <f>第2日!B90</f>
        <v>第8波</v>
      </c>
      <c r="H141" s="13">
        <f>IF(第2日!B91="点1·开启",1,0)+IF(第2日!C91="点2·开启",2,0)+IF(第2日!D91="点3·开启",4,0)+IF(第2日!E91="点4·开启",8,0)+IF(第2日!F91="点5·开启",16,0)+IF(第2日!G91="点6·开启",32,0)</f>
        <v>63</v>
      </c>
      <c r="I141" s="13">
        <f>第2日!E90</f>
        <v>7.4999999999999997E-2</v>
      </c>
      <c r="J141" s="13">
        <f>第2日!G90</f>
        <v>1</v>
      </c>
      <c r="K141" s="13">
        <f>第2日!I90</f>
        <v>300</v>
      </c>
      <c r="L141" s="13" t="s">
        <v>537</v>
      </c>
      <c r="M141" s="13" t="s">
        <v>538</v>
      </c>
      <c r="N141" s="13" t="b">
        <f>第2日!I91="待设计"</f>
        <v>0</v>
      </c>
      <c r="O141" s="13">
        <v>11</v>
      </c>
      <c r="P141" s="13" t="str">
        <f>IF(第2日!B104="","",IFERROR(VLOOKUP(第2日!B104,敌人目录!$A$6:$B$68,2,FALSE),""))</f>
        <v>combat_robot_shield_bearer_elite</v>
      </c>
      <c r="Q141" s="13">
        <f>IF(第2日!B104="","",第2日!C104)</f>
        <v>50</v>
      </c>
      <c r="R141" s="13">
        <v>-1</v>
      </c>
      <c r="S141" s="13" t="str">
        <f>IF(第2日!B104="","",第2日!I104)</f>
        <v>可回读</v>
      </c>
    </row>
    <row r="142" spans="1:19" ht="16.5">
      <c r="A142" s="13">
        <v>3</v>
      </c>
      <c r="B142" s="13" t="s">
        <v>541</v>
      </c>
      <c r="C142" s="13">
        <v>8</v>
      </c>
      <c r="D142" s="13">
        <v>2</v>
      </c>
      <c r="E142" s="13">
        <v>4</v>
      </c>
      <c r="F142" s="13" t="s">
        <v>55</v>
      </c>
      <c r="G142" s="13" t="str">
        <f>第2日!B90</f>
        <v>第8波</v>
      </c>
      <c r="H142" s="13">
        <f>IF(第2日!B91="点1·开启",1,0)+IF(第2日!C91="点2·开启",2,0)+IF(第2日!D91="点3·开启",4,0)+IF(第2日!E91="点4·开启",8,0)+IF(第2日!F91="点5·开启",16,0)+IF(第2日!G91="点6·开启",32,0)</f>
        <v>63</v>
      </c>
      <c r="I142" s="13">
        <f>第2日!E90</f>
        <v>7.4999999999999997E-2</v>
      </c>
      <c r="J142" s="13">
        <f>第2日!G90</f>
        <v>1</v>
      </c>
      <c r="K142" s="13">
        <f>第2日!I90</f>
        <v>300</v>
      </c>
      <c r="L142" s="13" t="s">
        <v>537</v>
      </c>
      <c r="M142" s="13" t="s">
        <v>538</v>
      </c>
      <c r="N142" s="13" t="b">
        <f>第2日!I91="待设计"</f>
        <v>0</v>
      </c>
      <c r="O142" s="13">
        <v>12</v>
      </c>
      <c r="P142" s="13" t="str">
        <f>IF(第2日!B105="","",IFERROR(VLOOKUP(第2日!B105,敌人目录!$A$6:$B$68,2,FALSE),""))</f>
        <v>combat_robot_ninja_elite</v>
      </c>
      <c r="Q142" s="13">
        <f>IF(第2日!B105="","",第2日!C105)</f>
        <v>50</v>
      </c>
      <c r="R142" s="13">
        <v>-1</v>
      </c>
      <c r="S142" s="13" t="str">
        <f>IF(第2日!B105="","",第2日!I105)</f>
        <v>可回读</v>
      </c>
    </row>
    <row r="143" spans="1:19" ht="16.5">
      <c r="A143" s="13">
        <v>3</v>
      </c>
      <c r="B143" s="13" t="s">
        <v>541</v>
      </c>
      <c r="C143" s="13">
        <v>8</v>
      </c>
      <c r="D143" s="13">
        <v>2</v>
      </c>
      <c r="E143" s="13">
        <v>4</v>
      </c>
      <c r="F143" s="13" t="s">
        <v>55</v>
      </c>
      <c r="G143" s="13" t="str">
        <f>第2日!B90</f>
        <v>第8波</v>
      </c>
      <c r="H143" s="13">
        <f>IF(第2日!B91="点1·开启",1,0)+IF(第2日!C91="点2·开启",2,0)+IF(第2日!D91="点3·开启",4,0)+IF(第2日!E91="点4·开启",8,0)+IF(第2日!F91="点5·开启",16,0)+IF(第2日!G91="点6·开启",32,0)</f>
        <v>63</v>
      </c>
      <c r="I143" s="13">
        <f>第2日!E90</f>
        <v>7.4999999999999997E-2</v>
      </c>
      <c r="J143" s="13">
        <f>第2日!G90</f>
        <v>1</v>
      </c>
      <c r="K143" s="13">
        <f>第2日!I90</f>
        <v>300</v>
      </c>
      <c r="L143" s="13" t="s">
        <v>537</v>
      </c>
      <c r="M143" s="13" t="s">
        <v>538</v>
      </c>
      <c r="N143" s="13" t="b">
        <f>第2日!I91="待设计"</f>
        <v>0</v>
      </c>
      <c r="O143" s="13">
        <v>13</v>
      </c>
      <c r="P143" s="13" t="str">
        <f>IF(第2日!B106="","",IFERROR(VLOOKUP(第2日!B106,敌人目录!$A$6:$B$68,2,FALSE),""))</f>
        <v>combat_robot_main_battle_elite</v>
      </c>
      <c r="Q143" s="13">
        <f>IF(第2日!B106="","",第2日!C106)</f>
        <v>10</v>
      </c>
      <c r="R143" s="13">
        <v>-1</v>
      </c>
      <c r="S143" s="13" t="str">
        <f>IF(第2日!B106="","",第2日!I106)</f>
        <v>可回读</v>
      </c>
    </row>
    <row r="144" spans="1:19" ht="16.5">
      <c r="A144" s="13">
        <v>3</v>
      </c>
      <c r="B144" s="13" t="s">
        <v>541</v>
      </c>
      <c r="C144" s="13">
        <v>8</v>
      </c>
      <c r="D144" s="13">
        <v>2</v>
      </c>
      <c r="E144" s="13">
        <v>4</v>
      </c>
      <c r="F144" s="13" t="s">
        <v>55</v>
      </c>
      <c r="G144" s="13" t="str">
        <f>第2日!B90</f>
        <v>第8波</v>
      </c>
      <c r="H144" s="13">
        <f>IF(第2日!B91="点1·开启",1,0)+IF(第2日!C91="点2·开启",2,0)+IF(第2日!D91="点3·开启",4,0)+IF(第2日!E91="点4·开启",8,0)+IF(第2日!F91="点5·开启",16,0)+IF(第2日!G91="点6·开启",32,0)</f>
        <v>63</v>
      </c>
      <c r="I144" s="13">
        <f>第2日!E90</f>
        <v>7.4999999999999997E-2</v>
      </c>
      <c r="J144" s="13">
        <f>第2日!G90</f>
        <v>1</v>
      </c>
      <c r="K144" s="13">
        <f>第2日!I90</f>
        <v>300</v>
      </c>
      <c r="L144" s="13" t="s">
        <v>537</v>
      </c>
      <c r="M144" s="13" t="s">
        <v>538</v>
      </c>
      <c r="N144" s="13" t="b">
        <f>第2日!I91="待设计"</f>
        <v>0</v>
      </c>
      <c r="O144" s="13">
        <v>14</v>
      </c>
      <c r="P144" s="13" t="str">
        <f>IF(第2日!B107="","",IFERROR(VLOOKUP(第2日!B107,敌人目录!$A$6:$B$68,2,FALSE),""))</f>
        <v>capoo_sniper</v>
      </c>
      <c r="Q144" s="13">
        <f>IF(第2日!B107="","",第2日!C107)</f>
        <v>50</v>
      </c>
      <c r="R144" s="13">
        <v>-1</v>
      </c>
      <c r="S144" s="13" t="str">
        <f>IF(第2日!B107="","",第2日!I107)</f>
        <v>可回读</v>
      </c>
    </row>
    <row r="145" spans="1:19" ht="16.5">
      <c r="A145" s="13">
        <v>3</v>
      </c>
      <c r="B145" s="13" t="s">
        <v>541</v>
      </c>
      <c r="C145" s="13">
        <v>8</v>
      </c>
      <c r="D145" s="13">
        <v>2</v>
      </c>
      <c r="E145" s="13">
        <v>4</v>
      </c>
      <c r="F145" s="13" t="s">
        <v>55</v>
      </c>
      <c r="G145" s="13" t="str">
        <f>第2日!B90</f>
        <v>第8波</v>
      </c>
      <c r="H145" s="13">
        <f>IF(第2日!B91="点1·开启",1,0)+IF(第2日!C91="点2·开启",2,0)+IF(第2日!D91="点3·开启",4,0)+IF(第2日!E91="点4·开启",8,0)+IF(第2日!F91="点5·开启",16,0)+IF(第2日!G91="点6·开启",32,0)</f>
        <v>63</v>
      </c>
      <c r="I145" s="13">
        <f>第2日!E90</f>
        <v>7.4999999999999997E-2</v>
      </c>
      <c r="J145" s="13">
        <f>第2日!G90</f>
        <v>1</v>
      </c>
      <c r="K145" s="13">
        <f>第2日!I90</f>
        <v>300</v>
      </c>
      <c r="L145" s="13" t="s">
        <v>537</v>
      </c>
      <c r="M145" s="13" t="s">
        <v>538</v>
      </c>
      <c r="N145" s="13" t="b">
        <f>第2日!I91="待设计"</f>
        <v>0</v>
      </c>
      <c r="O145" s="13">
        <v>15</v>
      </c>
      <c r="P145" s="13" t="str">
        <f>IF(第2日!B108="","",IFERROR(VLOOKUP(第2日!B108,敌人目录!$A$6:$B$68,2,FALSE),""))</f>
        <v>fire_sorcerer_elite</v>
      </c>
      <c r="Q145" s="13">
        <f>IF(第2日!B108="","",第2日!C108)</f>
        <v>50</v>
      </c>
      <c r="R145" s="13">
        <v>-1</v>
      </c>
      <c r="S145" s="13" t="str">
        <f>IF(第2日!B108="","",第2日!I108)</f>
        <v>可回读</v>
      </c>
    </row>
    <row r="146" spans="1:19" ht="16.5">
      <c r="A146" s="13">
        <v>3</v>
      </c>
      <c r="B146" s="13" t="s">
        <v>541</v>
      </c>
      <c r="C146" s="13">
        <v>8</v>
      </c>
      <c r="D146" s="13">
        <v>2</v>
      </c>
      <c r="E146" s="13">
        <v>4</v>
      </c>
      <c r="F146" s="13" t="s">
        <v>55</v>
      </c>
      <c r="G146" s="13" t="str">
        <f>第2日!B90</f>
        <v>第8波</v>
      </c>
      <c r="H146" s="13">
        <f>IF(第2日!B91="点1·开启",1,0)+IF(第2日!C91="点2·开启",2,0)+IF(第2日!D91="点3·开启",4,0)+IF(第2日!E91="点4·开启",8,0)+IF(第2日!F91="点5·开启",16,0)+IF(第2日!G91="点6·开启",32,0)</f>
        <v>63</v>
      </c>
      <c r="I146" s="13">
        <f>第2日!E90</f>
        <v>7.4999999999999997E-2</v>
      </c>
      <c r="J146" s="13">
        <f>第2日!G90</f>
        <v>1</v>
      </c>
      <c r="K146" s="13">
        <f>第2日!I90</f>
        <v>300</v>
      </c>
      <c r="L146" s="13" t="s">
        <v>537</v>
      </c>
      <c r="M146" s="13" t="s">
        <v>538</v>
      </c>
      <c r="N146" s="13" t="b">
        <f>第2日!I91="待设计"</f>
        <v>0</v>
      </c>
      <c r="O146" s="13">
        <v>16</v>
      </c>
      <c r="P146" s="13" t="str">
        <f>IF(第2日!B109="","",IFERROR(VLOOKUP(第2日!B109,敌人目录!$A$6:$B$68,2,FALSE),""))</f>
        <v>frost_sorcerer_elite</v>
      </c>
      <c r="Q146" s="13">
        <f>IF(第2日!B109="","",第2日!C109)</f>
        <v>50</v>
      </c>
      <c r="R146" s="13">
        <v>-1</v>
      </c>
      <c r="S146" s="13" t="str">
        <f>IF(第2日!B109="","",第2日!I109)</f>
        <v>可回读</v>
      </c>
    </row>
    <row r="147" spans="1:19" ht="16.5">
      <c r="A147" s="13">
        <v>3</v>
      </c>
      <c r="B147" s="13" t="s">
        <v>541</v>
      </c>
      <c r="C147" s="13">
        <v>8</v>
      </c>
      <c r="D147" s="13">
        <v>2</v>
      </c>
      <c r="E147" s="13">
        <v>4</v>
      </c>
      <c r="F147" s="13" t="s">
        <v>55</v>
      </c>
      <c r="G147" s="13" t="str">
        <f>第2日!B90</f>
        <v>第8波</v>
      </c>
      <c r="H147" s="13">
        <f>IF(第2日!B91="点1·开启",1,0)+IF(第2日!C91="点2·开启",2,0)+IF(第2日!D91="点3·开启",4,0)+IF(第2日!E91="点4·开启",8,0)+IF(第2日!F91="点5·开启",16,0)+IF(第2日!G91="点6·开启",32,0)</f>
        <v>63</v>
      </c>
      <c r="I147" s="13">
        <f>第2日!E90</f>
        <v>7.4999999999999997E-2</v>
      </c>
      <c r="J147" s="13">
        <f>第2日!G90</f>
        <v>1</v>
      </c>
      <c r="K147" s="13">
        <f>第2日!I90</f>
        <v>300</v>
      </c>
      <c r="L147" s="13" t="s">
        <v>537</v>
      </c>
      <c r="M147" s="13" t="s">
        <v>538</v>
      </c>
      <c r="N147" s="13" t="b">
        <f>第2日!I91="待设计"</f>
        <v>0</v>
      </c>
      <c r="O147" s="13">
        <v>17</v>
      </c>
      <c r="P147" s="13" t="str">
        <f>IF(第2日!B110="","",IFERROR(VLOOKUP(第2日!B110,敌人目录!$A$6:$B$68,2,FALSE),""))</f>
        <v>lightning_sorcerer_elite</v>
      </c>
      <c r="Q147" s="13">
        <f>IF(第2日!B110="","",第2日!C110)</f>
        <v>70</v>
      </c>
      <c r="R147" s="13">
        <v>-1</v>
      </c>
      <c r="S147" s="13" t="str">
        <f>IF(第2日!B110="","",第2日!I110)</f>
        <v>可回读</v>
      </c>
    </row>
    <row r="148" spans="1:19" ht="16.5">
      <c r="A148" s="13">
        <v>3</v>
      </c>
      <c r="B148" s="13" t="s">
        <v>541</v>
      </c>
      <c r="C148" s="13">
        <v>8</v>
      </c>
      <c r="D148" s="13">
        <v>2</v>
      </c>
      <c r="E148" s="13">
        <v>4</v>
      </c>
      <c r="F148" s="13" t="s">
        <v>55</v>
      </c>
      <c r="G148" s="13" t="str">
        <f>第2日!B90</f>
        <v>第8波</v>
      </c>
      <c r="H148" s="13">
        <f>IF(第2日!B91="点1·开启",1,0)+IF(第2日!C91="点2·开启",2,0)+IF(第2日!D91="点3·开启",4,0)+IF(第2日!E91="点4·开启",8,0)+IF(第2日!F91="点5·开启",16,0)+IF(第2日!G91="点6·开启",32,0)</f>
        <v>63</v>
      </c>
      <c r="I148" s="13">
        <f>第2日!E90</f>
        <v>7.4999999999999997E-2</v>
      </c>
      <c r="J148" s="13">
        <f>第2日!G90</f>
        <v>1</v>
      </c>
      <c r="K148" s="13">
        <f>第2日!I90</f>
        <v>300</v>
      </c>
      <c r="L148" s="13" t="s">
        <v>537</v>
      </c>
      <c r="M148" s="13" t="s">
        <v>538</v>
      </c>
      <c r="N148" s="13" t="b">
        <f>第2日!I91="待设计"</f>
        <v>0</v>
      </c>
      <c r="O148" s="13">
        <v>18</v>
      </c>
      <c r="P148" s="13" t="str">
        <f>IF(第2日!B111="","",IFERROR(VLOOKUP(第2日!B111,敌人目录!$A$6:$B$68,2,FALSE),""))</f>
        <v>stone_golem_elite</v>
      </c>
      <c r="Q148" s="13">
        <f>IF(第2日!B111="","",第2日!C111)</f>
        <v>10</v>
      </c>
      <c r="R148" s="13">
        <v>-1</v>
      </c>
      <c r="S148" s="13" t="str">
        <f>IF(第2日!B111="","",第2日!I111)</f>
        <v>可回读</v>
      </c>
    </row>
    <row r="149" spans="1:19" ht="16.5">
      <c r="A149" s="13">
        <v>3</v>
      </c>
      <c r="B149" s="13" t="s">
        <v>542</v>
      </c>
      <c r="C149" s="13">
        <v>9</v>
      </c>
      <c r="D149" s="13">
        <v>3</v>
      </c>
      <c r="E149" s="13">
        <v>1</v>
      </c>
      <c r="F149" s="13" t="s">
        <v>52</v>
      </c>
      <c r="G149" s="13" t="str">
        <f>第3日!B3</f>
        <v>第9波</v>
      </c>
      <c r="H149" s="13">
        <f>IF(第3日!B4="点1·开启",1,0)+IF(第3日!C4="点2·开启",2,0)+IF(第3日!D4="点3·开启",4,0)+IF(第3日!E4="点4·开启",8,0)+IF(第3日!F4="点5·开启",16,0)+IF(第3日!G4="点6·开启",32,0)</f>
        <v>63</v>
      </c>
      <c r="I149" s="13">
        <f>第3日!E3</f>
        <v>0.28000000000000003</v>
      </c>
      <c r="J149" s="13">
        <f>第3日!G3</f>
        <v>1</v>
      </c>
      <c r="K149" s="13">
        <f>第3日!I3</f>
        <v>300</v>
      </c>
      <c r="L149" s="13" t="s">
        <v>543</v>
      </c>
      <c r="M149" s="13" t="s">
        <v>544</v>
      </c>
      <c r="N149" s="13" t="b">
        <f>第3日!I4="待设计"</f>
        <v>0</v>
      </c>
      <c r="O149" s="13">
        <v>1</v>
      </c>
      <c r="P149" s="13" t="str">
        <f>IF(第3日!B7="","",IFERROR(VLOOKUP(第3日!B7,敌人目录!$A$6:$B$68,2,FALSE),""))</f>
        <v>yuanshi_insect_basic</v>
      </c>
      <c r="Q149" s="13">
        <f>IF(第3日!B7="","",第3日!C7)</f>
        <v>26</v>
      </c>
      <c r="R149" s="13">
        <v>-1</v>
      </c>
      <c r="S149" s="13" t="str">
        <f>IF(第3日!B7="","",第3日!I7)</f>
        <v>可回读</v>
      </c>
    </row>
    <row r="150" spans="1:19" ht="16.5">
      <c r="A150" s="13">
        <v>3</v>
      </c>
      <c r="B150" s="13" t="s">
        <v>542</v>
      </c>
      <c r="C150" s="13">
        <v>9</v>
      </c>
      <c r="D150" s="13">
        <v>3</v>
      </c>
      <c r="E150" s="13">
        <v>1</v>
      </c>
      <c r="F150" s="13" t="s">
        <v>52</v>
      </c>
      <c r="G150" s="13" t="str">
        <f>第3日!B3</f>
        <v>第9波</v>
      </c>
      <c r="H150" s="13">
        <f>IF(第3日!B4="点1·开启",1,0)+IF(第3日!C4="点2·开启",2,0)+IF(第3日!D4="点3·开启",4,0)+IF(第3日!E4="点4·开启",8,0)+IF(第3日!F4="点5·开启",16,0)+IF(第3日!G4="点6·开启",32,0)</f>
        <v>63</v>
      </c>
      <c r="I150" s="13">
        <f>第3日!E3</f>
        <v>0.28000000000000003</v>
      </c>
      <c r="J150" s="13">
        <f>第3日!G3</f>
        <v>1</v>
      </c>
      <c r="K150" s="13">
        <f>第3日!I3</f>
        <v>300</v>
      </c>
      <c r="L150" s="13" t="s">
        <v>543</v>
      </c>
      <c r="M150" s="13" t="s">
        <v>544</v>
      </c>
      <c r="N150" s="13" t="b">
        <f>第3日!I4="待设计"</f>
        <v>0</v>
      </c>
      <c r="O150" s="13">
        <v>2</v>
      </c>
      <c r="P150" s="13" t="str">
        <f>IF(第3日!B8="","",IFERROR(VLOOKUP(第3日!B8,敌人目录!$A$6:$B$68,2,FALSE),""))</f>
        <v>yuanshi_insect_fast</v>
      </c>
      <c r="Q150" s="13">
        <f>IF(第3日!B8="","",第3日!C8)</f>
        <v>20</v>
      </c>
      <c r="R150" s="13">
        <v>-1</v>
      </c>
      <c r="S150" s="13" t="str">
        <f>IF(第3日!B8="","",第3日!I8)</f>
        <v>可回读</v>
      </c>
    </row>
    <row r="151" spans="1:19" ht="16.5">
      <c r="A151" s="13">
        <v>3</v>
      </c>
      <c r="B151" s="13" t="s">
        <v>542</v>
      </c>
      <c r="C151" s="13">
        <v>9</v>
      </c>
      <c r="D151" s="13">
        <v>3</v>
      </c>
      <c r="E151" s="13">
        <v>1</v>
      </c>
      <c r="F151" s="13" t="s">
        <v>52</v>
      </c>
      <c r="G151" s="13" t="str">
        <f>第3日!B3</f>
        <v>第9波</v>
      </c>
      <c r="H151" s="13">
        <f>IF(第3日!B4="点1·开启",1,0)+IF(第3日!C4="点2·开启",2,0)+IF(第3日!D4="点3·开启",4,0)+IF(第3日!E4="点4·开启",8,0)+IF(第3日!F4="点5·开启",16,0)+IF(第3日!G4="点6·开启",32,0)</f>
        <v>63</v>
      </c>
      <c r="I151" s="13">
        <f>第3日!E3</f>
        <v>0.28000000000000003</v>
      </c>
      <c r="J151" s="13">
        <f>第3日!G3</f>
        <v>1</v>
      </c>
      <c r="K151" s="13">
        <f>第3日!I3</f>
        <v>300</v>
      </c>
      <c r="L151" s="13" t="s">
        <v>543</v>
      </c>
      <c r="M151" s="13" t="s">
        <v>544</v>
      </c>
      <c r="N151" s="13" t="b">
        <f>第3日!I4="待设计"</f>
        <v>0</v>
      </c>
      <c r="O151" s="13">
        <v>3</v>
      </c>
      <c r="P151" s="13" t="str">
        <f>IF(第3日!B9="","",IFERROR(VLOOKUP(第3日!B9,敌人目录!$A$6:$B$68,2,FALSE),""))</f>
        <v>yuanshi_insect_shell</v>
      </c>
      <c r="Q151" s="13">
        <f>IF(第3日!B9="","",第3日!C9)</f>
        <v>20</v>
      </c>
      <c r="R151" s="13">
        <v>-1</v>
      </c>
      <c r="S151" s="13" t="str">
        <f>IF(第3日!B9="","",第3日!I9)</f>
        <v>可回读</v>
      </c>
    </row>
    <row r="152" spans="1:19" ht="16.5">
      <c r="A152" s="13">
        <v>3</v>
      </c>
      <c r="B152" s="13" t="s">
        <v>542</v>
      </c>
      <c r="C152" s="13">
        <v>9</v>
      </c>
      <c r="D152" s="13">
        <v>3</v>
      </c>
      <c r="E152" s="13">
        <v>1</v>
      </c>
      <c r="F152" s="13" t="s">
        <v>52</v>
      </c>
      <c r="G152" s="13" t="str">
        <f>第3日!B3</f>
        <v>第9波</v>
      </c>
      <c r="H152" s="13">
        <f>IF(第3日!B4="点1·开启",1,0)+IF(第3日!C4="点2·开启",2,0)+IF(第3日!D4="点3·开启",4,0)+IF(第3日!E4="点4·开启",8,0)+IF(第3日!F4="点5·开启",16,0)+IF(第3日!G4="点6·开启",32,0)</f>
        <v>63</v>
      </c>
      <c r="I152" s="13">
        <f>第3日!E3</f>
        <v>0.28000000000000003</v>
      </c>
      <c r="J152" s="13">
        <f>第3日!G3</f>
        <v>1</v>
      </c>
      <c r="K152" s="13">
        <f>第3日!I3</f>
        <v>300</v>
      </c>
      <c r="L152" s="13" t="s">
        <v>543</v>
      </c>
      <c r="M152" s="13" t="s">
        <v>544</v>
      </c>
      <c r="N152" s="13" t="b">
        <f>第3日!I4="待设计"</f>
        <v>0</v>
      </c>
      <c r="O152" s="13">
        <v>4</v>
      </c>
      <c r="P152" s="13" t="str">
        <f>IF(第3日!B10="","",IFERROR(VLOOKUP(第3日!B10,敌人目录!$A$6:$B$68,2,FALSE),""))</f>
        <v>yuanshi_insect_bomber</v>
      </c>
      <c r="Q152" s="13">
        <f>IF(第3日!B10="","",第3日!C10)</f>
        <v>16</v>
      </c>
      <c r="R152" s="13">
        <v>-1</v>
      </c>
      <c r="S152" s="13" t="str">
        <f>IF(第3日!B10="","",第3日!I10)</f>
        <v>可回读</v>
      </c>
    </row>
    <row r="153" spans="1:19" ht="16.5">
      <c r="A153" s="13">
        <v>3</v>
      </c>
      <c r="B153" s="13" t="s">
        <v>542</v>
      </c>
      <c r="C153" s="13">
        <v>9</v>
      </c>
      <c r="D153" s="13">
        <v>3</v>
      </c>
      <c r="E153" s="13">
        <v>1</v>
      </c>
      <c r="F153" s="13" t="s">
        <v>52</v>
      </c>
      <c r="G153" s="13" t="str">
        <f>第3日!B3</f>
        <v>第9波</v>
      </c>
      <c r="H153" s="13">
        <f>IF(第3日!B4="点1·开启",1,0)+IF(第3日!C4="点2·开启",2,0)+IF(第3日!D4="点3·开启",4,0)+IF(第3日!E4="点4·开启",8,0)+IF(第3日!F4="点5·开启",16,0)+IF(第3日!G4="点6·开启",32,0)</f>
        <v>63</v>
      </c>
      <c r="I153" s="13">
        <f>第3日!E3</f>
        <v>0.28000000000000003</v>
      </c>
      <c r="J153" s="13">
        <f>第3日!G3</f>
        <v>1</v>
      </c>
      <c r="K153" s="13">
        <f>第3日!I3</f>
        <v>300</v>
      </c>
      <c r="L153" s="13" t="s">
        <v>543</v>
      </c>
      <c r="M153" s="13" t="s">
        <v>544</v>
      </c>
      <c r="N153" s="13" t="b">
        <f>第3日!I4="待设计"</f>
        <v>0</v>
      </c>
      <c r="O153" s="13">
        <v>5</v>
      </c>
      <c r="P153" s="13" t="str">
        <f>IF(第3日!B11="","",IFERROR(VLOOKUP(第3日!B11,敌人目录!$A$6:$B$68,2,FALSE),""))</f>
        <v>yuanshi_insect_purple_bomber</v>
      </c>
      <c r="Q153" s="13">
        <f>IF(第3日!B11="","",第3日!C11)</f>
        <v>12</v>
      </c>
      <c r="R153" s="13">
        <v>-1</v>
      </c>
      <c r="S153" s="13" t="str">
        <f>IF(第3日!B11="","",第3日!I11)</f>
        <v>可回读</v>
      </c>
    </row>
    <row r="154" spans="1:19" ht="16.5">
      <c r="A154" s="13">
        <v>3</v>
      </c>
      <c r="B154" s="13" t="s">
        <v>542</v>
      </c>
      <c r="C154" s="13">
        <v>9</v>
      </c>
      <c r="D154" s="13">
        <v>3</v>
      </c>
      <c r="E154" s="13">
        <v>1</v>
      </c>
      <c r="F154" s="13" t="s">
        <v>52</v>
      </c>
      <c r="G154" s="13" t="str">
        <f>第3日!B3</f>
        <v>第9波</v>
      </c>
      <c r="H154" s="13">
        <f>IF(第3日!B4="点1·开启",1,0)+IF(第3日!C4="点2·开启",2,0)+IF(第3日!D4="点3·开启",4,0)+IF(第3日!E4="点4·开启",8,0)+IF(第3日!F4="点5·开启",16,0)+IF(第3日!G4="点6·开启",32,0)</f>
        <v>63</v>
      </c>
      <c r="I154" s="13">
        <f>第3日!E3</f>
        <v>0.28000000000000003</v>
      </c>
      <c r="J154" s="13">
        <f>第3日!G3</f>
        <v>1</v>
      </c>
      <c r="K154" s="13">
        <f>第3日!I3</f>
        <v>300</v>
      </c>
      <c r="L154" s="13" t="s">
        <v>543</v>
      </c>
      <c r="M154" s="13" t="s">
        <v>544</v>
      </c>
      <c r="N154" s="13" t="b">
        <f>第3日!I4="待设计"</f>
        <v>0</v>
      </c>
      <c r="O154" s="13">
        <v>6</v>
      </c>
      <c r="P154" s="13" t="str">
        <f>IF(第3日!B12="","",IFERROR(VLOOKUP(第3日!B12,敌人目录!$A$6:$B$68,2,FALSE),""))</f>
        <v>yuanshi_insect_fire_ranged</v>
      </c>
      <c r="Q154" s="13">
        <f>IF(第3日!B12="","",第3日!C12)</f>
        <v>20</v>
      </c>
      <c r="R154" s="13">
        <v>-1</v>
      </c>
      <c r="S154" s="13" t="str">
        <f>IF(第3日!B12="","",第3日!I12)</f>
        <v>可回读</v>
      </c>
    </row>
    <row r="155" spans="1:19" ht="16.5">
      <c r="A155" s="13">
        <v>3</v>
      </c>
      <c r="B155" s="13" t="s">
        <v>542</v>
      </c>
      <c r="C155" s="13">
        <v>9</v>
      </c>
      <c r="D155" s="13">
        <v>3</v>
      </c>
      <c r="E155" s="13">
        <v>1</v>
      </c>
      <c r="F155" s="13" t="s">
        <v>52</v>
      </c>
      <c r="G155" s="13" t="str">
        <f>第3日!B3</f>
        <v>第9波</v>
      </c>
      <c r="H155" s="13">
        <f>IF(第3日!B4="点1·开启",1,0)+IF(第3日!C4="点2·开启",2,0)+IF(第3日!D4="点3·开启",4,0)+IF(第3日!E4="点4·开启",8,0)+IF(第3日!F4="点5·开启",16,0)+IF(第3日!G4="点6·开启",32,0)</f>
        <v>63</v>
      </c>
      <c r="I155" s="13">
        <f>第3日!E3</f>
        <v>0.28000000000000003</v>
      </c>
      <c r="J155" s="13">
        <f>第3日!G3</f>
        <v>1</v>
      </c>
      <c r="K155" s="13">
        <f>第3日!I3</f>
        <v>300</v>
      </c>
      <c r="L155" s="13" t="s">
        <v>543</v>
      </c>
      <c r="M155" s="13" t="s">
        <v>544</v>
      </c>
      <c r="N155" s="13" t="b">
        <f>第3日!I4="待设计"</f>
        <v>0</v>
      </c>
      <c r="O155" s="13">
        <v>7</v>
      </c>
      <c r="P155" s="13" t="str">
        <f>IF(第3日!B13="","",IFERROR(VLOOKUP(第3日!B13,敌人目录!$A$6:$B$68,2,FALSE),""))</f>
        <v>yuanshi_insect_green_shell</v>
      </c>
      <c r="Q155" s="13">
        <f>IF(第3日!B13="","",第3日!C13)</f>
        <v>16</v>
      </c>
      <c r="R155" s="13">
        <v>-1</v>
      </c>
      <c r="S155" s="13" t="str">
        <f>IF(第3日!B13="","",第3日!I13)</f>
        <v>可回读</v>
      </c>
    </row>
    <row r="156" spans="1:19" ht="16.5">
      <c r="A156" s="13">
        <v>3</v>
      </c>
      <c r="B156" s="13" t="s">
        <v>542</v>
      </c>
      <c r="C156" s="13">
        <v>9</v>
      </c>
      <c r="D156" s="13">
        <v>3</v>
      </c>
      <c r="E156" s="13">
        <v>1</v>
      </c>
      <c r="F156" s="13" t="s">
        <v>52</v>
      </c>
      <c r="G156" s="13" t="str">
        <f>第3日!B3</f>
        <v>第9波</v>
      </c>
      <c r="H156" s="13">
        <f>IF(第3日!B4="点1·开启",1,0)+IF(第3日!C4="点2·开启",2,0)+IF(第3日!D4="点3·开启",4,0)+IF(第3日!E4="点4·开启",8,0)+IF(第3日!F4="点5·开启",16,0)+IF(第3日!G4="点6·开启",32,0)</f>
        <v>63</v>
      </c>
      <c r="I156" s="13">
        <f>第3日!E3</f>
        <v>0.28000000000000003</v>
      </c>
      <c r="J156" s="13">
        <f>第3日!G3</f>
        <v>1</v>
      </c>
      <c r="K156" s="13">
        <f>第3日!I3</f>
        <v>300</v>
      </c>
      <c r="L156" s="13" t="s">
        <v>543</v>
      </c>
      <c r="M156" s="13" t="s">
        <v>544</v>
      </c>
      <c r="N156" s="13" t="b">
        <f>第3日!I4="待设计"</f>
        <v>0</v>
      </c>
      <c r="O156" s="13">
        <v>8</v>
      </c>
      <c r="P156" s="13" t="str">
        <f>IF(第3日!B14="","",IFERROR(VLOOKUP(第3日!B14,敌人目录!$A$6:$B$68,2,FALSE),""))</f>
        <v>yuanshi_insect_guardian</v>
      </c>
      <c r="Q156" s="13">
        <f>IF(第3日!B14="","",第3日!C14)</f>
        <v>12</v>
      </c>
      <c r="R156" s="13">
        <v>-1</v>
      </c>
      <c r="S156" s="13" t="str">
        <f>IF(第3日!B14="","",第3日!I14)</f>
        <v>可回读</v>
      </c>
    </row>
    <row r="157" spans="1:19" ht="16.5">
      <c r="A157" s="13">
        <v>3</v>
      </c>
      <c r="B157" s="13" t="s">
        <v>542</v>
      </c>
      <c r="C157" s="13">
        <v>9</v>
      </c>
      <c r="D157" s="13">
        <v>3</v>
      </c>
      <c r="E157" s="13">
        <v>1</v>
      </c>
      <c r="F157" s="13" t="s">
        <v>52</v>
      </c>
      <c r="G157" s="13" t="str">
        <f>第3日!B3</f>
        <v>第9波</v>
      </c>
      <c r="H157" s="13">
        <f>IF(第3日!B4="点1·开启",1,0)+IF(第3日!C4="点2·开启",2,0)+IF(第3日!D4="点3·开启",4,0)+IF(第3日!E4="点4·开启",8,0)+IF(第3日!F4="点5·开启",16,0)+IF(第3日!G4="点6·开启",32,0)</f>
        <v>63</v>
      </c>
      <c r="I157" s="13">
        <f>第3日!E3</f>
        <v>0.28000000000000003</v>
      </c>
      <c r="J157" s="13">
        <f>第3日!G3</f>
        <v>1</v>
      </c>
      <c r="K157" s="13">
        <f>第3日!I3</f>
        <v>300</v>
      </c>
      <c r="L157" s="13" t="s">
        <v>543</v>
      </c>
      <c r="M157" s="13" t="s">
        <v>544</v>
      </c>
      <c r="N157" s="13" t="b">
        <f>第3日!I4="待设计"</f>
        <v>0</v>
      </c>
      <c r="O157" s="13">
        <v>9</v>
      </c>
      <c r="P157" s="13" t="str">
        <f>IF(第3日!B15="","",IFERROR(VLOOKUP(第3日!B15,敌人目录!$A$6:$B$68,2,FALSE),""))</f>
        <v>capoo_knight</v>
      </c>
      <c r="Q157" s="13">
        <f>IF(第3日!B15="","",第3日!C15)</f>
        <v>2</v>
      </c>
      <c r="R157" s="13">
        <v>-1</v>
      </c>
      <c r="S157" s="13" t="str">
        <f>IF(第3日!B15="","",第3日!I15)</f>
        <v>可回读</v>
      </c>
    </row>
    <row r="158" spans="1:19" ht="16.5">
      <c r="A158" s="13">
        <v>3</v>
      </c>
      <c r="B158" s="13" t="s">
        <v>542</v>
      </c>
      <c r="C158" s="13">
        <v>9</v>
      </c>
      <c r="D158" s="13">
        <v>3</v>
      </c>
      <c r="E158" s="13">
        <v>1</v>
      </c>
      <c r="F158" s="13" t="s">
        <v>52</v>
      </c>
      <c r="G158" s="13" t="str">
        <f>第3日!B3</f>
        <v>第9波</v>
      </c>
      <c r="H158" s="13">
        <f>IF(第3日!B4="点1·开启",1,0)+IF(第3日!C4="点2·开启",2,0)+IF(第3日!D4="点3·开启",4,0)+IF(第3日!E4="点4·开启",8,0)+IF(第3日!F4="点5·开启",16,0)+IF(第3日!G4="点6·开启",32,0)</f>
        <v>63</v>
      </c>
      <c r="I158" s="13">
        <f>第3日!E3</f>
        <v>0.28000000000000003</v>
      </c>
      <c r="J158" s="13">
        <f>第3日!G3</f>
        <v>1</v>
      </c>
      <c r="K158" s="13">
        <f>第3日!I3</f>
        <v>300</v>
      </c>
      <c r="L158" s="13" t="s">
        <v>543</v>
      </c>
      <c r="M158" s="13" t="s">
        <v>544</v>
      </c>
      <c r="N158" s="13" t="b">
        <f>第3日!I4="待设计"</f>
        <v>0</v>
      </c>
      <c r="O158" s="13">
        <v>10</v>
      </c>
      <c r="P158" s="13" t="str">
        <f>IF(第3日!B16="","",IFERROR(VLOOKUP(第3日!B16,敌人目录!$A$6:$B$68,2,FALSE),""))</f>
        <v/>
      </c>
      <c r="Q158" s="13" t="str">
        <f>IF(第3日!B16="","",第3日!C16)</f>
        <v/>
      </c>
      <c r="R158" s="13">
        <v>-1</v>
      </c>
      <c r="S158" s="13" t="str">
        <f>IF(第3日!B16="","",第3日!I16)</f>
        <v/>
      </c>
    </row>
    <row r="159" spans="1:19" ht="16.5">
      <c r="A159" s="13">
        <v>3</v>
      </c>
      <c r="B159" s="13" t="s">
        <v>542</v>
      </c>
      <c r="C159" s="13">
        <v>9</v>
      </c>
      <c r="D159" s="13">
        <v>3</v>
      </c>
      <c r="E159" s="13">
        <v>1</v>
      </c>
      <c r="F159" s="13" t="s">
        <v>52</v>
      </c>
      <c r="G159" s="13" t="str">
        <f>第3日!B3</f>
        <v>第9波</v>
      </c>
      <c r="H159" s="13">
        <f>IF(第3日!B4="点1·开启",1,0)+IF(第3日!C4="点2·开启",2,0)+IF(第3日!D4="点3·开启",4,0)+IF(第3日!E4="点4·开启",8,0)+IF(第3日!F4="点5·开启",16,0)+IF(第3日!G4="点6·开启",32,0)</f>
        <v>63</v>
      </c>
      <c r="I159" s="13">
        <f>第3日!E3</f>
        <v>0.28000000000000003</v>
      </c>
      <c r="J159" s="13">
        <f>第3日!G3</f>
        <v>1</v>
      </c>
      <c r="K159" s="13">
        <f>第3日!I3</f>
        <v>300</v>
      </c>
      <c r="L159" s="13" t="s">
        <v>543</v>
      </c>
      <c r="M159" s="13" t="s">
        <v>544</v>
      </c>
      <c r="N159" s="13" t="b">
        <f>第3日!I4="待设计"</f>
        <v>0</v>
      </c>
      <c r="O159" s="13">
        <v>11</v>
      </c>
      <c r="P159" s="13" t="str">
        <f>IF(第3日!B17="","",IFERROR(VLOOKUP(第3日!B17,敌人目录!$A$6:$B$68,2,FALSE),""))</f>
        <v/>
      </c>
      <c r="Q159" s="13" t="str">
        <f>IF(第3日!B17="","",第3日!C17)</f>
        <v/>
      </c>
      <c r="R159" s="13">
        <v>-1</v>
      </c>
      <c r="S159" s="13" t="str">
        <f>IF(第3日!B17="","",第3日!I17)</f>
        <v/>
      </c>
    </row>
    <row r="160" spans="1:19" ht="16.5">
      <c r="A160" s="13">
        <v>3</v>
      </c>
      <c r="B160" s="13" t="s">
        <v>542</v>
      </c>
      <c r="C160" s="13">
        <v>9</v>
      </c>
      <c r="D160" s="13">
        <v>3</v>
      </c>
      <c r="E160" s="13">
        <v>1</v>
      </c>
      <c r="F160" s="13" t="s">
        <v>52</v>
      </c>
      <c r="G160" s="13" t="str">
        <f>第3日!B3</f>
        <v>第9波</v>
      </c>
      <c r="H160" s="13">
        <f>IF(第3日!B4="点1·开启",1,0)+IF(第3日!C4="点2·开启",2,0)+IF(第3日!D4="点3·开启",4,0)+IF(第3日!E4="点4·开启",8,0)+IF(第3日!F4="点5·开启",16,0)+IF(第3日!G4="点6·开启",32,0)</f>
        <v>63</v>
      </c>
      <c r="I160" s="13">
        <f>第3日!E3</f>
        <v>0.28000000000000003</v>
      </c>
      <c r="J160" s="13">
        <f>第3日!G3</f>
        <v>1</v>
      </c>
      <c r="K160" s="13">
        <f>第3日!I3</f>
        <v>300</v>
      </c>
      <c r="L160" s="13" t="s">
        <v>543</v>
      </c>
      <c r="M160" s="13" t="s">
        <v>544</v>
      </c>
      <c r="N160" s="13" t="b">
        <f>第3日!I4="待设计"</f>
        <v>0</v>
      </c>
      <c r="O160" s="13">
        <v>12</v>
      </c>
      <c r="P160" s="13" t="str">
        <f>IF(第3日!B18="","",IFERROR(VLOOKUP(第3日!B18,敌人目录!$A$6:$B$68,2,FALSE),""))</f>
        <v/>
      </c>
      <c r="Q160" s="13" t="str">
        <f>IF(第3日!B18="","",第3日!C18)</f>
        <v/>
      </c>
      <c r="R160" s="13">
        <v>-1</v>
      </c>
      <c r="S160" s="13" t="str">
        <f>IF(第3日!B18="","",第3日!I18)</f>
        <v/>
      </c>
    </row>
    <row r="161" spans="1:19" ht="16.5">
      <c r="A161" s="13">
        <v>3</v>
      </c>
      <c r="B161" s="13" t="s">
        <v>542</v>
      </c>
      <c r="C161" s="13">
        <v>9</v>
      </c>
      <c r="D161" s="13">
        <v>3</v>
      </c>
      <c r="E161" s="13">
        <v>1</v>
      </c>
      <c r="F161" s="13" t="s">
        <v>52</v>
      </c>
      <c r="G161" s="13" t="str">
        <f>第3日!B3</f>
        <v>第9波</v>
      </c>
      <c r="H161" s="13">
        <f>IF(第3日!B4="点1·开启",1,0)+IF(第3日!C4="点2·开启",2,0)+IF(第3日!D4="点3·开启",4,0)+IF(第3日!E4="点4·开启",8,0)+IF(第3日!F4="点5·开启",16,0)+IF(第3日!G4="点6·开启",32,0)</f>
        <v>63</v>
      </c>
      <c r="I161" s="13">
        <f>第3日!E3</f>
        <v>0.28000000000000003</v>
      </c>
      <c r="J161" s="13">
        <f>第3日!G3</f>
        <v>1</v>
      </c>
      <c r="K161" s="13">
        <f>第3日!I3</f>
        <v>300</v>
      </c>
      <c r="L161" s="13" t="s">
        <v>543</v>
      </c>
      <c r="M161" s="13" t="s">
        <v>544</v>
      </c>
      <c r="N161" s="13" t="b">
        <f>第3日!I4="待设计"</f>
        <v>0</v>
      </c>
      <c r="O161" s="13">
        <v>13</v>
      </c>
      <c r="P161" s="13" t="str">
        <f>IF(第3日!B19="","",IFERROR(VLOOKUP(第3日!B19,敌人目录!$A$6:$B$68,2,FALSE),""))</f>
        <v/>
      </c>
      <c r="Q161" s="13" t="str">
        <f>IF(第3日!B19="","",第3日!C19)</f>
        <v/>
      </c>
      <c r="R161" s="13">
        <v>-1</v>
      </c>
      <c r="S161" s="13" t="str">
        <f>IF(第3日!B19="","",第3日!I19)</f>
        <v/>
      </c>
    </row>
    <row r="162" spans="1:19" ht="16.5">
      <c r="A162" s="13">
        <v>3</v>
      </c>
      <c r="B162" s="13" t="s">
        <v>542</v>
      </c>
      <c r="C162" s="13">
        <v>9</v>
      </c>
      <c r="D162" s="13">
        <v>3</v>
      </c>
      <c r="E162" s="13">
        <v>1</v>
      </c>
      <c r="F162" s="13" t="s">
        <v>52</v>
      </c>
      <c r="G162" s="13" t="str">
        <f>第3日!B3</f>
        <v>第9波</v>
      </c>
      <c r="H162" s="13">
        <f>IF(第3日!B4="点1·开启",1,0)+IF(第3日!C4="点2·开启",2,0)+IF(第3日!D4="点3·开启",4,0)+IF(第3日!E4="点4·开启",8,0)+IF(第3日!F4="点5·开启",16,0)+IF(第3日!G4="点6·开启",32,0)</f>
        <v>63</v>
      </c>
      <c r="I162" s="13">
        <f>第3日!E3</f>
        <v>0.28000000000000003</v>
      </c>
      <c r="J162" s="13">
        <f>第3日!G3</f>
        <v>1</v>
      </c>
      <c r="K162" s="13">
        <f>第3日!I3</f>
        <v>300</v>
      </c>
      <c r="L162" s="13" t="s">
        <v>543</v>
      </c>
      <c r="M162" s="13" t="s">
        <v>544</v>
      </c>
      <c r="N162" s="13" t="b">
        <f>第3日!I4="待设计"</f>
        <v>0</v>
      </c>
      <c r="O162" s="13">
        <v>14</v>
      </c>
      <c r="P162" s="13" t="str">
        <f>IF(第3日!B20="","",IFERROR(VLOOKUP(第3日!B20,敌人目录!$A$6:$B$68,2,FALSE),""))</f>
        <v/>
      </c>
      <c r="Q162" s="13" t="str">
        <f>IF(第3日!B20="","",第3日!C20)</f>
        <v/>
      </c>
      <c r="R162" s="13">
        <v>-1</v>
      </c>
      <c r="S162" s="13" t="str">
        <f>IF(第3日!B20="","",第3日!I20)</f>
        <v/>
      </c>
    </row>
    <row r="163" spans="1:19" ht="16.5">
      <c r="A163" s="13">
        <v>3</v>
      </c>
      <c r="B163" s="13" t="s">
        <v>542</v>
      </c>
      <c r="C163" s="13">
        <v>9</v>
      </c>
      <c r="D163" s="13">
        <v>3</v>
      </c>
      <c r="E163" s="13">
        <v>1</v>
      </c>
      <c r="F163" s="13" t="s">
        <v>52</v>
      </c>
      <c r="G163" s="13" t="str">
        <f>第3日!B3</f>
        <v>第9波</v>
      </c>
      <c r="H163" s="13">
        <f>IF(第3日!B4="点1·开启",1,0)+IF(第3日!C4="点2·开启",2,0)+IF(第3日!D4="点3·开启",4,0)+IF(第3日!E4="点4·开启",8,0)+IF(第3日!F4="点5·开启",16,0)+IF(第3日!G4="点6·开启",32,0)</f>
        <v>63</v>
      </c>
      <c r="I163" s="13">
        <f>第3日!E3</f>
        <v>0.28000000000000003</v>
      </c>
      <c r="J163" s="13">
        <f>第3日!G3</f>
        <v>1</v>
      </c>
      <c r="K163" s="13">
        <f>第3日!I3</f>
        <v>300</v>
      </c>
      <c r="L163" s="13" t="s">
        <v>543</v>
      </c>
      <c r="M163" s="13" t="s">
        <v>544</v>
      </c>
      <c r="N163" s="13" t="b">
        <f>第3日!I4="待设计"</f>
        <v>0</v>
      </c>
      <c r="O163" s="13">
        <v>15</v>
      </c>
      <c r="P163" s="13" t="str">
        <f>IF(第3日!B21="","",IFERROR(VLOOKUP(第3日!B21,敌人目录!$A$6:$B$68,2,FALSE),""))</f>
        <v/>
      </c>
      <c r="Q163" s="13" t="str">
        <f>IF(第3日!B21="","",第3日!C21)</f>
        <v/>
      </c>
      <c r="R163" s="13">
        <v>-1</v>
      </c>
      <c r="S163" s="13" t="str">
        <f>IF(第3日!B21="","",第3日!I21)</f>
        <v/>
      </c>
    </row>
    <row r="164" spans="1:19" ht="16.5">
      <c r="A164" s="13">
        <v>3</v>
      </c>
      <c r="B164" s="13" t="s">
        <v>542</v>
      </c>
      <c r="C164" s="13">
        <v>9</v>
      </c>
      <c r="D164" s="13">
        <v>3</v>
      </c>
      <c r="E164" s="13">
        <v>1</v>
      </c>
      <c r="F164" s="13" t="s">
        <v>52</v>
      </c>
      <c r="G164" s="13" t="str">
        <f>第3日!B3</f>
        <v>第9波</v>
      </c>
      <c r="H164" s="13">
        <f>IF(第3日!B4="点1·开启",1,0)+IF(第3日!C4="点2·开启",2,0)+IF(第3日!D4="点3·开启",4,0)+IF(第3日!E4="点4·开启",8,0)+IF(第3日!F4="点5·开启",16,0)+IF(第3日!G4="点6·开启",32,0)</f>
        <v>63</v>
      </c>
      <c r="I164" s="13">
        <f>第3日!E3</f>
        <v>0.28000000000000003</v>
      </c>
      <c r="J164" s="13">
        <f>第3日!G3</f>
        <v>1</v>
      </c>
      <c r="K164" s="13">
        <f>第3日!I3</f>
        <v>300</v>
      </c>
      <c r="L164" s="13" t="s">
        <v>543</v>
      </c>
      <c r="M164" s="13" t="s">
        <v>544</v>
      </c>
      <c r="N164" s="13" t="b">
        <f>第3日!I4="待设计"</f>
        <v>0</v>
      </c>
      <c r="O164" s="13">
        <v>16</v>
      </c>
      <c r="P164" s="13" t="str">
        <f>IF(第3日!B22="","",IFERROR(VLOOKUP(第3日!B22,敌人目录!$A$6:$B$68,2,FALSE),""))</f>
        <v/>
      </c>
      <c r="Q164" s="13" t="str">
        <f>IF(第3日!B22="","",第3日!C22)</f>
        <v/>
      </c>
      <c r="R164" s="13">
        <v>-1</v>
      </c>
      <c r="S164" s="13" t="str">
        <f>IF(第3日!B22="","",第3日!I22)</f>
        <v/>
      </c>
    </row>
    <row r="165" spans="1:19" ht="16.5">
      <c r="A165" s="13">
        <v>3</v>
      </c>
      <c r="B165" s="13" t="s">
        <v>542</v>
      </c>
      <c r="C165" s="13">
        <v>9</v>
      </c>
      <c r="D165" s="13">
        <v>3</v>
      </c>
      <c r="E165" s="13">
        <v>1</v>
      </c>
      <c r="F165" s="13" t="s">
        <v>52</v>
      </c>
      <c r="G165" s="13" t="str">
        <f>第3日!B3</f>
        <v>第9波</v>
      </c>
      <c r="H165" s="13">
        <f>IF(第3日!B4="点1·开启",1,0)+IF(第3日!C4="点2·开启",2,0)+IF(第3日!D4="点3·开启",4,0)+IF(第3日!E4="点4·开启",8,0)+IF(第3日!F4="点5·开启",16,0)+IF(第3日!G4="点6·开启",32,0)</f>
        <v>63</v>
      </c>
      <c r="I165" s="13">
        <f>第3日!E3</f>
        <v>0.28000000000000003</v>
      </c>
      <c r="J165" s="13">
        <f>第3日!G3</f>
        <v>1</v>
      </c>
      <c r="K165" s="13">
        <f>第3日!I3</f>
        <v>300</v>
      </c>
      <c r="L165" s="13" t="s">
        <v>543</v>
      </c>
      <c r="M165" s="13" t="s">
        <v>544</v>
      </c>
      <c r="N165" s="13" t="b">
        <f>第3日!I4="待设计"</f>
        <v>0</v>
      </c>
      <c r="O165" s="13">
        <v>17</v>
      </c>
      <c r="P165" s="13" t="str">
        <f>IF(第3日!B23="","",IFERROR(VLOOKUP(第3日!B23,敌人目录!$A$6:$B$68,2,FALSE),""))</f>
        <v/>
      </c>
      <c r="Q165" s="13" t="str">
        <f>IF(第3日!B23="","",第3日!C23)</f>
        <v/>
      </c>
      <c r="R165" s="13">
        <v>-1</v>
      </c>
      <c r="S165" s="13" t="str">
        <f>IF(第3日!B23="","",第3日!I23)</f>
        <v/>
      </c>
    </row>
    <row r="166" spans="1:19" ht="16.5">
      <c r="A166" s="13">
        <v>3</v>
      </c>
      <c r="B166" s="13" t="s">
        <v>542</v>
      </c>
      <c r="C166" s="13">
        <v>9</v>
      </c>
      <c r="D166" s="13">
        <v>3</v>
      </c>
      <c r="E166" s="13">
        <v>1</v>
      </c>
      <c r="F166" s="13" t="s">
        <v>52</v>
      </c>
      <c r="G166" s="13" t="str">
        <f>第3日!B3</f>
        <v>第9波</v>
      </c>
      <c r="H166" s="13">
        <f>IF(第3日!B4="点1·开启",1,0)+IF(第3日!C4="点2·开启",2,0)+IF(第3日!D4="点3·开启",4,0)+IF(第3日!E4="点4·开启",8,0)+IF(第3日!F4="点5·开启",16,0)+IF(第3日!G4="点6·开启",32,0)</f>
        <v>63</v>
      </c>
      <c r="I166" s="13">
        <f>第3日!E3</f>
        <v>0.28000000000000003</v>
      </c>
      <c r="J166" s="13">
        <f>第3日!G3</f>
        <v>1</v>
      </c>
      <c r="K166" s="13">
        <f>第3日!I3</f>
        <v>300</v>
      </c>
      <c r="L166" s="13" t="s">
        <v>543</v>
      </c>
      <c r="M166" s="13" t="s">
        <v>544</v>
      </c>
      <c r="N166" s="13" t="b">
        <f>第3日!I4="待设计"</f>
        <v>0</v>
      </c>
      <c r="O166" s="13">
        <v>18</v>
      </c>
      <c r="P166" s="13" t="str">
        <f>IF(第3日!B24="","",IFERROR(VLOOKUP(第3日!B24,敌人目录!$A$6:$B$68,2,FALSE),""))</f>
        <v/>
      </c>
      <c r="Q166" s="13" t="str">
        <f>IF(第3日!B24="","",第3日!C24)</f>
        <v/>
      </c>
      <c r="R166" s="13">
        <v>-1</v>
      </c>
      <c r="S166" s="13" t="str">
        <f>IF(第3日!B24="","",第3日!I24)</f>
        <v/>
      </c>
    </row>
    <row r="167" spans="1:19" ht="16.5">
      <c r="A167" s="13">
        <v>3</v>
      </c>
      <c r="B167" s="13" t="s">
        <v>545</v>
      </c>
      <c r="C167" s="13">
        <v>10</v>
      </c>
      <c r="D167" s="13">
        <v>3</v>
      </c>
      <c r="E167" s="13">
        <v>2</v>
      </c>
      <c r="F167" s="13" t="s">
        <v>52</v>
      </c>
      <c r="G167" s="13" t="str">
        <f>第3日!B32</f>
        <v>第10波</v>
      </c>
      <c r="H167" s="13">
        <f>IF(第3日!B33="点1·开启",1,0)+IF(第3日!C33="点2·开启",2,0)+IF(第3日!D33="点3·开启",4,0)+IF(第3日!E33="点4·开启",8,0)+IF(第3日!F33="点5·开启",16,0)+IF(第3日!G33="点6·开启",32,0)</f>
        <v>63</v>
      </c>
      <c r="I167" s="13">
        <f>第3日!E32</f>
        <v>0.26</v>
      </c>
      <c r="J167" s="13">
        <f>第3日!G32</f>
        <v>1</v>
      </c>
      <c r="K167" s="13">
        <f>第3日!I32</f>
        <v>300</v>
      </c>
      <c r="L167" s="13" t="s">
        <v>543</v>
      </c>
      <c r="M167" s="13" t="s">
        <v>544</v>
      </c>
      <c r="N167" s="13" t="b">
        <f>第3日!I33="待设计"</f>
        <v>0</v>
      </c>
      <c r="O167" s="13">
        <v>1</v>
      </c>
      <c r="P167" s="13" t="str">
        <f>IF(第3日!B36="","",IFERROR(VLOOKUP(第3日!B36,敌人目录!$A$6:$B$68,2,FALSE),""))</f>
        <v>yuanshi_insect_basic</v>
      </c>
      <c r="Q167" s="13">
        <f>IF(第3日!B36="","",第3日!C36)</f>
        <v>20</v>
      </c>
      <c r="R167" s="13">
        <v>-1</v>
      </c>
      <c r="S167" s="13" t="str">
        <f>IF(第3日!B36="","",第3日!I36)</f>
        <v>可回读</v>
      </c>
    </row>
    <row r="168" spans="1:19" ht="16.5">
      <c r="A168" s="13">
        <v>3</v>
      </c>
      <c r="B168" s="13" t="s">
        <v>545</v>
      </c>
      <c r="C168" s="13">
        <v>10</v>
      </c>
      <c r="D168" s="13">
        <v>3</v>
      </c>
      <c r="E168" s="13">
        <v>2</v>
      </c>
      <c r="F168" s="13" t="s">
        <v>52</v>
      </c>
      <c r="G168" s="13" t="str">
        <f>第3日!B32</f>
        <v>第10波</v>
      </c>
      <c r="H168" s="13">
        <f>IF(第3日!B33="点1·开启",1,0)+IF(第3日!C33="点2·开启",2,0)+IF(第3日!D33="点3·开启",4,0)+IF(第3日!E33="点4·开启",8,0)+IF(第3日!F33="点5·开启",16,0)+IF(第3日!G33="点6·开启",32,0)</f>
        <v>63</v>
      </c>
      <c r="I168" s="13">
        <f>第3日!E32</f>
        <v>0.26</v>
      </c>
      <c r="J168" s="13">
        <f>第3日!G32</f>
        <v>1</v>
      </c>
      <c r="K168" s="13">
        <f>第3日!I32</f>
        <v>300</v>
      </c>
      <c r="L168" s="13" t="s">
        <v>543</v>
      </c>
      <c r="M168" s="13" t="s">
        <v>544</v>
      </c>
      <c r="N168" s="13" t="b">
        <f>第3日!I33="待设计"</f>
        <v>0</v>
      </c>
      <c r="O168" s="13">
        <v>2</v>
      </c>
      <c r="P168" s="13" t="str">
        <f>IF(第3日!B37="","",IFERROR(VLOOKUP(第3日!B37,敌人目录!$A$6:$B$68,2,FALSE),""))</f>
        <v>yuanshi_insect_fast</v>
      </c>
      <c r="Q168" s="13">
        <f>IF(第3日!B37="","",第3日!C37)</f>
        <v>24</v>
      </c>
      <c r="R168" s="13">
        <v>-1</v>
      </c>
      <c r="S168" s="13" t="str">
        <f>IF(第3日!B37="","",第3日!I37)</f>
        <v>可回读</v>
      </c>
    </row>
    <row r="169" spans="1:19" ht="16.5">
      <c r="A169" s="13">
        <v>3</v>
      </c>
      <c r="B169" s="13" t="s">
        <v>545</v>
      </c>
      <c r="C169" s="13">
        <v>10</v>
      </c>
      <c r="D169" s="13">
        <v>3</v>
      </c>
      <c r="E169" s="13">
        <v>2</v>
      </c>
      <c r="F169" s="13" t="s">
        <v>52</v>
      </c>
      <c r="G169" s="13" t="str">
        <f>第3日!B32</f>
        <v>第10波</v>
      </c>
      <c r="H169" s="13">
        <f>IF(第3日!B33="点1·开启",1,0)+IF(第3日!C33="点2·开启",2,0)+IF(第3日!D33="点3·开启",4,0)+IF(第3日!E33="点4·开启",8,0)+IF(第3日!F33="点5·开启",16,0)+IF(第3日!G33="点6·开启",32,0)</f>
        <v>63</v>
      </c>
      <c r="I169" s="13">
        <f>第3日!E32</f>
        <v>0.26</v>
      </c>
      <c r="J169" s="13">
        <f>第3日!G32</f>
        <v>1</v>
      </c>
      <c r="K169" s="13">
        <f>第3日!I32</f>
        <v>300</v>
      </c>
      <c r="L169" s="13" t="s">
        <v>543</v>
      </c>
      <c r="M169" s="13" t="s">
        <v>544</v>
      </c>
      <c r="N169" s="13" t="b">
        <f>第3日!I33="待设计"</f>
        <v>0</v>
      </c>
      <c r="O169" s="13">
        <v>3</v>
      </c>
      <c r="P169" s="13" t="str">
        <f>IF(第3日!B38="","",IFERROR(VLOOKUP(第3日!B38,敌人目录!$A$6:$B$68,2,FALSE),""))</f>
        <v>yuanshi_insect_shell</v>
      </c>
      <c r="Q169" s="13">
        <f>IF(第3日!B38="","",第3日!C38)</f>
        <v>24</v>
      </c>
      <c r="R169" s="13">
        <v>-1</v>
      </c>
      <c r="S169" s="13" t="str">
        <f>IF(第3日!B38="","",第3日!I38)</f>
        <v>可回读</v>
      </c>
    </row>
    <row r="170" spans="1:19" ht="16.5">
      <c r="A170" s="13">
        <v>3</v>
      </c>
      <c r="B170" s="13" t="s">
        <v>545</v>
      </c>
      <c r="C170" s="13">
        <v>10</v>
      </c>
      <c r="D170" s="13">
        <v>3</v>
      </c>
      <c r="E170" s="13">
        <v>2</v>
      </c>
      <c r="F170" s="13" t="s">
        <v>52</v>
      </c>
      <c r="G170" s="13" t="str">
        <f>第3日!B32</f>
        <v>第10波</v>
      </c>
      <c r="H170" s="13">
        <f>IF(第3日!B33="点1·开启",1,0)+IF(第3日!C33="点2·开启",2,0)+IF(第3日!D33="点3·开启",4,0)+IF(第3日!E33="点4·开启",8,0)+IF(第3日!F33="点5·开启",16,0)+IF(第3日!G33="点6·开启",32,0)</f>
        <v>63</v>
      </c>
      <c r="I170" s="13">
        <f>第3日!E32</f>
        <v>0.26</v>
      </c>
      <c r="J170" s="13">
        <f>第3日!G32</f>
        <v>1</v>
      </c>
      <c r="K170" s="13">
        <f>第3日!I32</f>
        <v>300</v>
      </c>
      <c r="L170" s="13" t="s">
        <v>543</v>
      </c>
      <c r="M170" s="13" t="s">
        <v>544</v>
      </c>
      <c r="N170" s="13" t="b">
        <f>第3日!I33="待设计"</f>
        <v>0</v>
      </c>
      <c r="O170" s="13">
        <v>4</v>
      </c>
      <c r="P170" s="13" t="str">
        <f>IF(第3日!B39="","",IFERROR(VLOOKUP(第3日!B39,敌人目录!$A$6:$B$68,2,FALSE),""))</f>
        <v>yuanshi_insect_bomber</v>
      </c>
      <c r="Q170" s="13">
        <f>IF(第3日!B39="","",第3日!C39)</f>
        <v>20</v>
      </c>
      <c r="R170" s="13">
        <v>-1</v>
      </c>
      <c r="S170" s="13" t="str">
        <f>IF(第3日!B39="","",第3日!I39)</f>
        <v>可回读</v>
      </c>
    </row>
    <row r="171" spans="1:19" ht="16.5">
      <c r="A171" s="13">
        <v>3</v>
      </c>
      <c r="B171" s="13" t="s">
        <v>545</v>
      </c>
      <c r="C171" s="13">
        <v>10</v>
      </c>
      <c r="D171" s="13">
        <v>3</v>
      </c>
      <c r="E171" s="13">
        <v>2</v>
      </c>
      <c r="F171" s="13" t="s">
        <v>52</v>
      </c>
      <c r="G171" s="13" t="str">
        <f>第3日!B32</f>
        <v>第10波</v>
      </c>
      <c r="H171" s="13">
        <f>IF(第3日!B33="点1·开启",1,0)+IF(第3日!C33="点2·开启",2,0)+IF(第3日!D33="点3·开启",4,0)+IF(第3日!E33="点4·开启",8,0)+IF(第3日!F33="点5·开启",16,0)+IF(第3日!G33="点6·开启",32,0)</f>
        <v>63</v>
      </c>
      <c r="I171" s="13">
        <f>第3日!E32</f>
        <v>0.26</v>
      </c>
      <c r="J171" s="13">
        <f>第3日!G32</f>
        <v>1</v>
      </c>
      <c r="K171" s="13">
        <f>第3日!I32</f>
        <v>300</v>
      </c>
      <c r="L171" s="13" t="s">
        <v>543</v>
      </c>
      <c r="M171" s="13" t="s">
        <v>544</v>
      </c>
      <c r="N171" s="13" t="b">
        <f>第3日!I33="待设计"</f>
        <v>0</v>
      </c>
      <c r="O171" s="13">
        <v>5</v>
      </c>
      <c r="P171" s="13" t="str">
        <f>IF(第3日!B40="","",IFERROR(VLOOKUP(第3日!B40,敌人目录!$A$6:$B$68,2,FALSE),""))</f>
        <v>yuanshi_insect_purple_bomber</v>
      </c>
      <c r="Q171" s="13">
        <f>IF(第3日!B40="","",第3日!C40)</f>
        <v>16</v>
      </c>
      <c r="R171" s="13">
        <v>-1</v>
      </c>
      <c r="S171" s="13" t="str">
        <f>IF(第3日!B40="","",第3日!I40)</f>
        <v>可回读</v>
      </c>
    </row>
    <row r="172" spans="1:19" ht="16.5">
      <c r="A172" s="13">
        <v>3</v>
      </c>
      <c r="B172" s="13" t="s">
        <v>545</v>
      </c>
      <c r="C172" s="13">
        <v>10</v>
      </c>
      <c r="D172" s="13">
        <v>3</v>
      </c>
      <c r="E172" s="13">
        <v>2</v>
      </c>
      <c r="F172" s="13" t="s">
        <v>52</v>
      </c>
      <c r="G172" s="13" t="str">
        <f>第3日!B32</f>
        <v>第10波</v>
      </c>
      <c r="H172" s="13">
        <f>IF(第3日!B33="点1·开启",1,0)+IF(第3日!C33="点2·开启",2,0)+IF(第3日!D33="点3·开启",4,0)+IF(第3日!E33="点4·开启",8,0)+IF(第3日!F33="点5·开启",16,0)+IF(第3日!G33="点6·开启",32,0)</f>
        <v>63</v>
      </c>
      <c r="I172" s="13">
        <f>第3日!E32</f>
        <v>0.26</v>
      </c>
      <c r="J172" s="13">
        <f>第3日!G32</f>
        <v>1</v>
      </c>
      <c r="K172" s="13">
        <f>第3日!I32</f>
        <v>300</v>
      </c>
      <c r="L172" s="13" t="s">
        <v>543</v>
      </c>
      <c r="M172" s="13" t="s">
        <v>544</v>
      </c>
      <c r="N172" s="13" t="b">
        <f>第3日!I33="待设计"</f>
        <v>0</v>
      </c>
      <c r="O172" s="13">
        <v>6</v>
      </c>
      <c r="P172" s="13" t="str">
        <f>IF(第3日!B41="","",IFERROR(VLOOKUP(第3日!B41,敌人目录!$A$6:$B$68,2,FALSE),""))</f>
        <v>yuanshi_insect_fire_ranged</v>
      </c>
      <c r="Q172" s="13">
        <f>IF(第3日!B41="","",第3日!C41)</f>
        <v>20</v>
      </c>
      <c r="R172" s="13">
        <v>-1</v>
      </c>
      <c r="S172" s="13" t="str">
        <f>IF(第3日!B41="","",第3日!I41)</f>
        <v>可回读</v>
      </c>
    </row>
    <row r="173" spans="1:19" ht="16.5">
      <c r="A173" s="13">
        <v>3</v>
      </c>
      <c r="B173" s="13" t="s">
        <v>545</v>
      </c>
      <c r="C173" s="13">
        <v>10</v>
      </c>
      <c r="D173" s="13">
        <v>3</v>
      </c>
      <c r="E173" s="13">
        <v>2</v>
      </c>
      <c r="F173" s="13" t="s">
        <v>52</v>
      </c>
      <c r="G173" s="13" t="str">
        <f>第3日!B32</f>
        <v>第10波</v>
      </c>
      <c r="H173" s="13">
        <f>IF(第3日!B33="点1·开启",1,0)+IF(第3日!C33="点2·开启",2,0)+IF(第3日!D33="点3·开启",4,0)+IF(第3日!E33="点4·开启",8,0)+IF(第3日!F33="点5·开启",16,0)+IF(第3日!G33="点6·开启",32,0)</f>
        <v>63</v>
      </c>
      <c r="I173" s="13">
        <f>第3日!E32</f>
        <v>0.26</v>
      </c>
      <c r="J173" s="13">
        <f>第3日!G32</f>
        <v>1</v>
      </c>
      <c r="K173" s="13">
        <f>第3日!I32</f>
        <v>300</v>
      </c>
      <c r="L173" s="13" t="s">
        <v>543</v>
      </c>
      <c r="M173" s="13" t="s">
        <v>544</v>
      </c>
      <c r="N173" s="13" t="b">
        <f>第3日!I33="待设计"</f>
        <v>0</v>
      </c>
      <c r="O173" s="13">
        <v>7</v>
      </c>
      <c r="P173" s="13" t="str">
        <f>IF(第3日!B42="","",IFERROR(VLOOKUP(第3日!B42,敌人目录!$A$6:$B$68,2,FALSE),""))</f>
        <v>yuanshi_insect_green_shell</v>
      </c>
      <c r="Q173" s="13">
        <f>IF(第3日!B42="","",第3日!C42)</f>
        <v>16</v>
      </c>
      <c r="R173" s="13">
        <v>-1</v>
      </c>
      <c r="S173" s="13" t="str">
        <f>IF(第3日!B42="","",第3日!I42)</f>
        <v>可回读</v>
      </c>
    </row>
    <row r="174" spans="1:19" ht="16.5">
      <c r="A174" s="13">
        <v>3</v>
      </c>
      <c r="B174" s="13" t="s">
        <v>545</v>
      </c>
      <c r="C174" s="13">
        <v>10</v>
      </c>
      <c r="D174" s="13">
        <v>3</v>
      </c>
      <c r="E174" s="13">
        <v>2</v>
      </c>
      <c r="F174" s="13" t="s">
        <v>52</v>
      </c>
      <c r="G174" s="13" t="str">
        <f>第3日!B32</f>
        <v>第10波</v>
      </c>
      <c r="H174" s="13">
        <f>IF(第3日!B33="点1·开启",1,0)+IF(第3日!C33="点2·开启",2,0)+IF(第3日!D33="点3·开启",4,0)+IF(第3日!E33="点4·开启",8,0)+IF(第3日!F33="点5·开启",16,0)+IF(第3日!G33="点6·开启",32,0)</f>
        <v>63</v>
      </c>
      <c r="I174" s="13">
        <f>第3日!E32</f>
        <v>0.26</v>
      </c>
      <c r="J174" s="13">
        <f>第3日!G32</f>
        <v>1</v>
      </c>
      <c r="K174" s="13">
        <f>第3日!I32</f>
        <v>300</v>
      </c>
      <c r="L174" s="13" t="s">
        <v>543</v>
      </c>
      <c r="M174" s="13" t="s">
        <v>544</v>
      </c>
      <c r="N174" s="13" t="b">
        <f>第3日!I33="待设计"</f>
        <v>0</v>
      </c>
      <c r="O174" s="13">
        <v>8</v>
      </c>
      <c r="P174" s="13" t="str">
        <f>IF(第3日!B43="","",IFERROR(VLOOKUP(第3日!B43,敌人目录!$A$6:$B$68,2,FALSE),""))</f>
        <v>yuanshi_insect_guardian</v>
      </c>
      <c r="Q174" s="13">
        <f>IF(第3日!B43="","",第3日!C43)</f>
        <v>16</v>
      </c>
      <c r="R174" s="13">
        <v>-1</v>
      </c>
      <c r="S174" s="13" t="str">
        <f>IF(第3日!B43="","",第3日!I43)</f>
        <v>可回读</v>
      </c>
    </row>
    <row r="175" spans="1:19" ht="16.5">
      <c r="A175" s="13">
        <v>3</v>
      </c>
      <c r="B175" s="13" t="s">
        <v>545</v>
      </c>
      <c r="C175" s="13">
        <v>10</v>
      </c>
      <c r="D175" s="13">
        <v>3</v>
      </c>
      <c r="E175" s="13">
        <v>2</v>
      </c>
      <c r="F175" s="13" t="s">
        <v>52</v>
      </c>
      <c r="G175" s="13" t="str">
        <f>第3日!B32</f>
        <v>第10波</v>
      </c>
      <c r="H175" s="13">
        <f>IF(第3日!B33="点1·开启",1,0)+IF(第3日!C33="点2·开启",2,0)+IF(第3日!D33="点3·开启",4,0)+IF(第3日!E33="点4·开启",8,0)+IF(第3日!F33="点5·开启",16,0)+IF(第3日!G33="点6·开启",32,0)</f>
        <v>63</v>
      </c>
      <c r="I175" s="13">
        <f>第3日!E32</f>
        <v>0.26</v>
      </c>
      <c r="J175" s="13">
        <f>第3日!G32</f>
        <v>1</v>
      </c>
      <c r="K175" s="13">
        <f>第3日!I32</f>
        <v>300</v>
      </c>
      <c r="L175" s="13" t="s">
        <v>543</v>
      </c>
      <c r="M175" s="13" t="s">
        <v>544</v>
      </c>
      <c r="N175" s="13" t="b">
        <f>第3日!I33="待设计"</f>
        <v>0</v>
      </c>
      <c r="O175" s="13">
        <v>9</v>
      </c>
      <c r="P175" s="13" t="str">
        <f>IF(第3日!B44="","",IFERROR(VLOOKUP(第3日!B44,敌人目录!$A$6:$B$68,2,FALSE),""))</f>
        <v>capoo_ak47</v>
      </c>
      <c r="Q175" s="13">
        <f>IF(第3日!B44="","",第3日!C44)</f>
        <v>2</v>
      </c>
      <c r="R175" s="13">
        <v>-1</v>
      </c>
      <c r="S175" s="13" t="str">
        <f>IF(第3日!B44="","",第3日!I44)</f>
        <v>可回读</v>
      </c>
    </row>
    <row r="176" spans="1:19" ht="16.5">
      <c r="A176" s="13">
        <v>3</v>
      </c>
      <c r="B176" s="13" t="s">
        <v>545</v>
      </c>
      <c r="C176" s="13">
        <v>10</v>
      </c>
      <c r="D176" s="13">
        <v>3</v>
      </c>
      <c r="E176" s="13">
        <v>2</v>
      </c>
      <c r="F176" s="13" t="s">
        <v>52</v>
      </c>
      <c r="G176" s="13" t="str">
        <f>第3日!B32</f>
        <v>第10波</v>
      </c>
      <c r="H176" s="13">
        <f>IF(第3日!B33="点1·开启",1,0)+IF(第3日!C33="点2·开启",2,0)+IF(第3日!D33="点3·开启",4,0)+IF(第3日!E33="点4·开启",8,0)+IF(第3日!F33="点5·开启",16,0)+IF(第3日!G33="点6·开启",32,0)</f>
        <v>63</v>
      </c>
      <c r="I176" s="13">
        <f>第3日!E32</f>
        <v>0.26</v>
      </c>
      <c r="J176" s="13">
        <f>第3日!G32</f>
        <v>1</v>
      </c>
      <c r="K176" s="13">
        <f>第3日!I32</f>
        <v>300</v>
      </c>
      <c r="L176" s="13" t="s">
        <v>543</v>
      </c>
      <c r="M176" s="13" t="s">
        <v>544</v>
      </c>
      <c r="N176" s="13" t="b">
        <f>第3日!I33="待设计"</f>
        <v>0</v>
      </c>
      <c r="O176" s="13">
        <v>10</v>
      </c>
      <c r="P176" s="13" t="str">
        <f>IF(第3日!B45="","",IFERROR(VLOOKUP(第3日!B45,敌人目录!$A$6:$B$68,2,FALSE),""))</f>
        <v>capoo_knight</v>
      </c>
      <c r="Q176" s="13">
        <f>IF(第3日!B45="","",第3日!C45)</f>
        <v>2</v>
      </c>
      <c r="R176" s="13">
        <v>-1</v>
      </c>
      <c r="S176" s="13" t="str">
        <f>IF(第3日!B45="","",第3日!I45)</f>
        <v>可回读</v>
      </c>
    </row>
    <row r="177" spans="1:19" ht="16.5">
      <c r="A177" s="13">
        <v>3</v>
      </c>
      <c r="B177" s="13" t="s">
        <v>545</v>
      </c>
      <c r="C177" s="13">
        <v>10</v>
      </c>
      <c r="D177" s="13">
        <v>3</v>
      </c>
      <c r="E177" s="13">
        <v>2</v>
      </c>
      <c r="F177" s="13" t="s">
        <v>52</v>
      </c>
      <c r="G177" s="13" t="str">
        <f>第3日!B32</f>
        <v>第10波</v>
      </c>
      <c r="H177" s="13">
        <f>IF(第3日!B33="点1·开启",1,0)+IF(第3日!C33="点2·开启",2,0)+IF(第3日!D33="点3·开启",4,0)+IF(第3日!E33="点4·开启",8,0)+IF(第3日!F33="点5·开启",16,0)+IF(第3日!G33="点6·开启",32,0)</f>
        <v>63</v>
      </c>
      <c r="I177" s="13">
        <f>第3日!E32</f>
        <v>0.26</v>
      </c>
      <c r="J177" s="13">
        <f>第3日!G32</f>
        <v>1</v>
      </c>
      <c r="K177" s="13">
        <f>第3日!I32</f>
        <v>300</v>
      </c>
      <c r="L177" s="13" t="s">
        <v>543</v>
      </c>
      <c r="M177" s="13" t="s">
        <v>544</v>
      </c>
      <c r="N177" s="13" t="b">
        <f>第3日!I33="待设计"</f>
        <v>0</v>
      </c>
      <c r="O177" s="13">
        <v>11</v>
      </c>
      <c r="P177" s="13" t="str">
        <f>IF(第3日!B46="","",IFERROR(VLOOKUP(第3日!B46,敌人目录!$A$6:$B$68,2,FALSE),""))</f>
        <v/>
      </c>
      <c r="Q177" s="13" t="str">
        <f>IF(第3日!B46="","",第3日!C46)</f>
        <v/>
      </c>
      <c r="R177" s="13">
        <v>-1</v>
      </c>
      <c r="S177" s="13" t="str">
        <f>IF(第3日!B46="","",第3日!I46)</f>
        <v/>
      </c>
    </row>
    <row r="178" spans="1:19" ht="16.5">
      <c r="A178" s="13">
        <v>3</v>
      </c>
      <c r="B178" s="13" t="s">
        <v>545</v>
      </c>
      <c r="C178" s="13">
        <v>10</v>
      </c>
      <c r="D178" s="13">
        <v>3</v>
      </c>
      <c r="E178" s="13">
        <v>2</v>
      </c>
      <c r="F178" s="13" t="s">
        <v>52</v>
      </c>
      <c r="G178" s="13" t="str">
        <f>第3日!B32</f>
        <v>第10波</v>
      </c>
      <c r="H178" s="13">
        <f>IF(第3日!B33="点1·开启",1,0)+IF(第3日!C33="点2·开启",2,0)+IF(第3日!D33="点3·开启",4,0)+IF(第3日!E33="点4·开启",8,0)+IF(第3日!F33="点5·开启",16,0)+IF(第3日!G33="点6·开启",32,0)</f>
        <v>63</v>
      </c>
      <c r="I178" s="13">
        <f>第3日!E32</f>
        <v>0.26</v>
      </c>
      <c r="J178" s="13">
        <f>第3日!G32</f>
        <v>1</v>
      </c>
      <c r="K178" s="13">
        <f>第3日!I32</f>
        <v>300</v>
      </c>
      <c r="L178" s="13" t="s">
        <v>543</v>
      </c>
      <c r="M178" s="13" t="s">
        <v>544</v>
      </c>
      <c r="N178" s="13" t="b">
        <f>第3日!I33="待设计"</f>
        <v>0</v>
      </c>
      <c r="O178" s="13">
        <v>12</v>
      </c>
      <c r="P178" s="13" t="str">
        <f>IF(第3日!B47="","",IFERROR(VLOOKUP(第3日!B47,敌人目录!$A$6:$B$68,2,FALSE),""))</f>
        <v/>
      </c>
      <c r="Q178" s="13" t="str">
        <f>IF(第3日!B47="","",第3日!C47)</f>
        <v/>
      </c>
      <c r="R178" s="13">
        <v>-1</v>
      </c>
      <c r="S178" s="13" t="str">
        <f>IF(第3日!B47="","",第3日!I47)</f>
        <v/>
      </c>
    </row>
    <row r="179" spans="1:19" ht="16.5">
      <c r="A179" s="13">
        <v>3</v>
      </c>
      <c r="B179" s="13" t="s">
        <v>545</v>
      </c>
      <c r="C179" s="13">
        <v>10</v>
      </c>
      <c r="D179" s="13">
        <v>3</v>
      </c>
      <c r="E179" s="13">
        <v>2</v>
      </c>
      <c r="F179" s="13" t="s">
        <v>52</v>
      </c>
      <c r="G179" s="13" t="str">
        <f>第3日!B32</f>
        <v>第10波</v>
      </c>
      <c r="H179" s="13">
        <f>IF(第3日!B33="点1·开启",1,0)+IF(第3日!C33="点2·开启",2,0)+IF(第3日!D33="点3·开启",4,0)+IF(第3日!E33="点4·开启",8,0)+IF(第3日!F33="点5·开启",16,0)+IF(第3日!G33="点6·开启",32,0)</f>
        <v>63</v>
      </c>
      <c r="I179" s="13">
        <f>第3日!E32</f>
        <v>0.26</v>
      </c>
      <c r="J179" s="13">
        <f>第3日!G32</f>
        <v>1</v>
      </c>
      <c r="K179" s="13">
        <f>第3日!I32</f>
        <v>300</v>
      </c>
      <c r="L179" s="13" t="s">
        <v>543</v>
      </c>
      <c r="M179" s="13" t="s">
        <v>544</v>
      </c>
      <c r="N179" s="13" t="b">
        <f>第3日!I33="待设计"</f>
        <v>0</v>
      </c>
      <c r="O179" s="13">
        <v>13</v>
      </c>
      <c r="P179" s="13" t="str">
        <f>IF(第3日!B48="","",IFERROR(VLOOKUP(第3日!B48,敌人目录!$A$6:$B$68,2,FALSE),""))</f>
        <v/>
      </c>
      <c r="Q179" s="13" t="str">
        <f>IF(第3日!B48="","",第3日!C48)</f>
        <v/>
      </c>
      <c r="R179" s="13">
        <v>-1</v>
      </c>
      <c r="S179" s="13" t="str">
        <f>IF(第3日!B48="","",第3日!I48)</f>
        <v/>
      </c>
    </row>
    <row r="180" spans="1:19" ht="16.5">
      <c r="A180" s="13">
        <v>3</v>
      </c>
      <c r="B180" s="13" t="s">
        <v>545</v>
      </c>
      <c r="C180" s="13">
        <v>10</v>
      </c>
      <c r="D180" s="13">
        <v>3</v>
      </c>
      <c r="E180" s="13">
        <v>2</v>
      </c>
      <c r="F180" s="13" t="s">
        <v>52</v>
      </c>
      <c r="G180" s="13" t="str">
        <f>第3日!B32</f>
        <v>第10波</v>
      </c>
      <c r="H180" s="13">
        <f>IF(第3日!B33="点1·开启",1,0)+IF(第3日!C33="点2·开启",2,0)+IF(第3日!D33="点3·开启",4,0)+IF(第3日!E33="点4·开启",8,0)+IF(第3日!F33="点5·开启",16,0)+IF(第3日!G33="点6·开启",32,0)</f>
        <v>63</v>
      </c>
      <c r="I180" s="13">
        <f>第3日!E32</f>
        <v>0.26</v>
      </c>
      <c r="J180" s="13">
        <f>第3日!G32</f>
        <v>1</v>
      </c>
      <c r="K180" s="13">
        <f>第3日!I32</f>
        <v>300</v>
      </c>
      <c r="L180" s="13" t="s">
        <v>543</v>
      </c>
      <c r="M180" s="13" t="s">
        <v>544</v>
      </c>
      <c r="N180" s="13" t="b">
        <f>第3日!I33="待设计"</f>
        <v>0</v>
      </c>
      <c r="O180" s="13">
        <v>14</v>
      </c>
      <c r="P180" s="13" t="str">
        <f>IF(第3日!B49="","",IFERROR(VLOOKUP(第3日!B49,敌人目录!$A$6:$B$68,2,FALSE),""))</f>
        <v/>
      </c>
      <c r="Q180" s="13" t="str">
        <f>IF(第3日!B49="","",第3日!C49)</f>
        <v/>
      </c>
      <c r="R180" s="13">
        <v>-1</v>
      </c>
      <c r="S180" s="13" t="str">
        <f>IF(第3日!B49="","",第3日!I49)</f>
        <v/>
      </c>
    </row>
    <row r="181" spans="1:19" ht="16.5">
      <c r="A181" s="13">
        <v>3</v>
      </c>
      <c r="B181" s="13" t="s">
        <v>545</v>
      </c>
      <c r="C181" s="13">
        <v>10</v>
      </c>
      <c r="D181" s="13">
        <v>3</v>
      </c>
      <c r="E181" s="13">
        <v>2</v>
      </c>
      <c r="F181" s="13" t="s">
        <v>52</v>
      </c>
      <c r="G181" s="13" t="str">
        <f>第3日!B32</f>
        <v>第10波</v>
      </c>
      <c r="H181" s="13">
        <f>IF(第3日!B33="点1·开启",1,0)+IF(第3日!C33="点2·开启",2,0)+IF(第3日!D33="点3·开启",4,0)+IF(第3日!E33="点4·开启",8,0)+IF(第3日!F33="点5·开启",16,0)+IF(第3日!G33="点6·开启",32,0)</f>
        <v>63</v>
      </c>
      <c r="I181" s="13">
        <f>第3日!E32</f>
        <v>0.26</v>
      </c>
      <c r="J181" s="13">
        <f>第3日!G32</f>
        <v>1</v>
      </c>
      <c r="K181" s="13">
        <f>第3日!I32</f>
        <v>300</v>
      </c>
      <c r="L181" s="13" t="s">
        <v>543</v>
      </c>
      <c r="M181" s="13" t="s">
        <v>544</v>
      </c>
      <c r="N181" s="13" t="b">
        <f>第3日!I33="待设计"</f>
        <v>0</v>
      </c>
      <c r="O181" s="13">
        <v>15</v>
      </c>
      <c r="P181" s="13" t="str">
        <f>IF(第3日!B50="","",IFERROR(VLOOKUP(第3日!B50,敌人目录!$A$6:$B$68,2,FALSE),""))</f>
        <v/>
      </c>
      <c r="Q181" s="13" t="str">
        <f>IF(第3日!B50="","",第3日!C50)</f>
        <v/>
      </c>
      <c r="R181" s="13">
        <v>-1</v>
      </c>
      <c r="S181" s="13" t="str">
        <f>IF(第3日!B50="","",第3日!I50)</f>
        <v/>
      </c>
    </row>
    <row r="182" spans="1:19" ht="16.5">
      <c r="A182" s="13">
        <v>3</v>
      </c>
      <c r="B182" s="13" t="s">
        <v>545</v>
      </c>
      <c r="C182" s="13">
        <v>10</v>
      </c>
      <c r="D182" s="13">
        <v>3</v>
      </c>
      <c r="E182" s="13">
        <v>2</v>
      </c>
      <c r="F182" s="13" t="s">
        <v>52</v>
      </c>
      <c r="G182" s="13" t="str">
        <f>第3日!B32</f>
        <v>第10波</v>
      </c>
      <c r="H182" s="13">
        <f>IF(第3日!B33="点1·开启",1,0)+IF(第3日!C33="点2·开启",2,0)+IF(第3日!D33="点3·开启",4,0)+IF(第3日!E33="点4·开启",8,0)+IF(第3日!F33="点5·开启",16,0)+IF(第3日!G33="点6·开启",32,0)</f>
        <v>63</v>
      </c>
      <c r="I182" s="13">
        <f>第3日!E32</f>
        <v>0.26</v>
      </c>
      <c r="J182" s="13">
        <f>第3日!G32</f>
        <v>1</v>
      </c>
      <c r="K182" s="13">
        <f>第3日!I32</f>
        <v>300</v>
      </c>
      <c r="L182" s="13" t="s">
        <v>543</v>
      </c>
      <c r="M182" s="13" t="s">
        <v>544</v>
      </c>
      <c r="N182" s="13" t="b">
        <f>第3日!I33="待设计"</f>
        <v>0</v>
      </c>
      <c r="O182" s="13">
        <v>16</v>
      </c>
      <c r="P182" s="13" t="str">
        <f>IF(第3日!B51="","",IFERROR(VLOOKUP(第3日!B51,敌人目录!$A$6:$B$68,2,FALSE),""))</f>
        <v/>
      </c>
      <c r="Q182" s="13" t="str">
        <f>IF(第3日!B51="","",第3日!C51)</f>
        <v/>
      </c>
      <c r="R182" s="13">
        <v>-1</v>
      </c>
      <c r="S182" s="13" t="str">
        <f>IF(第3日!B51="","",第3日!I51)</f>
        <v/>
      </c>
    </row>
    <row r="183" spans="1:19" ht="16.5">
      <c r="A183" s="13">
        <v>3</v>
      </c>
      <c r="B183" s="13" t="s">
        <v>545</v>
      </c>
      <c r="C183" s="13">
        <v>10</v>
      </c>
      <c r="D183" s="13">
        <v>3</v>
      </c>
      <c r="E183" s="13">
        <v>2</v>
      </c>
      <c r="F183" s="13" t="s">
        <v>52</v>
      </c>
      <c r="G183" s="13" t="str">
        <f>第3日!B32</f>
        <v>第10波</v>
      </c>
      <c r="H183" s="13">
        <f>IF(第3日!B33="点1·开启",1,0)+IF(第3日!C33="点2·开启",2,0)+IF(第3日!D33="点3·开启",4,0)+IF(第3日!E33="点4·开启",8,0)+IF(第3日!F33="点5·开启",16,0)+IF(第3日!G33="点6·开启",32,0)</f>
        <v>63</v>
      </c>
      <c r="I183" s="13">
        <f>第3日!E32</f>
        <v>0.26</v>
      </c>
      <c r="J183" s="13">
        <f>第3日!G32</f>
        <v>1</v>
      </c>
      <c r="K183" s="13">
        <f>第3日!I32</f>
        <v>300</v>
      </c>
      <c r="L183" s="13" t="s">
        <v>543</v>
      </c>
      <c r="M183" s="13" t="s">
        <v>544</v>
      </c>
      <c r="N183" s="13" t="b">
        <f>第3日!I33="待设计"</f>
        <v>0</v>
      </c>
      <c r="O183" s="13">
        <v>17</v>
      </c>
      <c r="P183" s="13" t="str">
        <f>IF(第3日!B52="","",IFERROR(VLOOKUP(第3日!B52,敌人目录!$A$6:$B$68,2,FALSE),""))</f>
        <v/>
      </c>
      <c r="Q183" s="13" t="str">
        <f>IF(第3日!B52="","",第3日!C52)</f>
        <v/>
      </c>
      <c r="R183" s="13">
        <v>-1</v>
      </c>
      <c r="S183" s="13" t="str">
        <f>IF(第3日!B52="","",第3日!I52)</f>
        <v/>
      </c>
    </row>
    <row r="184" spans="1:19" ht="16.5">
      <c r="A184" s="13">
        <v>3</v>
      </c>
      <c r="B184" s="13" t="s">
        <v>545</v>
      </c>
      <c r="C184" s="13">
        <v>10</v>
      </c>
      <c r="D184" s="13">
        <v>3</v>
      </c>
      <c r="E184" s="13">
        <v>2</v>
      </c>
      <c r="F184" s="13" t="s">
        <v>52</v>
      </c>
      <c r="G184" s="13" t="str">
        <f>第3日!B32</f>
        <v>第10波</v>
      </c>
      <c r="H184" s="13">
        <f>IF(第3日!B33="点1·开启",1,0)+IF(第3日!C33="点2·开启",2,0)+IF(第3日!D33="点3·开启",4,0)+IF(第3日!E33="点4·开启",8,0)+IF(第3日!F33="点5·开启",16,0)+IF(第3日!G33="点6·开启",32,0)</f>
        <v>63</v>
      </c>
      <c r="I184" s="13">
        <f>第3日!E32</f>
        <v>0.26</v>
      </c>
      <c r="J184" s="13">
        <f>第3日!G32</f>
        <v>1</v>
      </c>
      <c r="K184" s="13">
        <f>第3日!I32</f>
        <v>300</v>
      </c>
      <c r="L184" s="13" t="s">
        <v>543</v>
      </c>
      <c r="M184" s="13" t="s">
        <v>544</v>
      </c>
      <c r="N184" s="13" t="b">
        <f>第3日!I33="待设计"</f>
        <v>0</v>
      </c>
      <c r="O184" s="13">
        <v>18</v>
      </c>
      <c r="P184" s="13" t="str">
        <f>IF(第3日!B53="","",IFERROR(VLOOKUP(第3日!B53,敌人目录!$A$6:$B$68,2,FALSE),""))</f>
        <v/>
      </c>
      <c r="Q184" s="13" t="str">
        <f>IF(第3日!B53="","",第3日!C53)</f>
        <v/>
      </c>
      <c r="R184" s="13">
        <v>-1</v>
      </c>
      <c r="S184" s="13" t="str">
        <f>IF(第3日!B53="","",第3日!I53)</f>
        <v/>
      </c>
    </row>
    <row r="185" spans="1:19" ht="16.5">
      <c r="A185" s="13">
        <v>3</v>
      </c>
      <c r="B185" s="13" t="s">
        <v>546</v>
      </c>
      <c r="C185" s="13">
        <v>11</v>
      </c>
      <c r="D185" s="13">
        <v>3</v>
      </c>
      <c r="E185" s="13">
        <v>3</v>
      </c>
      <c r="F185" s="13" t="s">
        <v>55</v>
      </c>
      <c r="G185" s="13" t="str">
        <f>第3日!B61</f>
        <v>第11波</v>
      </c>
      <c r="H185" s="13">
        <f>IF(第3日!B62="点1·开启",1,0)+IF(第3日!C62="点2·开启",2,0)+IF(第3日!D62="点3·开启",4,0)+IF(第3日!E62="点4·开启",8,0)+IF(第3日!F62="点5·开启",16,0)+IF(第3日!G62="点6·开启",32,0)</f>
        <v>63</v>
      </c>
      <c r="I185" s="13">
        <f>第3日!E61</f>
        <v>0.24</v>
      </c>
      <c r="J185" s="13">
        <f>第3日!G61</f>
        <v>1</v>
      </c>
      <c r="K185" s="13">
        <f>第3日!I61</f>
        <v>300</v>
      </c>
      <c r="L185" s="13" t="s">
        <v>543</v>
      </c>
      <c r="M185" s="13" t="s">
        <v>544</v>
      </c>
      <c r="N185" s="13" t="b">
        <f>第3日!I62="待设计"</f>
        <v>0</v>
      </c>
      <c r="O185" s="13">
        <v>1</v>
      </c>
      <c r="P185" s="13" t="str">
        <f>IF(第3日!B65="","",IFERROR(VLOOKUP(第3日!B65,敌人目录!$A$6:$B$68,2,FALSE),""))</f>
        <v>yuanshi_insect_basic</v>
      </c>
      <c r="Q185" s="13">
        <f>IF(第3日!B65="","",第3日!C65)</f>
        <v>46</v>
      </c>
      <c r="R185" s="13">
        <v>-1</v>
      </c>
      <c r="S185" s="13" t="str">
        <f>IF(第3日!B65="","",第3日!I65)</f>
        <v>可回读</v>
      </c>
    </row>
    <row r="186" spans="1:19" ht="16.5">
      <c r="A186" s="13">
        <v>3</v>
      </c>
      <c r="B186" s="13" t="s">
        <v>546</v>
      </c>
      <c r="C186" s="13">
        <v>11</v>
      </c>
      <c r="D186" s="13">
        <v>3</v>
      </c>
      <c r="E186" s="13">
        <v>3</v>
      </c>
      <c r="F186" s="13" t="s">
        <v>55</v>
      </c>
      <c r="G186" s="13" t="str">
        <f>第3日!B61</f>
        <v>第11波</v>
      </c>
      <c r="H186" s="13">
        <f>IF(第3日!B62="点1·开启",1,0)+IF(第3日!C62="点2·开启",2,0)+IF(第3日!D62="点3·开启",4,0)+IF(第3日!E62="点4·开启",8,0)+IF(第3日!F62="点5·开启",16,0)+IF(第3日!G62="点6·开启",32,0)</f>
        <v>63</v>
      </c>
      <c r="I186" s="13">
        <f>第3日!E61</f>
        <v>0.24</v>
      </c>
      <c r="J186" s="13">
        <f>第3日!G61</f>
        <v>1</v>
      </c>
      <c r="K186" s="13">
        <f>第3日!I61</f>
        <v>300</v>
      </c>
      <c r="L186" s="13" t="s">
        <v>543</v>
      </c>
      <c r="M186" s="13" t="s">
        <v>544</v>
      </c>
      <c r="N186" s="13" t="b">
        <f>第3日!I62="待设计"</f>
        <v>0</v>
      </c>
      <c r="O186" s="13">
        <v>2</v>
      </c>
      <c r="P186" s="13" t="str">
        <f>IF(第3日!B66="","",IFERROR(VLOOKUP(第3日!B66,敌人目录!$A$6:$B$68,2,FALSE),""))</f>
        <v>yuanshi_insect_fast</v>
      </c>
      <c r="Q186" s="13">
        <f>IF(第3日!B66="","",第3日!C66)</f>
        <v>20</v>
      </c>
      <c r="R186" s="13">
        <v>-1</v>
      </c>
      <c r="S186" s="13" t="str">
        <f>IF(第3日!B66="","",第3日!I66)</f>
        <v>可回读</v>
      </c>
    </row>
    <row r="187" spans="1:19" ht="16.5">
      <c r="A187" s="13">
        <v>3</v>
      </c>
      <c r="B187" s="13" t="s">
        <v>546</v>
      </c>
      <c r="C187" s="13">
        <v>11</v>
      </c>
      <c r="D187" s="13">
        <v>3</v>
      </c>
      <c r="E187" s="13">
        <v>3</v>
      </c>
      <c r="F187" s="13" t="s">
        <v>55</v>
      </c>
      <c r="G187" s="13" t="str">
        <f>第3日!B61</f>
        <v>第11波</v>
      </c>
      <c r="H187" s="13">
        <f>IF(第3日!B62="点1·开启",1,0)+IF(第3日!C62="点2·开启",2,0)+IF(第3日!D62="点3·开启",4,0)+IF(第3日!E62="点4·开启",8,0)+IF(第3日!F62="点5·开启",16,0)+IF(第3日!G62="点6·开启",32,0)</f>
        <v>63</v>
      </c>
      <c r="I187" s="13">
        <f>第3日!E61</f>
        <v>0.24</v>
      </c>
      <c r="J187" s="13">
        <f>第3日!G61</f>
        <v>1</v>
      </c>
      <c r="K187" s="13">
        <f>第3日!I61</f>
        <v>300</v>
      </c>
      <c r="L187" s="13" t="s">
        <v>543</v>
      </c>
      <c r="M187" s="13" t="s">
        <v>544</v>
      </c>
      <c r="N187" s="13" t="b">
        <f>第3日!I62="待设计"</f>
        <v>0</v>
      </c>
      <c r="O187" s="13">
        <v>3</v>
      </c>
      <c r="P187" s="13" t="str">
        <f>IF(第3日!B67="","",IFERROR(VLOOKUP(第3日!B67,敌人目录!$A$6:$B$68,2,FALSE),""))</f>
        <v>yuanshi_insect_shell</v>
      </c>
      <c r="Q187" s="13">
        <f>IF(第3日!B67="","",第3日!C67)</f>
        <v>20</v>
      </c>
      <c r="R187" s="13">
        <v>-1</v>
      </c>
      <c r="S187" s="13" t="str">
        <f>IF(第3日!B67="","",第3日!I67)</f>
        <v>可回读</v>
      </c>
    </row>
    <row r="188" spans="1:19" ht="16.5">
      <c r="A188" s="13">
        <v>3</v>
      </c>
      <c r="B188" s="13" t="s">
        <v>546</v>
      </c>
      <c r="C188" s="13">
        <v>11</v>
      </c>
      <c r="D188" s="13">
        <v>3</v>
      </c>
      <c r="E188" s="13">
        <v>3</v>
      </c>
      <c r="F188" s="13" t="s">
        <v>55</v>
      </c>
      <c r="G188" s="13" t="str">
        <f>第3日!B61</f>
        <v>第11波</v>
      </c>
      <c r="H188" s="13">
        <f>IF(第3日!B62="点1·开启",1,0)+IF(第3日!C62="点2·开启",2,0)+IF(第3日!D62="点3·开启",4,0)+IF(第3日!E62="点4·开启",8,0)+IF(第3日!F62="点5·开启",16,0)+IF(第3日!G62="点6·开启",32,0)</f>
        <v>63</v>
      </c>
      <c r="I188" s="13">
        <f>第3日!E61</f>
        <v>0.24</v>
      </c>
      <c r="J188" s="13">
        <f>第3日!G61</f>
        <v>1</v>
      </c>
      <c r="K188" s="13">
        <f>第3日!I61</f>
        <v>300</v>
      </c>
      <c r="L188" s="13" t="s">
        <v>543</v>
      </c>
      <c r="M188" s="13" t="s">
        <v>544</v>
      </c>
      <c r="N188" s="13" t="b">
        <f>第3日!I62="待设计"</f>
        <v>0</v>
      </c>
      <c r="O188" s="13">
        <v>4</v>
      </c>
      <c r="P188" s="13" t="str">
        <f>IF(第3日!B68="","",IFERROR(VLOOKUP(第3日!B68,敌人目录!$A$6:$B$68,2,FALSE),""))</f>
        <v>yuanshi_insect_bomber</v>
      </c>
      <c r="Q188" s="13">
        <f>IF(第3日!B68="","",第3日!C68)</f>
        <v>16</v>
      </c>
      <c r="R188" s="13">
        <v>-1</v>
      </c>
      <c r="S188" s="13" t="str">
        <f>IF(第3日!B68="","",第3日!I68)</f>
        <v>可回读</v>
      </c>
    </row>
    <row r="189" spans="1:19" ht="16.5">
      <c r="A189" s="13">
        <v>3</v>
      </c>
      <c r="B189" s="13" t="s">
        <v>546</v>
      </c>
      <c r="C189" s="13">
        <v>11</v>
      </c>
      <c r="D189" s="13">
        <v>3</v>
      </c>
      <c r="E189" s="13">
        <v>3</v>
      </c>
      <c r="F189" s="13" t="s">
        <v>55</v>
      </c>
      <c r="G189" s="13" t="str">
        <f>第3日!B61</f>
        <v>第11波</v>
      </c>
      <c r="H189" s="13">
        <f>IF(第3日!B62="点1·开启",1,0)+IF(第3日!C62="点2·开启",2,0)+IF(第3日!D62="点3·开启",4,0)+IF(第3日!E62="点4·开启",8,0)+IF(第3日!F62="点5·开启",16,0)+IF(第3日!G62="点6·开启",32,0)</f>
        <v>63</v>
      </c>
      <c r="I189" s="13">
        <f>第3日!E61</f>
        <v>0.24</v>
      </c>
      <c r="J189" s="13">
        <f>第3日!G61</f>
        <v>1</v>
      </c>
      <c r="K189" s="13">
        <f>第3日!I61</f>
        <v>300</v>
      </c>
      <c r="L189" s="13" t="s">
        <v>543</v>
      </c>
      <c r="M189" s="13" t="s">
        <v>544</v>
      </c>
      <c r="N189" s="13" t="b">
        <f>第3日!I62="待设计"</f>
        <v>0</v>
      </c>
      <c r="O189" s="13">
        <v>5</v>
      </c>
      <c r="P189" s="13" t="str">
        <f>IF(第3日!B69="","",IFERROR(VLOOKUP(第3日!B69,敌人目录!$A$6:$B$68,2,FALSE),""))</f>
        <v>yuanshi_insect_purple_bomber</v>
      </c>
      <c r="Q189" s="13">
        <f>IF(第3日!B69="","",第3日!C69)</f>
        <v>16</v>
      </c>
      <c r="R189" s="13">
        <v>-1</v>
      </c>
      <c r="S189" s="13" t="str">
        <f>IF(第3日!B69="","",第3日!I69)</f>
        <v>可回读</v>
      </c>
    </row>
    <row r="190" spans="1:19" ht="16.5">
      <c r="A190" s="13">
        <v>3</v>
      </c>
      <c r="B190" s="13" t="s">
        <v>546</v>
      </c>
      <c r="C190" s="13">
        <v>11</v>
      </c>
      <c r="D190" s="13">
        <v>3</v>
      </c>
      <c r="E190" s="13">
        <v>3</v>
      </c>
      <c r="F190" s="13" t="s">
        <v>55</v>
      </c>
      <c r="G190" s="13" t="str">
        <f>第3日!B61</f>
        <v>第11波</v>
      </c>
      <c r="H190" s="13">
        <f>IF(第3日!B62="点1·开启",1,0)+IF(第3日!C62="点2·开启",2,0)+IF(第3日!D62="点3·开启",4,0)+IF(第3日!E62="点4·开启",8,0)+IF(第3日!F62="点5·开启",16,0)+IF(第3日!G62="点6·开启",32,0)</f>
        <v>63</v>
      </c>
      <c r="I190" s="13">
        <f>第3日!E61</f>
        <v>0.24</v>
      </c>
      <c r="J190" s="13">
        <f>第3日!G61</f>
        <v>1</v>
      </c>
      <c r="K190" s="13">
        <f>第3日!I61</f>
        <v>300</v>
      </c>
      <c r="L190" s="13" t="s">
        <v>543</v>
      </c>
      <c r="M190" s="13" t="s">
        <v>544</v>
      </c>
      <c r="N190" s="13" t="b">
        <f>第3日!I62="待设计"</f>
        <v>0</v>
      </c>
      <c r="O190" s="13">
        <v>6</v>
      </c>
      <c r="P190" s="13" t="str">
        <f>IF(第3日!B70="","",IFERROR(VLOOKUP(第3日!B70,敌人目录!$A$6:$B$68,2,FALSE),""))</f>
        <v>yuanshi_insect_fire_ranged</v>
      </c>
      <c r="Q190" s="13">
        <f>IF(第3日!B70="","",第3日!C70)</f>
        <v>20</v>
      </c>
      <c r="R190" s="13">
        <v>-1</v>
      </c>
      <c r="S190" s="13" t="str">
        <f>IF(第3日!B70="","",第3日!I70)</f>
        <v>可回读</v>
      </c>
    </row>
    <row r="191" spans="1:19" ht="16.5">
      <c r="A191" s="13">
        <v>3</v>
      </c>
      <c r="B191" s="13" t="s">
        <v>546</v>
      </c>
      <c r="C191" s="13">
        <v>11</v>
      </c>
      <c r="D191" s="13">
        <v>3</v>
      </c>
      <c r="E191" s="13">
        <v>3</v>
      </c>
      <c r="F191" s="13" t="s">
        <v>55</v>
      </c>
      <c r="G191" s="13" t="str">
        <f>第3日!B61</f>
        <v>第11波</v>
      </c>
      <c r="H191" s="13">
        <f>IF(第3日!B62="点1·开启",1,0)+IF(第3日!C62="点2·开启",2,0)+IF(第3日!D62="点3·开启",4,0)+IF(第3日!E62="点4·开启",8,0)+IF(第3日!F62="点5·开启",16,0)+IF(第3日!G62="点6·开启",32,0)</f>
        <v>63</v>
      </c>
      <c r="I191" s="13">
        <f>第3日!E61</f>
        <v>0.24</v>
      </c>
      <c r="J191" s="13">
        <f>第3日!G61</f>
        <v>1</v>
      </c>
      <c r="K191" s="13">
        <f>第3日!I61</f>
        <v>300</v>
      </c>
      <c r="L191" s="13" t="s">
        <v>543</v>
      </c>
      <c r="M191" s="13" t="s">
        <v>544</v>
      </c>
      <c r="N191" s="13" t="b">
        <f>第3日!I62="待设计"</f>
        <v>0</v>
      </c>
      <c r="O191" s="13">
        <v>7</v>
      </c>
      <c r="P191" s="13" t="str">
        <f>IF(第3日!B71="","",IFERROR(VLOOKUP(第3日!B71,敌人目录!$A$6:$B$68,2,FALSE),""))</f>
        <v>yuanshi_insect_green_shell</v>
      </c>
      <c r="Q191" s="13">
        <f>IF(第3日!B71="","",第3日!C71)</f>
        <v>16</v>
      </c>
      <c r="R191" s="13">
        <v>-1</v>
      </c>
      <c r="S191" s="13" t="str">
        <f>IF(第3日!B71="","",第3日!I71)</f>
        <v>可回读</v>
      </c>
    </row>
    <row r="192" spans="1:19" ht="16.5">
      <c r="A192" s="13">
        <v>3</v>
      </c>
      <c r="B192" s="13" t="s">
        <v>546</v>
      </c>
      <c r="C192" s="13">
        <v>11</v>
      </c>
      <c r="D192" s="13">
        <v>3</v>
      </c>
      <c r="E192" s="13">
        <v>3</v>
      </c>
      <c r="F192" s="13" t="s">
        <v>55</v>
      </c>
      <c r="G192" s="13" t="str">
        <f>第3日!B61</f>
        <v>第11波</v>
      </c>
      <c r="H192" s="13">
        <f>IF(第3日!B62="点1·开启",1,0)+IF(第3日!C62="点2·开启",2,0)+IF(第3日!D62="点3·开启",4,0)+IF(第3日!E62="点4·开启",8,0)+IF(第3日!F62="点5·开启",16,0)+IF(第3日!G62="点6·开启",32,0)</f>
        <v>63</v>
      </c>
      <c r="I192" s="13">
        <f>第3日!E61</f>
        <v>0.24</v>
      </c>
      <c r="J192" s="13">
        <f>第3日!G61</f>
        <v>1</v>
      </c>
      <c r="K192" s="13">
        <f>第3日!I61</f>
        <v>300</v>
      </c>
      <c r="L192" s="13" t="s">
        <v>543</v>
      </c>
      <c r="M192" s="13" t="s">
        <v>544</v>
      </c>
      <c r="N192" s="13" t="b">
        <f>第3日!I62="待设计"</f>
        <v>0</v>
      </c>
      <c r="O192" s="13">
        <v>8</v>
      </c>
      <c r="P192" s="13" t="str">
        <f>IF(第3日!B72="","",IFERROR(VLOOKUP(第3日!B72,敌人目录!$A$6:$B$68,2,FALSE),""))</f>
        <v>yuanshi_insect_guardian</v>
      </c>
      <c r="Q192" s="13">
        <f>IF(第3日!B72="","",第3日!C72)</f>
        <v>16</v>
      </c>
      <c r="R192" s="13">
        <v>-1</v>
      </c>
      <c r="S192" s="13" t="str">
        <f>IF(第3日!B72="","",第3日!I72)</f>
        <v>可回读</v>
      </c>
    </row>
    <row r="193" spans="1:19" ht="16.5">
      <c r="A193" s="13">
        <v>3</v>
      </c>
      <c r="B193" s="13" t="s">
        <v>546</v>
      </c>
      <c r="C193" s="13">
        <v>11</v>
      </c>
      <c r="D193" s="13">
        <v>3</v>
      </c>
      <c r="E193" s="13">
        <v>3</v>
      </c>
      <c r="F193" s="13" t="s">
        <v>55</v>
      </c>
      <c r="G193" s="13" t="str">
        <f>第3日!B61</f>
        <v>第11波</v>
      </c>
      <c r="H193" s="13">
        <f>IF(第3日!B62="点1·开启",1,0)+IF(第3日!C62="点2·开启",2,0)+IF(第3日!D62="点3·开启",4,0)+IF(第3日!E62="点4·开启",8,0)+IF(第3日!F62="点5·开启",16,0)+IF(第3日!G62="点6·开启",32,0)</f>
        <v>63</v>
      </c>
      <c r="I193" s="13">
        <f>第3日!E61</f>
        <v>0.24</v>
      </c>
      <c r="J193" s="13">
        <f>第3日!G61</f>
        <v>1</v>
      </c>
      <c r="K193" s="13">
        <f>第3日!I61</f>
        <v>300</v>
      </c>
      <c r="L193" s="13" t="s">
        <v>543</v>
      </c>
      <c r="M193" s="13" t="s">
        <v>544</v>
      </c>
      <c r="N193" s="13" t="b">
        <f>第3日!I62="待设计"</f>
        <v>0</v>
      </c>
      <c r="O193" s="13">
        <v>9</v>
      </c>
      <c r="P193" s="13" t="str">
        <f>IF(第3日!B73="","",IFERROR(VLOOKUP(第3日!B73,敌人目录!$A$6:$B$68,2,FALSE),""))</f>
        <v>capoo_ak47</v>
      </c>
      <c r="Q193" s="13">
        <f>IF(第3日!B73="","",第3日!C73)</f>
        <v>2</v>
      </c>
      <c r="R193" s="13">
        <v>-1</v>
      </c>
      <c r="S193" s="13" t="str">
        <f>IF(第3日!B73="","",第3日!I73)</f>
        <v>可回读</v>
      </c>
    </row>
    <row r="194" spans="1:19" ht="16.5">
      <c r="A194" s="13">
        <v>3</v>
      </c>
      <c r="B194" s="13" t="s">
        <v>546</v>
      </c>
      <c r="C194" s="13">
        <v>11</v>
      </c>
      <c r="D194" s="13">
        <v>3</v>
      </c>
      <c r="E194" s="13">
        <v>3</v>
      </c>
      <c r="F194" s="13" t="s">
        <v>55</v>
      </c>
      <c r="G194" s="13" t="str">
        <f>第3日!B61</f>
        <v>第11波</v>
      </c>
      <c r="H194" s="13">
        <f>IF(第3日!B62="点1·开启",1,0)+IF(第3日!C62="点2·开启",2,0)+IF(第3日!D62="点3·开启",4,0)+IF(第3日!E62="点4·开启",8,0)+IF(第3日!F62="点5·开启",16,0)+IF(第3日!G62="点6·开启",32,0)</f>
        <v>63</v>
      </c>
      <c r="I194" s="13">
        <f>第3日!E61</f>
        <v>0.24</v>
      </c>
      <c r="J194" s="13">
        <f>第3日!G61</f>
        <v>1</v>
      </c>
      <c r="K194" s="13">
        <f>第3日!I61</f>
        <v>300</v>
      </c>
      <c r="L194" s="13" t="s">
        <v>543</v>
      </c>
      <c r="M194" s="13" t="s">
        <v>544</v>
      </c>
      <c r="N194" s="13" t="b">
        <f>第3日!I62="待设计"</f>
        <v>0</v>
      </c>
      <c r="O194" s="13">
        <v>10</v>
      </c>
      <c r="P194" s="13" t="str">
        <f>IF(第3日!B74="","",IFERROR(VLOOKUP(第3日!B74,敌人目录!$A$6:$B$68,2,FALSE),""))</f>
        <v>capoo_knight</v>
      </c>
      <c r="Q194" s="13">
        <f>IF(第3日!B74="","",第3日!C74)</f>
        <v>2</v>
      </c>
      <c r="R194" s="13">
        <v>-1</v>
      </c>
      <c r="S194" s="13" t="str">
        <f>IF(第3日!B74="","",第3日!I74)</f>
        <v>可回读</v>
      </c>
    </row>
    <row r="195" spans="1:19" ht="16.5">
      <c r="A195" s="13">
        <v>3</v>
      </c>
      <c r="B195" s="13" t="s">
        <v>546</v>
      </c>
      <c r="C195" s="13">
        <v>11</v>
      </c>
      <c r="D195" s="13">
        <v>3</v>
      </c>
      <c r="E195" s="13">
        <v>3</v>
      </c>
      <c r="F195" s="13" t="s">
        <v>55</v>
      </c>
      <c r="G195" s="13" t="str">
        <f>第3日!B61</f>
        <v>第11波</v>
      </c>
      <c r="H195" s="13">
        <f>IF(第3日!B62="点1·开启",1,0)+IF(第3日!C62="点2·开启",2,0)+IF(第3日!D62="点3·开启",4,0)+IF(第3日!E62="点4·开启",8,0)+IF(第3日!F62="点5·开启",16,0)+IF(第3日!G62="点6·开启",32,0)</f>
        <v>63</v>
      </c>
      <c r="I195" s="13">
        <f>第3日!E61</f>
        <v>0.24</v>
      </c>
      <c r="J195" s="13">
        <f>第3日!G61</f>
        <v>1</v>
      </c>
      <c r="K195" s="13">
        <f>第3日!I61</f>
        <v>300</v>
      </c>
      <c r="L195" s="13" t="s">
        <v>543</v>
      </c>
      <c r="M195" s="13" t="s">
        <v>544</v>
      </c>
      <c r="N195" s="13" t="b">
        <f>第3日!I62="待设计"</f>
        <v>0</v>
      </c>
      <c r="O195" s="13">
        <v>11</v>
      </c>
      <c r="P195" s="13" t="str">
        <f>IF(第3日!B75="","",IFERROR(VLOOKUP(第3日!B75,敌人目录!$A$6:$B$68,2,FALSE),""))</f>
        <v>capoo_mage</v>
      </c>
      <c r="Q195" s="13">
        <f>IF(第3日!B75="","",第3日!C75)</f>
        <v>1</v>
      </c>
      <c r="R195" s="13">
        <v>-1</v>
      </c>
      <c r="S195" s="13" t="str">
        <f>IF(第3日!B75="","",第3日!I75)</f>
        <v>可回读</v>
      </c>
    </row>
    <row r="196" spans="1:19" ht="16.5">
      <c r="A196" s="13">
        <v>3</v>
      </c>
      <c r="B196" s="13" t="s">
        <v>546</v>
      </c>
      <c r="C196" s="13">
        <v>11</v>
      </c>
      <c r="D196" s="13">
        <v>3</v>
      </c>
      <c r="E196" s="13">
        <v>3</v>
      </c>
      <c r="F196" s="13" t="s">
        <v>55</v>
      </c>
      <c r="G196" s="13" t="str">
        <f>第3日!B61</f>
        <v>第11波</v>
      </c>
      <c r="H196" s="13">
        <f>IF(第3日!B62="点1·开启",1,0)+IF(第3日!C62="点2·开启",2,0)+IF(第3日!D62="点3·开启",4,0)+IF(第3日!E62="点4·开启",8,0)+IF(第3日!F62="点5·开启",16,0)+IF(第3日!G62="点6·开启",32,0)</f>
        <v>63</v>
      </c>
      <c r="I196" s="13">
        <f>第3日!E61</f>
        <v>0.24</v>
      </c>
      <c r="J196" s="13">
        <f>第3日!G61</f>
        <v>1</v>
      </c>
      <c r="K196" s="13">
        <f>第3日!I61</f>
        <v>300</v>
      </c>
      <c r="L196" s="13" t="s">
        <v>543</v>
      </c>
      <c r="M196" s="13" t="s">
        <v>544</v>
      </c>
      <c r="N196" s="13" t="b">
        <f>第3日!I62="待设计"</f>
        <v>0</v>
      </c>
      <c r="O196" s="13">
        <v>12</v>
      </c>
      <c r="P196" s="13" t="str">
        <f>IF(第3日!B76="","",IFERROR(VLOOKUP(第3日!B76,敌人目录!$A$6:$B$68,2,FALSE),""))</f>
        <v>stone_golem</v>
      </c>
      <c r="Q196" s="13">
        <f>IF(第3日!B76="","",第3日!C76)</f>
        <v>1</v>
      </c>
      <c r="R196" s="13">
        <v>-1</v>
      </c>
      <c r="S196" s="13" t="str">
        <f>IF(第3日!B76="","",第3日!I76)</f>
        <v>可回读</v>
      </c>
    </row>
    <row r="197" spans="1:19" ht="16.5">
      <c r="A197" s="13">
        <v>3</v>
      </c>
      <c r="B197" s="13" t="s">
        <v>546</v>
      </c>
      <c r="C197" s="13">
        <v>11</v>
      </c>
      <c r="D197" s="13">
        <v>3</v>
      </c>
      <c r="E197" s="13">
        <v>3</v>
      </c>
      <c r="F197" s="13" t="s">
        <v>55</v>
      </c>
      <c r="G197" s="13" t="str">
        <f>第3日!B61</f>
        <v>第11波</v>
      </c>
      <c r="H197" s="13">
        <f>IF(第3日!B62="点1·开启",1,0)+IF(第3日!C62="点2·开启",2,0)+IF(第3日!D62="点3·开启",4,0)+IF(第3日!E62="点4·开启",8,0)+IF(第3日!F62="点5·开启",16,0)+IF(第3日!G62="点6·开启",32,0)</f>
        <v>63</v>
      </c>
      <c r="I197" s="13">
        <f>第3日!E61</f>
        <v>0.24</v>
      </c>
      <c r="J197" s="13">
        <f>第3日!G61</f>
        <v>1</v>
      </c>
      <c r="K197" s="13">
        <f>第3日!I61</f>
        <v>300</v>
      </c>
      <c r="L197" s="13" t="s">
        <v>543</v>
      </c>
      <c r="M197" s="13" t="s">
        <v>544</v>
      </c>
      <c r="N197" s="13" t="b">
        <f>第3日!I62="待设计"</f>
        <v>0</v>
      </c>
      <c r="O197" s="13">
        <v>13</v>
      </c>
      <c r="P197" s="13" t="str">
        <f>IF(第3日!B77="","",IFERROR(VLOOKUP(第3日!B77,敌人目录!$A$6:$B$68,2,FALSE),""))</f>
        <v/>
      </c>
      <c r="Q197" s="13" t="str">
        <f>IF(第3日!B77="","",第3日!C77)</f>
        <v/>
      </c>
      <c r="R197" s="13">
        <v>-1</v>
      </c>
      <c r="S197" s="13" t="str">
        <f>IF(第3日!B77="","",第3日!I77)</f>
        <v/>
      </c>
    </row>
    <row r="198" spans="1:19" ht="16.5">
      <c r="A198" s="13">
        <v>3</v>
      </c>
      <c r="B198" s="13" t="s">
        <v>546</v>
      </c>
      <c r="C198" s="13">
        <v>11</v>
      </c>
      <c r="D198" s="13">
        <v>3</v>
      </c>
      <c r="E198" s="13">
        <v>3</v>
      </c>
      <c r="F198" s="13" t="s">
        <v>55</v>
      </c>
      <c r="G198" s="13" t="str">
        <f>第3日!B61</f>
        <v>第11波</v>
      </c>
      <c r="H198" s="13">
        <f>IF(第3日!B62="点1·开启",1,0)+IF(第3日!C62="点2·开启",2,0)+IF(第3日!D62="点3·开启",4,0)+IF(第3日!E62="点4·开启",8,0)+IF(第3日!F62="点5·开启",16,0)+IF(第3日!G62="点6·开启",32,0)</f>
        <v>63</v>
      </c>
      <c r="I198" s="13">
        <f>第3日!E61</f>
        <v>0.24</v>
      </c>
      <c r="J198" s="13">
        <f>第3日!G61</f>
        <v>1</v>
      </c>
      <c r="K198" s="13">
        <f>第3日!I61</f>
        <v>300</v>
      </c>
      <c r="L198" s="13" t="s">
        <v>543</v>
      </c>
      <c r="M198" s="13" t="s">
        <v>544</v>
      </c>
      <c r="N198" s="13" t="b">
        <f>第3日!I62="待设计"</f>
        <v>0</v>
      </c>
      <c r="O198" s="13">
        <v>14</v>
      </c>
      <c r="P198" s="13" t="str">
        <f>IF(第3日!B78="","",IFERROR(VLOOKUP(第3日!B78,敌人目录!$A$6:$B$68,2,FALSE),""))</f>
        <v/>
      </c>
      <c r="Q198" s="13" t="str">
        <f>IF(第3日!B78="","",第3日!C78)</f>
        <v/>
      </c>
      <c r="R198" s="13">
        <v>-1</v>
      </c>
      <c r="S198" s="13" t="str">
        <f>IF(第3日!B78="","",第3日!I78)</f>
        <v/>
      </c>
    </row>
    <row r="199" spans="1:19" ht="16.5">
      <c r="A199" s="13">
        <v>3</v>
      </c>
      <c r="B199" s="13" t="s">
        <v>546</v>
      </c>
      <c r="C199" s="13">
        <v>11</v>
      </c>
      <c r="D199" s="13">
        <v>3</v>
      </c>
      <c r="E199" s="13">
        <v>3</v>
      </c>
      <c r="F199" s="13" t="s">
        <v>55</v>
      </c>
      <c r="G199" s="13" t="str">
        <f>第3日!B61</f>
        <v>第11波</v>
      </c>
      <c r="H199" s="13">
        <f>IF(第3日!B62="点1·开启",1,0)+IF(第3日!C62="点2·开启",2,0)+IF(第3日!D62="点3·开启",4,0)+IF(第3日!E62="点4·开启",8,0)+IF(第3日!F62="点5·开启",16,0)+IF(第3日!G62="点6·开启",32,0)</f>
        <v>63</v>
      </c>
      <c r="I199" s="13">
        <f>第3日!E61</f>
        <v>0.24</v>
      </c>
      <c r="J199" s="13">
        <f>第3日!G61</f>
        <v>1</v>
      </c>
      <c r="K199" s="13">
        <f>第3日!I61</f>
        <v>300</v>
      </c>
      <c r="L199" s="13" t="s">
        <v>543</v>
      </c>
      <c r="M199" s="13" t="s">
        <v>544</v>
      </c>
      <c r="N199" s="13" t="b">
        <f>第3日!I62="待设计"</f>
        <v>0</v>
      </c>
      <c r="O199" s="13">
        <v>15</v>
      </c>
      <c r="P199" s="13" t="str">
        <f>IF(第3日!B79="","",IFERROR(VLOOKUP(第3日!B79,敌人目录!$A$6:$B$68,2,FALSE),""))</f>
        <v/>
      </c>
      <c r="Q199" s="13" t="str">
        <f>IF(第3日!B79="","",第3日!C79)</f>
        <v/>
      </c>
      <c r="R199" s="13">
        <v>-1</v>
      </c>
      <c r="S199" s="13" t="str">
        <f>IF(第3日!B79="","",第3日!I79)</f>
        <v/>
      </c>
    </row>
    <row r="200" spans="1:19" ht="16.5">
      <c r="A200" s="13">
        <v>3</v>
      </c>
      <c r="B200" s="13" t="s">
        <v>546</v>
      </c>
      <c r="C200" s="13">
        <v>11</v>
      </c>
      <c r="D200" s="13">
        <v>3</v>
      </c>
      <c r="E200" s="13">
        <v>3</v>
      </c>
      <c r="F200" s="13" t="s">
        <v>55</v>
      </c>
      <c r="G200" s="13" t="str">
        <f>第3日!B61</f>
        <v>第11波</v>
      </c>
      <c r="H200" s="13">
        <f>IF(第3日!B62="点1·开启",1,0)+IF(第3日!C62="点2·开启",2,0)+IF(第3日!D62="点3·开启",4,0)+IF(第3日!E62="点4·开启",8,0)+IF(第3日!F62="点5·开启",16,0)+IF(第3日!G62="点6·开启",32,0)</f>
        <v>63</v>
      </c>
      <c r="I200" s="13">
        <f>第3日!E61</f>
        <v>0.24</v>
      </c>
      <c r="J200" s="13">
        <f>第3日!G61</f>
        <v>1</v>
      </c>
      <c r="K200" s="13">
        <f>第3日!I61</f>
        <v>300</v>
      </c>
      <c r="L200" s="13" t="s">
        <v>543</v>
      </c>
      <c r="M200" s="13" t="s">
        <v>544</v>
      </c>
      <c r="N200" s="13" t="b">
        <f>第3日!I62="待设计"</f>
        <v>0</v>
      </c>
      <c r="O200" s="13">
        <v>16</v>
      </c>
      <c r="P200" s="13" t="str">
        <f>IF(第3日!B80="","",IFERROR(VLOOKUP(第3日!B80,敌人目录!$A$6:$B$68,2,FALSE),""))</f>
        <v/>
      </c>
      <c r="Q200" s="13" t="str">
        <f>IF(第3日!B80="","",第3日!C80)</f>
        <v/>
      </c>
      <c r="R200" s="13">
        <v>-1</v>
      </c>
      <c r="S200" s="13" t="str">
        <f>IF(第3日!B80="","",第3日!I80)</f>
        <v/>
      </c>
    </row>
    <row r="201" spans="1:19" ht="16.5">
      <c r="A201" s="13">
        <v>3</v>
      </c>
      <c r="B201" s="13" t="s">
        <v>546</v>
      </c>
      <c r="C201" s="13">
        <v>11</v>
      </c>
      <c r="D201" s="13">
        <v>3</v>
      </c>
      <c r="E201" s="13">
        <v>3</v>
      </c>
      <c r="F201" s="13" t="s">
        <v>55</v>
      </c>
      <c r="G201" s="13" t="str">
        <f>第3日!B61</f>
        <v>第11波</v>
      </c>
      <c r="H201" s="13">
        <f>IF(第3日!B62="点1·开启",1,0)+IF(第3日!C62="点2·开启",2,0)+IF(第3日!D62="点3·开启",4,0)+IF(第3日!E62="点4·开启",8,0)+IF(第3日!F62="点5·开启",16,0)+IF(第3日!G62="点6·开启",32,0)</f>
        <v>63</v>
      </c>
      <c r="I201" s="13">
        <f>第3日!E61</f>
        <v>0.24</v>
      </c>
      <c r="J201" s="13">
        <f>第3日!G61</f>
        <v>1</v>
      </c>
      <c r="K201" s="13">
        <f>第3日!I61</f>
        <v>300</v>
      </c>
      <c r="L201" s="13" t="s">
        <v>543</v>
      </c>
      <c r="M201" s="13" t="s">
        <v>544</v>
      </c>
      <c r="N201" s="13" t="b">
        <f>第3日!I62="待设计"</f>
        <v>0</v>
      </c>
      <c r="O201" s="13">
        <v>17</v>
      </c>
      <c r="P201" s="13" t="str">
        <f>IF(第3日!B81="","",IFERROR(VLOOKUP(第3日!B81,敌人目录!$A$6:$B$68,2,FALSE),""))</f>
        <v/>
      </c>
      <c r="Q201" s="13" t="str">
        <f>IF(第3日!B81="","",第3日!C81)</f>
        <v/>
      </c>
      <c r="R201" s="13">
        <v>-1</v>
      </c>
      <c r="S201" s="13" t="str">
        <f>IF(第3日!B81="","",第3日!I81)</f>
        <v/>
      </c>
    </row>
    <row r="202" spans="1:19" ht="16.5">
      <c r="A202" s="13">
        <v>3</v>
      </c>
      <c r="B202" s="13" t="s">
        <v>546</v>
      </c>
      <c r="C202" s="13">
        <v>11</v>
      </c>
      <c r="D202" s="13">
        <v>3</v>
      </c>
      <c r="E202" s="13">
        <v>3</v>
      </c>
      <c r="F202" s="13" t="s">
        <v>55</v>
      </c>
      <c r="G202" s="13" t="str">
        <f>第3日!B61</f>
        <v>第11波</v>
      </c>
      <c r="H202" s="13">
        <f>IF(第3日!B62="点1·开启",1,0)+IF(第3日!C62="点2·开启",2,0)+IF(第3日!D62="点3·开启",4,0)+IF(第3日!E62="点4·开启",8,0)+IF(第3日!F62="点5·开启",16,0)+IF(第3日!G62="点6·开启",32,0)</f>
        <v>63</v>
      </c>
      <c r="I202" s="13">
        <f>第3日!E61</f>
        <v>0.24</v>
      </c>
      <c r="J202" s="13">
        <f>第3日!G61</f>
        <v>1</v>
      </c>
      <c r="K202" s="13">
        <f>第3日!I61</f>
        <v>300</v>
      </c>
      <c r="L202" s="13" t="s">
        <v>543</v>
      </c>
      <c r="M202" s="13" t="s">
        <v>544</v>
      </c>
      <c r="N202" s="13" t="b">
        <f>第3日!I62="待设计"</f>
        <v>0</v>
      </c>
      <c r="O202" s="13">
        <v>18</v>
      </c>
      <c r="P202" s="13" t="str">
        <f>IF(第3日!B82="","",IFERROR(VLOOKUP(第3日!B82,敌人目录!$A$6:$B$68,2,FALSE),""))</f>
        <v/>
      </c>
      <c r="Q202" s="13" t="str">
        <f>IF(第3日!B82="","",第3日!C82)</f>
        <v/>
      </c>
      <c r="R202" s="13">
        <v>-1</v>
      </c>
      <c r="S202" s="13" t="str">
        <f>IF(第3日!B82="","",第3日!I82)</f>
        <v/>
      </c>
    </row>
    <row r="203" spans="1:19" ht="16.5">
      <c r="A203" s="13">
        <v>3</v>
      </c>
      <c r="B203" s="13" t="s">
        <v>547</v>
      </c>
      <c r="C203" s="13">
        <v>12</v>
      </c>
      <c r="D203" s="13">
        <v>3</v>
      </c>
      <c r="E203" s="13">
        <v>4</v>
      </c>
      <c r="F203" s="13" t="s">
        <v>55</v>
      </c>
      <c r="G203" s="13" t="str">
        <f>第3日!B90</f>
        <v>第12波</v>
      </c>
      <c r="H203" s="13">
        <f>IF(第3日!B91="点1·开启",1,0)+IF(第3日!C91="点2·开启",2,0)+IF(第3日!D91="点3·开启",4,0)+IF(第3日!E91="点4·开启",8,0)+IF(第3日!F91="点5·开启",16,0)+IF(第3日!G91="点6·开启",32,0)</f>
        <v>63</v>
      </c>
      <c r="I203" s="13">
        <f>第3日!E90</f>
        <v>0.22</v>
      </c>
      <c r="J203" s="13">
        <f>第3日!G90</f>
        <v>1</v>
      </c>
      <c r="K203" s="13">
        <f>第3日!I90</f>
        <v>300</v>
      </c>
      <c r="L203" s="13" t="s">
        <v>543</v>
      </c>
      <c r="M203" s="13" t="s">
        <v>544</v>
      </c>
      <c r="N203" s="13" t="b">
        <f>第3日!I91="待设计"</f>
        <v>0</v>
      </c>
      <c r="O203" s="13">
        <v>1</v>
      </c>
      <c r="P203" s="13" t="str">
        <f>IF(第3日!B94="","",IFERROR(VLOOKUP(第3日!B94,敌人目录!$A$6:$B$68,2,FALSE),""))</f>
        <v>yuanshi_insect_basic</v>
      </c>
      <c r="Q203" s="13">
        <f>IF(第3日!B94="","",第3日!C94)</f>
        <v>53</v>
      </c>
      <c r="R203" s="13">
        <v>-1</v>
      </c>
      <c r="S203" s="13" t="str">
        <f>IF(第3日!B94="","",第3日!I94)</f>
        <v>可回读</v>
      </c>
    </row>
    <row r="204" spans="1:19" ht="16.5">
      <c r="A204" s="13">
        <v>3</v>
      </c>
      <c r="B204" s="13" t="s">
        <v>547</v>
      </c>
      <c r="C204" s="13">
        <v>12</v>
      </c>
      <c r="D204" s="13">
        <v>3</v>
      </c>
      <c r="E204" s="13">
        <v>4</v>
      </c>
      <c r="F204" s="13" t="s">
        <v>55</v>
      </c>
      <c r="G204" s="13" t="str">
        <f>第3日!B90</f>
        <v>第12波</v>
      </c>
      <c r="H204" s="13">
        <f>IF(第3日!B91="点1·开启",1,0)+IF(第3日!C91="点2·开启",2,0)+IF(第3日!D91="点3·开启",4,0)+IF(第3日!E91="点4·开启",8,0)+IF(第3日!F91="点5·开启",16,0)+IF(第3日!G91="点6·开启",32,0)</f>
        <v>63</v>
      </c>
      <c r="I204" s="13">
        <f>第3日!E90</f>
        <v>0.22</v>
      </c>
      <c r="J204" s="13">
        <f>第3日!G90</f>
        <v>1</v>
      </c>
      <c r="K204" s="13">
        <f>第3日!I90</f>
        <v>300</v>
      </c>
      <c r="L204" s="13" t="s">
        <v>543</v>
      </c>
      <c r="M204" s="13" t="s">
        <v>544</v>
      </c>
      <c r="N204" s="13" t="b">
        <f>第3日!I91="待设计"</f>
        <v>0</v>
      </c>
      <c r="O204" s="13">
        <v>2</v>
      </c>
      <c r="P204" s="13" t="str">
        <f>IF(第3日!B95="","",IFERROR(VLOOKUP(第3日!B95,敌人目录!$A$6:$B$68,2,FALSE),""))</f>
        <v>yuanshi_insect_fast</v>
      </c>
      <c r="Q204" s="13">
        <f>IF(第3日!B95="","",第3日!C95)</f>
        <v>24</v>
      </c>
      <c r="R204" s="13">
        <v>-1</v>
      </c>
      <c r="S204" s="13" t="str">
        <f>IF(第3日!B95="","",第3日!I95)</f>
        <v>可回读</v>
      </c>
    </row>
    <row r="205" spans="1:19" ht="16.5">
      <c r="A205" s="13">
        <v>3</v>
      </c>
      <c r="B205" s="13" t="s">
        <v>547</v>
      </c>
      <c r="C205" s="13">
        <v>12</v>
      </c>
      <c r="D205" s="13">
        <v>3</v>
      </c>
      <c r="E205" s="13">
        <v>4</v>
      </c>
      <c r="F205" s="13" t="s">
        <v>55</v>
      </c>
      <c r="G205" s="13" t="str">
        <f>第3日!B90</f>
        <v>第12波</v>
      </c>
      <c r="H205" s="13">
        <f>IF(第3日!B91="点1·开启",1,0)+IF(第3日!C91="点2·开启",2,0)+IF(第3日!D91="点3·开启",4,0)+IF(第3日!E91="点4·开启",8,0)+IF(第3日!F91="点5·开启",16,0)+IF(第3日!G91="点6·开启",32,0)</f>
        <v>63</v>
      </c>
      <c r="I205" s="13">
        <f>第3日!E90</f>
        <v>0.22</v>
      </c>
      <c r="J205" s="13">
        <f>第3日!G90</f>
        <v>1</v>
      </c>
      <c r="K205" s="13">
        <f>第3日!I90</f>
        <v>300</v>
      </c>
      <c r="L205" s="13" t="s">
        <v>543</v>
      </c>
      <c r="M205" s="13" t="s">
        <v>544</v>
      </c>
      <c r="N205" s="13" t="b">
        <f>第3日!I91="待设计"</f>
        <v>0</v>
      </c>
      <c r="O205" s="13">
        <v>3</v>
      </c>
      <c r="P205" s="13" t="str">
        <f>IF(第3日!B96="","",IFERROR(VLOOKUP(第3日!B96,敌人目录!$A$6:$B$68,2,FALSE),""))</f>
        <v>yuanshi_insect_shell</v>
      </c>
      <c r="Q205" s="13">
        <f>IF(第3日!B96="","",第3日!C96)</f>
        <v>24</v>
      </c>
      <c r="R205" s="13">
        <v>-1</v>
      </c>
      <c r="S205" s="13" t="str">
        <f>IF(第3日!B96="","",第3日!I96)</f>
        <v>可回读</v>
      </c>
    </row>
    <row r="206" spans="1:19" ht="16.5">
      <c r="A206" s="13">
        <v>3</v>
      </c>
      <c r="B206" s="13" t="s">
        <v>547</v>
      </c>
      <c r="C206" s="13">
        <v>12</v>
      </c>
      <c r="D206" s="13">
        <v>3</v>
      </c>
      <c r="E206" s="13">
        <v>4</v>
      </c>
      <c r="F206" s="13" t="s">
        <v>55</v>
      </c>
      <c r="G206" s="13" t="str">
        <f>第3日!B90</f>
        <v>第12波</v>
      </c>
      <c r="H206" s="13">
        <f>IF(第3日!B91="点1·开启",1,0)+IF(第3日!C91="点2·开启",2,0)+IF(第3日!D91="点3·开启",4,0)+IF(第3日!E91="点4·开启",8,0)+IF(第3日!F91="点5·开启",16,0)+IF(第3日!G91="点6·开启",32,0)</f>
        <v>63</v>
      </c>
      <c r="I206" s="13">
        <f>第3日!E90</f>
        <v>0.22</v>
      </c>
      <c r="J206" s="13">
        <f>第3日!G90</f>
        <v>1</v>
      </c>
      <c r="K206" s="13">
        <f>第3日!I90</f>
        <v>300</v>
      </c>
      <c r="L206" s="13" t="s">
        <v>543</v>
      </c>
      <c r="M206" s="13" t="s">
        <v>544</v>
      </c>
      <c r="N206" s="13" t="b">
        <f>第3日!I91="待设计"</f>
        <v>0</v>
      </c>
      <c r="O206" s="13">
        <v>4</v>
      </c>
      <c r="P206" s="13" t="str">
        <f>IF(第3日!B97="","",IFERROR(VLOOKUP(第3日!B97,敌人目录!$A$6:$B$68,2,FALSE),""))</f>
        <v>yuanshi_insect_bomber</v>
      </c>
      <c r="Q206" s="13">
        <f>IF(第3日!B97="","",第3日!C97)</f>
        <v>20</v>
      </c>
      <c r="R206" s="13">
        <v>-1</v>
      </c>
      <c r="S206" s="13" t="str">
        <f>IF(第3日!B97="","",第3日!I97)</f>
        <v>可回读</v>
      </c>
    </row>
    <row r="207" spans="1:19" ht="16.5">
      <c r="A207" s="13">
        <v>3</v>
      </c>
      <c r="B207" s="13" t="s">
        <v>547</v>
      </c>
      <c r="C207" s="13">
        <v>12</v>
      </c>
      <c r="D207" s="13">
        <v>3</v>
      </c>
      <c r="E207" s="13">
        <v>4</v>
      </c>
      <c r="F207" s="13" t="s">
        <v>55</v>
      </c>
      <c r="G207" s="13" t="str">
        <f>第3日!B90</f>
        <v>第12波</v>
      </c>
      <c r="H207" s="13">
        <f>IF(第3日!B91="点1·开启",1,0)+IF(第3日!C91="点2·开启",2,0)+IF(第3日!D91="点3·开启",4,0)+IF(第3日!E91="点4·开启",8,0)+IF(第3日!F91="点5·开启",16,0)+IF(第3日!G91="点6·开启",32,0)</f>
        <v>63</v>
      </c>
      <c r="I207" s="13">
        <f>第3日!E90</f>
        <v>0.22</v>
      </c>
      <c r="J207" s="13">
        <f>第3日!G90</f>
        <v>1</v>
      </c>
      <c r="K207" s="13">
        <f>第3日!I90</f>
        <v>300</v>
      </c>
      <c r="L207" s="13" t="s">
        <v>543</v>
      </c>
      <c r="M207" s="13" t="s">
        <v>544</v>
      </c>
      <c r="N207" s="13" t="b">
        <f>第3日!I91="待设计"</f>
        <v>0</v>
      </c>
      <c r="O207" s="13">
        <v>5</v>
      </c>
      <c r="P207" s="13" t="str">
        <f>IF(第3日!B98="","",IFERROR(VLOOKUP(第3日!B98,敌人目录!$A$6:$B$68,2,FALSE),""))</f>
        <v>yuanshi_insect_purple_bomber</v>
      </c>
      <c r="Q207" s="13">
        <f>IF(第3日!B98="","",第3日!C98)</f>
        <v>16</v>
      </c>
      <c r="R207" s="13">
        <v>-1</v>
      </c>
      <c r="S207" s="13" t="str">
        <f>IF(第3日!B98="","",第3日!I98)</f>
        <v>可回读</v>
      </c>
    </row>
    <row r="208" spans="1:19" ht="16.5">
      <c r="A208" s="13">
        <v>3</v>
      </c>
      <c r="B208" s="13" t="s">
        <v>547</v>
      </c>
      <c r="C208" s="13">
        <v>12</v>
      </c>
      <c r="D208" s="13">
        <v>3</v>
      </c>
      <c r="E208" s="13">
        <v>4</v>
      </c>
      <c r="F208" s="13" t="s">
        <v>55</v>
      </c>
      <c r="G208" s="13" t="str">
        <f>第3日!B90</f>
        <v>第12波</v>
      </c>
      <c r="H208" s="13">
        <f>IF(第3日!B91="点1·开启",1,0)+IF(第3日!C91="点2·开启",2,0)+IF(第3日!D91="点3·开启",4,0)+IF(第3日!E91="点4·开启",8,0)+IF(第3日!F91="点5·开启",16,0)+IF(第3日!G91="点6·开启",32,0)</f>
        <v>63</v>
      </c>
      <c r="I208" s="13">
        <f>第3日!E90</f>
        <v>0.22</v>
      </c>
      <c r="J208" s="13">
        <f>第3日!G90</f>
        <v>1</v>
      </c>
      <c r="K208" s="13">
        <f>第3日!I90</f>
        <v>300</v>
      </c>
      <c r="L208" s="13" t="s">
        <v>543</v>
      </c>
      <c r="M208" s="13" t="s">
        <v>544</v>
      </c>
      <c r="N208" s="13" t="b">
        <f>第3日!I91="待设计"</f>
        <v>0</v>
      </c>
      <c r="O208" s="13">
        <v>6</v>
      </c>
      <c r="P208" s="13" t="str">
        <f>IF(第3日!B99="","",IFERROR(VLOOKUP(第3日!B99,敌人目录!$A$6:$B$68,2,FALSE),""))</f>
        <v>yuanshi_insect_fire_ranged</v>
      </c>
      <c r="Q208" s="13">
        <f>IF(第3日!B99="","",第3日!C99)</f>
        <v>20</v>
      </c>
      <c r="R208" s="13">
        <v>-1</v>
      </c>
      <c r="S208" s="13" t="str">
        <f>IF(第3日!B99="","",第3日!I99)</f>
        <v>可回读</v>
      </c>
    </row>
    <row r="209" spans="1:19" ht="16.5">
      <c r="A209" s="13">
        <v>3</v>
      </c>
      <c r="B209" s="13" t="s">
        <v>547</v>
      </c>
      <c r="C209" s="13">
        <v>12</v>
      </c>
      <c r="D209" s="13">
        <v>3</v>
      </c>
      <c r="E209" s="13">
        <v>4</v>
      </c>
      <c r="F209" s="13" t="s">
        <v>55</v>
      </c>
      <c r="G209" s="13" t="str">
        <f>第3日!B90</f>
        <v>第12波</v>
      </c>
      <c r="H209" s="13">
        <f>IF(第3日!B91="点1·开启",1,0)+IF(第3日!C91="点2·开启",2,0)+IF(第3日!D91="点3·开启",4,0)+IF(第3日!E91="点4·开启",8,0)+IF(第3日!F91="点5·开启",16,0)+IF(第3日!G91="点6·开启",32,0)</f>
        <v>63</v>
      </c>
      <c r="I209" s="13">
        <f>第3日!E90</f>
        <v>0.22</v>
      </c>
      <c r="J209" s="13">
        <f>第3日!G90</f>
        <v>1</v>
      </c>
      <c r="K209" s="13">
        <f>第3日!I90</f>
        <v>300</v>
      </c>
      <c r="L209" s="13" t="s">
        <v>543</v>
      </c>
      <c r="M209" s="13" t="s">
        <v>544</v>
      </c>
      <c r="N209" s="13" t="b">
        <f>第3日!I91="待设计"</f>
        <v>0</v>
      </c>
      <c r="O209" s="13">
        <v>7</v>
      </c>
      <c r="P209" s="13" t="str">
        <f>IF(第3日!B100="","",IFERROR(VLOOKUP(第3日!B100,敌人目录!$A$6:$B$68,2,FALSE),""))</f>
        <v>yuanshi_insect_green_shell</v>
      </c>
      <c r="Q209" s="13">
        <f>IF(第3日!B100="","",第3日!C100)</f>
        <v>20</v>
      </c>
      <c r="R209" s="13">
        <v>-1</v>
      </c>
      <c r="S209" s="13" t="str">
        <f>IF(第3日!B100="","",第3日!I100)</f>
        <v>可回读</v>
      </c>
    </row>
    <row r="210" spans="1:19" ht="16.5">
      <c r="A210" s="13">
        <v>3</v>
      </c>
      <c r="B210" s="13" t="s">
        <v>547</v>
      </c>
      <c r="C210" s="13">
        <v>12</v>
      </c>
      <c r="D210" s="13">
        <v>3</v>
      </c>
      <c r="E210" s="13">
        <v>4</v>
      </c>
      <c r="F210" s="13" t="s">
        <v>55</v>
      </c>
      <c r="G210" s="13" t="str">
        <f>第3日!B90</f>
        <v>第12波</v>
      </c>
      <c r="H210" s="13">
        <f>IF(第3日!B91="点1·开启",1,0)+IF(第3日!C91="点2·开启",2,0)+IF(第3日!D91="点3·开启",4,0)+IF(第3日!E91="点4·开启",8,0)+IF(第3日!F91="点5·开启",16,0)+IF(第3日!G91="点6·开启",32,0)</f>
        <v>63</v>
      </c>
      <c r="I210" s="13">
        <f>第3日!E90</f>
        <v>0.22</v>
      </c>
      <c r="J210" s="13">
        <f>第3日!G90</f>
        <v>1</v>
      </c>
      <c r="K210" s="13">
        <f>第3日!I90</f>
        <v>300</v>
      </c>
      <c r="L210" s="13" t="s">
        <v>543</v>
      </c>
      <c r="M210" s="13" t="s">
        <v>544</v>
      </c>
      <c r="N210" s="13" t="b">
        <f>第3日!I91="待设计"</f>
        <v>0</v>
      </c>
      <c r="O210" s="13">
        <v>8</v>
      </c>
      <c r="P210" s="13" t="str">
        <f>IF(第3日!B101="","",IFERROR(VLOOKUP(第3日!B101,敌人目录!$A$6:$B$68,2,FALSE),""))</f>
        <v>yuanshi_insect_guardian</v>
      </c>
      <c r="Q210" s="13">
        <f>IF(第3日!B101="","",第3日!C101)</f>
        <v>16</v>
      </c>
      <c r="R210" s="13">
        <v>-1</v>
      </c>
      <c r="S210" s="13" t="str">
        <f>IF(第3日!B101="","",第3日!I101)</f>
        <v>可回读</v>
      </c>
    </row>
    <row r="211" spans="1:19" ht="16.5">
      <c r="A211" s="13">
        <v>3</v>
      </c>
      <c r="B211" s="13" t="s">
        <v>547</v>
      </c>
      <c r="C211" s="13">
        <v>12</v>
      </c>
      <c r="D211" s="13">
        <v>3</v>
      </c>
      <c r="E211" s="13">
        <v>4</v>
      </c>
      <c r="F211" s="13" t="s">
        <v>55</v>
      </c>
      <c r="G211" s="13" t="str">
        <f>第3日!B90</f>
        <v>第12波</v>
      </c>
      <c r="H211" s="13">
        <f>IF(第3日!B91="点1·开启",1,0)+IF(第3日!C91="点2·开启",2,0)+IF(第3日!D91="点3·开启",4,0)+IF(第3日!E91="点4·开启",8,0)+IF(第3日!F91="点5·开启",16,0)+IF(第3日!G91="点6·开启",32,0)</f>
        <v>63</v>
      </c>
      <c r="I211" s="13">
        <f>第3日!E90</f>
        <v>0.22</v>
      </c>
      <c r="J211" s="13">
        <f>第3日!G90</f>
        <v>1</v>
      </c>
      <c r="K211" s="13">
        <f>第3日!I90</f>
        <v>300</v>
      </c>
      <c r="L211" s="13" t="s">
        <v>543</v>
      </c>
      <c r="M211" s="13" t="s">
        <v>544</v>
      </c>
      <c r="N211" s="13" t="b">
        <f>第3日!I91="待设计"</f>
        <v>0</v>
      </c>
      <c r="O211" s="13">
        <v>9</v>
      </c>
      <c r="P211" s="13" t="str">
        <f>IF(第3日!B102="","",IFERROR(VLOOKUP(第3日!B102,敌人目录!$A$6:$B$68,2,FALSE),""))</f>
        <v>capoo_ak47</v>
      </c>
      <c r="Q211" s="13">
        <f>IF(第3日!B102="","",第3日!C102)</f>
        <v>2</v>
      </c>
      <c r="R211" s="13">
        <v>-1</v>
      </c>
      <c r="S211" s="13" t="str">
        <f>IF(第3日!B102="","",第3日!I102)</f>
        <v>可回读</v>
      </c>
    </row>
    <row r="212" spans="1:19" ht="16.5">
      <c r="A212" s="13">
        <v>3</v>
      </c>
      <c r="B212" s="13" t="s">
        <v>547</v>
      </c>
      <c r="C212" s="13">
        <v>12</v>
      </c>
      <c r="D212" s="13">
        <v>3</v>
      </c>
      <c r="E212" s="13">
        <v>4</v>
      </c>
      <c r="F212" s="13" t="s">
        <v>55</v>
      </c>
      <c r="G212" s="13" t="str">
        <f>第3日!B90</f>
        <v>第12波</v>
      </c>
      <c r="H212" s="13">
        <f>IF(第3日!B91="点1·开启",1,0)+IF(第3日!C91="点2·开启",2,0)+IF(第3日!D91="点3·开启",4,0)+IF(第3日!E91="点4·开启",8,0)+IF(第3日!F91="点5·开启",16,0)+IF(第3日!G91="点6·开启",32,0)</f>
        <v>63</v>
      </c>
      <c r="I212" s="13">
        <f>第3日!E90</f>
        <v>0.22</v>
      </c>
      <c r="J212" s="13">
        <f>第3日!G90</f>
        <v>1</v>
      </c>
      <c r="K212" s="13">
        <f>第3日!I90</f>
        <v>300</v>
      </c>
      <c r="L212" s="13" t="s">
        <v>543</v>
      </c>
      <c r="M212" s="13" t="s">
        <v>544</v>
      </c>
      <c r="N212" s="13" t="b">
        <f>第3日!I91="待设计"</f>
        <v>0</v>
      </c>
      <c r="O212" s="13">
        <v>10</v>
      </c>
      <c r="P212" s="13" t="str">
        <f>IF(第3日!B103="","",IFERROR(VLOOKUP(第3日!B103,敌人目录!$A$6:$B$68,2,FALSE),""))</f>
        <v>capoo_knight</v>
      </c>
      <c r="Q212" s="13">
        <f>IF(第3日!B103="","",第3日!C103)</f>
        <v>2</v>
      </c>
      <c r="R212" s="13">
        <v>-1</v>
      </c>
      <c r="S212" s="13" t="str">
        <f>IF(第3日!B103="","",第3日!I103)</f>
        <v>可回读</v>
      </c>
    </row>
    <row r="213" spans="1:19" ht="16.5">
      <c r="A213" s="13">
        <v>3</v>
      </c>
      <c r="B213" s="13" t="s">
        <v>547</v>
      </c>
      <c r="C213" s="13">
        <v>12</v>
      </c>
      <c r="D213" s="13">
        <v>3</v>
      </c>
      <c r="E213" s="13">
        <v>4</v>
      </c>
      <c r="F213" s="13" t="s">
        <v>55</v>
      </c>
      <c r="G213" s="13" t="str">
        <f>第3日!B90</f>
        <v>第12波</v>
      </c>
      <c r="H213" s="13">
        <f>IF(第3日!B91="点1·开启",1,0)+IF(第3日!C91="点2·开启",2,0)+IF(第3日!D91="点3·开启",4,0)+IF(第3日!E91="点4·开启",8,0)+IF(第3日!F91="点5·开启",16,0)+IF(第3日!G91="点6·开启",32,0)</f>
        <v>63</v>
      </c>
      <c r="I213" s="13">
        <f>第3日!E90</f>
        <v>0.22</v>
      </c>
      <c r="J213" s="13">
        <f>第3日!G90</f>
        <v>1</v>
      </c>
      <c r="K213" s="13">
        <f>第3日!I90</f>
        <v>300</v>
      </c>
      <c r="L213" s="13" t="s">
        <v>543</v>
      </c>
      <c r="M213" s="13" t="s">
        <v>544</v>
      </c>
      <c r="N213" s="13" t="b">
        <f>第3日!I91="待设计"</f>
        <v>0</v>
      </c>
      <c r="O213" s="13">
        <v>11</v>
      </c>
      <c r="P213" s="13" t="str">
        <f>IF(第3日!B104="","",IFERROR(VLOOKUP(第3日!B104,敌人目录!$A$6:$B$68,2,FALSE),""))</f>
        <v>capoo_mage</v>
      </c>
      <c r="Q213" s="13">
        <f>IF(第3日!B104="","",第3日!C104)</f>
        <v>1</v>
      </c>
      <c r="R213" s="13">
        <v>-1</v>
      </c>
      <c r="S213" s="13" t="str">
        <f>IF(第3日!B104="","",第3日!I104)</f>
        <v>可回读</v>
      </c>
    </row>
    <row r="214" spans="1:19" ht="16.5">
      <c r="A214" s="13">
        <v>3</v>
      </c>
      <c r="B214" s="13" t="s">
        <v>547</v>
      </c>
      <c r="C214" s="13">
        <v>12</v>
      </c>
      <c r="D214" s="13">
        <v>3</v>
      </c>
      <c r="E214" s="13">
        <v>4</v>
      </c>
      <c r="F214" s="13" t="s">
        <v>55</v>
      </c>
      <c r="G214" s="13" t="str">
        <f>第3日!B90</f>
        <v>第12波</v>
      </c>
      <c r="H214" s="13">
        <f>IF(第3日!B91="点1·开启",1,0)+IF(第3日!C91="点2·开启",2,0)+IF(第3日!D91="点3·开启",4,0)+IF(第3日!E91="点4·开启",8,0)+IF(第3日!F91="点5·开启",16,0)+IF(第3日!G91="点6·开启",32,0)</f>
        <v>63</v>
      </c>
      <c r="I214" s="13">
        <f>第3日!E90</f>
        <v>0.22</v>
      </c>
      <c r="J214" s="13">
        <f>第3日!G90</f>
        <v>1</v>
      </c>
      <c r="K214" s="13">
        <f>第3日!I90</f>
        <v>300</v>
      </c>
      <c r="L214" s="13" t="s">
        <v>543</v>
      </c>
      <c r="M214" s="13" t="s">
        <v>544</v>
      </c>
      <c r="N214" s="13" t="b">
        <f>第3日!I91="待设计"</f>
        <v>0</v>
      </c>
      <c r="O214" s="13">
        <v>12</v>
      </c>
      <c r="P214" s="13" t="str">
        <f>IF(第3日!B105="","",IFERROR(VLOOKUP(第3日!B105,敌人目录!$A$6:$B$68,2,FALSE),""))</f>
        <v>capoo_rpg</v>
      </c>
      <c r="Q214" s="13">
        <f>IF(第3日!B105="","",第3日!C105)</f>
        <v>1</v>
      </c>
      <c r="R214" s="13">
        <v>-1</v>
      </c>
      <c r="S214" s="13" t="str">
        <f>IF(第3日!B105="","",第3日!I105)</f>
        <v>可回读</v>
      </c>
    </row>
    <row r="215" spans="1:19" ht="16.5">
      <c r="A215" s="13">
        <v>3</v>
      </c>
      <c r="B215" s="13" t="s">
        <v>547</v>
      </c>
      <c r="C215" s="13">
        <v>12</v>
      </c>
      <c r="D215" s="13">
        <v>3</v>
      </c>
      <c r="E215" s="13">
        <v>4</v>
      </c>
      <c r="F215" s="13" t="s">
        <v>55</v>
      </c>
      <c r="G215" s="13" t="str">
        <f>第3日!B90</f>
        <v>第12波</v>
      </c>
      <c r="H215" s="13">
        <f>IF(第3日!B91="点1·开启",1,0)+IF(第3日!C91="点2·开启",2,0)+IF(第3日!D91="点3·开启",4,0)+IF(第3日!E91="点4·开启",8,0)+IF(第3日!F91="点5·开启",16,0)+IF(第3日!G91="点6·开启",32,0)</f>
        <v>63</v>
      </c>
      <c r="I215" s="13">
        <f>第3日!E90</f>
        <v>0.22</v>
      </c>
      <c r="J215" s="13">
        <f>第3日!G90</f>
        <v>1</v>
      </c>
      <c r="K215" s="13">
        <f>第3日!I90</f>
        <v>300</v>
      </c>
      <c r="L215" s="13" t="s">
        <v>543</v>
      </c>
      <c r="M215" s="13" t="s">
        <v>544</v>
      </c>
      <c r="N215" s="13" t="b">
        <f>第3日!I91="待设计"</f>
        <v>0</v>
      </c>
      <c r="O215" s="13">
        <v>13</v>
      </c>
      <c r="P215" s="13" t="str">
        <f>IF(第3日!B106="","",IFERROR(VLOOKUP(第3日!B106,敌人目录!$A$6:$B$68,2,FALSE),""))</f>
        <v>stone_golem</v>
      </c>
      <c r="Q215" s="13">
        <f>IF(第3日!B106="","",第3日!C106)</f>
        <v>1</v>
      </c>
      <c r="R215" s="13">
        <v>-1</v>
      </c>
      <c r="S215" s="13" t="str">
        <f>IF(第3日!B106="","",第3日!I106)</f>
        <v>可回读</v>
      </c>
    </row>
    <row r="216" spans="1:19" ht="16.5">
      <c r="A216" s="13">
        <v>3</v>
      </c>
      <c r="B216" s="13" t="s">
        <v>547</v>
      </c>
      <c r="C216" s="13">
        <v>12</v>
      </c>
      <c r="D216" s="13">
        <v>3</v>
      </c>
      <c r="E216" s="13">
        <v>4</v>
      </c>
      <c r="F216" s="13" t="s">
        <v>55</v>
      </c>
      <c r="G216" s="13" t="str">
        <f>第3日!B90</f>
        <v>第12波</v>
      </c>
      <c r="H216" s="13">
        <f>IF(第3日!B91="点1·开启",1,0)+IF(第3日!C91="点2·开启",2,0)+IF(第3日!D91="点3·开启",4,0)+IF(第3日!E91="点4·开启",8,0)+IF(第3日!F91="点5·开启",16,0)+IF(第3日!G91="点6·开启",32,0)</f>
        <v>63</v>
      </c>
      <c r="I216" s="13">
        <f>第3日!E90</f>
        <v>0.22</v>
      </c>
      <c r="J216" s="13">
        <f>第3日!G90</f>
        <v>1</v>
      </c>
      <c r="K216" s="13">
        <f>第3日!I90</f>
        <v>300</v>
      </c>
      <c r="L216" s="13" t="s">
        <v>543</v>
      </c>
      <c r="M216" s="13" t="s">
        <v>544</v>
      </c>
      <c r="N216" s="13" t="b">
        <f>第3日!I91="待设计"</f>
        <v>0</v>
      </c>
      <c r="O216" s="13">
        <v>14</v>
      </c>
      <c r="P216" s="13" t="str">
        <f>IF(第3日!B107="","",IFERROR(VLOOKUP(第3日!B107,敌人目录!$A$6:$B$68,2,FALSE),""))</f>
        <v/>
      </c>
      <c r="Q216" s="13" t="str">
        <f>IF(第3日!B107="","",第3日!C107)</f>
        <v/>
      </c>
      <c r="R216" s="13">
        <v>-1</v>
      </c>
      <c r="S216" s="13" t="str">
        <f>IF(第3日!B107="","",第3日!I107)</f>
        <v/>
      </c>
    </row>
    <row r="217" spans="1:19" ht="16.5">
      <c r="A217" s="13">
        <v>3</v>
      </c>
      <c r="B217" s="13" t="s">
        <v>547</v>
      </c>
      <c r="C217" s="13">
        <v>12</v>
      </c>
      <c r="D217" s="13">
        <v>3</v>
      </c>
      <c r="E217" s="13">
        <v>4</v>
      </c>
      <c r="F217" s="13" t="s">
        <v>55</v>
      </c>
      <c r="G217" s="13" t="str">
        <f>第3日!B90</f>
        <v>第12波</v>
      </c>
      <c r="H217" s="13">
        <f>IF(第3日!B91="点1·开启",1,0)+IF(第3日!C91="点2·开启",2,0)+IF(第3日!D91="点3·开启",4,0)+IF(第3日!E91="点4·开启",8,0)+IF(第3日!F91="点5·开启",16,0)+IF(第3日!G91="点6·开启",32,0)</f>
        <v>63</v>
      </c>
      <c r="I217" s="13">
        <f>第3日!E90</f>
        <v>0.22</v>
      </c>
      <c r="J217" s="13">
        <f>第3日!G90</f>
        <v>1</v>
      </c>
      <c r="K217" s="13">
        <f>第3日!I90</f>
        <v>300</v>
      </c>
      <c r="L217" s="13" t="s">
        <v>543</v>
      </c>
      <c r="M217" s="13" t="s">
        <v>544</v>
      </c>
      <c r="N217" s="13" t="b">
        <f>第3日!I91="待设计"</f>
        <v>0</v>
      </c>
      <c r="O217" s="13">
        <v>15</v>
      </c>
      <c r="P217" s="13" t="str">
        <f>IF(第3日!B108="","",IFERROR(VLOOKUP(第3日!B108,敌人目录!$A$6:$B$68,2,FALSE),""))</f>
        <v/>
      </c>
      <c r="Q217" s="13" t="str">
        <f>IF(第3日!B108="","",第3日!C108)</f>
        <v/>
      </c>
      <c r="R217" s="13">
        <v>-1</v>
      </c>
      <c r="S217" s="13" t="str">
        <f>IF(第3日!B108="","",第3日!I108)</f>
        <v/>
      </c>
    </row>
    <row r="218" spans="1:19" ht="16.5">
      <c r="A218" s="13">
        <v>3</v>
      </c>
      <c r="B218" s="13" t="s">
        <v>547</v>
      </c>
      <c r="C218" s="13">
        <v>12</v>
      </c>
      <c r="D218" s="13">
        <v>3</v>
      </c>
      <c r="E218" s="13">
        <v>4</v>
      </c>
      <c r="F218" s="13" t="s">
        <v>55</v>
      </c>
      <c r="G218" s="13" t="str">
        <f>第3日!B90</f>
        <v>第12波</v>
      </c>
      <c r="H218" s="13">
        <f>IF(第3日!B91="点1·开启",1,0)+IF(第3日!C91="点2·开启",2,0)+IF(第3日!D91="点3·开启",4,0)+IF(第3日!E91="点4·开启",8,0)+IF(第3日!F91="点5·开启",16,0)+IF(第3日!G91="点6·开启",32,0)</f>
        <v>63</v>
      </c>
      <c r="I218" s="13">
        <f>第3日!E90</f>
        <v>0.22</v>
      </c>
      <c r="J218" s="13">
        <f>第3日!G90</f>
        <v>1</v>
      </c>
      <c r="K218" s="13">
        <f>第3日!I90</f>
        <v>300</v>
      </c>
      <c r="L218" s="13" t="s">
        <v>543</v>
      </c>
      <c r="M218" s="13" t="s">
        <v>544</v>
      </c>
      <c r="N218" s="13" t="b">
        <f>第3日!I91="待设计"</f>
        <v>0</v>
      </c>
      <c r="O218" s="13">
        <v>16</v>
      </c>
      <c r="P218" s="13" t="str">
        <f>IF(第3日!B109="","",IFERROR(VLOOKUP(第3日!B109,敌人目录!$A$6:$B$68,2,FALSE),""))</f>
        <v/>
      </c>
      <c r="Q218" s="13" t="str">
        <f>IF(第3日!B109="","",第3日!C109)</f>
        <v/>
      </c>
      <c r="R218" s="13">
        <v>-1</v>
      </c>
      <c r="S218" s="13" t="str">
        <f>IF(第3日!B109="","",第3日!I109)</f>
        <v/>
      </c>
    </row>
    <row r="219" spans="1:19" ht="16.5">
      <c r="A219" s="13">
        <v>3</v>
      </c>
      <c r="B219" s="13" t="s">
        <v>547</v>
      </c>
      <c r="C219" s="13">
        <v>12</v>
      </c>
      <c r="D219" s="13">
        <v>3</v>
      </c>
      <c r="E219" s="13">
        <v>4</v>
      </c>
      <c r="F219" s="13" t="s">
        <v>55</v>
      </c>
      <c r="G219" s="13" t="str">
        <f>第3日!B90</f>
        <v>第12波</v>
      </c>
      <c r="H219" s="13">
        <f>IF(第3日!B91="点1·开启",1,0)+IF(第3日!C91="点2·开启",2,0)+IF(第3日!D91="点3·开启",4,0)+IF(第3日!E91="点4·开启",8,0)+IF(第3日!F91="点5·开启",16,0)+IF(第3日!G91="点6·开启",32,0)</f>
        <v>63</v>
      </c>
      <c r="I219" s="13">
        <f>第3日!E90</f>
        <v>0.22</v>
      </c>
      <c r="J219" s="13">
        <f>第3日!G90</f>
        <v>1</v>
      </c>
      <c r="K219" s="13">
        <f>第3日!I90</f>
        <v>300</v>
      </c>
      <c r="L219" s="13" t="s">
        <v>543</v>
      </c>
      <c r="M219" s="13" t="s">
        <v>544</v>
      </c>
      <c r="N219" s="13" t="b">
        <f>第3日!I91="待设计"</f>
        <v>0</v>
      </c>
      <c r="O219" s="13">
        <v>17</v>
      </c>
      <c r="P219" s="13" t="str">
        <f>IF(第3日!B110="","",IFERROR(VLOOKUP(第3日!B110,敌人目录!$A$6:$B$68,2,FALSE),""))</f>
        <v/>
      </c>
      <c r="Q219" s="13" t="str">
        <f>IF(第3日!B110="","",第3日!C110)</f>
        <v/>
      </c>
      <c r="R219" s="13">
        <v>-1</v>
      </c>
      <c r="S219" s="13" t="str">
        <f>IF(第3日!B110="","",第3日!I110)</f>
        <v/>
      </c>
    </row>
    <row r="220" spans="1:19" ht="16.5">
      <c r="A220" s="13">
        <v>3</v>
      </c>
      <c r="B220" s="13" t="s">
        <v>547</v>
      </c>
      <c r="C220" s="13">
        <v>12</v>
      </c>
      <c r="D220" s="13">
        <v>3</v>
      </c>
      <c r="E220" s="13">
        <v>4</v>
      </c>
      <c r="F220" s="13" t="s">
        <v>55</v>
      </c>
      <c r="G220" s="13" t="str">
        <f>第3日!B90</f>
        <v>第12波</v>
      </c>
      <c r="H220" s="13">
        <f>IF(第3日!B91="点1·开启",1,0)+IF(第3日!C91="点2·开启",2,0)+IF(第3日!D91="点3·开启",4,0)+IF(第3日!E91="点4·开启",8,0)+IF(第3日!F91="点5·开启",16,0)+IF(第3日!G91="点6·开启",32,0)</f>
        <v>63</v>
      </c>
      <c r="I220" s="13">
        <f>第3日!E90</f>
        <v>0.22</v>
      </c>
      <c r="J220" s="13">
        <f>第3日!G90</f>
        <v>1</v>
      </c>
      <c r="K220" s="13">
        <f>第3日!I90</f>
        <v>300</v>
      </c>
      <c r="L220" s="13" t="s">
        <v>543</v>
      </c>
      <c r="M220" s="13" t="s">
        <v>544</v>
      </c>
      <c r="N220" s="13" t="b">
        <f>第3日!I91="待设计"</f>
        <v>0</v>
      </c>
      <c r="O220" s="13">
        <v>18</v>
      </c>
      <c r="P220" s="13" t="str">
        <f>IF(第3日!B111="","",IFERROR(VLOOKUP(第3日!B111,敌人目录!$A$6:$B$68,2,FALSE),""))</f>
        <v/>
      </c>
      <c r="Q220" s="13" t="str">
        <f>IF(第3日!B111="","",第3日!C111)</f>
        <v/>
      </c>
      <c r="R220" s="13">
        <v>-1</v>
      </c>
      <c r="S220" s="13" t="str">
        <f>IF(第3日!B111="","",第3日!I111)</f>
        <v/>
      </c>
    </row>
  </sheetData>
  <mergeCells count="1">
    <mergeCell ref="A1:S1"/>
  </mergeCells>
  <phoneticPr fontId="1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1"/>
  <sheetViews>
    <sheetView showGridLines="0" workbookViewId="0"/>
  </sheetViews>
  <sheetFormatPr defaultRowHeight="14.25"/>
  <cols>
    <col min="1" max="1" width="31" customWidth="1"/>
    <col min="2" max="3" width="58" customWidth="1"/>
    <col min="4" max="4" width="18" customWidth="1"/>
    <col min="5" max="6" width="12" customWidth="1"/>
  </cols>
  <sheetData>
    <row r="1" spans="1:6" ht="33.950000000000003" customHeight="1">
      <c r="A1" s="31" t="s">
        <v>548</v>
      </c>
      <c r="B1" s="31"/>
      <c r="C1" s="31"/>
      <c r="D1" s="31"/>
      <c r="E1" s="31"/>
      <c r="F1" s="31"/>
    </row>
    <row r="2" spans="1:6" ht="24" customHeight="1"/>
    <row r="3" spans="1:6" ht="24" customHeight="1">
      <c r="A3" s="20" t="s">
        <v>549</v>
      </c>
      <c r="B3" s="20" t="s">
        <v>550</v>
      </c>
      <c r="C3" s="20" t="s">
        <v>551</v>
      </c>
      <c r="D3" s="20" t="s">
        <v>552</v>
      </c>
    </row>
    <row r="4" spans="1:6" ht="24" customHeight="1">
      <c r="A4" s="23" t="s">
        <v>480</v>
      </c>
      <c r="B4" s="13">
        <v>3</v>
      </c>
      <c r="C4" s="13"/>
      <c r="D4" s="13"/>
    </row>
    <row r="5" spans="1:6" ht="24" customHeight="1">
      <c r="A5" s="23" t="s">
        <v>481</v>
      </c>
      <c r="B5" s="13" t="s">
        <v>482</v>
      </c>
      <c r="C5" s="13"/>
      <c r="D5" s="13"/>
    </row>
    <row r="6" spans="1:6" ht="24" customHeight="1">
      <c r="A6" s="23" t="s">
        <v>553</v>
      </c>
      <c r="B6" s="13" t="s">
        <v>554</v>
      </c>
      <c r="C6" s="13"/>
      <c r="D6" s="13"/>
    </row>
    <row r="7" spans="1:6" ht="24" customHeight="1">
      <c r="A7" s="23" t="s">
        <v>555</v>
      </c>
      <c r="B7" s="13" t="s">
        <v>556</v>
      </c>
      <c r="C7" s="13"/>
      <c r="D7" s="13"/>
    </row>
    <row r="8" spans="1:6" ht="24" customHeight="1">
      <c r="A8" s="23" t="s">
        <v>510</v>
      </c>
      <c r="B8" s="13">
        <v>12</v>
      </c>
      <c r="C8" s="13"/>
      <c r="D8" s="13"/>
    </row>
    <row r="9" spans="1:6" ht="24" customHeight="1">
      <c r="A9" s="23" t="s">
        <v>511</v>
      </c>
      <c r="B9" s="13">
        <v>4</v>
      </c>
      <c r="C9" s="13"/>
      <c r="D9" s="13"/>
    </row>
    <row r="10" spans="1:6" ht="24" customHeight="1">
      <c r="A10" s="23" t="s">
        <v>557</v>
      </c>
      <c r="B10" s="13">
        <v>4</v>
      </c>
      <c r="C10" s="13"/>
      <c r="D10" s="13"/>
    </row>
    <row r="11" spans="1:6" ht="24" customHeight="1">
      <c r="A11" s="23" t="s">
        <v>512</v>
      </c>
      <c r="B11" s="13">
        <v>12</v>
      </c>
      <c r="C11" s="13"/>
      <c r="D11" s="13"/>
    </row>
    <row r="12" spans="1:6" ht="24" customHeight="1">
      <c r="A12" s="23" t="s">
        <v>513</v>
      </c>
      <c r="B12" s="13">
        <v>4</v>
      </c>
      <c r="C12" s="13"/>
      <c r="D12" s="13"/>
    </row>
    <row r="13" spans="1:6" ht="24" customHeight="1">
      <c r="A13" s="23" t="s">
        <v>558</v>
      </c>
      <c r="B13" s="13" t="s">
        <v>516</v>
      </c>
      <c r="C13" s="13"/>
      <c r="D13" s="13"/>
    </row>
    <row r="14" spans="1:6" ht="24" customHeight="1">
      <c r="A14" s="23" t="s">
        <v>559</v>
      </c>
      <c r="B14" s="13">
        <f>全局设置!B16</f>
        <v>5</v>
      </c>
      <c r="C14" s="13">
        <f>全局设置!D16</f>
        <v>5</v>
      </c>
      <c r="D14" s="13">
        <f>全局设置!F16</f>
        <v>5</v>
      </c>
    </row>
    <row r="15" spans="1:6" ht="24" customHeight="1">
      <c r="A15" s="23" t="s">
        <v>560</v>
      </c>
      <c r="B15" s="13" t="s">
        <v>176</v>
      </c>
      <c r="C15" s="13"/>
      <c r="D15" s="13"/>
    </row>
    <row r="16" spans="1:6" ht="24" customHeight="1">
      <c r="A16" s="23" t="s">
        <v>561</v>
      </c>
      <c r="B16" s="13" t="s">
        <v>174</v>
      </c>
      <c r="C16" s="13"/>
      <c r="D16" s="13"/>
    </row>
    <row r="17" spans="1:6" ht="24" customHeight="1">
      <c r="A17" s="23" t="s">
        <v>562</v>
      </c>
      <c r="B17" s="13" t="s">
        <v>181</v>
      </c>
      <c r="C17" s="13"/>
      <c r="D17" s="13"/>
    </row>
    <row r="18" spans="1:6" ht="24" customHeight="1">
      <c r="A18" s="23" t="s">
        <v>563</v>
      </c>
      <c r="B18" s="13" t="s">
        <v>564</v>
      </c>
      <c r="C18" s="13"/>
      <c r="D18" s="13"/>
    </row>
    <row r="19" spans="1:6" ht="24" customHeight="1">
      <c r="A19" s="23" t="s">
        <v>565</v>
      </c>
      <c r="B19" s="24" t="s">
        <v>566</v>
      </c>
      <c r="C19" s="24" t="s">
        <v>567</v>
      </c>
      <c r="D19" s="13"/>
    </row>
    <row r="20" spans="1:6" ht="24" customHeight="1"/>
    <row r="21" spans="1:6" ht="24" customHeight="1">
      <c r="A21" s="32" t="s">
        <v>568</v>
      </c>
      <c r="B21" s="32"/>
      <c r="C21" s="32"/>
      <c r="D21" s="32"/>
      <c r="E21" s="32"/>
      <c r="F21" s="32"/>
    </row>
  </sheetData>
  <mergeCells count="2">
    <mergeCell ref="A1:F1"/>
    <mergeCell ref="A21:F21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使用说明</vt:lpstr>
      <vt:lpstr>总览</vt:lpstr>
      <vt:lpstr>全局设置</vt:lpstr>
      <vt:lpstr>第1日</vt:lpstr>
      <vt:lpstr>第2日</vt:lpstr>
      <vt:lpstr>第3日</vt:lpstr>
      <vt:lpstr>第4日</vt:lpstr>
      <vt:lpstr>敌人目录</vt:lpstr>
      <vt:lpstr>敌人导入数据（勿改）</vt:lpstr>
      <vt:lpstr>导入数据（勿改）</vt:lpstr>
      <vt:lpstr>系统数据（勿改）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万恒</cp:lastModifiedBy>
  <dcterms:modified xsi:type="dcterms:W3CDTF">2026-08-15T05:31:16Z</dcterms:modified>
</cp:coreProperties>
</file>